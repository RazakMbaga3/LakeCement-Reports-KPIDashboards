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Lake Cement\MIS\M-7 Capex Report\"/>
    </mc:Choice>
  </mc:AlternateContent>
  <xr:revisionPtr revIDLastSave="0" documentId="13_ncr:1_{3D4DA0C2-BDEF-49DA-8E19-E2EF3BD30B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d vs Actual" sheetId="5" r:id="rId1"/>
    <sheet name="Summary" sheetId="2" state="hidden" r:id="rId2"/>
    <sheet name="Breakup" sheetId="3" r:id="rId3"/>
  </sheets>
  <externalReferences>
    <externalReference r:id="rId4"/>
  </externalReferences>
  <definedNames>
    <definedName name="_xlnm._FilterDatabase" localSheetId="2" hidden="1">Breakup!$A$2:$AD$1812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7" i="2" l="1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23" i="2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AC1771" i="3" s="1"/>
  <c r="S1772" i="3"/>
  <c r="AC1772" i="3" s="1"/>
  <c r="S1773" i="3"/>
  <c r="S1774" i="3"/>
  <c r="S1775" i="3"/>
  <c r="S1776" i="3"/>
  <c r="AC1776" i="3" s="1"/>
  <c r="S1777" i="3"/>
  <c r="S1778" i="3"/>
  <c r="S1779" i="3"/>
  <c r="S1780" i="3"/>
  <c r="AC1780" i="3" s="1"/>
  <c r="S1781" i="3"/>
  <c r="S1782" i="3"/>
  <c r="S1783" i="3"/>
  <c r="AC1783" i="3" s="1"/>
  <c r="S1784" i="3"/>
  <c r="AC1784" i="3" s="1"/>
  <c r="S1785" i="3"/>
  <c r="S1786" i="3"/>
  <c r="S1787" i="3"/>
  <c r="S1788" i="3"/>
  <c r="AC1788" i="3" s="1"/>
  <c r="S1789" i="3"/>
  <c r="S1790" i="3"/>
  <c r="S1791" i="3"/>
  <c r="S1792" i="3"/>
  <c r="AC1792" i="3" s="1"/>
  <c r="S1793" i="3"/>
  <c r="S1794" i="3"/>
  <c r="S1795" i="3"/>
  <c r="S1796" i="3"/>
  <c r="AC1796" i="3" s="1"/>
  <c r="S1797" i="3"/>
  <c r="S1798" i="3"/>
  <c r="S1799" i="3"/>
  <c r="S1800" i="3"/>
  <c r="AC1800" i="3" s="1"/>
  <c r="S1801" i="3"/>
  <c r="S1802" i="3"/>
  <c r="S1803" i="3"/>
  <c r="S1804" i="3"/>
  <c r="AC1804" i="3" s="1"/>
  <c r="S1805" i="3"/>
  <c r="S1806" i="3"/>
  <c r="S1807" i="3"/>
  <c r="S1808" i="3"/>
  <c r="AC1808" i="3" s="1"/>
  <c r="S1809" i="3"/>
  <c r="S1810" i="3"/>
  <c r="S1811" i="3"/>
  <c r="S1812" i="3"/>
  <c r="AC1812" i="3" s="1"/>
  <c r="S1735" i="3"/>
  <c r="S1652" i="3"/>
  <c r="S1571" i="3"/>
  <c r="S1541" i="3"/>
  <c r="S1540" i="3"/>
  <c r="S1539" i="3"/>
  <c r="S1538" i="3"/>
  <c r="S1447" i="3"/>
  <c r="S1135" i="3"/>
  <c r="S1012" i="3"/>
  <c r="S1011" i="3"/>
  <c r="S1010" i="3"/>
  <c r="S1009" i="3"/>
  <c r="S1008" i="3"/>
  <c r="S1007" i="3"/>
  <c r="S1006" i="3"/>
  <c r="S1005" i="3"/>
  <c r="S972" i="3"/>
  <c r="S970" i="3"/>
  <c r="S969" i="3"/>
  <c r="S968" i="3"/>
  <c r="S966" i="3"/>
  <c r="S962" i="3"/>
  <c r="S759" i="3"/>
  <c r="S755" i="3"/>
  <c r="S754" i="3"/>
  <c r="S753" i="3"/>
  <c r="S752" i="3"/>
  <c r="S751" i="3"/>
  <c r="S750" i="3"/>
  <c r="S749" i="3"/>
  <c r="S748" i="3"/>
  <c r="S567" i="3"/>
  <c r="S566" i="3"/>
  <c r="S565" i="3"/>
  <c r="S564" i="3"/>
  <c r="S563" i="3"/>
  <c r="S562" i="3"/>
  <c r="S561" i="3"/>
  <c r="S299" i="3"/>
  <c r="S199" i="3"/>
  <c r="S193" i="3"/>
  <c r="S192" i="3"/>
  <c r="S191" i="3"/>
  <c r="S190" i="3"/>
  <c r="S189" i="3"/>
  <c r="S188" i="3"/>
  <c r="S187" i="3"/>
  <c r="S181" i="3"/>
  <c r="S180" i="3"/>
  <c r="S179" i="3"/>
  <c r="S178" i="3"/>
  <c r="S125" i="3"/>
  <c r="S107" i="3"/>
  <c r="S106" i="3"/>
  <c r="S83" i="3"/>
  <c r="S80" i="3"/>
  <c r="S76" i="3"/>
  <c r="S75" i="3"/>
  <c r="S73" i="3"/>
  <c r="S72" i="3"/>
  <c r="S71" i="3"/>
  <c r="S70" i="3"/>
  <c r="S69" i="3"/>
  <c r="S68" i="3"/>
  <c r="S67" i="3"/>
  <c r="S66" i="3"/>
  <c r="S65" i="3"/>
  <c r="S64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P24" i="2"/>
  <c r="Q24" i="2" s="1"/>
  <c r="P25" i="2"/>
  <c r="Q25" i="2" s="1"/>
  <c r="P26" i="2"/>
  <c r="Q26" i="2" s="1"/>
  <c r="P27" i="2"/>
  <c r="Q27" i="2" s="1"/>
  <c r="P28" i="2"/>
  <c r="Q28" i="2" s="1"/>
  <c r="P29" i="2"/>
  <c r="Q29" i="2" s="1"/>
  <c r="P30" i="2"/>
  <c r="Q30" i="2" s="1"/>
  <c r="P31" i="2"/>
  <c r="Q31" i="2" s="1"/>
  <c r="P32" i="2"/>
  <c r="Q32" i="2" s="1"/>
  <c r="P33" i="2"/>
  <c r="Q33" i="2" s="1"/>
  <c r="P34" i="2"/>
  <c r="Q34" i="2" s="1"/>
  <c r="P35" i="2"/>
  <c r="Q35" i="2" s="1"/>
  <c r="P36" i="2"/>
  <c r="Q36" i="2" s="1"/>
  <c r="P23" i="2"/>
  <c r="Q23" i="2" s="1"/>
  <c r="AA1768" i="3"/>
  <c r="AB1768" i="3" s="1"/>
  <c r="AC1768" i="3"/>
  <c r="AA1769" i="3"/>
  <c r="AB1769" i="3" s="1"/>
  <c r="AC1769" i="3"/>
  <c r="AA1770" i="3"/>
  <c r="AB1770" i="3" s="1"/>
  <c r="AC1770" i="3"/>
  <c r="AA1771" i="3"/>
  <c r="AB1771" i="3" s="1"/>
  <c r="AA1772" i="3"/>
  <c r="AB1772" i="3" s="1"/>
  <c r="AA1773" i="3"/>
  <c r="AB1773" i="3" s="1"/>
  <c r="AC1773" i="3"/>
  <c r="AA1774" i="3"/>
  <c r="AB1774" i="3" s="1"/>
  <c r="AC1774" i="3"/>
  <c r="AA1775" i="3"/>
  <c r="AB1775" i="3" s="1"/>
  <c r="AC1775" i="3"/>
  <c r="AA1776" i="3"/>
  <c r="AB1776" i="3" s="1"/>
  <c r="AA1777" i="3"/>
  <c r="AB1777" i="3" s="1"/>
  <c r="AC1777" i="3"/>
  <c r="AA1778" i="3"/>
  <c r="AB1778" i="3" s="1"/>
  <c r="AC1778" i="3"/>
  <c r="AA1779" i="3"/>
  <c r="AB1779" i="3" s="1"/>
  <c r="AC1779" i="3"/>
  <c r="AA1780" i="3"/>
  <c r="AB1780" i="3" s="1"/>
  <c r="AA1781" i="3"/>
  <c r="AB1781" i="3" s="1"/>
  <c r="AC1781" i="3"/>
  <c r="AA1782" i="3"/>
  <c r="AB1782" i="3" s="1"/>
  <c r="AC1782" i="3"/>
  <c r="AA1783" i="3"/>
  <c r="AB1783" i="3" s="1"/>
  <c r="AA1784" i="3"/>
  <c r="AB1784" i="3" s="1"/>
  <c r="AA1785" i="3"/>
  <c r="AB1785" i="3" s="1"/>
  <c r="AC1785" i="3"/>
  <c r="AA1786" i="3"/>
  <c r="AB1786" i="3" s="1"/>
  <c r="AC1786" i="3"/>
  <c r="AA1787" i="3"/>
  <c r="AB1787" i="3" s="1"/>
  <c r="AC1787" i="3"/>
  <c r="AA1788" i="3"/>
  <c r="AB1788" i="3" s="1"/>
  <c r="AA1789" i="3"/>
  <c r="AB1789" i="3" s="1"/>
  <c r="AC1789" i="3"/>
  <c r="AA1790" i="3"/>
  <c r="AB1790" i="3" s="1"/>
  <c r="AC1790" i="3"/>
  <c r="AA1791" i="3"/>
  <c r="AB1791" i="3" s="1"/>
  <c r="AC1791" i="3"/>
  <c r="AA1792" i="3"/>
  <c r="AB1792" i="3" s="1"/>
  <c r="AA1793" i="3"/>
  <c r="AB1793" i="3" s="1"/>
  <c r="AC1793" i="3"/>
  <c r="AA1794" i="3"/>
  <c r="AB1794" i="3" s="1"/>
  <c r="AC1794" i="3"/>
  <c r="AA1795" i="3"/>
  <c r="AB1795" i="3" s="1"/>
  <c r="AC1795" i="3"/>
  <c r="AA1796" i="3"/>
  <c r="AB1796" i="3" s="1"/>
  <c r="AA1797" i="3"/>
  <c r="AB1797" i="3" s="1"/>
  <c r="AC1797" i="3"/>
  <c r="AA1798" i="3"/>
  <c r="AB1798" i="3" s="1"/>
  <c r="AC1798" i="3"/>
  <c r="AA1799" i="3"/>
  <c r="AB1799" i="3" s="1"/>
  <c r="AC1799" i="3"/>
  <c r="AA1800" i="3"/>
  <c r="AB1800" i="3" s="1"/>
  <c r="AA1801" i="3"/>
  <c r="AB1801" i="3" s="1"/>
  <c r="AC1801" i="3"/>
  <c r="AA1802" i="3"/>
  <c r="AB1802" i="3" s="1"/>
  <c r="AC1802" i="3"/>
  <c r="AA1803" i="3"/>
  <c r="AB1803" i="3" s="1"/>
  <c r="AC1803" i="3"/>
  <c r="AA1804" i="3"/>
  <c r="AB1804" i="3" s="1"/>
  <c r="AA1805" i="3"/>
  <c r="AB1805" i="3" s="1"/>
  <c r="AC1805" i="3"/>
  <c r="AA1806" i="3"/>
  <c r="AB1806" i="3" s="1"/>
  <c r="AC1806" i="3"/>
  <c r="AA1807" i="3"/>
  <c r="AB1807" i="3" s="1"/>
  <c r="AC1807" i="3"/>
  <c r="AA1808" i="3"/>
  <c r="AB1808" i="3" s="1"/>
  <c r="AA1809" i="3"/>
  <c r="AB1809" i="3" s="1"/>
  <c r="AC1809" i="3"/>
  <c r="AA1810" i="3"/>
  <c r="AB1810" i="3" s="1"/>
  <c r="AC1810" i="3"/>
  <c r="AA1811" i="3"/>
  <c r="AB1811" i="3" s="1"/>
  <c r="AC1811" i="3"/>
  <c r="AA1812" i="3"/>
  <c r="AB1812" i="3" s="1"/>
  <c r="AC1735" i="3" l="1"/>
  <c r="AC1736" i="3"/>
  <c r="AC1737" i="3"/>
  <c r="AC1738" i="3"/>
  <c r="AC1739" i="3"/>
  <c r="AC1740" i="3"/>
  <c r="AC1741" i="3"/>
  <c r="AC1742" i="3"/>
  <c r="AC1743" i="3"/>
  <c r="AC1744" i="3"/>
  <c r="AC1745" i="3"/>
  <c r="AC1746" i="3"/>
  <c r="AC1747" i="3"/>
  <c r="AC1748" i="3"/>
  <c r="AC1749" i="3"/>
  <c r="AC1750" i="3"/>
  <c r="AC1751" i="3"/>
  <c r="AC1752" i="3"/>
  <c r="AC1753" i="3"/>
  <c r="AC1754" i="3"/>
  <c r="AC1755" i="3"/>
  <c r="AC1756" i="3"/>
  <c r="AC1757" i="3"/>
  <c r="AC1758" i="3"/>
  <c r="AC1759" i="3"/>
  <c r="AC1760" i="3"/>
  <c r="AC1761" i="3"/>
  <c r="AC1762" i="3"/>
  <c r="AC1763" i="3"/>
  <c r="AC1764" i="3"/>
  <c r="AC1765" i="3"/>
  <c r="AC1766" i="3"/>
  <c r="AC1767" i="3"/>
  <c r="AA1736" i="3"/>
  <c r="AB1736" i="3" s="1"/>
  <c r="AA1737" i="3"/>
  <c r="AB1737" i="3" s="1"/>
  <c r="AA1738" i="3"/>
  <c r="AB1738" i="3" s="1"/>
  <c r="AA1739" i="3"/>
  <c r="AB1739" i="3" s="1"/>
  <c r="AA1740" i="3"/>
  <c r="AB1740" i="3" s="1"/>
  <c r="AA1741" i="3"/>
  <c r="AB1741" i="3" s="1"/>
  <c r="AA1742" i="3"/>
  <c r="AB1742" i="3" s="1"/>
  <c r="AA1743" i="3"/>
  <c r="AB1743" i="3" s="1"/>
  <c r="AA1744" i="3"/>
  <c r="AB1744" i="3" s="1"/>
  <c r="AA1745" i="3"/>
  <c r="AB1745" i="3" s="1"/>
  <c r="AA1746" i="3"/>
  <c r="AB1746" i="3" s="1"/>
  <c r="AA1747" i="3"/>
  <c r="AB1747" i="3" s="1"/>
  <c r="AA1748" i="3"/>
  <c r="AB1748" i="3" s="1"/>
  <c r="AA1749" i="3"/>
  <c r="AB1749" i="3" s="1"/>
  <c r="AA1750" i="3"/>
  <c r="AB1750" i="3" s="1"/>
  <c r="AA1751" i="3"/>
  <c r="AB1751" i="3" s="1"/>
  <c r="AA1752" i="3"/>
  <c r="AB1752" i="3" s="1"/>
  <c r="AA1753" i="3"/>
  <c r="AB1753" i="3" s="1"/>
  <c r="AA1754" i="3"/>
  <c r="AB1754" i="3" s="1"/>
  <c r="AA1755" i="3"/>
  <c r="AB1755" i="3" s="1"/>
  <c r="AA1756" i="3"/>
  <c r="AB1756" i="3" s="1"/>
  <c r="AA1757" i="3"/>
  <c r="AB1757" i="3" s="1"/>
  <c r="AA1758" i="3"/>
  <c r="AB1758" i="3" s="1"/>
  <c r="AA1759" i="3"/>
  <c r="AB1759" i="3" s="1"/>
  <c r="AA1760" i="3"/>
  <c r="AB1760" i="3" s="1"/>
  <c r="AA1761" i="3"/>
  <c r="AB1761" i="3" s="1"/>
  <c r="AA1762" i="3"/>
  <c r="AB1762" i="3" s="1"/>
  <c r="AA1763" i="3"/>
  <c r="AB1763" i="3" s="1"/>
  <c r="AA1764" i="3"/>
  <c r="AB1764" i="3" s="1"/>
  <c r="AA1765" i="3"/>
  <c r="AB1765" i="3" s="1"/>
  <c r="AA1766" i="3"/>
  <c r="AB1766" i="3" s="1"/>
  <c r="AA1767" i="3"/>
  <c r="AB1767" i="3" s="1"/>
  <c r="AA1735" i="3"/>
  <c r="AB1735" i="3" s="1"/>
  <c r="S5" i="3"/>
  <c r="S6" i="3"/>
  <c r="S7" i="3"/>
  <c r="S8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74" i="3"/>
  <c r="S77" i="3"/>
  <c r="S78" i="3"/>
  <c r="S79" i="3"/>
  <c r="S81" i="3"/>
  <c r="S82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82" i="3"/>
  <c r="S183" i="3"/>
  <c r="S184" i="3"/>
  <c r="S185" i="3"/>
  <c r="S186" i="3"/>
  <c r="S194" i="3"/>
  <c r="S195" i="3"/>
  <c r="S196" i="3"/>
  <c r="S197" i="3"/>
  <c r="S198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56" i="3"/>
  <c r="S757" i="3"/>
  <c r="S758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3" i="3"/>
  <c r="S964" i="3"/>
  <c r="S965" i="3"/>
  <c r="S967" i="3"/>
  <c r="S971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AC1677" i="3" s="1"/>
  <c r="S1678" i="3"/>
  <c r="AC1678" i="3" s="1"/>
  <c r="S1679" i="3"/>
  <c r="AC1679" i="3" s="1"/>
  <c r="S1680" i="3"/>
  <c r="AC1680" i="3" s="1"/>
  <c r="S1681" i="3"/>
  <c r="AC1681" i="3" s="1"/>
  <c r="S1682" i="3"/>
  <c r="AC1682" i="3" s="1"/>
  <c r="S1683" i="3"/>
  <c r="AC1683" i="3" s="1"/>
  <c r="S1684" i="3"/>
  <c r="AC1684" i="3" s="1"/>
  <c r="S1685" i="3"/>
  <c r="AC1685" i="3" s="1"/>
  <c r="S1686" i="3"/>
  <c r="AC1686" i="3" s="1"/>
  <c r="S1687" i="3"/>
  <c r="AC1687" i="3" s="1"/>
  <c r="S1688" i="3"/>
  <c r="AC1688" i="3" s="1"/>
  <c r="S1689" i="3"/>
  <c r="AC1689" i="3" s="1"/>
  <c r="S1690" i="3"/>
  <c r="AC1690" i="3" s="1"/>
  <c r="S1691" i="3"/>
  <c r="AC1691" i="3" s="1"/>
  <c r="S1692" i="3"/>
  <c r="AC1692" i="3" s="1"/>
  <c r="S1693" i="3"/>
  <c r="AC1693" i="3" s="1"/>
  <c r="S1694" i="3"/>
  <c r="AC1694" i="3" s="1"/>
  <c r="S1695" i="3"/>
  <c r="AC1695" i="3" s="1"/>
  <c r="S1696" i="3"/>
  <c r="AC1696" i="3" s="1"/>
  <c r="S1697" i="3"/>
  <c r="AC1697" i="3" s="1"/>
  <c r="S1698" i="3"/>
  <c r="AC1698" i="3" s="1"/>
  <c r="S1699" i="3"/>
  <c r="AC1699" i="3" s="1"/>
  <c r="S1700" i="3"/>
  <c r="AC1700" i="3" s="1"/>
  <c r="S1701" i="3"/>
  <c r="AC1701" i="3" s="1"/>
  <c r="S1702" i="3"/>
  <c r="AC1702" i="3" s="1"/>
  <c r="S1703" i="3"/>
  <c r="AC1703" i="3" s="1"/>
  <c r="S1704" i="3"/>
  <c r="AC1704" i="3" s="1"/>
  <c r="S1705" i="3"/>
  <c r="AC1705" i="3" s="1"/>
  <c r="S1706" i="3"/>
  <c r="AC1706" i="3" s="1"/>
  <c r="S1707" i="3"/>
  <c r="AC1707" i="3" s="1"/>
  <c r="S1708" i="3"/>
  <c r="AC1708" i="3" s="1"/>
  <c r="S1709" i="3"/>
  <c r="AC1709" i="3" s="1"/>
  <c r="S1710" i="3"/>
  <c r="AC1710" i="3" s="1"/>
  <c r="S1711" i="3"/>
  <c r="AC1711" i="3" s="1"/>
  <c r="S1712" i="3"/>
  <c r="AC1712" i="3" s="1"/>
  <c r="S1713" i="3"/>
  <c r="AC1713" i="3" s="1"/>
  <c r="S1714" i="3"/>
  <c r="AC1714" i="3" s="1"/>
  <c r="S1715" i="3"/>
  <c r="AC1715" i="3" s="1"/>
  <c r="S1716" i="3"/>
  <c r="AC1716" i="3" s="1"/>
  <c r="S1717" i="3"/>
  <c r="AC1717" i="3" s="1"/>
  <c r="S1718" i="3"/>
  <c r="AC1718" i="3" s="1"/>
  <c r="S1719" i="3"/>
  <c r="AC1719" i="3" s="1"/>
  <c r="S1720" i="3"/>
  <c r="AC1720" i="3" s="1"/>
  <c r="S1721" i="3"/>
  <c r="AC1721" i="3" s="1"/>
  <c r="S1722" i="3"/>
  <c r="AC1722" i="3" s="1"/>
  <c r="S1723" i="3"/>
  <c r="AC1723" i="3" s="1"/>
  <c r="S1724" i="3"/>
  <c r="AC1724" i="3" s="1"/>
  <c r="S1725" i="3"/>
  <c r="AC1725" i="3" s="1"/>
  <c r="S1726" i="3"/>
  <c r="AC1726" i="3" s="1"/>
  <c r="S1727" i="3"/>
  <c r="AC1727" i="3" s="1"/>
  <c r="S1728" i="3"/>
  <c r="AC1728" i="3" s="1"/>
  <c r="S1729" i="3"/>
  <c r="AC1729" i="3" s="1"/>
  <c r="S1730" i="3"/>
  <c r="AC1730" i="3" s="1"/>
  <c r="S1731" i="3"/>
  <c r="AC1731" i="3" s="1"/>
  <c r="S1732" i="3"/>
  <c r="AC1732" i="3" s="1"/>
  <c r="S1733" i="3"/>
  <c r="AC1733" i="3" s="1"/>
  <c r="S1734" i="3"/>
  <c r="AC1734" i="3" s="1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677" i="3"/>
  <c r="O38" i="2" l="1"/>
  <c r="AC1644" i="3"/>
  <c r="AC1645" i="3"/>
  <c r="AC1646" i="3"/>
  <c r="AC1647" i="3"/>
  <c r="AC1650" i="3"/>
  <c r="AC1651" i="3"/>
  <c r="AC1652" i="3"/>
  <c r="AC1653" i="3"/>
  <c r="AC1654" i="3"/>
  <c r="AC1655" i="3"/>
  <c r="AC1656" i="3"/>
  <c r="AC1657" i="3"/>
  <c r="AC1658" i="3"/>
  <c r="AC1659" i="3"/>
  <c r="AC1660" i="3"/>
  <c r="AC1661" i="3"/>
  <c r="AC1662" i="3"/>
  <c r="AC1663" i="3"/>
  <c r="AC1664" i="3"/>
  <c r="AC1665" i="3"/>
  <c r="AC1666" i="3"/>
  <c r="AC1667" i="3"/>
  <c r="AC1668" i="3"/>
  <c r="AC1669" i="3"/>
  <c r="AC1670" i="3"/>
  <c r="AC1671" i="3"/>
  <c r="AC1672" i="3"/>
  <c r="AC1673" i="3"/>
  <c r="AC1674" i="3"/>
  <c r="AC1675" i="3"/>
  <c r="AC1676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44" i="3"/>
  <c r="Z1645" i="3"/>
  <c r="Z1646" i="3"/>
  <c r="Z1647" i="3"/>
  <c r="Z1648" i="3"/>
  <c r="Z1649" i="3"/>
  <c r="Z1650" i="3"/>
  <c r="Z1651" i="3"/>
  <c r="Z1652" i="3"/>
  <c r="Z1653" i="3"/>
  <c r="Z1654" i="3"/>
  <c r="Z1655" i="3"/>
  <c r="Z1656" i="3"/>
  <c r="Z1657" i="3"/>
  <c r="Z1658" i="3"/>
  <c r="Z1659" i="3"/>
  <c r="Z1660" i="3"/>
  <c r="Z1661" i="3"/>
  <c r="Z1662" i="3"/>
  <c r="Z1663" i="3"/>
  <c r="Z1664" i="3"/>
  <c r="Z1665" i="3"/>
  <c r="Z1666" i="3"/>
  <c r="Z1667" i="3"/>
  <c r="Z1668" i="3"/>
  <c r="Z1669" i="3"/>
  <c r="Z1670" i="3"/>
  <c r="Z1671" i="3"/>
  <c r="Z1672" i="3"/>
  <c r="Z1673" i="3"/>
  <c r="Z1674" i="3"/>
  <c r="Z1675" i="3"/>
  <c r="Z1676" i="3"/>
  <c r="Z1644" i="3"/>
  <c r="AC1649" i="3"/>
  <c r="AC1648" i="3"/>
  <c r="AB1354" i="3"/>
  <c r="O39" i="2" l="1"/>
  <c r="AC1640" i="3"/>
  <c r="AC1641" i="3"/>
  <c r="AC1642" i="3"/>
  <c r="AC1643" i="3"/>
  <c r="AA1640" i="3"/>
  <c r="AB1640" i="3" s="1"/>
  <c r="AB1642" i="3"/>
  <c r="AC1578" i="3" l="1"/>
  <c r="AC1579" i="3"/>
  <c r="AC1580" i="3"/>
  <c r="AC1581" i="3"/>
  <c r="AC1582" i="3"/>
  <c r="AC1583" i="3"/>
  <c r="AC1584" i="3"/>
  <c r="AC1585" i="3"/>
  <c r="AC1586" i="3"/>
  <c r="AC1587" i="3"/>
  <c r="AC1588" i="3"/>
  <c r="AC1589" i="3"/>
  <c r="AC1590" i="3"/>
  <c r="AC1591" i="3"/>
  <c r="AC1592" i="3"/>
  <c r="AC1593" i="3"/>
  <c r="AC1594" i="3"/>
  <c r="AC1595" i="3"/>
  <c r="AC1596" i="3"/>
  <c r="AC1597" i="3"/>
  <c r="AC1598" i="3"/>
  <c r="AC1599" i="3"/>
  <c r="AC1600" i="3"/>
  <c r="AC1601" i="3"/>
  <c r="AC1602" i="3"/>
  <c r="AC1603" i="3"/>
  <c r="AC1604" i="3"/>
  <c r="AC1605" i="3"/>
  <c r="AC1606" i="3"/>
  <c r="AC1607" i="3"/>
  <c r="AC1608" i="3"/>
  <c r="AC1609" i="3"/>
  <c r="AC1610" i="3"/>
  <c r="AC1611" i="3"/>
  <c r="AC1612" i="3"/>
  <c r="AC1613" i="3"/>
  <c r="AC1614" i="3"/>
  <c r="AC1615" i="3"/>
  <c r="AC1616" i="3"/>
  <c r="AC1617" i="3"/>
  <c r="AC1618" i="3"/>
  <c r="AC1619" i="3"/>
  <c r="AC1620" i="3"/>
  <c r="AC1621" i="3"/>
  <c r="AC1622" i="3"/>
  <c r="AC1623" i="3"/>
  <c r="AC1624" i="3"/>
  <c r="AC1625" i="3"/>
  <c r="AC1626" i="3"/>
  <c r="AC1627" i="3"/>
  <c r="AC1628" i="3"/>
  <c r="AC1629" i="3"/>
  <c r="AC1630" i="3"/>
  <c r="AC1631" i="3"/>
  <c r="AC1632" i="3"/>
  <c r="AC1633" i="3"/>
  <c r="AC1634" i="3"/>
  <c r="AC1635" i="3"/>
  <c r="AC1636" i="3"/>
  <c r="AC1637" i="3"/>
  <c r="AC1638" i="3"/>
  <c r="AC1639" i="3"/>
  <c r="AA1578" i="3"/>
  <c r="AB1578" i="3" s="1"/>
  <c r="AA1579" i="3"/>
  <c r="AB1579" i="3" s="1"/>
  <c r="AA1580" i="3"/>
  <c r="AB1580" i="3" s="1"/>
  <c r="AA1581" i="3"/>
  <c r="AB1581" i="3" s="1"/>
  <c r="AA1582" i="3"/>
  <c r="AB1582" i="3" s="1"/>
  <c r="AA1583" i="3"/>
  <c r="AB1583" i="3" s="1"/>
  <c r="AA1584" i="3"/>
  <c r="AB1584" i="3" s="1"/>
  <c r="AA1585" i="3"/>
  <c r="AB1585" i="3" s="1"/>
  <c r="AA1586" i="3"/>
  <c r="AB1586" i="3" s="1"/>
  <c r="AA1587" i="3"/>
  <c r="AB1587" i="3" s="1"/>
  <c r="AA1588" i="3"/>
  <c r="AB1588" i="3" s="1"/>
  <c r="AA1589" i="3"/>
  <c r="AB1589" i="3" s="1"/>
  <c r="AA1590" i="3"/>
  <c r="AB1590" i="3" s="1"/>
  <c r="AA1591" i="3"/>
  <c r="AB1591" i="3" s="1"/>
  <c r="AA1592" i="3"/>
  <c r="AB1592" i="3" s="1"/>
  <c r="AA1593" i="3"/>
  <c r="AB1593" i="3" s="1"/>
  <c r="AA1594" i="3"/>
  <c r="AB1594" i="3" s="1"/>
  <c r="AA1595" i="3"/>
  <c r="AB1595" i="3" s="1"/>
  <c r="AA1596" i="3"/>
  <c r="AB1596" i="3" s="1"/>
  <c r="AA1597" i="3"/>
  <c r="AB1597" i="3" s="1"/>
  <c r="AA1598" i="3"/>
  <c r="AB1598" i="3" s="1"/>
  <c r="AA1599" i="3"/>
  <c r="AB1599" i="3" s="1"/>
  <c r="AA1600" i="3"/>
  <c r="AB1600" i="3" s="1"/>
  <c r="AA1601" i="3"/>
  <c r="AB1601" i="3" s="1"/>
  <c r="AA1602" i="3"/>
  <c r="AB1602" i="3" s="1"/>
  <c r="AA1603" i="3"/>
  <c r="AB1603" i="3" s="1"/>
  <c r="AA1604" i="3"/>
  <c r="AB1604" i="3" s="1"/>
  <c r="AA1605" i="3"/>
  <c r="AB1605" i="3" s="1"/>
  <c r="AA1606" i="3"/>
  <c r="AB1606" i="3" s="1"/>
  <c r="AA1607" i="3"/>
  <c r="AB1607" i="3" s="1"/>
  <c r="AA1608" i="3"/>
  <c r="AB1608" i="3" s="1"/>
  <c r="AA1609" i="3"/>
  <c r="AB1609" i="3" s="1"/>
  <c r="AA1610" i="3"/>
  <c r="AB1610" i="3" s="1"/>
  <c r="AA1611" i="3"/>
  <c r="AB1611" i="3" s="1"/>
  <c r="AA1612" i="3"/>
  <c r="AB1612" i="3" s="1"/>
  <c r="AA1613" i="3"/>
  <c r="AB1613" i="3" s="1"/>
  <c r="AA1614" i="3"/>
  <c r="AB1614" i="3" s="1"/>
  <c r="AA1615" i="3"/>
  <c r="AB1615" i="3" s="1"/>
  <c r="AA1616" i="3"/>
  <c r="AB1616" i="3" s="1"/>
  <c r="AA1617" i="3"/>
  <c r="AB1617" i="3" s="1"/>
  <c r="AA1618" i="3"/>
  <c r="AB1618" i="3" s="1"/>
  <c r="AA1619" i="3"/>
  <c r="AB1619" i="3" s="1"/>
  <c r="AA1620" i="3"/>
  <c r="AB1620" i="3" s="1"/>
  <c r="AA1621" i="3"/>
  <c r="AB1621" i="3" s="1"/>
  <c r="AA1622" i="3"/>
  <c r="AB1622" i="3" s="1"/>
  <c r="AA1623" i="3"/>
  <c r="AB1623" i="3" s="1"/>
  <c r="AA1624" i="3"/>
  <c r="AB1624" i="3" s="1"/>
  <c r="AA1625" i="3"/>
  <c r="AB1625" i="3" s="1"/>
  <c r="AA1626" i="3"/>
  <c r="AB1626" i="3" s="1"/>
  <c r="AA1627" i="3"/>
  <c r="AB1627" i="3" s="1"/>
  <c r="AA1628" i="3"/>
  <c r="AB1628" i="3" s="1"/>
  <c r="AA1629" i="3"/>
  <c r="AB1629" i="3" s="1"/>
  <c r="AA1630" i="3"/>
  <c r="AB1630" i="3" s="1"/>
  <c r="AA1631" i="3"/>
  <c r="AB1631" i="3" s="1"/>
  <c r="AA1632" i="3"/>
  <c r="AB1632" i="3" s="1"/>
  <c r="AA1633" i="3"/>
  <c r="AB1633" i="3" s="1"/>
  <c r="AA1634" i="3"/>
  <c r="AB1634" i="3" s="1"/>
  <c r="AA1635" i="3"/>
  <c r="AB1635" i="3" s="1"/>
  <c r="AA1636" i="3"/>
  <c r="AB1636" i="3" s="1"/>
  <c r="AA1637" i="3"/>
  <c r="AB1637" i="3" s="1"/>
  <c r="AA1638" i="3"/>
  <c r="AB1638" i="3" s="1"/>
  <c r="AA1639" i="3"/>
  <c r="AB1639" i="3" s="1"/>
  <c r="Z1578" i="3"/>
  <c r="Z1579" i="3"/>
  <c r="Z1580" i="3"/>
  <c r="Z1581" i="3"/>
  <c r="Z1582" i="3"/>
  <c r="Z1583" i="3"/>
  <c r="Z1584" i="3"/>
  <c r="Z1585" i="3"/>
  <c r="Z1586" i="3"/>
  <c r="Z1587" i="3"/>
  <c r="Z1588" i="3"/>
  <c r="Z1589" i="3"/>
  <c r="Z1590" i="3"/>
  <c r="Z1591" i="3"/>
  <c r="Z1592" i="3"/>
  <c r="Z1593" i="3"/>
  <c r="Z1594" i="3"/>
  <c r="Z1595" i="3"/>
  <c r="Z1596" i="3"/>
  <c r="Z1597" i="3"/>
  <c r="Z1598" i="3"/>
  <c r="Z1599" i="3"/>
  <c r="Z1600" i="3"/>
  <c r="Z1601" i="3"/>
  <c r="Z1602" i="3"/>
  <c r="Z1603" i="3"/>
  <c r="Z1604" i="3"/>
  <c r="Z1605" i="3"/>
  <c r="Z1606" i="3"/>
  <c r="Z1607" i="3"/>
  <c r="Z1608" i="3"/>
  <c r="Z1609" i="3"/>
  <c r="Z1610" i="3"/>
  <c r="Z1611" i="3"/>
  <c r="Z1612" i="3"/>
  <c r="Z1613" i="3"/>
  <c r="Z1614" i="3"/>
  <c r="Z1615" i="3"/>
  <c r="Z1616" i="3"/>
  <c r="Z1617" i="3"/>
  <c r="Z1618" i="3"/>
  <c r="Z1619" i="3"/>
  <c r="Z1620" i="3"/>
  <c r="Z1621" i="3"/>
  <c r="Z1622" i="3"/>
  <c r="Z1623" i="3"/>
  <c r="Z1624" i="3"/>
  <c r="Z1625" i="3"/>
  <c r="Z1626" i="3"/>
  <c r="Z1627" i="3"/>
  <c r="Z1628" i="3"/>
  <c r="Z1629" i="3"/>
  <c r="Z1630" i="3"/>
  <c r="Z1631" i="3"/>
  <c r="Z1632" i="3"/>
  <c r="Z1633" i="3"/>
  <c r="Z1634" i="3"/>
  <c r="Z1635" i="3"/>
  <c r="Z1636" i="3"/>
  <c r="Z1637" i="3"/>
  <c r="Z1638" i="3"/>
  <c r="Z1639" i="3"/>
  <c r="AA1494" i="3" l="1"/>
  <c r="AA1495" i="3"/>
  <c r="AA1496" i="3"/>
  <c r="AA1497" i="3"/>
  <c r="AA1498" i="3"/>
  <c r="AA1499" i="3"/>
  <c r="AA1500" i="3"/>
  <c r="AA1501" i="3"/>
  <c r="AA1502" i="3"/>
  <c r="AA1503" i="3"/>
  <c r="AA1504" i="3"/>
  <c r="AA1505" i="3"/>
  <c r="AA1506" i="3"/>
  <c r="AA1507" i="3"/>
  <c r="AA1508" i="3"/>
  <c r="AA1509" i="3"/>
  <c r="AA1510" i="3"/>
  <c r="AA1511" i="3"/>
  <c r="AA1512" i="3"/>
  <c r="AA1513" i="3"/>
  <c r="AA1514" i="3"/>
  <c r="AA1515" i="3"/>
  <c r="AA1516" i="3"/>
  <c r="AA1517" i="3"/>
  <c r="AA1518" i="3"/>
  <c r="AA1519" i="3"/>
  <c r="AA1520" i="3"/>
  <c r="AA1521" i="3"/>
  <c r="AA1522" i="3"/>
  <c r="AA1523" i="3"/>
  <c r="AA1524" i="3"/>
  <c r="AA1525" i="3"/>
  <c r="AA1526" i="3"/>
  <c r="AA1527" i="3"/>
  <c r="AA1528" i="3"/>
  <c r="AA1529" i="3"/>
  <c r="AA1530" i="3"/>
  <c r="AA1531" i="3"/>
  <c r="AA1532" i="3"/>
  <c r="AA1533" i="3"/>
  <c r="AA1534" i="3"/>
  <c r="AA1535" i="3"/>
  <c r="AA1536" i="3"/>
  <c r="AA1537" i="3"/>
  <c r="AA1538" i="3"/>
  <c r="AB1538" i="3" s="1"/>
  <c r="AA1539" i="3"/>
  <c r="AB1539" i="3" s="1"/>
  <c r="AA1540" i="3"/>
  <c r="AB1540" i="3" s="1"/>
  <c r="AA1541" i="3"/>
  <c r="AB1541" i="3" s="1"/>
  <c r="AA1542" i="3"/>
  <c r="AA1543" i="3"/>
  <c r="AA1544" i="3"/>
  <c r="AA1545" i="3"/>
  <c r="AA1546" i="3"/>
  <c r="AA1547" i="3"/>
  <c r="AA1548" i="3"/>
  <c r="AA1549" i="3"/>
  <c r="AA1550" i="3"/>
  <c r="AA1551" i="3"/>
  <c r="AA1552" i="3"/>
  <c r="AA1553" i="3"/>
  <c r="AA1554" i="3"/>
  <c r="AA1555" i="3"/>
  <c r="AA1556" i="3"/>
  <c r="AA1557" i="3"/>
  <c r="AA1558" i="3"/>
  <c r="AA1559" i="3"/>
  <c r="AA1560" i="3"/>
  <c r="AA1561" i="3"/>
  <c r="AA1562" i="3"/>
  <c r="AA1563" i="3"/>
  <c r="AA1564" i="3"/>
  <c r="AA1565" i="3"/>
  <c r="AA1566" i="3"/>
  <c r="AA1567" i="3"/>
  <c r="AA1568" i="3"/>
  <c r="AA1569" i="3"/>
  <c r="AA1570" i="3"/>
  <c r="AA1571" i="3"/>
  <c r="AB1571" i="3" s="1"/>
  <c r="AA1572" i="3"/>
  <c r="AA1574" i="3"/>
  <c r="AA1575" i="3"/>
  <c r="AA1576" i="3"/>
  <c r="AB1576" i="3" s="1"/>
  <c r="AA1577" i="3"/>
  <c r="AB1577" i="3" s="1"/>
  <c r="AA1493" i="3"/>
  <c r="Z1494" i="3"/>
  <c r="Z1495" i="3"/>
  <c r="Z1496" i="3"/>
  <c r="Z1497" i="3"/>
  <c r="Z1498" i="3"/>
  <c r="Z1499" i="3"/>
  <c r="Z1500" i="3"/>
  <c r="Z1501" i="3"/>
  <c r="Z1502" i="3"/>
  <c r="Z1503" i="3"/>
  <c r="Z1504" i="3"/>
  <c r="Z1505" i="3"/>
  <c r="Z1506" i="3"/>
  <c r="Z1507" i="3"/>
  <c r="Z1508" i="3"/>
  <c r="Z1509" i="3"/>
  <c r="Z1510" i="3"/>
  <c r="Z1511" i="3"/>
  <c r="Z1512" i="3"/>
  <c r="Z1513" i="3"/>
  <c r="Z1514" i="3"/>
  <c r="Z1515" i="3"/>
  <c r="Z1516" i="3"/>
  <c r="Z1517" i="3"/>
  <c r="Z1518" i="3"/>
  <c r="Z1519" i="3"/>
  <c r="Z1520" i="3"/>
  <c r="Z1521" i="3"/>
  <c r="Z1522" i="3"/>
  <c r="Z1523" i="3"/>
  <c r="Z1524" i="3"/>
  <c r="Z1525" i="3"/>
  <c r="Z1526" i="3"/>
  <c r="Z1527" i="3"/>
  <c r="Z1528" i="3"/>
  <c r="Z1529" i="3"/>
  <c r="Z1530" i="3"/>
  <c r="Z1531" i="3"/>
  <c r="Z1532" i="3"/>
  <c r="Z1533" i="3"/>
  <c r="Z1534" i="3"/>
  <c r="Z1535" i="3"/>
  <c r="Z1536" i="3"/>
  <c r="Z1537" i="3"/>
  <c r="Z1538" i="3"/>
  <c r="Z1539" i="3"/>
  <c r="Z1540" i="3"/>
  <c r="Z1541" i="3"/>
  <c r="Z1542" i="3"/>
  <c r="Z1543" i="3"/>
  <c r="Z1544" i="3"/>
  <c r="Z1545" i="3"/>
  <c r="Z1546" i="3"/>
  <c r="Z1547" i="3"/>
  <c r="Z1548" i="3"/>
  <c r="Z1549" i="3"/>
  <c r="Z1550" i="3"/>
  <c r="Z1551" i="3"/>
  <c r="Z1552" i="3"/>
  <c r="Z1553" i="3"/>
  <c r="Z1554" i="3"/>
  <c r="Z1555" i="3"/>
  <c r="Z1556" i="3"/>
  <c r="Z1557" i="3"/>
  <c r="Z1558" i="3"/>
  <c r="Z1559" i="3"/>
  <c r="Z1560" i="3"/>
  <c r="Z1561" i="3"/>
  <c r="Z1562" i="3"/>
  <c r="Z1563" i="3"/>
  <c r="Z1564" i="3"/>
  <c r="Z1565" i="3"/>
  <c r="Z1566" i="3"/>
  <c r="Z1567" i="3"/>
  <c r="Z1568" i="3"/>
  <c r="Z1569" i="3"/>
  <c r="Z1570" i="3"/>
  <c r="Z1571" i="3"/>
  <c r="Z1572" i="3"/>
  <c r="Z1573" i="3"/>
  <c r="Z1574" i="3"/>
  <c r="Z1575" i="3"/>
  <c r="Z1576" i="3"/>
  <c r="Z1577" i="3"/>
  <c r="Z1493" i="3"/>
  <c r="AC1494" i="3"/>
  <c r="AC1495" i="3"/>
  <c r="AC1496" i="3"/>
  <c r="AC1497" i="3"/>
  <c r="AC1498" i="3"/>
  <c r="AC1499" i="3"/>
  <c r="AC1500" i="3"/>
  <c r="AC1501" i="3"/>
  <c r="AC1502" i="3"/>
  <c r="AC1503" i="3"/>
  <c r="AC1504" i="3"/>
  <c r="AC1505" i="3"/>
  <c r="AC1506" i="3"/>
  <c r="AC1507" i="3"/>
  <c r="AC1508" i="3"/>
  <c r="AC1509" i="3"/>
  <c r="AC1510" i="3"/>
  <c r="AC1511" i="3"/>
  <c r="AC1512" i="3"/>
  <c r="AC1513" i="3"/>
  <c r="AC1514" i="3"/>
  <c r="AC1515" i="3"/>
  <c r="AC1516" i="3"/>
  <c r="AC1517" i="3"/>
  <c r="AC1518" i="3"/>
  <c r="AC1519" i="3"/>
  <c r="AC1520" i="3"/>
  <c r="AC1521" i="3"/>
  <c r="AC1522" i="3"/>
  <c r="AC1523" i="3"/>
  <c r="AC1524" i="3"/>
  <c r="AC1525" i="3"/>
  <c r="AC1526" i="3"/>
  <c r="AC1527" i="3"/>
  <c r="AC1528" i="3"/>
  <c r="AC1529" i="3"/>
  <c r="AC1530" i="3"/>
  <c r="AC1531" i="3"/>
  <c r="AC1532" i="3"/>
  <c r="AC1533" i="3"/>
  <c r="AC1534" i="3"/>
  <c r="AC1535" i="3"/>
  <c r="AC1536" i="3"/>
  <c r="AC1537" i="3"/>
  <c r="AC1538" i="3"/>
  <c r="AC1539" i="3"/>
  <c r="AC1540" i="3"/>
  <c r="AC1541" i="3"/>
  <c r="AC1542" i="3"/>
  <c r="AC1543" i="3"/>
  <c r="AC1544" i="3"/>
  <c r="AC1545" i="3"/>
  <c r="AC1546" i="3"/>
  <c r="AC1547" i="3"/>
  <c r="AC1548" i="3"/>
  <c r="AC1549" i="3"/>
  <c r="AC1550" i="3"/>
  <c r="AC1551" i="3"/>
  <c r="AC1552" i="3"/>
  <c r="AC1553" i="3"/>
  <c r="AC1554" i="3"/>
  <c r="AC1555" i="3"/>
  <c r="AC1556" i="3"/>
  <c r="AC1557" i="3"/>
  <c r="AC1558" i="3"/>
  <c r="AC1559" i="3"/>
  <c r="AC1560" i="3"/>
  <c r="AC1561" i="3"/>
  <c r="AC1562" i="3"/>
  <c r="AC1563" i="3"/>
  <c r="AC1564" i="3"/>
  <c r="AC1565" i="3"/>
  <c r="AC1566" i="3"/>
  <c r="AC1567" i="3"/>
  <c r="AC1568" i="3"/>
  <c r="AC1569" i="3"/>
  <c r="AC1570" i="3"/>
  <c r="AC1571" i="3"/>
  <c r="AC1572" i="3"/>
  <c r="AC1573" i="3"/>
  <c r="AC1574" i="3"/>
  <c r="AC1575" i="3"/>
  <c r="AC1576" i="3"/>
  <c r="AC1577" i="3"/>
  <c r="AC1493" i="3"/>
  <c r="S4" i="3"/>
  <c r="AC1220" i="3"/>
  <c r="AC1223" i="3"/>
  <c r="AC1224" i="3"/>
  <c r="AC1225" i="3"/>
  <c r="AC1226" i="3"/>
  <c r="AC1227" i="3"/>
  <c r="AC1228" i="3"/>
  <c r="AC1229" i="3"/>
  <c r="AC1230" i="3"/>
  <c r="AC1231" i="3"/>
  <c r="AC1232" i="3"/>
  <c r="AC1233" i="3"/>
  <c r="AC1234" i="3"/>
  <c r="AC1235" i="3"/>
  <c r="AC1236" i="3"/>
  <c r="AC1237" i="3"/>
  <c r="AC1238" i="3"/>
  <c r="AC1239" i="3"/>
  <c r="AC1240" i="3"/>
  <c r="AC1241" i="3"/>
  <c r="AC1242" i="3"/>
  <c r="AC1243" i="3"/>
  <c r="AC1244" i="3"/>
  <c r="AC1245" i="3"/>
  <c r="AC1246" i="3"/>
  <c r="AC1247" i="3"/>
  <c r="AC1248" i="3"/>
  <c r="AC1249" i="3"/>
  <c r="AC1250" i="3"/>
  <c r="AC1251" i="3"/>
  <c r="AC1252" i="3"/>
  <c r="AC1253" i="3"/>
  <c r="AC1254" i="3"/>
  <c r="AC1255" i="3"/>
  <c r="AC1256" i="3"/>
  <c r="AC1257" i="3"/>
  <c r="AC1258" i="3"/>
  <c r="AC1259" i="3"/>
  <c r="AC1260" i="3"/>
  <c r="AC1261" i="3"/>
  <c r="AC1262" i="3"/>
  <c r="AC1263" i="3"/>
  <c r="AC1264" i="3"/>
  <c r="AC1265" i="3"/>
  <c r="AC1266" i="3"/>
  <c r="AC1267" i="3"/>
  <c r="AC1268" i="3"/>
  <c r="AC1269" i="3"/>
  <c r="AC1270" i="3"/>
  <c r="AC1271" i="3"/>
  <c r="AC1272" i="3"/>
  <c r="AC1273" i="3"/>
  <c r="AC1274" i="3"/>
  <c r="AC1275" i="3"/>
  <c r="AC1276" i="3"/>
  <c r="AC1277" i="3"/>
  <c r="AC1278" i="3"/>
  <c r="AC1279" i="3"/>
  <c r="AC1280" i="3"/>
  <c r="AC1281" i="3"/>
  <c r="AC1282" i="3"/>
  <c r="AC1283" i="3"/>
  <c r="AC1284" i="3"/>
  <c r="AC1285" i="3"/>
  <c r="AC1286" i="3"/>
  <c r="AC1287" i="3"/>
  <c r="AC1288" i="3"/>
  <c r="AC1289" i="3"/>
  <c r="AC1290" i="3"/>
  <c r="AC1291" i="3"/>
  <c r="AC1292" i="3"/>
  <c r="AC1293" i="3"/>
  <c r="AC1294" i="3"/>
  <c r="AC1295" i="3"/>
  <c r="AC1296" i="3"/>
  <c r="AC1297" i="3"/>
  <c r="AC1298" i="3"/>
  <c r="AC1299" i="3"/>
  <c r="AC1300" i="3"/>
  <c r="AC1301" i="3"/>
  <c r="AC1302" i="3"/>
  <c r="AC1303" i="3"/>
  <c r="AC1304" i="3"/>
  <c r="AC1305" i="3"/>
  <c r="AC1306" i="3"/>
  <c r="AC1307" i="3"/>
  <c r="AC1308" i="3"/>
  <c r="AC1309" i="3"/>
  <c r="AC1310" i="3"/>
  <c r="AC1311" i="3"/>
  <c r="AC1312" i="3"/>
  <c r="AC1313" i="3"/>
  <c r="AC1314" i="3"/>
  <c r="AC1315" i="3"/>
  <c r="AC1316" i="3"/>
  <c r="AC1317" i="3"/>
  <c r="AC1318" i="3"/>
  <c r="AC1319" i="3"/>
  <c r="AC1320" i="3"/>
  <c r="AC1321" i="3"/>
  <c r="AC1322" i="3"/>
  <c r="AC1323" i="3"/>
  <c r="AC1324" i="3"/>
  <c r="AC1325" i="3"/>
  <c r="AC1326" i="3"/>
  <c r="AC1327" i="3"/>
  <c r="AC1328" i="3"/>
  <c r="AC1329" i="3"/>
  <c r="AC1330" i="3"/>
  <c r="AC1331" i="3"/>
  <c r="AC1332" i="3"/>
  <c r="AC1333" i="3"/>
  <c r="AC1334" i="3"/>
  <c r="AC1335" i="3"/>
  <c r="AC1336" i="3"/>
  <c r="AC1337" i="3"/>
  <c r="AC1338" i="3"/>
  <c r="AC1339" i="3"/>
  <c r="AC1340" i="3"/>
  <c r="AC1341" i="3"/>
  <c r="AC1342" i="3"/>
  <c r="AC1343" i="3"/>
  <c r="AC1344" i="3"/>
  <c r="AC1345" i="3"/>
  <c r="AC1346" i="3"/>
  <c r="AC1347" i="3"/>
  <c r="AC1348" i="3"/>
  <c r="AC1349" i="3"/>
  <c r="AC1350" i="3"/>
  <c r="AC1351" i="3"/>
  <c r="AC1352" i="3"/>
  <c r="AC1353" i="3"/>
  <c r="AC1354" i="3"/>
  <c r="AC1355" i="3"/>
  <c r="AC1356" i="3"/>
  <c r="AC1357" i="3"/>
  <c r="AC1358" i="3"/>
  <c r="AC1359" i="3"/>
  <c r="AC1360" i="3"/>
  <c r="AC1361" i="3"/>
  <c r="AC1362" i="3"/>
  <c r="AC1363" i="3"/>
  <c r="AC1364" i="3"/>
  <c r="AC1365" i="3"/>
  <c r="AC1366" i="3"/>
  <c r="AC1367" i="3"/>
  <c r="AC1368" i="3"/>
  <c r="AC1369" i="3"/>
  <c r="AC1370" i="3"/>
  <c r="AC1371" i="3"/>
  <c r="AC1372" i="3"/>
  <c r="AC1373" i="3"/>
  <c r="AC1374" i="3"/>
  <c r="AC1375" i="3"/>
  <c r="AC1376" i="3"/>
  <c r="AC1377" i="3"/>
  <c r="AC1378" i="3"/>
  <c r="AC1379" i="3"/>
  <c r="AC1380" i="3"/>
  <c r="AC1381" i="3"/>
  <c r="AC1382" i="3"/>
  <c r="AC1383" i="3"/>
  <c r="AC1384" i="3"/>
  <c r="AC1385" i="3"/>
  <c r="AC1386" i="3"/>
  <c r="AC1387" i="3"/>
  <c r="AC1388" i="3"/>
  <c r="AC1389" i="3"/>
  <c r="AC1390" i="3"/>
  <c r="AC1391" i="3"/>
  <c r="AC1392" i="3"/>
  <c r="AC1393" i="3"/>
  <c r="AC1394" i="3"/>
  <c r="AC1395" i="3"/>
  <c r="AC1396" i="3"/>
  <c r="AC1397" i="3"/>
  <c r="AC1398" i="3"/>
  <c r="AC1399" i="3"/>
  <c r="AC1400" i="3"/>
  <c r="AC1401" i="3"/>
  <c r="AC1402" i="3"/>
  <c r="AC1403" i="3"/>
  <c r="AC1404" i="3"/>
  <c r="AC1405" i="3"/>
  <c r="AC1406" i="3"/>
  <c r="AC1407" i="3"/>
  <c r="AC1408" i="3"/>
  <c r="AC1409" i="3"/>
  <c r="AC1410" i="3"/>
  <c r="AC1411" i="3"/>
  <c r="AC1412" i="3"/>
  <c r="AC1413" i="3"/>
  <c r="AC1414" i="3"/>
  <c r="AC1415" i="3"/>
  <c r="AC1416" i="3"/>
  <c r="AC1417" i="3"/>
  <c r="AC1418" i="3"/>
  <c r="AC1419" i="3"/>
  <c r="AC1420" i="3"/>
  <c r="AC1421" i="3"/>
  <c r="AC1422" i="3"/>
  <c r="AC1423" i="3"/>
  <c r="AC1424" i="3"/>
  <c r="AC1425" i="3"/>
  <c r="AC1426" i="3"/>
  <c r="AC1427" i="3"/>
  <c r="AC1428" i="3"/>
  <c r="AC1429" i="3"/>
  <c r="AC1430" i="3"/>
  <c r="AC1431" i="3"/>
  <c r="AC1432" i="3"/>
  <c r="AC1433" i="3"/>
  <c r="AC1434" i="3"/>
  <c r="AC1435" i="3"/>
  <c r="AC1436" i="3"/>
  <c r="AC1437" i="3"/>
  <c r="AC1438" i="3"/>
  <c r="AC1439" i="3"/>
  <c r="AC1440" i="3"/>
  <c r="AC1441" i="3"/>
  <c r="AC1442" i="3"/>
  <c r="AC1443" i="3"/>
  <c r="AC1444" i="3"/>
  <c r="AC1445" i="3"/>
  <c r="AC1446" i="3"/>
  <c r="AC1447" i="3"/>
  <c r="AC1448" i="3"/>
  <c r="AC1449" i="3"/>
  <c r="AC1450" i="3"/>
  <c r="AC1451" i="3"/>
  <c r="AC1452" i="3"/>
  <c r="AC1453" i="3"/>
  <c r="AC1454" i="3"/>
  <c r="AC1455" i="3"/>
  <c r="AC1456" i="3"/>
  <c r="AC1457" i="3"/>
  <c r="AC1458" i="3"/>
  <c r="AC1459" i="3"/>
  <c r="AC1460" i="3"/>
  <c r="AC1461" i="3"/>
  <c r="AC1462" i="3"/>
  <c r="AC1463" i="3"/>
  <c r="AC1464" i="3"/>
  <c r="AC1465" i="3"/>
  <c r="AC1466" i="3"/>
  <c r="AC1467" i="3"/>
  <c r="AC1468" i="3"/>
  <c r="AC1469" i="3"/>
  <c r="AC1470" i="3"/>
  <c r="AC1471" i="3"/>
  <c r="AC1472" i="3"/>
  <c r="AC1473" i="3"/>
  <c r="AC1474" i="3"/>
  <c r="AC1475" i="3"/>
  <c r="AC1476" i="3"/>
  <c r="AC1477" i="3"/>
  <c r="AC1478" i="3"/>
  <c r="AC1479" i="3"/>
  <c r="AC1480" i="3"/>
  <c r="AC1481" i="3"/>
  <c r="AC1482" i="3"/>
  <c r="AC1483" i="3"/>
  <c r="AC1484" i="3"/>
  <c r="AC1485" i="3"/>
  <c r="AC1486" i="3"/>
  <c r="AC1487" i="3"/>
  <c r="AC1488" i="3"/>
  <c r="AC1489" i="3"/>
  <c r="AC1490" i="3"/>
  <c r="AC1491" i="3"/>
  <c r="AC1492" i="3"/>
  <c r="AC1221" i="3"/>
  <c r="AC1222" i="3"/>
  <c r="AB1377" i="3" l="1"/>
  <c r="AB1378" i="3"/>
  <c r="AB1379" i="3"/>
  <c r="AB1380" i="3"/>
  <c r="AB1381" i="3"/>
  <c r="AB1382" i="3"/>
  <c r="AB1383" i="3"/>
  <c r="AB1384" i="3"/>
  <c r="AB1385" i="3"/>
  <c r="Z1381" i="3" l="1"/>
  <c r="Z1383" i="3"/>
  <c r="Z1378" i="3"/>
  <c r="AB1220" i="3"/>
  <c r="AB1222" i="3"/>
  <c r="AB1223" i="3"/>
  <c r="AB1224" i="3"/>
  <c r="AB1225" i="3"/>
  <c r="AB1226" i="3"/>
  <c r="AB1227" i="3"/>
  <c r="AB1352" i="3"/>
  <c r="AB1387" i="3"/>
  <c r="AB1388" i="3"/>
  <c r="AB1394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20" i="3"/>
  <c r="AB1421" i="3"/>
  <c r="AB1422" i="3"/>
  <c r="AB1423" i="3"/>
  <c r="AB1427" i="3"/>
  <c r="AB1435" i="3"/>
  <c r="AB1436" i="3"/>
  <c r="AB1437" i="3"/>
  <c r="AB1438" i="3"/>
  <c r="AB1439" i="3"/>
  <c r="AB1440" i="3"/>
  <c r="AB1441" i="3"/>
  <c r="AB1442" i="3"/>
  <c r="AB1443" i="3"/>
  <c r="AB1444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C1096" i="3" l="1"/>
  <c r="AC1097" i="3"/>
  <c r="AC1098" i="3"/>
  <c r="AC1099" i="3"/>
  <c r="AC1100" i="3"/>
  <c r="AC1101" i="3"/>
  <c r="AC1105" i="3"/>
  <c r="AC1106" i="3"/>
  <c r="AC1107" i="3"/>
  <c r="AC1108" i="3"/>
  <c r="AC1109" i="3"/>
  <c r="AC1110" i="3"/>
  <c r="AC1111" i="3"/>
  <c r="AC1112" i="3"/>
  <c r="AC1113" i="3"/>
  <c r="AC1114" i="3"/>
  <c r="AC1115" i="3"/>
  <c r="AC1116" i="3"/>
  <c r="AC1117" i="3"/>
  <c r="AC1118" i="3"/>
  <c r="AC1119" i="3"/>
  <c r="AC1120" i="3"/>
  <c r="AC1121" i="3"/>
  <c r="AC1122" i="3"/>
  <c r="AC1123" i="3"/>
  <c r="AC1124" i="3"/>
  <c r="AC1125" i="3"/>
  <c r="AC1126" i="3"/>
  <c r="AC1127" i="3"/>
  <c r="AC1128" i="3"/>
  <c r="AC1129" i="3"/>
  <c r="AC1130" i="3"/>
  <c r="AC1131" i="3"/>
  <c r="AC1132" i="3"/>
  <c r="AC1133" i="3"/>
  <c r="AC1134" i="3"/>
  <c r="AC1135" i="3"/>
  <c r="AC1136" i="3"/>
  <c r="AC1137" i="3"/>
  <c r="AC1138" i="3"/>
  <c r="AC1139" i="3"/>
  <c r="AC1140" i="3"/>
  <c r="AC1141" i="3"/>
  <c r="AC1142" i="3"/>
  <c r="AC1143" i="3"/>
  <c r="AC1144" i="3"/>
  <c r="AC1145" i="3"/>
  <c r="AC1146" i="3"/>
  <c r="AC1147" i="3"/>
  <c r="AC1148" i="3"/>
  <c r="AC1149" i="3"/>
  <c r="AC1150" i="3"/>
  <c r="AC1151" i="3"/>
  <c r="AC1152" i="3"/>
  <c r="AC1153" i="3"/>
  <c r="AC1154" i="3"/>
  <c r="AC1155" i="3"/>
  <c r="AC1156" i="3"/>
  <c r="AC1157" i="3"/>
  <c r="AC1158" i="3"/>
  <c r="AC1159" i="3"/>
  <c r="AC1160" i="3"/>
  <c r="AC1161" i="3"/>
  <c r="AC1162" i="3"/>
  <c r="AC1163" i="3"/>
  <c r="AC1164" i="3"/>
  <c r="AC1165" i="3"/>
  <c r="AC1166" i="3"/>
  <c r="AC1167" i="3"/>
  <c r="AC1168" i="3"/>
  <c r="AC1169" i="3"/>
  <c r="AC1170" i="3"/>
  <c r="AC1171" i="3"/>
  <c r="AC1172" i="3"/>
  <c r="AC1173" i="3"/>
  <c r="AC1174" i="3"/>
  <c r="AC1175" i="3"/>
  <c r="AC1176" i="3"/>
  <c r="AC1177" i="3"/>
  <c r="AC1178" i="3"/>
  <c r="AC1179" i="3"/>
  <c r="AC1180" i="3"/>
  <c r="AC1181" i="3"/>
  <c r="AC1182" i="3"/>
  <c r="AC1183" i="3"/>
  <c r="AC1184" i="3"/>
  <c r="AC1185" i="3"/>
  <c r="AC1186" i="3"/>
  <c r="AC1187" i="3"/>
  <c r="AC1188" i="3"/>
  <c r="AC1189" i="3"/>
  <c r="AC1190" i="3"/>
  <c r="AC1191" i="3"/>
  <c r="AC1192" i="3"/>
  <c r="AC1193" i="3"/>
  <c r="AC1194" i="3"/>
  <c r="AC1195" i="3"/>
  <c r="AC1196" i="3"/>
  <c r="AC1197" i="3"/>
  <c r="AC1198" i="3"/>
  <c r="AC1199" i="3"/>
  <c r="AC1200" i="3"/>
  <c r="AC1201" i="3"/>
  <c r="AC1202" i="3"/>
  <c r="AC1203" i="3"/>
  <c r="AC1204" i="3"/>
  <c r="AC1205" i="3"/>
  <c r="AC1206" i="3"/>
  <c r="AC1207" i="3"/>
  <c r="AC1208" i="3"/>
  <c r="AC1209" i="3"/>
  <c r="AC1210" i="3"/>
  <c r="AC1211" i="3"/>
  <c r="AC1212" i="3"/>
  <c r="AC1213" i="3"/>
  <c r="AC1214" i="3"/>
  <c r="AC1215" i="3"/>
  <c r="AC1216" i="3"/>
  <c r="AC1217" i="3"/>
  <c r="AC1218" i="3"/>
  <c r="AC1219" i="3"/>
  <c r="AB1153" i="3"/>
  <c r="AB1152" i="3"/>
  <c r="AB1151" i="3"/>
  <c r="AB1136" i="3"/>
  <c r="AB1100" i="3"/>
  <c r="AB1217" i="3"/>
  <c r="AC1102" i="3"/>
  <c r="AC1103" i="3"/>
  <c r="AC1104" i="3"/>
  <c r="Z1153" i="3" l="1"/>
  <c r="Z1152" i="3"/>
  <c r="AC110" i="3"/>
  <c r="AC111" i="3"/>
  <c r="AC112" i="3"/>
  <c r="AC113" i="3"/>
  <c r="AC135" i="3"/>
  <c r="AC136" i="3"/>
  <c r="AC137" i="3"/>
  <c r="AC156" i="3"/>
  <c r="AC158" i="3"/>
  <c r="AC159" i="3"/>
  <c r="AC583" i="3"/>
  <c r="AC590" i="3"/>
  <c r="AC704" i="3"/>
  <c r="AC1023" i="3" l="1"/>
  <c r="AC993" i="3"/>
  <c r="AC882" i="3"/>
  <c r="AC859" i="3"/>
  <c r="AC858" i="3"/>
  <c r="AC818" i="3"/>
  <c r="AC770" i="3"/>
  <c r="AC680" i="3"/>
  <c r="AC679" i="3"/>
  <c r="AC678" i="3"/>
  <c r="AC613" i="3"/>
  <c r="AC157" i="3"/>
  <c r="AC155" i="3"/>
  <c r="AC154" i="3"/>
  <c r="AC143" i="3"/>
  <c r="AC129" i="3"/>
  <c r="AC109" i="3"/>
  <c r="AC103" i="3"/>
  <c r="AC102" i="3"/>
  <c r="AC101" i="3"/>
  <c r="AC100" i="3"/>
  <c r="AC99" i="3"/>
  <c r="AC87" i="3"/>
  <c r="AC78" i="3"/>
  <c r="S3" i="3" l="1"/>
  <c r="AC3" i="3" s="1"/>
  <c r="AC4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7" i="3"/>
  <c r="AC83" i="3"/>
  <c r="AC84" i="3"/>
  <c r="AC85" i="3"/>
  <c r="AC86" i="3"/>
  <c r="AC90" i="3"/>
  <c r="AC91" i="3"/>
  <c r="AC92" i="3"/>
  <c r="AC93" i="3"/>
  <c r="AC108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30" i="3"/>
  <c r="AC131" i="3"/>
  <c r="AC150" i="3"/>
  <c r="AC153" i="3"/>
  <c r="AC178" i="3"/>
  <c r="AC179" i="3"/>
  <c r="AC180" i="3"/>
  <c r="AC181" i="3"/>
  <c r="AC186" i="3"/>
  <c r="AC187" i="3"/>
  <c r="AC188" i="3"/>
  <c r="AC189" i="3"/>
  <c r="AC190" i="3"/>
  <c r="AC191" i="3"/>
  <c r="AC192" i="3"/>
  <c r="AC193" i="3"/>
  <c r="AC200" i="3"/>
  <c r="AC223" i="3"/>
  <c r="AC224" i="3"/>
  <c r="AC225" i="3"/>
  <c r="AC226" i="3"/>
  <c r="AC256" i="3"/>
  <c r="AC257" i="3"/>
  <c r="AC258" i="3"/>
  <c r="AC259" i="3"/>
  <c r="AC260" i="3"/>
  <c r="AC261" i="3"/>
  <c r="AC262" i="3"/>
  <c r="AC263" i="3"/>
  <c r="AC264" i="3"/>
  <c r="AC286" i="3"/>
  <c r="AC287" i="3"/>
  <c r="AC288" i="3"/>
  <c r="AC289" i="3"/>
  <c r="AC290" i="3"/>
  <c r="AC291" i="3"/>
  <c r="AC292" i="3"/>
  <c r="AC305" i="3"/>
  <c r="AC306" i="3"/>
  <c r="AC307" i="3"/>
  <c r="AC308" i="3"/>
  <c r="AC309" i="3"/>
  <c r="AC310" i="3"/>
  <c r="AC311" i="3"/>
  <c r="AC330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8" i="3"/>
  <c r="AC509" i="3"/>
  <c r="AC520" i="3"/>
  <c r="AC532" i="3"/>
  <c r="AC545" i="3"/>
  <c r="AC546" i="3"/>
  <c r="AC547" i="3"/>
  <c r="AC548" i="3"/>
  <c r="AC549" i="3"/>
  <c r="AC550" i="3"/>
  <c r="AC551" i="3"/>
  <c r="AC552" i="3"/>
  <c r="AC553" i="3"/>
  <c r="AC554" i="3"/>
  <c r="AC555" i="3"/>
  <c r="AC561" i="3"/>
  <c r="AC562" i="3"/>
  <c r="AC563" i="3"/>
  <c r="AC564" i="3"/>
  <c r="AC565" i="3"/>
  <c r="AC566" i="3"/>
  <c r="AC567" i="3"/>
  <c r="AC574" i="3"/>
  <c r="AC591" i="3"/>
  <c r="AC604" i="3"/>
  <c r="AC605" i="3"/>
  <c r="AC606" i="3"/>
  <c r="AC612" i="3"/>
  <c r="AC626" i="3"/>
  <c r="AC627" i="3"/>
  <c r="AC628" i="3"/>
  <c r="AC675" i="3"/>
  <c r="AC676" i="3"/>
  <c r="AC677" i="3"/>
  <c r="AC692" i="3"/>
  <c r="AC693" i="3"/>
  <c r="AC705" i="3"/>
  <c r="AC706" i="3"/>
  <c r="AC715" i="3"/>
  <c r="AC716" i="3"/>
  <c r="AC717" i="3"/>
  <c r="AC718" i="3"/>
  <c r="AC719" i="3"/>
  <c r="AC720" i="3"/>
  <c r="AC721" i="3"/>
  <c r="AC722" i="3"/>
  <c r="AC723" i="3"/>
  <c r="AC729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85" i="3"/>
  <c r="AC786" i="3"/>
  <c r="AC787" i="3"/>
  <c r="AC788" i="3"/>
  <c r="AC796" i="3"/>
  <c r="AC797" i="3"/>
  <c r="AC798" i="3"/>
  <c r="AC799" i="3"/>
  <c r="AC800" i="3"/>
  <c r="AC801" i="3"/>
  <c r="AC809" i="3"/>
  <c r="AC810" i="3"/>
  <c r="AC815" i="3"/>
  <c r="AC816" i="3"/>
  <c r="AC817" i="3"/>
  <c r="AC824" i="3"/>
  <c r="AC831" i="3"/>
  <c r="AC832" i="3"/>
  <c r="AC833" i="3"/>
  <c r="AC842" i="3"/>
  <c r="AC843" i="3"/>
  <c r="AC848" i="3"/>
  <c r="AC850" i="3"/>
  <c r="AC851" i="3"/>
  <c r="AC852" i="3"/>
  <c r="AC853" i="3"/>
  <c r="AC854" i="3"/>
  <c r="AC855" i="3"/>
  <c r="AC856" i="3"/>
  <c r="AC857" i="3"/>
  <c r="AC862" i="3"/>
  <c r="AC863" i="3"/>
  <c r="AC864" i="3"/>
  <c r="AC874" i="3"/>
  <c r="AC879" i="3"/>
  <c r="AC896" i="3"/>
  <c r="AC897" i="3"/>
  <c r="AC898" i="3"/>
  <c r="AC926" i="3"/>
  <c r="AC936" i="3"/>
  <c r="AC937" i="3"/>
  <c r="AC938" i="3"/>
  <c r="AC939" i="3"/>
  <c r="AC940" i="3"/>
  <c r="AC941" i="3"/>
  <c r="AC942" i="3"/>
  <c r="AC943" i="3"/>
  <c r="AC944" i="3"/>
  <c r="AC945" i="3"/>
  <c r="AC946" i="3"/>
  <c r="AC962" i="3"/>
  <c r="AC963" i="3"/>
  <c r="AC964" i="3"/>
  <c r="AC965" i="3"/>
  <c r="AC966" i="3"/>
  <c r="AC967" i="3"/>
  <c r="AC968" i="3"/>
  <c r="AC969" i="3"/>
  <c r="AC970" i="3"/>
  <c r="AC971" i="3"/>
  <c r="AC972" i="3"/>
  <c r="AC980" i="3"/>
  <c r="AC981" i="3"/>
  <c r="AC982" i="3"/>
  <c r="AC1002" i="3"/>
  <c r="AC1003" i="3"/>
  <c r="AC1004" i="3"/>
  <c r="AC1005" i="3"/>
  <c r="AC1006" i="3"/>
  <c r="AC1007" i="3"/>
  <c r="AC1008" i="3"/>
  <c r="AC1009" i="3"/>
  <c r="AC1010" i="3"/>
  <c r="AC1011" i="3"/>
  <c r="AC1012" i="3"/>
  <c r="AC1018" i="3"/>
  <c r="AC1019" i="3"/>
  <c r="AC1020" i="3"/>
  <c r="AC1021" i="3"/>
  <c r="AC1022" i="3"/>
  <c r="AC1029" i="3"/>
  <c r="AC1039" i="3"/>
  <c r="AC1040" i="3"/>
  <c r="AC1041" i="3"/>
  <c r="AC1042" i="3"/>
  <c r="AC1043" i="3"/>
  <c r="AC1044" i="3"/>
  <c r="AC1045" i="3"/>
  <c r="AC1046" i="3"/>
  <c r="AC1047" i="3"/>
  <c r="AC1048" i="3"/>
  <c r="AC1049" i="3"/>
  <c r="AC1050" i="3"/>
  <c r="AC1051" i="3"/>
  <c r="AC1052" i="3"/>
  <c r="AC1053" i="3"/>
  <c r="AC1054" i="3"/>
  <c r="AC1055" i="3"/>
  <c r="AC1056" i="3"/>
  <c r="AC1057" i="3"/>
  <c r="AC1058" i="3"/>
  <c r="AC1059" i="3"/>
  <c r="AC1060" i="3"/>
  <c r="AC1061" i="3"/>
  <c r="AC1062" i="3"/>
  <c r="AC1063" i="3"/>
  <c r="AC1064" i="3"/>
  <c r="AC1065" i="3"/>
  <c r="AC1066" i="3"/>
  <c r="AC1067" i="3"/>
  <c r="AC1071" i="3"/>
  <c r="AC1086" i="3"/>
  <c r="AC1087" i="3"/>
  <c r="AC1093" i="3"/>
  <c r="AC1094" i="3"/>
  <c r="AC1095" i="3"/>
  <c r="AC74" i="3"/>
  <c r="AC88" i="3"/>
  <c r="AC173" i="3"/>
  <c r="AC243" i="3"/>
  <c r="AC368" i="3"/>
  <c r="AC501" i="3"/>
  <c r="AC575" i="3"/>
  <c r="AC681" i="3"/>
  <c r="AC771" i="3"/>
  <c r="AC899" i="3"/>
  <c r="AC1077" i="3"/>
  <c r="AC1088" i="3"/>
  <c r="AC5" i="3"/>
  <c r="AC6" i="3"/>
  <c r="AC7" i="3"/>
  <c r="AC8" i="3"/>
  <c r="AC9" i="3"/>
  <c r="AC10" i="3"/>
  <c r="AC72" i="3"/>
  <c r="AC73" i="3"/>
  <c r="AC75" i="3"/>
  <c r="AC76" i="3"/>
  <c r="AC79" i="3"/>
  <c r="AC80" i="3"/>
  <c r="AC81" i="3"/>
  <c r="AC82" i="3"/>
  <c r="AC89" i="3"/>
  <c r="AC94" i="3"/>
  <c r="AC95" i="3"/>
  <c r="AC96" i="3"/>
  <c r="AC97" i="3"/>
  <c r="AC98" i="3"/>
  <c r="AC104" i="3"/>
  <c r="AC105" i="3"/>
  <c r="AC106" i="3"/>
  <c r="AC107" i="3"/>
  <c r="AC160" i="3"/>
  <c r="AC161" i="3"/>
  <c r="AC162" i="3"/>
  <c r="AC163" i="3"/>
  <c r="AC164" i="3"/>
  <c r="AC151" i="3"/>
  <c r="AC152" i="3"/>
  <c r="AC144" i="3"/>
  <c r="AC145" i="3"/>
  <c r="AC146" i="3"/>
  <c r="AC147" i="3"/>
  <c r="AC148" i="3"/>
  <c r="AC149" i="3"/>
  <c r="AC132" i="3"/>
  <c r="AC133" i="3"/>
  <c r="AC134" i="3"/>
  <c r="AC127" i="3"/>
  <c r="AC165" i="3"/>
  <c r="AC166" i="3"/>
  <c r="AC138" i="3"/>
  <c r="AC139" i="3"/>
  <c r="AC140" i="3"/>
  <c r="AC141" i="3"/>
  <c r="AC142" i="3"/>
  <c r="AC12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167" i="3"/>
  <c r="AC168" i="3"/>
  <c r="AC169" i="3"/>
  <c r="AC170" i="3"/>
  <c r="AC171" i="3"/>
  <c r="AC172" i="3"/>
  <c r="AC174" i="3"/>
  <c r="AC175" i="3"/>
  <c r="AC176" i="3"/>
  <c r="AC177" i="3"/>
  <c r="AC182" i="3"/>
  <c r="AC183" i="3"/>
  <c r="AC184" i="3"/>
  <c r="AC185" i="3"/>
  <c r="AC194" i="3"/>
  <c r="AC195" i="3"/>
  <c r="AC196" i="3"/>
  <c r="AC197" i="3"/>
  <c r="AC198" i="3"/>
  <c r="AC199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1" i="3"/>
  <c r="AC332" i="3"/>
  <c r="AC333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694" i="3"/>
  <c r="AC695" i="3"/>
  <c r="AC682" i="3"/>
  <c r="AC683" i="3"/>
  <c r="AC656" i="3"/>
  <c r="AC639" i="3"/>
  <c r="AC640" i="3"/>
  <c r="AC641" i="3"/>
  <c r="AC642" i="3"/>
  <c r="AC632" i="3"/>
  <c r="AC629" i="3"/>
  <c r="AC607" i="3"/>
  <c r="AC608" i="3"/>
  <c r="AC597" i="3"/>
  <c r="AC592" i="3"/>
  <c r="AC576" i="3"/>
  <c r="AC568" i="3"/>
  <c r="AC533" i="3"/>
  <c r="AC534" i="3"/>
  <c r="AC535" i="3"/>
  <c r="AC536" i="3"/>
  <c r="AC528" i="3"/>
  <c r="AC521" i="3"/>
  <c r="AC522" i="3"/>
  <c r="AC510" i="3"/>
  <c r="AC511" i="3"/>
  <c r="AC502" i="3"/>
  <c r="AC671" i="3"/>
  <c r="AC633" i="3"/>
  <c r="AC634" i="3"/>
  <c r="AC512" i="3"/>
  <c r="AC724" i="3"/>
  <c r="AC707" i="3"/>
  <c r="AC708" i="3"/>
  <c r="AC709" i="3"/>
  <c r="AC710" i="3"/>
  <c r="AC696" i="3"/>
  <c r="AC684" i="3"/>
  <c r="AC685" i="3"/>
  <c r="AC672" i="3"/>
  <c r="AC673" i="3"/>
  <c r="AC667" i="3"/>
  <c r="AC668" i="3"/>
  <c r="AC669" i="3"/>
  <c r="AC657" i="3"/>
  <c r="AC658" i="3"/>
  <c r="AC659" i="3"/>
  <c r="AC660" i="3"/>
  <c r="AC661" i="3"/>
  <c r="AC662" i="3"/>
  <c r="AC650" i="3"/>
  <c r="AC643" i="3"/>
  <c r="AC644" i="3"/>
  <c r="AC645" i="3"/>
  <c r="AC646" i="3"/>
  <c r="AC647" i="3"/>
  <c r="AC635" i="3"/>
  <c r="AC636" i="3"/>
  <c r="AC630" i="3"/>
  <c r="AC631" i="3"/>
  <c r="AC609" i="3"/>
  <c r="AC610" i="3"/>
  <c r="AC598" i="3"/>
  <c r="AC599" i="3"/>
  <c r="AC600" i="3"/>
  <c r="AC601" i="3"/>
  <c r="AC602" i="3"/>
  <c r="AC603" i="3"/>
  <c r="AC593" i="3"/>
  <c r="AC594" i="3"/>
  <c r="AC595" i="3"/>
  <c r="AC577" i="3"/>
  <c r="AC578" i="3"/>
  <c r="AC579" i="3"/>
  <c r="AC569" i="3"/>
  <c r="AC570" i="3"/>
  <c r="AC571" i="3"/>
  <c r="AC572" i="3"/>
  <c r="AC556" i="3"/>
  <c r="AC557" i="3"/>
  <c r="AC558" i="3"/>
  <c r="AC559" i="3"/>
  <c r="AC560" i="3"/>
  <c r="AC537" i="3"/>
  <c r="AC538" i="3"/>
  <c r="AC539" i="3"/>
  <c r="AC540" i="3"/>
  <c r="AC541" i="3"/>
  <c r="AC542" i="3"/>
  <c r="AC543" i="3"/>
  <c r="AC544" i="3"/>
  <c r="AC529" i="3"/>
  <c r="AC530" i="3"/>
  <c r="AC531" i="3"/>
  <c r="AC523" i="3"/>
  <c r="AC524" i="3"/>
  <c r="AC525" i="3"/>
  <c r="AC526" i="3"/>
  <c r="AC527" i="3"/>
  <c r="AC513" i="3"/>
  <c r="AC514" i="3"/>
  <c r="AC515" i="3"/>
  <c r="AC503" i="3"/>
  <c r="AC516" i="3"/>
  <c r="AC504" i="3"/>
  <c r="AC505" i="3"/>
  <c r="AC506" i="3"/>
  <c r="AC507" i="3"/>
  <c r="AC725" i="3"/>
  <c r="AC697" i="3"/>
  <c r="AC698" i="3"/>
  <c r="AC699" i="3"/>
  <c r="AC686" i="3"/>
  <c r="AC674" i="3"/>
  <c r="AC670" i="3"/>
  <c r="AC651" i="3"/>
  <c r="AC652" i="3"/>
  <c r="AC637" i="3"/>
  <c r="AC638" i="3"/>
  <c r="AC614" i="3"/>
  <c r="AC611" i="3"/>
  <c r="AC700" i="3"/>
  <c r="AC615" i="3"/>
  <c r="AC616" i="3"/>
  <c r="AC617" i="3"/>
  <c r="AC580" i="3"/>
  <c r="AC581" i="3"/>
  <c r="AC582" i="3"/>
  <c r="AC711" i="3"/>
  <c r="AC712" i="3"/>
  <c r="AC701" i="3"/>
  <c r="AC663" i="3"/>
  <c r="AC664" i="3"/>
  <c r="AC665" i="3"/>
  <c r="AC653" i="3"/>
  <c r="AC654" i="3"/>
  <c r="AC618" i="3"/>
  <c r="AC619" i="3"/>
  <c r="AC620" i="3"/>
  <c r="AC621" i="3"/>
  <c r="AC622" i="3"/>
  <c r="AC517" i="3"/>
  <c r="AC518" i="3"/>
  <c r="AC519" i="3"/>
  <c r="AC702" i="3"/>
  <c r="AC726" i="3"/>
  <c r="AC727" i="3"/>
  <c r="AC648" i="3"/>
  <c r="AC728" i="3"/>
  <c r="AC713" i="3"/>
  <c r="AC714" i="3"/>
  <c r="AC584" i="3"/>
  <c r="AC585" i="3"/>
  <c r="AC586" i="3"/>
  <c r="AC587" i="3"/>
  <c r="AC588" i="3"/>
  <c r="AC596" i="3"/>
  <c r="AC623" i="3"/>
  <c r="AC624" i="3"/>
  <c r="AC625" i="3"/>
  <c r="AC649" i="3"/>
  <c r="AC655" i="3"/>
  <c r="AC687" i="3"/>
  <c r="AC688" i="3"/>
  <c r="AC689" i="3"/>
  <c r="AC690" i="3"/>
  <c r="AC691" i="3"/>
  <c r="AC573" i="3"/>
  <c r="AC666" i="3"/>
  <c r="AC703" i="3"/>
  <c r="AC589" i="3"/>
  <c r="AC802" i="3"/>
  <c r="AC865" i="3"/>
  <c r="AC866" i="3"/>
  <c r="AC880" i="3"/>
  <c r="AC875" i="3"/>
  <c r="AC876" i="3"/>
  <c r="AC867" i="3"/>
  <c r="AC860" i="3"/>
  <c r="AC844" i="3"/>
  <c r="AC845" i="3"/>
  <c r="AC834" i="3"/>
  <c r="AC803" i="3"/>
  <c r="AC772" i="3"/>
  <c r="AC773" i="3"/>
  <c r="AC767" i="3"/>
  <c r="AC768" i="3"/>
  <c r="AC900" i="3"/>
  <c r="AC901" i="3"/>
  <c r="AC902" i="3"/>
  <c r="AC903" i="3"/>
  <c r="AC904" i="3"/>
  <c r="AC905" i="3"/>
  <c r="AC906" i="3"/>
  <c r="AC868" i="3"/>
  <c r="AC869" i="3"/>
  <c r="AC870" i="3"/>
  <c r="AC871" i="3"/>
  <c r="AC846" i="3"/>
  <c r="AC847" i="3"/>
  <c r="AC811" i="3"/>
  <c r="AC812" i="3"/>
  <c r="AC813" i="3"/>
  <c r="AC804" i="3"/>
  <c r="AC805" i="3"/>
  <c r="AC806" i="3"/>
  <c r="AC807" i="3"/>
  <c r="AC789" i="3"/>
  <c r="AC790" i="3"/>
  <c r="AC779" i="3"/>
  <c r="AC780" i="3"/>
  <c r="AC781" i="3"/>
  <c r="AC782" i="3"/>
  <c r="AC774" i="3"/>
  <c r="AC775" i="3"/>
  <c r="AC776" i="3"/>
  <c r="AC777" i="3"/>
  <c r="AC760" i="3"/>
  <c r="AC761" i="3"/>
  <c r="AC762" i="3"/>
  <c r="AC736" i="3"/>
  <c r="AC737" i="3"/>
  <c r="AC738" i="3"/>
  <c r="AC825" i="3"/>
  <c r="AC826" i="3"/>
  <c r="AC763" i="3"/>
  <c r="AC764" i="3"/>
  <c r="AC883" i="3"/>
  <c r="AC861" i="3"/>
  <c r="AC835" i="3"/>
  <c r="AC836" i="3"/>
  <c r="AC783" i="3"/>
  <c r="AC778" i="3"/>
  <c r="AC769" i="3"/>
  <c r="AC739" i="3"/>
  <c r="AC740" i="3"/>
  <c r="AC741" i="3"/>
  <c r="AC742" i="3"/>
  <c r="AC743" i="3"/>
  <c r="AC814" i="3"/>
  <c r="AC884" i="3"/>
  <c r="AC885" i="3"/>
  <c r="AC886" i="3"/>
  <c r="AC881" i="3"/>
  <c r="AC877" i="3"/>
  <c r="AC878" i="3"/>
  <c r="AC872" i="3"/>
  <c r="AC873" i="3"/>
  <c r="AC849" i="3"/>
  <c r="AC837" i="3"/>
  <c r="AC838" i="3"/>
  <c r="AC839" i="3"/>
  <c r="AC840" i="3"/>
  <c r="AC827" i="3"/>
  <c r="AC828" i="3"/>
  <c r="AC829" i="3"/>
  <c r="AC830" i="3"/>
  <c r="AC819" i="3"/>
  <c r="AC820" i="3"/>
  <c r="AC821" i="3"/>
  <c r="AC822" i="3"/>
  <c r="AC823" i="3"/>
  <c r="AC791" i="3"/>
  <c r="AC792" i="3"/>
  <c r="AC793" i="3"/>
  <c r="AC794" i="3"/>
  <c r="AC784" i="3"/>
  <c r="AC730" i="3"/>
  <c r="AC731" i="3"/>
  <c r="AC765" i="3"/>
  <c r="AC766" i="3"/>
  <c r="AC744" i="3"/>
  <c r="AC745" i="3"/>
  <c r="AC735" i="3"/>
  <c r="AC732" i="3"/>
  <c r="AC733" i="3"/>
  <c r="AC887" i="3"/>
  <c r="AC888" i="3"/>
  <c r="AC889" i="3"/>
  <c r="AC919" i="3"/>
  <c r="AC920" i="3"/>
  <c r="AC921" i="3"/>
  <c r="AC922" i="3"/>
  <c r="AC923" i="3"/>
  <c r="AC924" i="3"/>
  <c r="AC925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892" i="3"/>
  <c r="AC893" i="3"/>
  <c r="AC894" i="3"/>
  <c r="AC895" i="3"/>
  <c r="AC841" i="3"/>
  <c r="AC890" i="3"/>
  <c r="AC891" i="3"/>
  <c r="AC734" i="3"/>
  <c r="AC795" i="3"/>
  <c r="AC746" i="3"/>
  <c r="AC808" i="3"/>
  <c r="AC1074" i="3"/>
  <c r="AC1072" i="3"/>
  <c r="AC1078" i="3"/>
  <c r="AC1079" i="3"/>
  <c r="AC1068" i="3"/>
  <c r="AC1069" i="3"/>
  <c r="AC1030" i="3"/>
  <c r="AC1031" i="3"/>
  <c r="AC1024" i="3"/>
  <c r="AC1025" i="3"/>
  <c r="AC1026" i="3"/>
  <c r="AC1013" i="3"/>
  <c r="AC991" i="3"/>
  <c r="AC992" i="3"/>
  <c r="AC983" i="3"/>
  <c r="AC984" i="3"/>
  <c r="AC973" i="3"/>
  <c r="AC974" i="3"/>
  <c r="AC952" i="3"/>
  <c r="AC953" i="3"/>
  <c r="AC954" i="3"/>
  <c r="AC947" i="3"/>
  <c r="AC948" i="3"/>
  <c r="AC927" i="3"/>
  <c r="AC928" i="3"/>
  <c r="AC1089" i="3"/>
  <c r="AC1090" i="3"/>
  <c r="AC1091" i="3"/>
  <c r="AC1081" i="3"/>
  <c r="AC1082" i="3"/>
  <c r="AC1075" i="3"/>
  <c r="AC1076" i="3"/>
  <c r="AC1032" i="3"/>
  <c r="AC1033" i="3"/>
  <c r="AC1027" i="3"/>
  <c r="AC1014" i="3"/>
  <c r="AC1015" i="3"/>
  <c r="AC994" i="3"/>
  <c r="AC995" i="3"/>
  <c r="AC996" i="3"/>
  <c r="AC997" i="3"/>
  <c r="AC998" i="3"/>
  <c r="AC999" i="3"/>
  <c r="AC1000" i="3"/>
  <c r="AC1001" i="3"/>
  <c r="AC985" i="3"/>
  <c r="AC986" i="3"/>
  <c r="AC975" i="3"/>
  <c r="AC976" i="3"/>
  <c r="AC977" i="3"/>
  <c r="AC929" i="3"/>
  <c r="AC1083" i="3"/>
  <c r="AC1034" i="3"/>
  <c r="AC1035" i="3"/>
  <c r="AC1036" i="3"/>
  <c r="AC1028" i="3"/>
  <c r="AC1016" i="3"/>
  <c r="AC1017" i="3"/>
  <c r="AC955" i="3"/>
  <c r="AC956" i="3"/>
  <c r="AC957" i="3"/>
  <c r="AC958" i="3"/>
  <c r="AC959" i="3"/>
  <c r="AC960" i="3"/>
  <c r="AC961" i="3"/>
  <c r="AC949" i="3"/>
  <c r="AC950" i="3"/>
  <c r="AC951" i="3"/>
  <c r="AC930" i="3"/>
  <c r="AC931" i="3"/>
  <c r="AC932" i="3"/>
  <c r="AC933" i="3"/>
  <c r="AC934" i="3"/>
  <c r="AC935" i="3"/>
  <c r="AC1070" i="3"/>
  <c r="AC987" i="3"/>
  <c r="AC978" i="3"/>
  <c r="AC979" i="3"/>
  <c r="AC1092" i="3"/>
  <c r="AC1084" i="3"/>
  <c r="AC1085" i="3"/>
  <c r="AC1080" i="3"/>
  <c r="AC1073" i="3"/>
  <c r="AC1037" i="3"/>
  <c r="AC988" i="3"/>
  <c r="AC1038" i="3"/>
  <c r="AC989" i="3"/>
  <c r="AC99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Muneesh Kumar Dogra</author>
  </authors>
  <commentList>
    <comment ref="S1378" authorId="0" shapeId="0" xr:uid="{56DD03F8-43A0-4051-A052-32CEBCAF035F}">
      <text>
        <r>
          <rPr>
            <b/>
            <sz val="9"/>
            <color indexed="81"/>
            <rFont val="Tahoma"/>
            <family val="2"/>
          </rPr>
          <t>Muneesh Kumar Dogra:</t>
        </r>
        <r>
          <rPr>
            <sz val="9"/>
            <color indexed="81"/>
            <rFont val="Tahoma"/>
            <family val="2"/>
          </rPr>
          <t xml:space="preserve">
ACUTAL BILL VALUE CONSIDERED AS MTI ISSUED IN AVERAGE COST</t>
        </r>
      </text>
    </comment>
    <comment ref="S1381" authorId="0" shapeId="0" xr:uid="{5D8154DF-FD10-4038-B7EA-BB8D3D58AC9E}">
      <text>
        <r>
          <rPr>
            <b/>
            <sz val="9"/>
            <color indexed="81"/>
            <rFont val="Tahoma"/>
            <family val="2"/>
          </rPr>
          <t>Muneesh Kumar Dogra:</t>
        </r>
        <r>
          <rPr>
            <sz val="9"/>
            <color indexed="81"/>
            <rFont val="Tahoma"/>
            <family val="2"/>
          </rPr>
          <t xml:space="preserve">
ACUTAL BILL VALUE CONSIDERED AS MTI ISSUED IN AVERAGE COST
</t>
        </r>
      </text>
    </comment>
    <comment ref="S1383" authorId="0" shapeId="0" xr:uid="{B8F5E4DD-08FE-4432-853E-B8B8BC9530FF}">
      <text>
        <r>
          <rPr>
            <b/>
            <sz val="9"/>
            <color indexed="81"/>
            <rFont val="Tahoma"/>
            <family val="2"/>
          </rPr>
          <t>Muneesh Kumar Dogra:</t>
        </r>
        <r>
          <rPr>
            <sz val="9"/>
            <color indexed="81"/>
            <rFont val="Tahoma"/>
            <family val="2"/>
          </rPr>
          <t xml:space="preserve">
ACUTAL BILL VALUE CONSIDERED AS MTI ISSUED IN AVERAGE COST</t>
        </r>
      </text>
    </comment>
  </commentList>
</comments>
</file>

<file path=xl/sharedStrings.xml><?xml version="1.0" encoding="utf-8"?>
<sst xmlns="http://schemas.openxmlformats.org/spreadsheetml/2006/main" count="29453" uniqueCount="4060">
  <si>
    <t>Debit</t>
  </si>
  <si>
    <t>Credit</t>
  </si>
  <si>
    <t>301000-301050 LAND &amp; SITE DEVELOPMENT</t>
  </si>
  <si>
    <t>301001 LAND RIGHTS AQUISITION (TARAWANDA)</t>
  </si>
  <si>
    <t>301003 LAND COST</t>
  </si>
  <si>
    <t>331000-331100 FURNITURE &amp; FIXTURES</t>
  </si>
  <si>
    <t>331001 FURNITURE &amp; FIXTURES</t>
  </si>
  <si>
    <t>341000-341100 OFFICE &amp; MISC EQUIPEMENTS</t>
  </si>
  <si>
    <t>341001 COMPUTER &amp; PERIPHERALS</t>
  </si>
  <si>
    <t>341002 AIR CONDITIONERS</t>
  </si>
  <si>
    <t>341003 OTHER OFFICE EQUIPEMENT</t>
  </si>
  <si>
    <t>341004 COMMUNICATION EQUIPMENT</t>
  </si>
  <si>
    <t>351000-351100 VEHICLES</t>
  </si>
  <si>
    <t>351001 VEHICLE - PASSENGER</t>
  </si>
  <si>
    <t>371000-371500 CAPITAL WORK IN PROGRESS</t>
  </si>
  <si>
    <t>371012 CWIP-QUARRY RAW MATERIAL SHED EXTENSION</t>
  </si>
  <si>
    <t>371014 CWIP-GYPSUM SHED SURROUNDING &amp; CEMENT MILL AREA NEW ROAD</t>
  </si>
  <si>
    <t>371021 CWIP-PYRO UPGRADATION</t>
  </si>
  <si>
    <t>371023 CWIP-CEMENT MILL 50TPH NEW</t>
  </si>
  <si>
    <t>371024 CWIP-BAG HOUSE UPGRADE</t>
  </si>
  <si>
    <t>371030 CWIP-PRE OPERATIVE EXPENSE</t>
  </si>
  <si>
    <t>371037 CWIP-CONSTRUCTION OF PACKING PLANT AND BIG BAG LOADING</t>
  </si>
  <si>
    <t>371038 CWIP-CONSTRUCTION OF NEW RAW MILL FEEDING AND UPGRADATION</t>
  </si>
  <si>
    <t>371039 CWIP-CONSTRUCTION OF LIME STONE AND GYPSUM FEEDING SYSTEM IN CEMENT MILL</t>
  </si>
  <si>
    <t>371041 CWIP-ESP UPGRADATION</t>
  </si>
  <si>
    <t>371045 CWIP-CONSTRUCTION OF NEW RAW MILL FEEDING AND UPGRADATION</t>
  </si>
  <si>
    <t>371050 CWIP-TECHNICAL CONSULTATION AND EXPERTS HIRING FOR PROJECT WORK</t>
  </si>
  <si>
    <t>371052 CWIP-ROAD PHASE 07</t>
  </si>
  <si>
    <t>371056 MINERAL EXPLORATION &amp; DEVELOPMENT-TARAWANDA</t>
  </si>
  <si>
    <t>371057 CWIP-INSTALLATION OF NEW WEIGHBRIDGE AT QUARRY(2NOS)</t>
  </si>
  <si>
    <t>371058 CWIP-FABRICATION OF INHOUSE TRAILOR</t>
  </si>
  <si>
    <t>371059 CWIP-CONSTRUCTION OF PLANT BOUNDARY WALL</t>
  </si>
  <si>
    <t>731002 STORE SPARES &amp; CONSUMABLES - GENERAL</t>
  </si>
  <si>
    <t>731003 STORE SPARES &amp; CONSUMABLES - CA</t>
  </si>
  <si>
    <t>731006 PACKING BAGS CONSUMED</t>
  </si>
  <si>
    <t>731007 DIESEL CONSUMED</t>
  </si>
  <si>
    <t>791008 GENERAL INSURANCE</t>
  </si>
  <si>
    <t>791020 TRAVELLING - AIR FARES (NON MARKETING )</t>
  </si>
  <si>
    <t>801015 VISA &amp; PERMITS</t>
  </si>
  <si>
    <t>851004 REPAIRS, MAINTENANCE &amp; SPARES - LOGISTICS</t>
  </si>
  <si>
    <t>851005 REPAIRS, MAINTENANCE &amp; SPARES - WORKSHOP</t>
  </si>
  <si>
    <t>Grand Total</t>
  </si>
  <si>
    <t>Sep</t>
  </si>
  <si>
    <t>Aug</t>
  </si>
  <si>
    <t>Jul</t>
  </si>
  <si>
    <t>Jun</t>
  </si>
  <si>
    <t>May</t>
  </si>
  <si>
    <t>Apr</t>
  </si>
  <si>
    <t>Row Labels</t>
  </si>
  <si>
    <t>Column Labels</t>
  </si>
  <si>
    <t>Sum of Amount Currency</t>
  </si>
  <si>
    <t>LTR</t>
  </si>
  <si>
    <t>[CFLOL002] OIL GEAR 320 S2 G</t>
  </si>
  <si>
    <t>TZS</t>
  </si>
  <si>
    <t>MECHANICAL</t>
  </si>
  <si>
    <t>RAW MILL-2</t>
  </si>
  <si>
    <t>Lubricants</t>
  </si>
  <si>
    <t>731002</t>
  </si>
  <si>
    <t>Expenses</t>
  </si>
  <si>
    <t>MATERIAL COST</t>
  </si>
  <si>
    <t>CM/MTI/2025/02125 - [CFLOL002] OIL GEAR 320 S2 G / MRQ/2025/02986</t>
  </si>
  <si>
    <t>Inventory Valuation</t>
  </si>
  <si>
    <t>STJ/2025/07/15102</t>
  </si>
  <si>
    <t>CM/MTI/2025/01840 - [CFLOL002] OIL GEAR 320 S2 G / MRQ/2025/02550
Rounding Adjustment: -0.01 TSh</t>
  </si>
  <si>
    <t>STJ/2025/07/05669</t>
  </si>
  <si>
    <t>CM/MTI/2025/01812 - [CFLOL002] OIL GEAR 320 S2 G / MRQ/2025/02511</t>
  </si>
  <si>
    <t>STJ/2025/07/05463</t>
  </si>
  <si>
    <t>[CFLFL001] FUEL DIESEL</t>
  </si>
  <si>
    <t>PROJECT</t>
  </si>
  <si>
    <t>ZOOMLION CRANE T727EDH</t>
  </si>
  <si>
    <t>731007</t>
  </si>
  <si>
    <t>CM/MTI/2025/00659 - [CFLFL001] FUEL DIESEL / MRQ/2025/00821
Rounding Adjustment: -0.01 TSh</t>
  </si>
  <si>
    <t>STJ/2025/05/00613</t>
  </si>
  <si>
    <t>HYDRA T955EAN</t>
  </si>
  <si>
    <t>CM/MTI/2025/00649 - [CFLFL001] FUEL DIESEL / MRQ/2025/00828
Rounding Adjustment: -0.01 TSh</t>
  </si>
  <si>
    <t>STJ/2025/05/00582</t>
  </si>
  <si>
    <t>CM/MTI/2025/00996 - [CFLFL001] FUEL DIESEL / MRQ/2025/01347</t>
  </si>
  <si>
    <t>STJ/2025/05/08159</t>
  </si>
  <si>
    <t>CM/MTI/2025/01156 - [CFLFL001] FUEL DIESEL / MRQ/2025/01550</t>
  </si>
  <si>
    <t>STJ/2025/05/11710</t>
  </si>
  <si>
    <t>HYDRA T289ECC</t>
  </si>
  <si>
    <t>CM/MTI/2025/00648 - [CFLFL001] FUEL DIESEL / MRQ/2025/00827</t>
  </si>
  <si>
    <t>STJ/2025/05/00581</t>
  </si>
  <si>
    <t>CM/MTI/2025/00997 - [CFLFL001] FUEL DIESEL / MRQ/2025/01348
Rounding Adjustment: +0.01 TSh</t>
  </si>
  <si>
    <t>STJ/2025/05/08160</t>
  </si>
  <si>
    <t>CM/MTI/2025/01155 - [CFLFL001] FUEL DIESEL / MRQ/2025/01549</t>
  </si>
  <si>
    <t>STJ/2025/05/11709</t>
  </si>
  <si>
    <t>Back Hoe Loader PHANTOM T909DZE</t>
  </si>
  <si>
    <t>CM/MTI/2025/00646 - [CFLFL001] FUEL DIESEL / MRQ/2025/00824</t>
  </si>
  <si>
    <t>STJ/2025/05/00571</t>
  </si>
  <si>
    <t>CM/MTI/2025/00998 - [CFLFL001] FUEL DIESEL / MRQ/2025/01349</t>
  </si>
  <si>
    <t>STJ/2025/05/08163</t>
  </si>
  <si>
    <t>CM/MTI/2025/01142 - [CFLFL001] FUEL DIESEL / MRQ/2025/01520</t>
  </si>
  <si>
    <t>STJ/2025/05/11033</t>
  </si>
  <si>
    <t>NOS</t>
  </si>
  <si>
    <t>[CPMBG005] BAG EMPTY FOR CEMENT PACKING GRADE 42.5R MATERIAL WOVEN POLYPROPYLENE CAPACITY 1MT COLOR BLUE</t>
  </si>
  <si>
    <t>CWIP-ROAD PHASE 07</t>
  </si>
  <si>
    <t>731006</t>
  </si>
  <si>
    <t>CM/MTI/2025/02863 - [CPMBG005] BAG EMPTY FOR CEMENT PACKING GRADE 42.5R MATERIAL WOVEN POLYPROPYLENE CAPACITY 1MT COLOR BLUE / MRQ/2025/04039</t>
  </si>
  <si>
    <t>STJ/2025/09/05339</t>
  </si>
  <si>
    <t>CM/MTI/2025/02849 - [CPMBG005] BAG EMPTY FOR CEMENT PACKING GRADE 42.5R MATERIAL WOVEN POLYPROPYLENE CAPACITY 1MT COLOR BLUE / MRQ/2025/03952
Rounding Adjustment: +0.01 TSh</t>
  </si>
  <si>
    <t>STJ/2025/09/05305</t>
  </si>
  <si>
    <t>[CPMBG006] BAG EMPTY FOR CEMENT PACKING GRADE 42.5N MATERIAL WOVEN POLYPROPYLENE CAPACITY 1MT COLOR RED</t>
  </si>
  <si>
    <t>CM/MTI/2025/02981 - [CPMBG006] BAG EMPTY FOR CEMENT PACKING GRADE 42.5N MATERIAL WOVEN POLYPROPYLENE CAPACITY 1MT COLOR RED / MRQ/2025/04239</t>
  </si>
  <si>
    <t>STJ/2025/09/09964</t>
  </si>
  <si>
    <t>QUARRY</t>
  </si>
  <si>
    <t>CWIP-QUARRY RAW MATERIAL SHED EXTENSION</t>
  </si>
  <si>
    <t>CM/MTI/2025/02850 - [CPMBG005] BAG EMPTY FOR CEMENT PACKING GRADE 42.5R MATERIAL WOVEN POLYPROPYLENE CAPACITY 1MT COLOR BLUE / MRQ/2025/03788</t>
  </si>
  <si>
    <t>STJ/2025/09/05307</t>
  </si>
  <si>
    <t>CM/MTI/2025/02982 - [CPMBG006] BAG EMPTY FOR CEMENT PACKING GRADE 42.5N MATERIAL WOVEN POLYPROPYLENE CAPACITY 1MT COLOR RED / MRQ/2025/04240</t>
  </si>
  <si>
    <t>STJ/2025/09/09966</t>
  </si>
  <si>
    <t>[CPMBG002] BAG EMPTY FOR CEMENT PACKING GRADE 42.5R MATERIAL WOVEN POLYPROPYLENE CAPACITY 50KG COLOR ORANGE</t>
  </si>
  <si>
    <t>CM/MTI/2025/03030 - [CPMBG002] BAG EMPTY FOR CEMENT PACKING GRADE 42.5R MATERIAL WOVEN POLYPROPYLENE CAPACITY 50KG COLOR ORANGE / MRQ/2025/04326</t>
  </si>
  <si>
    <t>STJ/2025/09/11332</t>
  </si>
  <si>
    <t>CWIP-CONSTRUCTION OF PLANT BOUNDARY WALL</t>
  </si>
  <si>
    <t>CM/MTI/2025/03106 - [CPMBG006] BAG EMPTY FOR CEMENT PACKING GRADE 42.5N MATERIAL WOVEN POLYPROPYLENE CAPACITY 1MT COLOR RED / MRQ/2025/04394
Rounding Adjustment: +0.01 TSh</t>
  </si>
  <si>
    <t>STJ/2025/09/14100</t>
  </si>
  <si>
    <t>[CWCGC041] CUTTING WHEEL 7''</t>
  </si>
  <si>
    <t>Inventory Spares Consumable</t>
  </si>
  <si>
    <t>CM/MTI/2025/03142 - [CWCGC041] CUTTING WHEEL 7'' / MRQ/2025/04530</t>
  </si>
  <si>
    <t>STJ/2025/09/14933</t>
  </si>
  <si>
    <t>[CIGGS001] GAS OXYGEN FULL CYLINDER, O2</t>
  </si>
  <si>
    <t>CM/MTI/2025/03142 - [CIGGS001] GAS OXYGEN FULL CYLINDER, O2 / MRQ/2025/04530</t>
  </si>
  <si>
    <t>STJ/2025/09/14932</t>
  </si>
  <si>
    <t>KG</t>
  </si>
  <si>
    <t>[CPALO016] PUTTY STEEL BELZONA 1111 OR MECAFIX 120</t>
  </si>
  <si>
    <t>ELECTRICAL</t>
  </si>
  <si>
    <t>CM/MTI/2025/03160 - [CPALO016] PUTTY STEEL BELZONA 1111 OR MECAFIX 120 / MRQ/2025/04522</t>
  </si>
  <si>
    <t>STJ/2025/09/16576</t>
  </si>
  <si>
    <t>PCS</t>
  </si>
  <si>
    <t>[CCLGC328] TMT BAR SIZE 10 MM GRADE FY500.</t>
  </si>
  <si>
    <t>CM/MTI/2025/02817 - [CCLGC328] TMT BAR SIZE 10 MM GRADE FY500. / MRQ/2025/03999</t>
  </si>
  <si>
    <t>STJ/2025/09/03979</t>
  </si>
  <si>
    <t>[CCLGC032] WIRE FOR BINDING</t>
  </si>
  <si>
    <t>CM/MTI/2025/02817 - [CCLGC032] WIRE FOR BINDING / MRQ/2025/03999</t>
  </si>
  <si>
    <t>STJ/2025/09/03978</t>
  </si>
  <si>
    <t>CM/MTI/2025/02824 - [CCLGC328] TMT BAR SIZE 10 MM GRADE FY500. / MRQ/2025/04043</t>
  </si>
  <si>
    <t>STJ/2025/09/04298</t>
  </si>
  <si>
    <t>CM/MTI/2025/03004 - [CCLGC328] TMT BAR SIZE 10 MM GRADE FY500. / MRQ/2025/04333</t>
  </si>
  <si>
    <t>STJ/2025/09/10605</t>
  </si>
  <si>
    <t>CM/MTI/2025/02705 - [CWCGC041] CUTTING WHEEL 7'' / MRQ/2025/03836
Rounding Adjustment: -0.01 TSh</t>
  </si>
  <si>
    <t>STJ/2025/09/00331</t>
  </si>
  <si>
    <t>[CCLGC336] NAILS FOR ROOFING SIZE 3''</t>
  </si>
  <si>
    <t>CM/MTI/2025/02705 - [CCLGC336] NAILS FOR ROOFING SIZE 3'' / MRQ/2025/03836</t>
  </si>
  <si>
    <t>STJ/2025/09/00330</t>
  </si>
  <si>
    <t xml:space="preserve">[CCLGC183] POLES WOODEN MIRUNDA </t>
  </si>
  <si>
    <t>CM/MTI/2025/02705 - [CCLGC183] POLES WOODEN MIRUNDA  / MRQ/2025/03836</t>
  </si>
  <si>
    <t>STJ/2025/09/00329</t>
  </si>
  <si>
    <t>[CCLGC038] TIMBER 2 INCH X 4 INCH UNTREATED</t>
  </si>
  <si>
    <t>CM/MTI/2025/02705 - [CCLGC038] TIMBER 2 INCH X 4 INCH UNTREATED / MRQ/2025/03836</t>
  </si>
  <si>
    <t>STJ/2025/09/00328</t>
  </si>
  <si>
    <t>[CCLGC023] NAILS SIZE 4''</t>
  </si>
  <si>
    <t>CM/MTI/2025/02705 - [CCLGC023] NAILS SIZE 4'' / MRQ/2025/03836</t>
  </si>
  <si>
    <t>STJ/2025/09/00327</t>
  </si>
  <si>
    <t>[CCLGC022] NAILS SIZE 3''</t>
  </si>
  <si>
    <t>CM/MTI/2025/02705 - [CCLGC022] NAILS SIZE 3'' / MRQ/2025/03836</t>
  </si>
  <si>
    <t>STJ/2025/09/00326</t>
  </si>
  <si>
    <t>CM/MTI/2025/02727 - [CWCGC041] CUTTING WHEEL 7'' / MRQ/2025/03867</t>
  </si>
  <si>
    <t>STJ/2025/09/00674</t>
  </si>
  <si>
    <t>CM/MTI/2025/02727 - [CCLGC038] TIMBER 2 INCH X 4 INCH UNTREATED / MRQ/2025/03867</t>
  </si>
  <si>
    <t>STJ/2025/09/00673</t>
  </si>
  <si>
    <t>CM/MTI/2025/02727 - [CCLGC022] NAILS SIZE 3'' / MRQ/2025/03867</t>
  </si>
  <si>
    <t>STJ/2025/09/00672</t>
  </si>
  <si>
    <t>CM/MTI/2025/02779 - [CWCGC041] CUTTING WHEEL 7'' / MRQ/2025/03935</t>
  </si>
  <si>
    <t>STJ/2025/09/01925</t>
  </si>
  <si>
    <t xml:space="preserve">[CCLGC052] PLYWOOD 8FEET X 4FEET X 18 MM THICK </t>
  </si>
  <si>
    <t>CM/MTI/2025/02779 - [CCLGC052] PLYWOOD 8FEET X 4FEET X 18 MM THICK  / MRQ/2025/03935</t>
  </si>
  <si>
    <t>STJ/2025/09/01924</t>
  </si>
  <si>
    <t>CM/MTI/2025/02779 - [CCLGC038] TIMBER 2 INCH X 4 INCH UNTREATED / MRQ/2025/03935</t>
  </si>
  <si>
    <t>STJ/2025/09/01923</t>
  </si>
  <si>
    <t>CM/MTI/2025/02779 - [CCLGC032] WIRE FOR BINDING / MRQ/2025/03935</t>
  </si>
  <si>
    <t>STJ/2025/09/01922</t>
  </si>
  <si>
    <t>[CCLGC330] TMT BAR SIZE 16 MM GRADE FY500.</t>
  </si>
  <si>
    <t>CM/MTI/2025/02767 - [CCLGC330] TMT BAR SIZE 16 MM GRADE FY500. / MRQ/2025/03941</t>
  </si>
  <si>
    <t>STJ/2025/09/01888</t>
  </si>
  <si>
    <t>[CCLGC329] TMT BAR SIZE 12 MM GRADE FY500.</t>
  </si>
  <si>
    <t>CM/MTI/2025/02767 - [CCLGC329] TMT BAR SIZE 12 MM GRADE FY500. / MRQ/2025/03941</t>
  </si>
  <si>
    <t>STJ/2025/09/01887</t>
  </si>
  <si>
    <t>CM/MTI/2025/02767 - [CCLGC328] TMT BAR SIZE 10 MM GRADE FY500. / MRQ/2025/03941</t>
  </si>
  <si>
    <t>STJ/2025/09/01886</t>
  </si>
  <si>
    <t>CM/MTI/2025/02921 - [CCLGC052] PLYWOOD 8FEET X 4FEET X 18 MM THICK  / MRQ/2025/04178</t>
  </si>
  <si>
    <t>STJ/2025/09/07657</t>
  </si>
  <si>
    <t>CM/MTI/2025/02921 - [CCLGC038] TIMBER 2 INCH X 4 INCH UNTREATED / MRQ/2025/04178</t>
  </si>
  <si>
    <t>STJ/2025/09/07656</t>
  </si>
  <si>
    <t>[CCLGC004] SAND</t>
  </si>
  <si>
    <t>CM/MTI/2025/02967 - [CCLGC004] SAND / MRQ/2025/04237</t>
  </si>
  <si>
    <t>STJ/2025/09/09230</t>
  </si>
  <si>
    <t>CM/MTI/2025/02980 - [CCLGC052] PLYWOOD 8FEET X 4FEET X 18 MM THICK  / MRQ/2025/04256</t>
  </si>
  <si>
    <t>STJ/2025/09/09963</t>
  </si>
  <si>
    <t>CM/MTI/2025/02980 - [CCLGC038] TIMBER 2 INCH X 4 INCH UNTREATED / MRQ/2025/04256</t>
  </si>
  <si>
    <t>STJ/2025/09/09962</t>
  </si>
  <si>
    <t>CM/MTI/2025/02979 - [CCLGC183] POLES WOODEN MIRUNDA  / MRQ/2025/04264</t>
  </si>
  <si>
    <t>STJ/2025/09/09961</t>
  </si>
  <si>
    <t>CM/MTI/2025/03131 - [CCLGC032] WIRE FOR BINDING / MRQ/2025/04496</t>
  </si>
  <si>
    <t>STJ/2025/09/14903</t>
  </si>
  <si>
    <t>[CITGC100] CARD RFID MODEL IMS-HF-C017 MATERIAL PVC WITH 1 K MEMORY WITH PLASTIC PROTECTIVE CASE MAKE OMEC-IMAGIC</t>
  </si>
  <si>
    <t>INSTRUMENTATION</t>
  </si>
  <si>
    <t>CWIP-INSTALLATION OF NEW WEIGHBRIDGE AT QUARRY(2NOS)</t>
  </si>
  <si>
    <t>CM/MTI/2025/02704 - [CITGC100] CARD RFID MODEL IMS-HF-C017 MATERIAL PVC WITH 1 K MEMORY WITH PLASTIC PROTECTIVE CASE MAKE OMEC-IMAGIC / MRQ/2025/03831</t>
  </si>
  <si>
    <t>STJ/2025/09/00325</t>
  </si>
  <si>
    <t>CM/MTI/2025/02811 - [CITGC100] CARD RFID MODEL IMS-HF-C017 MATERIAL PVC WITH 1 K MEMORY WITH PLASTIC PROTECTIVE CASE MAKE OMEC-IMAGIC / MRQ/2025/03986</t>
  </si>
  <si>
    <t>STJ/2025/09/03967</t>
  </si>
  <si>
    <t>[CITGC038] NANO STATION MODEL NSM2,INDOOR/OUTDOOR AIRMAX WIRELESS ANTENNA</t>
  </si>
  <si>
    <t>CM/MTI/2025/02794 - [CITGC038] NANO STATION MODEL NSM2,INDOOR/OUTDOOR AIRMAX WIRELESS ANTENNA / MRQ/2025/03975</t>
  </si>
  <si>
    <t>STJ/2025/09/03723</t>
  </si>
  <si>
    <t>MTR</t>
  </si>
  <si>
    <t>[CITGC003] CABLE CAT6 4PAIR INSULATION SIZE 0.33MM THICK X 6.5MM OD JACKET CLOUR GREY FRAME RATING CM OUTDOOR</t>
  </si>
  <si>
    <t>CM/MTI/2025/02794 - [CITGC003] CABLE CAT6 4PAIR INSULATION SIZE 0.33MM THICK X 6.5MM OD JACKET CLOUR GREY FRAME RATING CM OUTDOOR / MRQ/2025/03975</t>
  </si>
  <si>
    <t>STJ/2025/09/03722</t>
  </si>
  <si>
    <t>[ESSCN004] ISMC 150</t>
  </si>
  <si>
    <t>LOGISTIC DIVISION</t>
  </si>
  <si>
    <t>CWIP-FABRICATION OF INHOUSE TRAILOR</t>
  </si>
  <si>
    <t>CM/MTI/2025/02830 - [ESSCN004] ISMC 150 / MRQ/2025/04024</t>
  </si>
  <si>
    <t>STJ/2025/09/04305</t>
  </si>
  <si>
    <t>[CPAPT007] PAINT RED OXIDE</t>
  </si>
  <si>
    <t>CM/MTI/2025/02829 - [CPAPT007] PAINT RED OXIDE / MRQ/2025/04016</t>
  </si>
  <si>
    <t>STJ/2025/09/04304</t>
  </si>
  <si>
    <t>[CGCAB026] PAPER SAND P40 GRIFT ROUGH</t>
  </si>
  <si>
    <t>LOG/MTI/2025/01033 - [CGCAB026] PAPER SAND P40 GRIFT ROUGH / MRQ/2025/04051</t>
  </si>
  <si>
    <t>STJ/2025/09/06603</t>
  </si>
  <si>
    <t>[CGCAB021] PAPER SAND P100 GRIFT MEDIUM</t>
  </si>
  <si>
    <t>LOG/MTI/2025/01033 - [CGCAB021] PAPER SAND P100 GRIFT MEDIUM / MRQ/2025/04051
Rounding Adjustment: +0.01 TSh</t>
  </si>
  <si>
    <t>STJ/2025/09/06600</t>
  </si>
  <si>
    <t>[CECGC014] TAPE INSULATION</t>
  </si>
  <si>
    <t>LOG/MTI/2025/01024 - [CECGC014] TAPE INSULATION / MRQ/2025/04079</t>
  </si>
  <si>
    <t>STJ/2025/09/06366</t>
  </si>
  <si>
    <t>[CPAPT033] THINNER HR</t>
  </si>
  <si>
    <t>LOG/MTI/2025/01023 - [CPAPT033] THINNER HR / MRQ/2025/04077</t>
  </si>
  <si>
    <t>STJ/2025/09/06359</t>
  </si>
  <si>
    <t>LOG/MTI/2025/01023 - [CECGC014] TAPE INSULATION / MRQ/2025/04077</t>
  </si>
  <si>
    <t>STJ/2025/09/06356</t>
  </si>
  <si>
    <t>LOG/MTI/2025/01018 - [CPAPT033] THINNER HR / MRQ/2025/04119</t>
  </si>
  <si>
    <t>STJ/2025/09/06334</t>
  </si>
  <si>
    <t>[CGCAB023] PAPER SAND P240 GRIFT FINE</t>
  </si>
  <si>
    <t>LOG/MTI/2025/01017 - [CGCAB023] PAPER SAND P240 GRIFT FINE / MRQ/2025/04118</t>
  </si>
  <si>
    <t>STJ/2025/09/06321</t>
  </si>
  <si>
    <t>LOG/MTI/2025/01017 - [CGCAB021] PAPER SAND P100 GRIFT MEDIUM / MRQ/2025/04118</t>
  </si>
  <si>
    <t>STJ/2025/09/06320</t>
  </si>
  <si>
    <t>[LGS0079] CUTTING WHEEL - 9''</t>
  </si>
  <si>
    <t>LOG/MTI/2025/01055 - [LGS0079] CUTTING WHEEL - 9'' / MRQ/2025/04163</t>
  </si>
  <si>
    <t>STJ/2025/09/07722</t>
  </si>
  <si>
    <t>LOG/MTI/2025/01054 - [CGCAB023] PAPER SAND P240 GRIFT FINE / MRQ/2025/04161</t>
  </si>
  <si>
    <t>STJ/2025/09/07706</t>
  </si>
  <si>
    <t>LOG/MTI/2025/01065 - [CPAPT033] THINNER HR / MRQ/2025/04263</t>
  </si>
  <si>
    <t>STJ/2025/09/09168</t>
  </si>
  <si>
    <t>[ESSAG005] ISA 50 X 50 X 5</t>
  </si>
  <si>
    <t>LOG/MTI/2025/01082 - [ESSAG005] ISA 50 X 50 X 5 / MRQ/2025/04207</t>
  </si>
  <si>
    <t>STJ/2025/09/09634</t>
  </si>
  <si>
    <t>LOG/MTI/2025/01080 - [LGS0079] CUTTING WHEEL - 9'' / MRQ/2025/04222</t>
  </si>
  <si>
    <t>STJ/2025/09/09618</t>
  </si>
  <si>
    <t>LOG/MTI/2025/01111 - [LGS0079] CUTTING WHEEL - 9'' / MRQ/2025/04287</t>
  </si>
  <si>
    <t>STJ/2025/09/12511</t>
  </si>
  <si>
    <t>[EFSHB219] BOLT HT HEX HEAD M16 X 70MM HALF THREAD WITH NUT AND WASHER GRADE 10.9</t>
  </si>
  <si>
    <t>LOG/MTI/2025/01108 - [EFSHB219] BOLT HT HEX HEAD M16 X 70MM HALF THREAD WITH NUT AND WASHER GRADE 10.9 / MRQ/2025/04288
Rounding Adjustment: -0.01 TSh</t>
  </si>
  <si>
    <t>STJ/2025/09/12492</t>
  </si>
  <si>
    <t>CM/MTI/2025/03145 - [CCLGC328] TMT BAR SIZE 10 MM GRADE FY500. / MRQ/2025/04393</t>
  </si>
  <si>
    <t>STJ/2025/09/14943</t>
  </si>
  <si>
    <t>[CCLGC327] TMT BAR SIZE 8 MM GRADE FY500.</t>
  </si>
  <si>
    <t>CM/MTI/2025/03145 - [CCLGC327] TMT BAR SIZE 8 MM GRADE FY500. / MRQ/2025/04393
Rounding Adjustment: -0.01 TSh</t>
  </si>
  <si>
    <t>STJ/2025/09/14942</t>
  </si>
  <si>
    <t>CM/MTI/2025/03152 - [CWCGC041] CUTTING WHEEL 7'' / MRQ/2025/04551
Rounding Adjustment: -0.01 TSh</t>
  </si>
  <si>
    <t>STJ/2025/09/16561</t>
  </si>
  <si>
    <t>CM/MTI/2025/03152 - [CCLGC328] TMT BAR SIZE 10 MM GRADE FY500. / MRQ/2025/04551</t>
  </si>
  <si>
    <t>STJ/2025/09/16560</t>
  </si>
  <si>
    <t>CM/MTI/2025/03152 - [CCLGC038] TIMBER 2 INCH X 4 INCH UNTREATED / MRQ/2025/04551</t>
  </si>
  <si>
    <t>STJ/2025/09/16559</t>
  </si>
  <si>
    <t>CWIP-CONSTRUCTION OF NEW RAW MILL FEEDING AND UPGRADATION</t>
  </si>
  <si>
    <t>CM/MTI/2025/02709 - [CCLGC032] WIRE FOR BINDING / MRQ/2025/03822</t>
  </si>
  <si>
    <t>STJ/2025/09/00340</t>
  </si>
  <si>
    <t>CM/MTI/2025/02703 - [CIGGS001] GAS OXYGEN FULL CYLINDER, O2 / MRQ/2025/03837</t>
  </si>
  <si>
    <t>STJ/2025/09/00324</t>
  </si>
  <si>
    <t>[CWCWR003] WELDING ELECTRODE MS 6013 SIZE 4 MM X 450 MM</t>
  </si>
  <si>
    <t>CM/MTI/2025/02717 - [CWCWR003] WELDING ELECTRODE MS 6013 SIZE 4 MM X 450 MM / MRQ/2025/03869</t>
  </si>
  <si>
    <t>STJ/2025/09/00653</t>
  </si>
  <si>
    <t>CM/MTI/2025/02717 - [CIGGS001] GAS OXYGEN FULL CYLINDER, O2 / MRQ/2025/03869</t>
  </si>
  <si>
    <t>STJ/2025/09/00652</t>
  </si>
  <si>
    <t>CM/MTI/2025/02749 - [CWCWR003] WELDING ELECTRODE MS 6013 SIZE 4 MM X 450 MM / MRQ/2025/03846</t>
  </si>
  <si>
    <t>STJ/2025/09/01583</t>
  </si>
  <si>
    <t>CM/MTI/2025/02749 - [CWCGC041] CUTTING WHEEL 7'' / MRQ/2025/03846</t>
  </si>
  <si>
    <t>STJ/2025/09/01582</t>
  </si>
  <si>
    <t>CM/MTI/2025/02749 - [CIGGS001] GAS OXYGEN FULL CYLINDER, O2 / MRQ/2025/03846</t>
  </si>
  <si>
    <t>STJ/2025/09/01581</t>
  </si>
  <si>
    <t>[CIGGS005] GAS LIQUEFIED PETROLEUM FULL CYLINDER, LPG CAPACITY 15KG</t>
  </si>
  <si>
    <t>CM/MTI/2025/02793 - [CIGGS005] GAS LIQUEFIED PETROLEUM FULL CYLINDER, LPG CAPACITY 15KG / MRQ/2025/03971</t>
  </si>
  <si>
    <t>STJ/2025/09/03721</t>
  </si>
  <si>
    <t>CM/MTI/2025/02793 - [CIGGS001] GAS OXYGEN FULL CYLINDER, O2 / MRQ/2025/03971</t>
  </si>
  <si>
    <t>STJ/2025/09/03720</t>
  </si>
  <si>
    <t>CM/MTI/2025/02832 - [CWCWR003] WELDING ELECTRODE MS 6013 SIZE 4 MM X 450 MM / MRQ/2025/04031</t>
  </si>
  <si>
    <t>STJ/2025/09/04312</t>
  </si>
  <si>
    <t>CM/MTI/2025/02832 - [CWCGC041] CUTTING WHEEL 7'' / MRQ/2025/04031</t>
  </si>
  <si>
    <t>STJ/2025/09/04311</t>
  </si>
  <si>
    <t>CM/MTI/2025/02876 - [CWCWR003] WELDING ELECTRODE MS 6013 SIZE 4 MM X 450 MM / MRQ/2025/04095</t>
  </si>
  <si>
    <t>STJ/2025/09/05783</t>
  </si>
  <si>
    <t>CM/MTI/2025/02876 - [CWCGC041] CUTTING WHEEL 7'' / MRQ/2025/04095</t>
  </si>
  <si>
    <t>STJ/2025/09/05782</t>
  </si>
  <si>
    <t>CM/MTI/2025/02911 - [CIGGS001] GAS OXYGEN FULL CYLINDER, O2 / MRQ/2025/04126</t>
  </si>
  <si>
    <t>STJ/2025/09/07354</t>
  </si>
  <si>
    <t>CM/MTI/2025/02942 - [CWCWR003] WELDING ELECTRODE MS 6013 SIZE 4 MM X 450 MM / MRQ/2025/04216</t>
  </si>
  <si>
    <t>STJ/2025/09/08329</t>
  </si>
  <si>
    <t>CM/MTI/2025/02942 - [CIGGS005] GAS LIQUEFIED PETROLEUM FULL CYLINDER, LPG CAPACITY 15KG / MRQ/2025/04216</t>
  </si>
  <si>
    <t>STJ/2025/09/08328</t>
  </si>
  <si>
    <t>CM/MTI/2025/02942 - [CIGGS001] GAS OXYGEN FULL CYLINDER, O2 / MRQ/2025/04216</t>
  </si>
  <si>
    <t>STJ/2025/09/08327</t>
  </si>
  <si>
    <t>CM/MTI/2025/02984 - [CWCGC041] CUTTING WHEEL 7'' / MRQ/2025/04277
Rounding Adjustment: +0.01 TSh</t>
  </si>
  <si>
    <t>STJ/2025/09/09971</t>
  </si>
  <si>
    <t>CM/MTI/2025/02983 - [CWCWR003] WELDING ELECTRODE MS 6013 SIZE 4 MM X 450 MM / MRQ/2025/04278</t>
  </si>
  <si>
    <t>STJ/2025/09/09968</t>
  </si>
  <si>
    <t>[CIGGS016] GAS LIQUEFIED PETROLEUM FULL CYLINDER, LPG CAPACITY 40KG</t>
  </si>
  <si>
    <t>CM/MTI/2025/02995 - [CIGGS016] GAS LIQUEFIED PETROLEUM FULL CYLINDER, LPG CAPACITY 40KG / MRQ/2025/04324</t>
  </si>
  <si>
    <t>STJ/2025/09/10590</t>
  </si>
  <si>
    <t>CM/MTI/2025/02995 - [CIGGS001] GAS OXYGEN FULL CYLINDER, O2 / MRQ/2025/04324</t>
  </si>
  <si>
    <t>STJ/2025/09/10589</t>
  </si>
  <si>
    <t>CM/MTI/2025/03101 - [CWCWR003] WELDING ELECTRODE MS 6013 SIZE 4 MM X 450 MM / MRQ/2025/04417</t>
  </si>
  <si>
    <t>STJ/2025/09/14087</t>
  </si>
  <si>
    <t>CM/MTI/2025/03101 - [CWCGC041] CUTTING WHEEL 7'' / MRQ/2025/04417</t>
  </si>
  <si>
    <t>STJ/2025/09/14086</t>
  </si>
  <si>
    <t>[EFSHB144] BOLT HT HEX HEAD M20 X 125MM FULL THREAD WITH NUT AND WASHER GRADE 8.8</t>
  </si>
  <si>
    <t>CWIP-CONSTRUCTION OF LIME STONE AND GYPSUM FEEDING SYSTEM IN CEMENT MILL</t>
  </si>
  <si>
    <t>CM/MTI/2025/03039 - [EFSHB144] BOLT HT HEX HEAD M20 X 125MM FULL THREAD WITH NUT AND WASHER GRADE 8.8 / MRQ/2025/04364</t>
  </si>
  <si>
    <t>STJ/2025/09/11490</t>
  </si>
  <si>
    <t>[EFSHB096] BOLT HT HEX HEAD M12 X 50MM FULL THREAD WITH NUT AND WASHER GRADE 8.8</t>
  </si>
  <si>
    <t>CM/MTI/2025/03054 - [EFSHB096] BOLT HT HEX HEAD M12 X 50MM FULL THREAD WITH NUT AND WASHER GRADE 8.8 / MRQ/2025/04388</t>
  </si>
  <si>
    <t>STJ/2025/09/12943</t>
  </si>
  <si>
    <t>SET</t>
  </si>
  <si>
    <t>[CAPME016] JAW CRUSHER LINE PE400 X 600 WITH JAW CRUSHER MAIN UNIT VIBRATING FEEDER CONTROL CABINET AND ADDITIONAL ACCESSORIES</t>
  </si>
  <si>
    <t>731003</t>
  </si>
  <si>
    <t>CM/MTI/2025/02366 - [CAPME016] JAW CRUSHER LINE PE400 X 600 WITH JAW CRUSHER MAIN UNIT VIBRATING FEEDER CONTROL CABINET AND ADDITIONAL ACCESSORIES / MRQ/2025/03360</t>
  </si>
  <si>
    <t>STJ/2025/08/06140</t>
  </si>
  <si>
    <t>CM/MTI/2025/02223 - [CPMBG002] BAG EMPTY FOR CEMENT PACKING GRADE 42.5R MATERIAL WOVEN POLYPROPYLENE CAPACITY 50KG COLOR ORANGE / MRQ/2025/03079</t>
  </si>
  <si>
    <t>STJ/2025/08/01652</t>
  </si>
  <si>
    <t>CM/MTI/2025/02323 - [CPMBG002] BAG EMPTY FOR CEMENT PACKING GRADE 42.5R MATERIAL WOVEN POLYPROPYLENE CAPACITY 50KG COLOR ORANGE / MRQ/2025/03171</t>
  </si>
  <si>
    <t>STJ/2025/08/04721</t>
  </si>
  <si>
    <t>CM/MTI/2025/02192 - [CCLGC004] SAND / MRQ/2025/03057</t>
  </si>
  <si>
    <t>STJ/2025/08/00179</t>
  </si>
  <si>
    <t>CM/MTI/2025/02604 - [CCLGC328] TMT BAR SIZE 10 MM GRADE FY500. / MRQ/2025/03719
Rounding Adjustment: -0.01 TSh</t>
  </si>
  <si>
    <t>STJ/2025/08/13319</t>
  </si>
  <si>
    <t>CM/MTI/2025/02604 - [CCLGC032] WIRE FOR BINDING / MRQ/2025/03719</t>
  </si>
  <si>
    <t>STJ/2025/08/13318</t>
  </si>
  <si>
    <t>CUM</t>
  </si>
  <si>
    <t xml:space="preserve">[CCLGC002] AGGREGATE GRANITE SIZE 14 MM TO 20 MM </t>
  </si>
  <si>
    <t>CM/MTI/2025/02471 - [CCLGC002] AGGREGATE GRANITE SIZE 14 MM TO 20 MM  / MRQ/2025/03498</t>
  </si>
  <si>
    <t>STJ/2025/08/08932</t>
  </si>
  <si>
    <t>CM/MTI/2025/02623 - [CCLGC183] POLES WOODEN MIRUNDA  / MRQ/2025/03544</t>
  </si>
  <si>
    <t>STJ/2025/08/13867</t>
  </si>
  <si>
    <t>CM/MTI/2025/02623 - [CCLGC038] TIMBER 2 INCH X 4 INCH UNTREATED / MRQ/2025/03544</t>
  </si>
  <si>
    <t>STJ/2025/08/13866</t>
  </si>
  <si>
    <t>CM/MTI/2025/02623 - [CCLGC023] NAILS SIZE 4'' / MRQ/2025/03544</t>
  </si>
  <si>
    <t>STJ/2025/08/13865</t>
  </si>
  <si>
    <t>CM/MTI/2025/02623 - [CCLGC022] NAILS SIZE 3'' / MRQ/2025/03544</t>
  </si>
  <si>
    <t>STJ/2025/08/13864</t>
  </si>
  <si>
    <t>[CCLGC331] TMT BAR SIZE 20 MM GRADE FY500.</t>
  </si>
  <si>
    <t>CM/MTI/2025/02674 - [CCLGC331] TMT BAR SIZE 20 MM GRADE FY500. / MRQ/2025/03717</t>
  </si>
  <si>
    <t>STJ/2025/08/15381</t>
  </si>
  <si>
    <t>CM/MTI/2025/02674 - [CCLGC330] TMT BAR SIZE 16 MM GRADE FY500. / MRQ/2025/03717
Rounding Adjustment: +0.01 TSh</t>
  </si>
  <si>
    <t>STJ/2025/08/15380</t>
  </si>
  <si>
    <t>CM/MTI/2025/02674 - [CCLGC329] TMT BAR SIZE 12 MM GRADE FY500. / MRQ/2025/03717</t>
  </si>
  <si>
    <t>STJ/2025/08/15379</t>
  </si>
  <si>
    <t>CM/MTI/2025/02674 - [CCLGC328] TMT BAR SIZE 10 MM GRADE FY500. / MRQ/2025/03717</t>
  </si>
  <si>
    <t>STJ/2025/08/15378</t>
  </si>
  <si>
    <t>CM/MTI/2025/02665 - [CWCGC041] CUTTING WHEEL 7'' / MRQ/2025/03793</t>
  </si>
  <si>
    <t>STJ/2025/08/15361</t>
  </si>
  <si>
    <t>CM/MTI/2025/02665 - [CCLGC183] POLES WOODEN MIRUNDA  / MRQ/2025/03793</t>
  </si>
  <si>
    <t>STJ/2025/08/15360</t>
  </si>
  <si>
    <t>CM/MTI/2025/02665 - [CCLGC038] TIMBER 2 INCH X 4 INCH UNTREATED / MRQ/2025/03793</t>
  </si>
  <si>
    <t>STJ/2025/08/15359</t>
  </si>
  <si>
    <t>CM/MTI/2025/02665 - [CCLGC023] NAILS SIZE 4'' / MRQ/2025/03793</t>
  </si>
  <si>
    <t>STJ/2025/08/15358</t>
  </si>
  <si>
    <t>CM/MTI/2025/02665 - [CCLGC022] NAILS SIZE 3'' / MRQ/2025/03793</t>
  </si>
  <si>
    <t>STJ/2025/08/15357</t>
  </si>
  <si>
    <t>CM/MTI/2025/02649 - [CCLGC336] NAILS FOR ROOFING SIZE 3'' / MRQ/2025/03766</t>
  </si>
  <si>
    <t>STJ/2025/08/15208</t>
  </si>
  <si>
    <t>CM/MTI/2025/02649 - [CCLGC183] POLES WOODEN MIRUNDA  / MRQ/2025/03766</t>
  </si>
  <si>
    <t>STJ/2025/08/15207</t>
  </si>
  <si>
    <t>CM/MTI/2025/02649 - [CCLGC038] TIMBER 2 INCH X 4 INCH UNTREATED / MRQ/2025/03766</t>
  </si>
  <si>
    <t>STJ/2025/08/15206</t>
  </si>
  <si>
    <t>CM/MTI/2025/02684 - [CCLGC331] TMT BAR SIZE 20 MM GRADE FY500. / MRQ/2025/03787</t>
  </si>
  <si>
    <t>STJ/2025/08/15705</t>
  </si>
  <si>
    <t>CM/MTI/2025/02684 - [CCLGC330] TMT BAR SIZE 16 MM GRADE FY500. / MRQ/2025/03787</t>
  </si>
  <si>
    <t>STJ/2025/08/15704</t>
  </si>
  <si>
    <t>CM/MTI/2025/02684 - [CCLGC329] TMT BAR SIZE 12 MM GRADE FY500. / MRQ/2025/03787</t>
  </si>
  <si>
    <t>STJ/2025/08/15703</t>
  </si>
  <si>
    <t>CM/MTI/2025/02684 - [CCLGC328] TMT BAR SIZE 10 MM GRADE FY500. / MRQ/2025/03787</t>
  </si>
  <si>
    <t>STJ/2025/08/15702</t>
  </si>
  <si>
    <t>CM/MTI/2025/02684 - [CCLGC327] TMT BAR SIZE 8 MM GRADE FY500. / MRQ/2025/03787</t>
  </si>
  <si>
    <t>STJ/2025/08/15701</t>
  </si>
  <si>
    <t>CM/MTI/2025/02684 - [CCLGC032] WIRE FOR BINDING / MRQ/2025/03787</t>
  </si>
  <si>
    <t>STJ/2025/08/15700</t>
  </si>
  <si>
    <t>CM/MTI/2025/02682 - [CWCGC041] CUTTING WHEEL 7'' / MRQ/2025/03814</t>
  </si>
  <si>
    <t>STJ/2025/08/15698</t>
  </si>
  <si>
    <t>CM/MTI/2025/02607 - [CWCWR003] WELDING ELECTRODE MS 6013 SIZE 4 MM X 450 MM / MRQ/2025/03682</t>
  </si>
  <si>
    <t>STJ/2025/08/13339</t>
  </si>
  <si>
    <t>CM/MTI/2025/02607 - [CWCGC041] CUTTING WHEEL 7'' / MRQ/2025/03682</t>
  </si>
  <si>
    <t>STJ/2025/08/13338</t>
  </si>
  <si>
    <t>CM/MTI/2025/02607 - [CIGGS001] GAS OXYGEN FULL CYLINDER, O2 / MRQ/2025/03682</t>
  </si>
  <si>
    <t>STJ/2025/08/13337</t>
  </si>
  <si>
    <t>[CCLGC225] DOOR ALUMINIUM MADE WITH ALUMINIUM PROFILE 10CM BODY SHEET &amp; CLEAR GLASS SIZE 91 CM WIDTH X H 215 CM HEIGHT</t>
  </si>
  <si>
    <t>CM/MTI/2025/02189 - [CCLGC225] DOOR ALUMINIUM MADE WITH ALUMINIUM PROFILE 10CM BODY SHEET &amp; CLEAR GLASS SIZE 91 CM WIDTH X H 215 CM HEIGHT / MRQ/2025/03056</t>
  </si>
  <si>
    <t>STJ/2025/08/00175</t>
  </si>
  <si>
    <t>[CCLGC317] WALL PUTTY/WALL PLASTER</t>
  </si>
  <si>
    <t>CM/MTI/2025/02188 - [CCLGC317] WALL PUTTY/WALL PLASTER / MRQ/2025/03081</t>
  </si>
  <si>
    <t>STJ/2025/08/00174</t>
  </si>
  <si>
    <t>CM/MTI/2025/02209 - [CIGGS001] GAS OXYGEN FULL CYLINDER, O2 / MRQ/2025/03115</t>
  </si>
  <si>
    <t>STJ/2025/08/00725</t>
  </si>
  <si>
    <t>CM/MTI/2025/02220 - [CCLGC328] TMT BAR SIZE 10 MM GRADE FY500. / MRQ/2025/03149</t>
  </si>
  <si>
    <t>STJ/2025/08/01647</t>
  </si>
  <si>
    <t>CM/MTI/2025/02220 - [CCLGC317] WALL PUTTY/WALL PLASTER / MRQ/2025/03149</t>
  </si>
  <si>
    <t>STJ/2025/08/01646</t>
  </si>
  <si>
    <t>CM/MTI/2025/02254 - [CIGGS001] GAS OXYGEN FULL CYLINDER, O2 / MRQ/2025/03136</t>
  </si>
  <si>
    <t>STJ/2025/08/02028</t>
  </si>
  <si>
    <t>[EFSHB115] BOLT HT HEX HEAD M16 X 50MM FULL THREAD WITH NUT AND WASHER GRADE 8.8</t>
  </si>
  <si>
    <t>CM/MTI/2025/02243 - [EFSHB115] BOLT HT HEX HEAD M16 X 50MM FULL THREAD WITH NUT AND WASHER GRADE 8.8 / MRQ/2025/03170</t>
  </si>
  <si>
    <t>STJ/2025/08/02013</t>
  </si>
  <si>
    <t>CM/MTI/2025/02191 - [CWCWR003] WELDING ELECTRODE MS 6013 SIZE 4 MM X 450 MM / MRQ/2025/03074</t>
  </si>
  <si>
    <t>STJ/2025/08/00178</t>
  </si>
  <si>
    <t>CM/MTI/2025/02191 - [CIGGS001] GAS OXYGEN FULL CYLINDER, O2 / MRQ/2025/03074</t>
  </si>
  <si>
    <t>STJ/2025/08/00177</t>
  </si>
  <si>
    <t>CM/MTI/2025/02304 - [CIGGS001] GAS OXYGEN FULL CYLINDER, O2 / MRQ/2025/03245</t>
  </si>
  <si>
    <t>STJ/2025/08/03949</t>
  </si>
  <si>
    <t>CM/MTI/2025/02336 - [CWCGC041] CUTTING WHEEL 7'' / MRQ/2025/03278</t>
  </si>
  <si>
    <t>STJ/2025/08/04763</t>
  </si>
  <si>
    <t>[EFSHB118] BOLT HT HEX HEAD M16 X 75MM FULL THREAD WITH NUT AND WASHER GRADE 8.8</t>
  </si>
  <si>
    <t>CM/MTI/2025/02326 - [EFSHB118] BOLT HT HEX HEAD M16 X 75MM FULL THREAD WITH NUT AND WASHER GRADE 8.8 / MRQ/2025/03313</t>
  </si>
  <si>
    <t>STJ/2025/08/04736</t>
  </si>
  <si>
    <t>[CPAPT037] THINNER SOLVENT</t>
  </si>
  <si>
    <t>CM/MTI/2025/02326 - [CPAPT037] THINNER SOLVENT / MRQ/2025/03313
Rounding Adjustment: -0.01 TSh</t>
  </si>
  <si>
    <t>STJ/2025/08/04735</t>
  </si>
  <si>
    <t>CM/MTI/2025/02326 - [CPAPT007] PAINT RED OXIDE / MRQ/2025/03313</t>
  </si>
  <si>
    <t>STJ/2025/08/04734</t>
  </si>
  <si>
    <t>[EISGS022] SMPS MODULE / INPUT 100-240 VOLT AC 50HZ/ OUT PUT V1 +5VOLT  4 AMPS V2  +24 VOLT  1.4AMPS</t>
  </si>
  <si>
    <t>CM/MTI/2025/02421 - [EISGS022] SMPS MODULE / INPUT 100-240 VOLT AC 50HZ/ OUT PUT V1 +5VOLT  4 AMPS V2  +24 VOLT  1.4AMPS / MRQ/2025/03446</t>
  </si>
  <si>
    <t>STJ/2025/08/07666</t>
  </si>
  <si>
    <t>[EELLT139] LED FOR WEIGHT DISPLAY REMOTE TYPE MODEL IMS-LED-LN02,2 LINE LED DISPLAY WITH 12 CHART PER LINE,100 FEET VISIBILITY WITH CHAR SIZE 4.5"WEATHERPROOF OUTDOOR TYPE POWER SUPLY 230 VAC COMMUNICATION  RS485 SIZE 40 X 18 INCH</t>
  </si>
  <si>
    <t>CM/MTI/2025/02421 - [EELLT139] LED FOR WEIGHT DISPLAY REMOTE TYPE MODEL IMS-LED-LN02,2 LINE LED DISPLAY WITH 12 CHART PER LINE,100 FEET VISIBILITY WITH CHAR SIZE 4.5"WEATHERPROOF OUTDOOR TYPE POWER SUPLY 230 VAC COMMUNICATION  RS485 SIZE 40 X 18 INCH / MRQ/2025/03446</t>
  </si>
  <si>
    <t>STJ/2025/08/07665</t>
  </si>
  <si>
    <t>[EELLT138] TRAFFIC LIGHT COLOUR RED/GREEN MODEL IMS-TRF-GR10 POWER SUPPLY 24 VDC POLYCARBONATE HOUSING OUTDOOR TYPE</t>
  </si>
  <si>
    <t>CM/MTI/2025/02421 - [EELLT138] TRAFFIC LIGHT COLOUR RED/GREEN MODEL IMS-TRF-GR10 POWER SUPPLY 24 VDC POLYCARBONATE HOUSING OUTDOOR TYPE / MRQ/2025/03446</t>
  </si>
  <si>
    <t>STJ/2025/08/07664</t>
  </si>
  <si>
    <t>[CITGC099] RFID READER/WRITER IP BASED HF MODEL IMS-HFR-0016 POWER SUPPLY 5VDC WITH ADOPTER CLAMP MOUNTING MAKE OME-IMAGIC</t>
  </si>
  <si>
    <t>CM/MTI/2025/02421 - [CITGC099] RFID READER/WRITER IP BASED HF MODEL IMS-HFR-0016 POWER SUPPLY 5VDC WITH ADOPTER CLAMP MOUNTING MAKE OME-IMAGIC / MRQ/2025/03446</t>
  </si>
  <si>
    <t>STJ/2025/08/07663</t>
  </si>
  <si>
    <t>[CITGC030] RFID READER WEIGH BRIDGE IMAGIC SOFTWARE 12VDC</t>
  </si>
  <si>
    <t>CM/MTI/2025/02421 - [CITGC030] RFID READER WEIGH BRIDGE IMAGIC SOFTWARE 12VDC / MRQ/2025/03446</t>
  </si>
  <si>
    <t>STJ/2025/08/07662</t>
  </si>
  <si>
    <t>CM/MTI/2025/02436 - [EISGS022] SMPS MODULE / INPUT 100-240 VOLT AC 50HZ/ OUT PUT V1 +5VOLT  4 AMPS V2  +24 VOLT  1.4AMPS / MRQ/2025/03464</t>
  </si>
  <si>
    <t>STJ/2025/08/08039</t>
  </si>
  <si>
    <t>CM/MTI/2025/02436 - [CITGC099] RFID READER/WRITER IP BASED HF MODEL IMS-HFR-0016 POWER SUPPLY 5VDC WITH ADOPTER CLAMP MOUNTING MAKE OME-IMAGIC / MRQ/2025/03464</t>
  </si>
  <si>
    <t>STJ/2025/08/08038</t>
  </si>
  <si>
    <t>[CITGC014] CABINET FOR NETWORK SWITCH 12 RACK MOUNT DEVICE SIZE 590 X 600 X 440 WORKING DEPTH 370MM</t>
  </si>
  <si>
    <t>CM/MTI/2025/02436 - [CITGC014] CABINET FOR NETWORK SWITCH 12 RACK MOUNT DEVICE SIZE 590 X 600 X 440 WORKING DEPTH 370MM / MRQ/2025/03464</t>
  </si>
  <si>
    <t>STJ/2025/08/08037</t>
  </si>
  <si>
    <t>[EELLT091] CONDUIT PIPE MS 25 X 16 SWG LENGTH 6 MTR</t>
  </si>
  <si>
    <t>CM/MTI/2025/02432 - [EELLT091] CONDUIT PIPE MS 25 X 16 SWG LENGTH 6 MTR / MRQ/2025/03481</t>
  </si>
  <si>
    <t>STJ/2025/08/08032</t>
  </si>
  <si>
    <t>[EELSW120] SWITCH 8 PORT 2.5 GIGABIT POE COMPATIBLE WITH 10/100/1000MBPS</t>
  </si>
  <si>
    <t>CM/MTI/2025/02464 - [EELSW120] SWITCH 8 PORT 2.5 GIGABIT POE COMPATIBLE WITH 10/100/1000MBPS / MRQ/2025/03486</t>
  </si>
  <si>
    <t>STJ/2025/08/08904</t>
  </si>
  <si>
    <t>[CITGC126] CABLE CAT6 4PAIR INSULATION SIZE 0.33MM THICK X 6.5MM OD JACKET CLOUR GREY FRAME RATING CM INDOOR</t>
  </si>
  <si>
    <t>CM/MTI/2025/02464 - [CITGC126] CABLE CAT6 4PAIR INSULATION SIZE 0.33MM THICK X 6.5MM OD JACKET CLOUR GREY FRAME RATING CM INDOOR / MRQ/2025/03486</t>
  </si>
  <si>
    <t>STJ/2025/08/08903</t>
  </si>
  <si>
    <t>[CITGC068] CAMERA BULLET  4MP</t>
  </si>
  <si>
    <t>CM/MTI/2025/02464 - [CITGC068] CAMERA BULLET  4MP / MRQ/2025/03486</t>
  </si>
  <si>
    <t>STJ/2025/08/08902</t>
  </si>
  <si>
    <t>[CITGC011] SWITCH ETHERNET  16PORT MAKE DLINK 16PORT GIGABIT ETHERNET UNMANAGED NETWORK SWITCH DESKTOP/RACKMOUNT PLUG IN PLAY (DGS1016C)</t>
  </si>
  <si>
    <t>CM/MTI/2025/02464 - [CITGC011] SWITCH ETHERNET  16PORT MAKE DLINK 16PORT GIGABIT ETHERNET UNMANAGED NETWORK SWITCH DESKTOP/RACKMOUNT PLUG IN PLAY (DGS1016C) / MRQ/2025/03486</t>
  </si>
  <si>
    <t>STJ/2025/08/08901</t>
  </si>
  <si>
    <t>[EISWE094] AMPLIFIER AUDIO 15 WATT POWER SUPPLY 230 VAC MAKE AHUJA</t>
  </si>
  <si>
    <t>CM/MTI/2025/02503 - [EISWE094] AMPLIFIER AUDIO 15 WATT POWER SUPPLY 230 VAC MAKE AHUJA / MRQ/2025/03569</t>
  </si>
  <si>
    <t>STJ/2025/08/10471</t>
  </si>
  <si>
    <t>[EELSW111] SWITCH SOCKET TWIN TYPE 13 AMP 230V MULT PLUG TYPE</t>
  </si>
  <si>
    <t>CM/MTI/2025/02556 - [EELSW111] SWITCH SOCKET TWIN TYPE 13 AMP 230V MULT PLUG TYPE / MRQ/2025/03625</t>
  </si>
  <si>
    <t>STJ/2025/08/11863</t>
  </si>
  <si>
    <t>[EELSW006] SOCKET TWIN TYPE 13 AMP 230V</t>
  </si>
  <si>
    <t>CM/MTI/2025/02556 - [EELSW006] SOCKET TWIN TYPE 13 AMP 230V / MRQ/2025/03625</t>
  </si>
  <si>
    <t>STJ/2025/08/11862</t>
  </si>
  <si>
    <t>[CITGC113] SOFTWARE RFID TRIP COUNTING FOR WEIGHBRIDGE</t>
  </si>
  <si>
    <t>CM/MTI/2025/02569 - [CITGC113] SOFTWARE RFID TRIP COUNTING FOR WEIGHBRIDGE / MRQ/2025/03670</t>
  </si>
  <si>
    <t>STJ/2025/08/12255</t>
  </si>
  <si>
    <t>CM/MTI/2025/02569 - [CITGC100] CARD RFID MODEL IMS-HF-C017 MATERIAL PVC WITH 1 K MEMORY WITH PLASTIC PROTECTIVE CASE MAKE OMEC-IMAGIC / MRQ/2025/03670</t>
  </si>
  <si>
    <t>STJ/2025/08/12254</t>
  </si>
  <si>
    <t>CM/MTI/2025/02589 - [CITGC100] CARD RFID MODEL IMS-HF-C017 MATERIAL PVC WITH 1 K MEMORY WITH PLASTIC PROTECTIVE CASE MAKE OMEC-IMAGIC / MRQ/2025/03679</t>
  </si>
  <si>
    <t>STJ/2025/08/13002</t>
  </si>
  <si>
    <t>CM/MTI/2025/02608 - [EISGS022] SMPS MODULE / INPUT 100-240 VOLT AC 50HZ/ OUT PUT V1 +5VOLT  4 AMPS V2  +24 VOLT  1.4AMPS / MRQ/2025/03707</t>
  </si>
  <si>
    <t>STJ/2025/08/13342</t>
  </si>
  <si>
    <t>CM/MTI/2025/02608 - [EELLT138] TRAFFIC LIGHT COLOUR RED/GREEN MODEL IMS-TRF-GR10 POWER SUPPLY 24 VDC POLYCARBONATE HOUSING OUTDOOR TYPE / MRQ/2025/03707</t>
  </si>
  <si>
    <t>STJ/2025/08/13341</t>
  </si>
  <si>
    <t>CM/MTI/2025/02608 - [CITGC030] RFID READER WEIGH BRIDGE IMAGIC SOFTWARE 12VDC / MRQ/2025/03707</t>
  </si>
  <si>
    <t>STJ/2025/08/13340</t>
  </si>
  <si>
    <t>[EELLT072] PLUG TOP 3 PIN 13 AMPS 230VAC</t>
  </si>
  <si>
    <t>CM/MTI/2025/02377 - [EELLT072] PLUG TOP 3 PIN 13 AMPS 230VAC / MRQ/2025/03392</t>
  </si>
  <si>
    <t>STJ/2025/08/06448</t>
  </si>
  <si>
    <t>[CWCGC079] GRINDING WHEEL 5''</t>
  </si>
  <si>
    <t>CM/MTI/2025/02216 - [CWCGC079] GRINDING WHEEL 5'' / MRQ/2025/03148</t>
  </si>
  <si>
    <t>STJ/2025/08/01635</t>
  </si>
  <si>
    <t>CM/MTI/2025/02215 - [CWCGC041] CUTTING WHEEL 7'' / MRQ/2025/03099
Rounding Adjustment: +0.01 TSh</t>
  </si>
  <si>
    <t>STJ/2025/08/01631</t>
  </si>
  <si>
    <t>LOG/MTI/2025/00756 - [LGS0079] CUTTING WHEEL - 9'' / MRQ/2025/03130</t>
  </si>
  <si>
    <t>STJ/2025/08/01587</t>
  </si>
  <si>
    <t>LOG/MTI/2025/00739 - [ESSAG005] ISA 50 X 50 X 5 / MRQ/2025/03154</t>
  </si>
  <si>
    <t>STJ/2025/08/01522</t>
  </si>
  <si>
    <t>[EPSSP038] PLATE MS 2400 X 1200 X 1.5 MM THICK</t>
  </si>
  <si>
    <t>LOG/MTI/2025/00739 - [EPSSP038] PLATE MS 2400 X 1200 X 1.5 MM THICK / MRQ/2025/03154</t>
  </si>
  <si>
    <t>STJ/2025/08/01521</t>
  </si>
  <si>
    <t>CM/MTI/2025/02264 - [CPAPT007] PAINT RED OXIDE / MRQ/2025/03190</t>
  </si>
  <si>
    <t>STJ/2025/08/02859</t>
  </si>
  <si>
    <t>LOG/MTI/2025/00782 - [EFSHB219] BOLT HT HEX HEAD M16 X 70MM HALF THREAD WITH NUT AND WASHER GRADE 10.9 / MRQ/2025/03204</t>
  </si>
  <si>
    <t>STJ/2025/08/03126</t>
  </si>
  <si>
    <t>LOG/MTI/2025/00794 - [CPAPT033] THINNER HR / MRQ/2025/03262</t>
  </si>
  <si>
    <t>STJ/2025/08/03795</t>
  </si>
  <si>
    <t>LOG/MTI/2025/00829 - [CPAPT033] THINNER HR / MRQ/2025/03405</t>
  </si>
  <si>
    <t>STJ/2025/08/08760</t>
  </si>
  <si>
    <t>[CPAPT002] PAINT GREY AUTOMOBILE</t>
  </si>
  <si>
    <t>LOG/MTI/2025/00848 - [CPAPT002] PAINT GREY AUTOMOBILE / MRQ/2025/03428</t>
  </si>
  <si>
    <t>STJ/2025/08/08702</t>
  </si>
  <si>
    <t>LOG/MTI/2025/00891 - [CCLGC330] TMT BAR SIZE 16 MM GRADE FY500. / MRQ/2025/03550</t>
  </si>
  <si>
    <t>STJ/2025/08/10760</t>
  </si>
  <si>
    <t>CM/MTI/2025/02611 - [CWCWR003] WELDING ELECTRODE MS 6013 SIZE 4 MM X 450 MM / MRQ/2025/03691
Rounding Adjustment: +0.01 TSh</t>
  </si>
  <si>
    <t>STJ/2025/08/13346</t>
  </si>
  <si>
    <t>PACKING-2</t>
  </si>
  <si>
    <t>CWIP-CONSTRUCTION OF PACKING PLANT AND BIG BAG LOADING</t>
  </si>
  <si>
    <t>CM/MTI/2025/02253 - [CPAPT037] THINNER SOLVENT / MRQ/2025/03174</t>
  </si>
  <si>
    <t>STJ/2025/08/02027</t>
  </si>
  <si>
    <t>CM/MTI/2025/02253 - [CPAPT007] PAINT RED OXIDE / MRQ/2025/03174</t>
  </si>
  <si>
    <t>STJ/2025/08/02026</t>
  </si>
  <si>
    <t>CM/MTI/2025/02439 - [CWCWR003] WELDING ELECTRODE MS 6013 SIZE 4 MM X 450 MM / MRQ/2025/03463</t>
  </si>
  <si>
    <t>STJ/2025/08/08046</t>
  </si>
  <si>
    <t>CM/MTI/2025/02439 - [CWCGC041] CUTTING WHEEL 7'' / MRQ/2025/03463
Rounding Adjustment: +0.01 TSh</t>
  </si>
  <si>
    <t>STJ/2025/08/08045</t>
  </si>
  <si>
    <t>[EVLBV030] VALVE BALL TYPE SIZE 50MM</t>
  </si>
  <si>
    <t>CM/MTI/2025/02226 - [EVLBV030] VALVE BALL TYPE SIZE 50MM / MRQ/2025/03160</t>
  </si>
  <si>
    <t>STJ/2025/08/01658</t>
  </si>
  <si>
    <t>[EVLBV025] VALVE BALL TYPE SIZE 3"</t>
  </si>
  <si>
    <t>CM/MTI/2025/02226 - [EVLBV025] VALVE BALL TYPE SIZE 3" / MRQ/2025/03160</t>
  </si>
  <si>
    <t>STJ/2025/08/01657</t>
  </si>
  <si>
    <t>[EMECO201] AIR RECEIVER 2M3 WITH ALL ACCESSORIES</t>
  </si>
  <si>
    <t>CM/MTI/2025/02226 - [EMECO201] AIR RECEIVER 2M3 WITH ALL ACCESSORIES / MRQ/2025/03160</t>
  </si>
  <si>
    <t>STJ/2025/08/01656</t>
  </si>
  <si>
    <t>CM/MTI/2025/02258 - [CWCWR003] WELDING ELECTRODE MS 6013 SIZE 4 MM X 450 MM / MRQ/2025/03135</t>
  </si>
  <si>
    <t>STJ/2025/08/02059</t>
  </si>
  <si>
    <t>CM/MTI/2025/02258 - [CIGGS001] GAS OXYGEN FULL CYLINDER, O2 / MRQ/2025/03135</t>
  </si>
  <si>
    <t>STJ/2025/08/02058</t>
  </si>
  <si>
    <t>CM/MTI/2025/02252 - [CPAPT037] THINNER SOLVENT / MRQ/2025/03172</t>
  </si>
  <si>
    <t>STJ/2025/08/02025</t>
  </si>
  <si>
    <t>[EPSSH013] SHEET FOR ROOFING 920 X 6.0 X 0.4 MM GREEN COLOR</t>
  </si>
  <si>
    <t>CM/MTI/2025/02287 - [EPSSH013] SHEET FOR ROOFING 920 X 6.0 X 0.4 MM GREEN COLOR / MRQ/2025/03235</t>
  </si>
  <si>
    <t>STJ/2025/08/03324</t>
  </si>
  <si>
    <t>[EFSSC003] SCREW 63MM FOR ROOFING SHEET</t>
  </si>
  <si>
    <t>CM/MTI/2025/02287 - [EFSSC003] SCREW 63MM FOR ROOFING SHEET / MRQ/2025/03235</t>
  </si>
  <si>
    <t>STJ/2025/08/03323</t>
  </si>
  <si>
    <t>CM/MTI/2025/02287 - [CIGGS005] GAS LIQUEFIED PETROLEUM FULL CYLINDER, LPG CAPACITY 15KG / MRQ/2025/03235</t>
  </si>
  <si>
    <t>STJ/2025/08/03321</t>
  </si>
  <si>
    <t>CM/MTI/2025/02287 - [CIGGS001] GAS OXYGEN FULL CYLINDER, O2 / MRQ/2025/03235</t>
  </si>
  <si>
    <t>STJ/2025/08/03320</t>
  </si>
  <si>
    <t>CM/MTI/2025/02311 - [EFSSC003] SCREW 63MM FOR ROOFING SHEET / MRQ/2025/03279</t>
  </si>
  <si>
    <t>STJ/2025/08/03965</t>
  </si>
  <si>
    <t>CM/MTI/2025/02311 - [CWCWR003] WELDING ELECTRODE MS 6013 SIZE 4 MM X 450 MM / MRQ/2025/03279</t>
  </si>
  <si>
    <t>STJ/2025/08/03964</t>
  </si>
  <si>
    <t>CM/MTI/2025/02311 - [CWCGC041] CUTTING WHEEL 7'' / MRQ/2025/03279</t>
  </si>
  <si>
    <t>STJ/2025/08/03963</t>
  </si>
  <si>
    <t>CM/MTI/2025/02311 - [CIGGS005] GAS LIQUEFIED PETROLEUM FULL CYLINDER, LPG CAPACITY 15KG / MRQ/2025/03279</t>
  </si>
  <si>
    <t>STJ/2025/08/03962</t>
  </si>
  <si>
    <t>CM/MTI/2025/02329 - [EVLBV030] VALVE BALL TYPE SIZE 50MM / MRQ/2025/03305</t>
  </si>
  <si>
    <t>STJ/2025/08/04751</t>
  </si>
  <si>
    <t>[EPFPI027] PIPE MS SIZE 2" DIA X 6000 MM LONG CLASS C</t>
  </si>
  <si>
    <t>CM/MTI/2025/02329 - [EPFPI027] PIPE MS SIZE 2" DIA X 6000 MM LONG CLASS C / MRQ/2025/03305</t>
  </si>
  <si>
    <t>STJ/2025/08/04750</t>
  </si>
  <si>
    <t>[EVLBV010] VALVE BALL TYPE SIZE 3/4''</t>
  </si>
  <si>
    <t>CM/MTI/2025/02367 - [EVLBV010] VALVE BALL TYPE SIZE 3/4'' / MRQ/2025/03368</t>
  </si>
  <si>
    <t>STJ/2025/08/06142</t>
  </si>
  <si>
    <t>[EPFNP013] NIPPLE SIZE 3/4" MATERIAL MS</t>
  </si>
  <si>
    <t>CM/MTI/2025/02367 - [EPFNP013] NIPPLE SIZE 3/4" MATERIAL MS / MRQ/2025/03368</t>
  </si>
  <si>
    <t>STJ/2025/08/06141</t>
  </si>
  <si>
    <t>CM/MTI/2025/02361 - [CWCWR003] WELDING ELECTRODE MS 6013 SIZE 4 MM X 450 MM / MRQ/2025/03314
Rounding Adjustment: +0.01 TSh</t>
  </si>
  <si>
    <t>STJ/2025/08/06129</t>
  </si>
  <si>
    <t>CM/MTI/2025/02361 - [CWCGC041] CUTTING WHEEL 7'' / MRQ/2025/03314</t>
  </si>
  <si>
    <t>STJ/2025/08/06128</t>
  </si>
  <si>
    <t>CM/MTI/2025/02379 - [EPSSH013] SHEET FOR ROOFING 920 X 6.0 X 0.4 MM GREEN COLOR / MRQ/2025/03386</t>
  </si>
  <si>
    <t>STJ/2025/08/06452</t>
  </si>
  <si>
    <t>CM/MTI/2025/02379 - [EFSSC003] SCREW 63MM FOR ROOFING SHEET / MRQ/2025/03386</t>
  </si>
  <si>
    <t>STJ/2025/08/06451</t>
  </si>
  <si>
    <t>CM/MTI/2025/02379 - [CWCGC041] CUTTING WHEEL 7'' / MRQ/2025/03386</t>
  </si>
  <si>
    <t>STJ/2025/08/06450</t>
  </si>
  <si>
    <t>CM/MTI/2025/02491 - [EPFPI027] PIPE MS SIZE 2" DIA X 6000 MM LONG CLASS C / MRQ/2025/03487</t>
  </si>
  <si>
    <t>STJ/2025/08/09916</t>
  </si>
  <si>
    <t>CM/MTI/2025/02481 - [EVLBV030] VALVE BALL TYPE SIZE 50MM / MRQ/2025/03552</t>
  </si>
  <si>
    <t>STJ/2025/08/09899</t>
  </si>
  <si>
    <t>CM/MTI/2025/02563 - [CWCWR003] WELDING ELECTRODE MS 6013 SIZE 4 MM X 450 MM / MRQ/2025/03621
Rounding Adjustment: -0.01 TSh</t>
  </si>
  <si>
    <t>STJ/2025/08/11887</t>
  </si>
  <si>
    <t>CM/MTI/2025/02563 - [CWCGC041] CUTTING WHEEL 7'' / MRQ/2025/03621</t>
  </si>
  <si>
    <t>STJ/2025/08/11886</t>
  </si>
  <si>
    <t>CM/MTI/2025/02563 - [CIGGS005] GAS LIQUEFIED PETROLEUM FULL CYLINDER, LPG CAPACITY 15KG / MRQ/2025/03621</t>
  </si>
  <si>
    <t>STJ/2025/08/11885</t>
  </si>
  <si>
    <t>CM/MTI/2025/02563 - [CIGGS001] GAS OXYGEN FULL CYLINDER, O2 / MRQ/2025/03621</t>
  </si>
  <si>
    <t>STJ/2025/08/11884</t>
  </si>
  <si>
    <t>CM/MTI/2025/02675 - [EFSHB096] BOLT HT HEX HEAD M12 X 50MM FULL THREAD WITH NUT AND WASHER GRADE 8.8 / MRQ/2025/03775</t>
  </si>
  <si>
    <t>STJ/2025/08/15385</t>
  </si>
  <si>
    <t>CM/MTI/2025/02675 - [CWCWR003] WELDING ELECTRODE MS 6013 SIZE 4 MM X 450 MM / MRQ/2025/03775
Rounding Adjustment: +0.01 TSh</t>
  </si>
  <si>
    <t>STJ/2025/08/15384</t>
  </si>
  <si>
    <t>CM/MTI/2025/02675 - [CWCGC041] CUTTING WHEEL 7'' / MRQ/2025/03775</t>
  </si>
  <si>
    <t>STJ/2025/08/15383</t>
  </si>
  <si>
    <t>CM/MTI/2025/02675 - [CIGGS001] GAS OXYGEN FULL CYLINDER, O2 / MRQ/2025/03775</t>
  </si>
  <si>
    <t>STJ/2025/08/15382</t>
  </si>
  <si>
    <t>[EBRCR009] BEARING CYLINDRICAL ROLLER NU224 C3</t>
  </si>
  <si>
    <t>CM/MTI/2025/02680 - [EBRCR009] BEARING CYLINDRICAL ROLLER NU224 C3 / MRQ/2025/03781</t>
  </si>
  <si>
    <t>STJ/2025/08/15395</t>
  </si>
  <si>
    <t>[EBRCR005] BEARING CYLINDRICAL ROLLER NU218 C3</t>
  </si>
  <si>
    <t>CM/MTI/2025/02680 - [EBRCR005] BEARING CYLINDRICAL ROLLER NU218 C3 / MRQ/2025/03781</t>
  </si>
  <si>
    <t>STJ/2025/08/15394</t>
  </si>
  <si>
    <t>[EBRBL097] BEARING BALL 6218</t>
  </si>
  <si>
    <t>CM/MTI/2025/02680 - [EBRBL097] BEARING BALL 6218 / MRQ/2025/03781</t>
  </si>
  <si>
    <t>STJ/2025/08/15393</t>
  </si>
  <si>
    <t>[EPFPI030] PIPE MS SIZE 4" DIA X 6000 MM LONG CLASS C</t>
  </si>
  <si>
    <t>CM/MTI/2025/02270 - [EPFPI030] PIPE MS SIZE 4" DIA X 6000 MM LONG CLASS C / MRQ/2025/03173</t>
  </si>
  <si>
    <t>STJ/2025/08/02867</t>
  </si>
  <si>
    <t>CM/MTI/2025/02270 - [CWCWR003] WELDING ELECTRODE MS 6013 SIZE 4 MM X 450 MM / MRQ/2025/03173
Rounding Adjustment: -0.01 TSh</t>
  </si>
  <si>
    <t>STJ/2025/08/02866</t>
  </si>
  <si>
    <t>CM/MTI/2025/02287 - [CWCWR003] WELDING ELECTRODE MS 6013 SIZE 4 MM X 450 MM / MRQ/2025/03235</t>
  </si>
  <si>
    <t>STJ/2025/08/03322</t>
  </si>
  <si>
    <t>[EFSHB122] BOLT HT HEX HEAD M16 X 100MM FULL THREAD WITH NUT AND WASHER GRADE 8.8</t>
  </si>
  <si>
    <t>CM/MTI/2025/02280 - [EFSHB122] BOLT HT HEX HEAD M16 X 100MM FULL THREAD WITH NUT AND WASHER GRADE 8.8 / MRQ/2025/03230</t>
  </si>
  <si>
    <t>STJ/2025/08/03288</t>
  </si>
  <si>
    <t>CM/MTI/2025/02361 - [CIGGS001] GAS OXYGEN FULL CYLINDER, O2 / MRQ/2025/03314</t>
  </si>
  <si>
    <t>STJ/2025/08/06127</t>
  </si>
  <si>
    <t>CM/MTI/2025/02456 - [CPAPT037] THINNER SOLVENT / MRQ/2025/03491</t>
  </si>
  <si>
    <t>STJ/2025/08/08876</t>
  </si>
  <si>
    <t>CM/MTI/2025/02488 - [CWCWR003] WELDING ELECTRODE MS 6013 SIZE 4 MM X 450 MM / MRQ/2025/03529
Rounding Adjustment: +0.01 TSh</t>
  </si>
  <si>
    <t>STJ/2025/08/09912</t>
  </si>
  <si>
    <t>CM/MTI/2025/02488 - [CIGGS001] GAS OXYGEN FULL CYLINDER, O2 / MRQ/2025/03529</t>
  </si>
  <si>
    <t>STJ/2025/08/09911</t>
  </si>
  <si>
    <t>[CCLGC184] PAINT BRUSH 1''</t>
  </si>
  <si>
    <t>CM/MTI/2025/02527 - [CCLGC184] PAINT BRUSH 1'' / MRQ/2025/03607</t>
  </si>
  <si>
    <t>STJ/2025/08/10963</t>
  </si>
  <si>
    <t>CM/MTI/2025/02554 - [CIGGS001] GAS OXYGEN FULL CYLINDER, O2 / MRQ/2025/03630</t>
  </si>
  <si>
    <t>STJ/2025/08/11860</t>
  </si>
  <si>
    <t>CM/MTI/2025/02573 - [CWCWR003] WELDING ELECTRODE MS 6013 SIZE 4 MM X 450 MM / MRQ/2025/03671
Rounding Adjustment: +0.01 TSh</t>
  </si>
  <si>
    <t>STJ/2025/08/12265</t>
  </si>
  <si>
    <t>CM/MTI/2025/02573 - [CPAPT037] THINNER SOLVENT / MRQ/2025/03671</t>
  </si>
  <si>
    <t>STJ/2025/08/12264</t>
  </si>
  <si>
    <t>CM/MTI/2025/02587 - [CPAPT037] THINNER SOLVENT / MRQ/2025/03683
Rounding Adjustment: -0.01 TSh</t>
  </si>
  <si>
    <t>STJ/2025/08/12995</t>
  </si>
  <si>
    <t>CEMENT MILL -2</t>
  </si>
  <si>
    <t>CM/MTI/2025/02560 - [EFSHB118] BOLT HT HEX HEAD M16 X 75MM FULL THREAD WITH NUT AND WASHER GRADE 8.8 / MRQ/2025/03624</t>
  </si>
  <si>
    <t>STJ/2025/08/11878</t>
  </si>
  <si>
    <t>CM/MTI/2025/02560 - [EFSHB096] BOLT HT HEX HEAD M12 X 50MM FULL THREAD WITH NUT AND WASHER GRADE 8.8 / MRQ/2025/03624</t>
  </si>
  <si>
    <t>STJ/2025/08/11877</t>
  </si>
  <si>
    <t>[EELSW013] SWITCH VISUAL CUT OFF 40 AMP 3 PHASE</t>
  </si>
  <si>
    <t>CM/MTI/2025/02357 - [EELSW013] SWITCH VISUAL CUT OFF 40 AMP 3 PHASE / MRQ/2025/03345</t>
  </si>
  <si>
    <t>STJ/2025/08/06117</t>
  </si>
  <si>
    <t>[EMEPA003] PUMP HIGH PRESSURE PART NO. H51-417218-9 RADIAL PISTON PUMP 5 LPM PRESSURE 350 BAR MAKE DOWTY</t>
  </si>
  <si>
    <t>CM/MTI/2025/01831 - [EMEPA003] PUMP HIGH PRESSURE PART NO. H51-417218-9 RADIAL PISTON PUMP 5 LPM PRESSURE 350 BAR MAKE DOWTY / MRQ/2025/02549</t>
  </si>
  <si>
    <t>STJ/2025/07/05648</t>
  </si>
  <si>
    <t>[EELSW063] PRESSURE SWITCH RANGE 2 TO 20KG/CM2  MODEL NO. GM 201 02 ATK 22 BZ</t>
  </si>
  <si>
    <t>CM/MTI/2025/02122 - [EELSW063] PRESSURE SWITCH RANGE 2 TO 20KG/CM2  MODEL NO. GM 201 02 ATK 22 BZ / MRQ/2025/02980</t>
  </si>
  <si>
    <t>STJ/2025/07/15090</t>
  </si>
  <si>
    <t xml:space="preserve">[EISSN040] PROXIMITY INDUCTIVE SENSOR TYPE NJ2 MODEL NO. 12GM50 WS </t>
  </si>
  <si>
    <t>CM/MTI/2025/02022 - [EISSN040] PROXIMITY INDUCTIVE SENSOR TYPE NJ2 MODEL NO. 12GM50 WS  / MRQ/2025/02851</t>
  </si>
  <si>
    <t>STJ/2025/07/12381</t>
  </si>
  <si>
    <t xml:space="preserve">[EELSW027] FLOW SWITCH  60LPM 110VAC MAKE KHRONE </t>
  </si>
  <si>
    <t>CM/MTI/2025/01785 - [EELSW027] FLOW SWITCH  60LPM 110VAC MAKE KHRONE  / MRQ/2025/02489</t>
  </si>
  <si>
    <t>STJ/2025/07/04190</t>
  </si>
  <si>
    <t>[EELPC073] CONTACTOR POWER 3RT2026-1AL20 COIL VOLTAGE 230VAC WITH 1NO+1NC MAKE SIEMENS</t>
  </si>
  <si>
    <t>CM/MTI/2025/02089 - [EELPC073] CONTACTOR POWER 3RT2026-1AL20 COIL VOLTAGE 230VAC WITH 1NO+1NC MAKE SIEMENS / MRQ/2025/02898</t>
  </si>
  <si>
    <t>STJ/2025/07/13829</t>
  </si>
  <si>
    <t>[EFSAL002] BOLT HT ALLEN HEAD M6 X 25MM FULL THREAD GRADE 8.8</t>
  </si>
  <si>
    <t>CM/MTI/2025/02091 - [EFSAL002] BOLT HT ALLEN HEAD M6 X 25MM FULL THREAD GRADE 8.8 / MRQ/2025/02892</t>
  </si>
  <si>
    <t>STJ/2025/07/13836</t>
  </si>
  <si>
    <t xml:space="preserve">[EFSAL009] BOLT HT ALLEN HEAD M8 X 25MM FULL THREAD GRADE 10.9 </t>
  </si>
  <si>
    <t>CM/MTI/2025/02091 - [EFSAL009] BOLT HT ALLEN HEAD M8 X 25MM FULL THREAD GRADE 10.9  / MRQ/2025/02892</t>
  </si>
  <si>
    <t>STJ/2025/07/13837</t>
  </si>
  <si>
    <t>[EFSHB211] BOLT HT HEX HEAD M5 X 20 FULL THREAD WITH NUT AND WASHER GRADE 8.8</t>
  </si>
  <si>
    <t>CM/MTI/2025/02091 - [EFSHB211] BOLT HT HEX HEAD M5 X 20 FULL THREAD WITH NUT AND WASHER GRADE 8.8 / MRQ/2025/02892</t>
  </si>
  <si>
    <t>STJ/2025/07/13838</t>
  </si>
  <si>
    <t>[EFSSC017] SCREW SLOTTED HEAD SIZE 3" MODEL 4BA</t>
  </si>
  <si>
    <t>CM/MTI/2025/02091 - [EFSSC017] SCREW SLOTTED HEAD SIZE 3" MODEL 4BA / MRQ/2025/02892</t>
  </si>
  <si>
    <t>STJ/2025/07/13839</t>
  </si>
  <si>
    <t>[CPALO010] LOCTITE 574</t>
  </si>
  <si>
    <t>CM/MTI/2025/02009 - [CPALO010] LOCTITE 574 / MRQ/2025/02815</t>
  </si>
  <si>
    <t>STJ/2025/07/11720</t>
  </si>
  <si>
    <t>[EELEM120] CARBON BRUSH HOLDER SIZE 40 X 40 X 20 MM</t>
  </si>
  <si>
    <t>CM/MTI/2025/01991 - [EELEM120] CARBON BRUSH HOLDER SIZE 40 X 40 X 20 MM / MRQ/2025/02751</t>
  </si>
  <si>
    <t>STJ/2025/07/11355</t>
  </si>
  <si>
    <t>[CPALO007] LOCTITE 412</t>
  </si>
  <si>
    <t>CM/MTI/2025/01919 - [CPALO007] LOCTITE 412 / MRQ/2025/02638</t>
  </si>
  <si>
    <t>STJ/2025/07/08801</t>
  </si>
  <si>
    <t xml:space="preserve">[EELEM096] MOTOR DRIVE END COVER KW 110 TYPE M2BA315SM MOUNTING FOOT BEARING DE 6322 C3   </t>
  </si>
  <si>
    <t>CM/MTI/2025/01919 - [EELEM096] MOTOR DRIVE END COVER KW 110 TYPE M2BA315SM MOUNTING FOOT BEARING DE 6322 C3    / MRQ/2025/02638</t>
  </si>
  <si>
    <t>STJ/2025/07/08802</t>
  </si>
  <si>
    <t>[EELEM170] MOTOR NDE FAN COVER FOR 2.2 KW FRAME 100L</t>
  </si>
  <si>
    <t>CM/MTI/2025/01919 - [EELEM170] MOTOR NDE FAN COVER FOR 2.2 KW FRAME 100L / MRQ/2025/02638</t>
  </si>
  <si>
    <t>STJ/2025/07/08803</t>
  </si>
  <si>
    <t xml:space="preserve">[EELPC001] CONTACTOR POWER AC3 9 AMP COIL VOLTAGE 230VAC WITH 1NO </t>
  </si>
  <si>
    <t>CM/MTI/2025/01853 - [EELPC001] CONTACTOR POWER AC3 9 AMP COIL VOLTAGE 230VAC WITH 1NO  / MRQ/2025/02573</t>
  </si>
  <si>
    <t>STJ/2025/07/06479</t>
  </si>
  <si>
    <t>[EELPC090] CONTACT AUXILIARY BLOCK MODEL CA 5-01 1NC  MAKE ABB</t>
  </si>
  <si>
    <t>CM/MTI/2025/01836 - [EELPC090] CONTACT AUXILIARY BLOCK MODEL CA 5-01 1NC  MAKE ABB / MRQ/2025/02559</t>
  </si>
  <si>
    <t>STJ/2025/07/05663</t>
  </si>
  <si>
    <t>[EELPC091] CONTACT AUXILIARY BLOCK MODEL CA 5-01 1NO  MAKE ABB</t>
  </si>
  <si>
    <t>CM/MTI/2025/01836 - [EELPC091] CONTACT AUXILIARY BLOCK MODEL CA 5-01 1NO  MAKE ABB / MRQ/2025/02559</t>
  </si>
  <si>
    <t>STJ/2025/07/05664</t>
  </si>
  <si>
    <t xml:space="preserve">[EELEM094] MOTOR DRIVE END COVER KW 90 TYPE M2BA315SMA4 MOUNTING FOOT BEARING DE 6319 C3   </t>
  </si>
  <si>
    <t>CM/MTI/2025/01837 - [EELEM094] MOTOR DRIVE END COVER KW 90 TYPE M2BA315SMA4 MOUNTING FOOT BEARING DE 6319 C3    / MRQ/2025/02558</t>
  </si>
  <si>
    <t>STJ/2025/07/05665</t>
  </si>
  <si>
    <t>CM/MTI/2025/01839 - [CWCGC041] CUTTING WHEEL 7'' / MRQ/2025/02536
Rounding Adjustment: +0.01 TSh</t>
  </si>
  <si>
    <t>STJ/2025/07/05667</t>
  </si>
  <si>
    <t>[CWCWR001] WELDING ELECTRODE MS 6013 SIZE 2.5 MM X 350 MM</t>
  </si>
  <si>
    <t>CM/MTI/2025/01839 - [CWCWR001] WELDING ELECTRODE MS 6013 SIZE 2.5 MM X 350 MM / MRQ/2025/02536
Rounding Adjustment: +0.01 TSh</t>
  </si>
  <si>
    <t>STJ/2025/07/05668</t>
  </si>
  <si>
    <t>[EELCB010] CABLE ARMOURED DOUBLE LAYER TAPE ALUMINIUM 95 SQMM X 3.5 CORE 1.1KV</t>
  </si>
  <si>
    <t>CEMENT MILL -1</t>
  </si>
  <si>
    <t>CM/MTI/2025/02158 - [EELCB010] CABLE ARMOURED DOUBLE LAYER TAPE ALUMINIUM 95 SQMM X 3.5 CORE 1.1KV / MRQ/2025/02993</t>
  </si>
  <si>
    <t>STJ/2025/07/15589</t>
  </si>
  <si>
    <t>USD</t>
  </si>
  <si>
    <t>801015</t>
  </si>
  <si>
    <t>AMENITIES &amp; OTHER RELATED EXP</t>
  </si>
  <si>
    <t>BEING PAYMENTS FOR VISA PAYMENT FOR SWAPNIL MANOHAR KHOBRAGADE (CPW EXPERT)-NATHA GODHANIA</t>
  </si>
  <si>
    <t>PCV (PETTY CASH FACTORY)</t>
  </si>
  <si>
    <t>PCVFY/2025/07/0108</t>
  </si>
  <si>
    <t>CM/MTI/2025/02163 - [CPMBG006] BAG EMPTY FOR CEMENT PACKING GRADE 42.5N MATERIAL WOVEN POLYPROPYLENE CAPACITY 1MT COLOR RED / MRQ/2025/02843</t>
  </si>
  <si>
    <t>STJ/2025/07/16277</t>
  </si>
  <si>
    <t>CM/MTI/2025/01982 - [CPMBG002] BAG EMPTY FOR CEMENT PACKING GRADE 42.5R MATERIAL WOVEN POLYPROPYLENE CAPACITY 50KG COLOR ORANGE / MRQ/2025/02677</t>
  </si>
  <si>
    <t>STJ/2025/07/11336</t>
  </si>
  <si>
    <t>CM/MTI/2025/02167 - [CPMBG002] BAG EMPTY FOR CEMENT PACKING GRADE 42.5R MATERIAL WOVEN POLYPROPYLENE CAPACITY 50KG COLOR ORANGE / MRQ/2025/02813</t>
  </si>
  <si>
    <t>STJ/2025/07/16284</t>
  </si>
  <si>
    <t>CM/MTI/2025/02159 - [CPMBG002] BAG EMPTY FOR CEMENT PACKING GRADE 42.5R MATERIAL WOVEN POLYPROPYLENE CAPACITY 50KG COLOR ORANGE / MRQ/2025/02859</t>
  </si>
  <si>
    <t>STJ/2025/07/16268</t>
  </si>
  <si>
    <t>CM/MTI/2025/02113 - [CCLGC002] AGGREGATE GRANITE SIZE 14 MM TO 20 MM  / MRQ/2025/02967</t>
  </si>
  <si>
    <t>STJ/2025/07/15069</t>
  </si>
  <si>
    <t>CM/MTI/2025/01695 - [CPAPT037] THINNER SOLVENT / MRQ/2025/02336</t>
  </si>
  <si>
    <t>STJ/2025/07/00898</t>
  </si>
  <si>
    <t>[CPAPT009] PAINT OIL BLACK</t>
  </si>
  <si>
    <t>CM/MTI/2025/01695 - [CPAPT009] PAINT OIL BLACK / MRQ/2025/02336
Rounding Adjustment: -0.01 TSh</t>
  </si>
  <si>
    <t>STJ/2025/07/00897</t>
  </si>
  <si>
    <t>CM/MTI/2025/01695 - [CPAPT007] PAINT RED OXIDE / MRQ/2025/02336</t>
  </si>
  <si>
    <t>STJ/2025/07/00896</t>
  </si>
  <si>
    <t>CM/MTI/2025/01931 - [CCLGC330] TMT BAR SIZE 16 MM GRADE FY500. / MRQ/2025/02675</t>
  </si>
  <si>
    <t>STJ/2025/07/08833</t>
  </si>
  <si>
    <t>CM/MTI/2025/01931 - [CCLGC328] TMT BAR SIZE 10 MM GRADE FY500. / MRQ/2025/02675</t>
  </si>
  <si>
    <t>STJ/2025/07/08832</t>
  </si>
  <si>
    <t>CM/MTI/2025/01931 - [CCLGC032] WIRE FOR BINDING / MRQ/2025/02675</t>
  </si>
  <si>
    <t>STJ/2025/07/08831</t>
  </si>
  <si>
    <t>[CCLGC028] NAILS CONCRETE SIZE 4''</t>
  </si>
  <si>
    <t>CM/MTI/2025/01931 - [CCLGC028] NAILS CONCRETE SIZE 4'' / MRQ/2025/02675</t>
  </si>
  <si>
    <t>STJ/2025/07/08830</t>
  </si>
  <si>
    <t>CM/MTI/2025/01931 - [CCLGC023] NAILS SIZE 4'' / MRQ/2025/02675</t>
  </si>
  <si>
    <t>STJ/2025/07/08829</t>
  </si>
  <si>
    <t>CM/MTI/2025/02008 - [CIGGS005] GAS LIQUEFIED PETROLEUM FULL CYLINDER, LPG CAPACITY 15KG / MRQ/2025/02814</t>
  </si>
  <si>
    <t>STJ/2025/07/11719</t>
  </si>
  <si>
    <t>CM/MTI/2025/02008 - [CIGGS001] GAS OXYGEN FULL CYLINDER, O2 / MRQ/2025/02814</t>
  </si>
  <si>
    <t>STJ/2025/07/11718</t>
  </si>
  <si>
    <t>CM/MTI/2025/02031 - [CCLGC328] TMT BAR SIZE 10 MM GRADE FY500. / MRQ/2025/02840</t>
  </si>
  <si>
    <t>STJ/2025/07/12405</t>
  </si>
  <si>
    <t>CM/MTI/2025/02031 - [CCLGC327] TMT BAR SIZE 8 MM GRADE FY500. / MRQ/2025/02840</t>
  </si>
  <si>
    <t>STJ/2025/07/12404</t>
  </si>
  <si>
    <t>CM/MTI/2025/02031 - [CCLGC028] NAILS CONCRETE SIZE 4'' / MRQ/2025/02840</t>
  </si>
  <si>
    <t>STJ/2025/07/12403</t>
  </si>
  <si>
    <t>CM/MTI/2025/02112 - [CCLGC002] AGGREGATE GRANITE SIZE 14 MM TO 20 MM  / MRQ/2025/02966</t>
  </si>
  <si>
    <t>STJ/2025/07/15068</t>
  </si>
  <si>
    <t>CM/MTI/2025/02157 - [CCLGC330] TMT BAR SIZE 16 MM GRADE FY500. / MRQ/2025/02978</t>
  </si>
  <si>
    <t>STJ/2025/07/15588</t>
  </si>
  <si>
    <t>CM/MTI/2025/02157 - [CCLGC328] TMT BAR SIZE 10 MM GRADE FY500. / MRQ/2025/02978</t>
  </si>
  <si>
    <t>STJ/2025/07/15587</t>
  </si>
  <si>
    <t>CM/MTI/2025/01818 - [EFSHB118] BOLT HT HEX HEAD M16 X 75MM FULL THREAD WITH NUT AND WASHER GRADE 8.8 / MRQ/2025/02508</t>
  </si>
  <si>
    <t>STJ/2025/07/05475</t>
  </si>
  <si>
    <t>CM/MTI/2025/01818 - [CPAPT037] THINNER SOLVENT / MRQ/2025/02508</t>
  </si>
  <si>
    <t>STJ/2025/07/05474</t>
  </si>
  <si>
    <t>CM/MTI/2025/01818 - [CPAPT009] PAINT OIL BLACK / MRQ/2025/02508</t>
  </si>
  <si>
    <t>STJ/2025/07/05473</t>
  </si>
  <si>
    <t>CM/MTI/2025/01929 - [CPAPT037] THINNER SOLVENT / MRQ/2025/02673</t>
  </si>
  <si>
    <t>STJ/2025/07/08827</t>
  </si>
  <si>
    <t>CM/MTI/2025/01920 - [CPAPT009] PAINT OIL BLACK / MRQ/2025/02660</t>
  </si>
  <si>
    <t>STJ/2025/07/08805</t>
  </si>
  <si>
    <t>CM/MTI/2025/01920 - [CIGGS001] GAS OXYGEN FULL CYLINDER, O2 / MRQ/2025/02660</t>
  </si>
  <si>
    <t>STJ/2025/07/08804</t>
  </si>
  <si>
    <t>CM/MTI/2025/02115 - [CIGGS001] GAS OXYGEN FULL CYLINDER, O2 / MRQ/2025/02970</t>
  </si>
  <si>
    <t>STJ/2025/07/15079</t>
  </si>
  <si>
    <t>LOG/MTI/2025/00601 - [LGS0079] CUTTING WHEEL - 9'' / MRQ/2025/02631</t>
  </si>
  <si>
    <t>STJ/2025/07/07783</t>
  </si>
  <si>
    <t>CM/MTI/2025/01926 - [CWCWR003] WELDING ELECTRODE MS 6013 SIZE 4 MM X 450 MM / MRQ/2025/02582</t>
  </si>
  <si>
    <t>STJ/2025/07/08819</t>
  </si>
  <si>
    <t>LOG/MTI/2025/00625 - [LGS0079] CUTTING WHEEL - 9'' / MRQ/2025/02681</t>
  </si>
  <si>
    <t>STJ/2025/07/09689</t>
  </si>
  <si>
    <t>LOG/MTI/2025/00618 - [LGS0079] CUTTING WHEEL - 9'' / MRQ/2025/02705</t>
  </si>
  <si>
    <t>STJ/2025/07/09659</t>
  </si>
  <si>
    <t>LOG/MTI/2025/00649 - [LGS0079] CUTTING WHEEL - 9'' / MRQ/2025/02762</t>
  </si>
  <si>
    <t>STJ/2025/07/11617</t>
  </si>
  <si>
    <t>LOG/MTI/2025/00648 - [LGS0079] CUTTING WHEEL - 9'' / MRQ/2025/02763</t>
  </si>
  <si>
    <t>STJ/2025/07/11605</t>
  </si>
  <si>
    <t>CM/MTI/2025/02059 - [CWCWR003] WELDING ELECTRODE MS 6013 SIZE 4 MM X 450 MM / MRQ/2025/02819</t>
  </si>
  <si>
    <t>STJ/2025/07/12868</t>
  </si>
  <si>
    <t>CM/MTI/2025/02068 - [CWCGC079] GRINDING WHEEL 5'' / MRQ/2025/02914</t>
  </si>
  <si>
    <t>STJ/2025/07/13187</t>
  </si>
  <si>
    <t>LOG/MTI/2025/00665 - [LGS0079] CUTTING WHEEL - 9'' / MRQ/2025/02831</t>
  </si>
  <si>
    <t>STJ/2025/07/13593</t>
  </si>
  <si>
    <t>LOG/MTI/2025/00677 - [LGS0079] CUTTING WHEEL - 9'' / MRQ/2025/02795</t>
  </si>
  <si>
    <t>STJ/2025/07/14978</t>
  </si>
  <si>
    <t>[LGS0053] PLASTIC PU PIPE - 12MM</t>
  </si>
  <si>
    <t>LOG/MTI/2025/00669 - [LGS0053] PLASTIC PU PIPE - 12MM / MRQ/2025/02828
Rounding Adjustment: +0.01 TSh</t>
  </si>
  <si>
    <t>STJ/2025/07/14930</t>
  </si>
  <si>
    <t>[LGS0038] METAL CONNECTOR 12MM</t>
  </si>
  <si>
    <t>LOG/MTI/2025/00669 - [LGS0038] METAL CONNECTOR 12MM / MRQ/2025/02828</t>
  </si>
  <si>
    <t>STJ/2025/07/14928</t>
  </si>
  <si>
    <t>LOG/MTI/2025/00732 - [LGS0079] CUTTING WHEEL - 9'' / MRQ/2025/03068</t>
  </si>
  <si>
    <t>STJ/2025/07/16342</t>
  </si>
  <si>
    <t>CM/MTI/2025/01654 - [CIGGS001] GAS OXYGEN FULL CYLINDER, O2 / MRQ/2025/02284</t>
  </si>
  <si>
    <t>STJ/2025/07/00139</t>
  </si>
  <si>
    <t>CM/MTI/2025/01654 - [CIGGS005] GAS LIQUEFIED PETROLEUM FULL CYLINDER, LPG CAPACITY 15KG / MRQ/2025/02284</t>
  </si>
  <si>
    <t>STJ/2025/07/00140</t>
  </si>
  <si>
    <t>CM/MTI/2025/01654 - [CWCGC041] CUTTING WHEEL 7'' / MRQ/2025/02284</t>
  </si>
  <si>
    <t>STJ/2025/07/00141</t>
  </si>
  <si>
    <t xml:space="preserve">[EPFBN003] BEND MS SIZE 3/4'' </t>
  </si>
  <si>
    <t>CM/MTI/2025/01654 - [EPFBN003] BEND MS SIZE 3/4''  / MRQ/2025/02284</t>
  </si>
  <si>
    <t>STJ/2025/07/00142</t>
  </si>
  <si>
    <t>CM/MTI/2025/01700 - [EFSHB096] BOLT HT HEX HEAD M12 X 50MM FULL THREAD WITH NUT AND WASHER GRADE 8.8 / MRQ/2025/02341
Rounding Adjustment: -0.01 TSh</t>
  </si>
  <si>
    <t>STJ/2025/07/00914</t>
  </si>
  <si>
    <t>CM/MTI/2025/01654 - [EPFNP013] NIPPLE SIZE 3/4" MATERIAL MS / MRQ/2025/02284</t>
  </si>
  <si>
    <t>STJ/2025/07/00143</t>
  </si>
  <si>
    <t>[EFSHB082] BOLT HT HEX HEAD M10 X 50MM HALF THREAD WITH NUT AND WASHER GRADE 8.8</t>
  </si>
  <si>
    <t>CM/MTI/2025/01700 - [EFSHB082] BOLT HT HEX HEAD M10 X 50MM HALF THREAD WITH NUT AND WASHER GRADE 8.8 / MRQ/2025/02341</t>
  </si>
  <si>
    <t>STJ/2025/07/00913</t>
  </si>
  <si>
    <t>CM/MTI/2025/01700 - [CWCWR003] WELDING ELECTRODE MS 6013 SIZE 4 MM X 450 MM / MRQ/2025/02341</t>
  </si>
  <si>
    <t>STJ/2025/07/00912</t>
  </si>
  <si>
    <t>CM/MTI/2025/01700 - [CWCGC041] CUTTING WHEEL 7'' / MRQ/2025/02341</t>
  </si>
  <si>
    <t>STJ/2025/07/00911</t>
  </si>
  <si>
    <t>CM/MTI/2025/01718 - [CWCWR003] WELDING ELECTRODE MS 6013 SIZE 4 MM X 450 MM / MRQ/2025/02363
Rounding Adjustment: +0.01 TSh</t>
  </si>
  <si>
    <t>STJ/2025/07/01422</t>
  </si>
  <si>
    <t>CM/MTI/2025/01718 - [CWCGC041] CUTTING WHEEL 7'' / MRQ/2025/02363</t>
  </si>
  <si>
    <t>STJ/2025/07/01421</t>
  </si>
  <si>
    <t>CM/MTI/2025/01718 - [CPAPT037] THINNER SOLVENT / MRQ/2025/02363
Rounding Adjustment: -0.01 TSh</t>
  </si>
  <si>
    <t>STJ/2025/07/01420</t>
  </si>
  <si>
    <t xml:space="preserve">[EFSHB117] BOLT HT HEX HEAD M16 X 65MM HALF THREAD GRADE 8.8 </t>
  </si>
  <si>
    <t>CM/MTI/2025/01717 - [EFSHB117] BOLT HT HEX HEAD M16 X 65MM HALF THREAD GRADE 8.8  / MRQ/2025/02353
Rounding Adjustment: -0.01 TSh</t>
  </si>
  <si>
    <t>STJ/2025/07/01417</t>
  </si>
  <si>
    <t>CM/MTI/2025/01717 - [EFSHB096] BOLT HT HEX HEAD M12 X 50MM FULL THREAD WITH NUT AND WASHER GRADE 8.8 / MRQ/2025/02353</t>
  </si>
  <si>
    <t>STJ/2025/07/01416</t>
  </si>
  <si>
    <t>CM/MTI/2025/01729 - [CWCWR003] WELDING ELECTRODE MS 6013 SIZE 4 MM X 450 MM / MRQ/2025/02395</t>
  </si>
  <si>
    <t>STJ/2025/07/01894</t>
  </si>
  <si>
    <t>CM/MTI/2025/01729 - [CWCGC041] CUTTING WHEEL 7'' / MRQ/2025/02395</t>
  </si>
  <si>
    <t>STJ/2025/07/01893</t>
  </si>
  <si>
    <t>[EVLBY009] VALVE BUTTERFLY TYPE SIZE 100NB</t>
  </si>
  <si>
    <t>CM/MTI/2025/01727 - [EVLBY009] VALVE BUTTERFLY TYPE SIZE 100NB / MRQ/2025/02401</t>
  </si>
  <si>
    <t>STJ/2025/07/01891</t>
  </si>
  <si>
    <t>CM/MTI/2025/01757 - [CWCWR003] WELDING ELECTRODE MS 6013 SIZE 4 MM X 450 MM / MRQ/2025/02422</t>
  </si>
  <si>
    <t>STJ/2025/07/03490</t>
  </si>
  <si>
    <t>CM/MTI/2025/01757 - [CWCGC041] CUTTING WHEEL 7'' / MRQ/2025/02422</t>
  </si>
  <si>
    <t>STJ/2025/07/03489</t>
  </si>
  <si>
    <t>CM/MTI/2025/01757 - [CPAPT037] THINNER SOLVENT / MRQ/2025/02422
Rounding Adjustment: +0.01 TSh</t>
  </si>
  <si>
    <t>STJ/2025/07/03488</t>
  </si>
  <si>
    <t>CM/MTI/2025/01757 - [CPAPT007] PAINT RED OXIDE / MRQ/2025/02422</t>
  </si>
  <si>
    <t>STJ/2025/07/03487</t>
  </si>
  <si>
    <t>CM/MTI/2025/01757 - [CIGGS016] GAS LIQUEFIED PETROLEUM FULL CYLINDER, LPG CAPACITY 40KG / MRQ/2025/02422</t>
  </si>
  <si>
    <t>STJ/2025/07/03486</t>
  </si>
  <si>
    <t>CM/MTI/2025/01757 - [CIGGS005] GAS LIQUEFIED PETROLEUM FULL CYLINDER, LPG CAPACITY 15KG / MRQ/2025/02422</t>
  </si>
  <si>
    <t>STJ/2025/07/03485</t>
  </si>
  <si>
    <t>CM/MTI/2025/01757 - [CIGGS001] GAS OXYGEN FULL CYLINDER, O2 / MRQ/2025/02422</t>
  </si>
  <si>
    <t>STJ/2025/07/03484</t>
  </si>
  <si>
    <t>CM/MTI/2025/01749 - [EFSHB096] BOLT HT HEX HEAD M12 X 50MM FULL THREAD WITH NUT AND WASHER GRADE 8.8 / MRQ/2025/02410
Rounding Adjustment: +0.01 TSh</t>
  </si>
  <si>
    <t>STJ/2025/07/03408</t>
  </si>
  <si>
    <t>CM/MTI/2025/01774 - [EFSHB144] BOLT HT HEX HEAD M20 X 125MM FULL THREAD WITH NUT AND WASHER GRADE 8.8 / MRQ/2025/02458
Rounding Adjustment: +0.01 TSh</t>
  </si>
  <si>
    <t>STJ/2025/07/03876</t>
  </si>
  <si>
    <t>CM/MTI/2025/01774 - [EFSHB122] BOLT HT HEX HEAD M16 X 100MM FULL THREAD WITH NUT AND WASHER GRADE 8.8 / MRQ/2025/02458</t>
  </si>
  <si>
    <t>STJ/2025/07/03875</t>
  </si>
  <si>
    <t>CM/MTI/2025/01774 - [CWCWR003] WELDING ELECTRODE MS 6013 SIZE 4 MM X 450 MM / MRQ/2025/02458</t>
  </si>
  <si>
    <t>STJ/2025/07/03874</t>
  </si>
  <si>
    <t>CM/MTI/2025/01774 - [CWCGC041] CUTTING WHEEL 7'' / MRQ/2025/02458
Rounding Adjustment: +0.01 TSh</t>
  </si>
  <si>
    <t>STJ/2025/07/03873</t>
  </si>
  <si>
    <t>[EMEWP067] PLATE STEEL HARDOX 400, 2500 X 1200 X 10 MM THICK</t>
  </si>
  <si>
    <t>CM/MTI/2025/01768 - [EMEWP067] PLATE STEEL HARDOX 400, 2500 X 1200 X 10 MM THICK / MRQ/2025/02435</t>
  </si>
  <si>
    <t>STJ/2025/07/03856</t>
  </si>
  <si>
    <t xml:space="preserve">[EMEKM129] STRAINER SIZE 50NB 300MICRON Y -TYPE MAKE SCIENTIC DEVICE </t>
  </si>
  <si>
    <t>CM/MTI/2025/01791 - [EMEKM129] STRAINER SIZE 50NB 300MICRON Y -TYPE MAKE SCIENTIC DEVICE  / MRQ/2025/02465</t>
  </si>
  <si>
    <t>STJ/2025/07/04201</t>
  </si>
  <si>
    <t>[EMEKM009] FILTER DUPLEX 60LPM 80MICRON MATERIAL SS MESH BODY-CS MAKE BHAGWATI</t>
  </si>
  <si>
    <t>CM/MTI/2025/01791 - [EMEKM009] FILTER DUPLEX 60LPM 80MICRON MATERIAL SS MESH BODY-CS MAKE BHAGWATI / MRQ/2025/02465</t>
  </si>
  <si>
    <t>STJ/2025/07/04200</t>
  </si>
  <si>
    <t>CM/MTI/2025/01788 - [CWCWR003] WELDING ELECTRODE MS 6013 SIZE 4 MM X 450 MM / MRQ/2025/02478</t>
  </si>
  <si>
    <t>STJ/2025/07/04197</t>
  </si>
  <si>
    <t>CM/MTI/2025/01788 - [CWCGC041] CUTTING WHEEL 7'' / MRQ/2025/02478</t>
  </si>
  <si>
    <t>STJ/2025/07/04196</t>
  </si>
  <si>
    <t>[EMECM073] LEVEL GAUGE FLUSH TYPE MAKE HYDAX</t>
  </si>
  <si>
    <t>CM/MTI/2025/01819 - [EMECM073] LEVEL GAUGE FLUSH TYPE MAKE HYDAX / MRQ/2025/02520</t>
  </si>
  <si>
    <t>STJ/2025/07/05476</t>
  </si>
  <si>
    <t>CM/MTI/2025/01810 - [CWCWR003] WELDING ELECTRODE MS 6013 SIZE 4 MM X 450 MM / MRQ/2025/02517</t>
  </si>
  <si>
    <t>STJ/2025/07/05457</t>
  </si>
  <si>
    <t>CM/MTI/2025/01810 - [CWCGC041] CUTTING WHEEL 7'' / MRQ/2025/02517</t>
  </si>
  <si>
    <t>STJ/2025/07/05456</t>
  </si>
  <si>
    <t>[EFSHB098] BOLT HT HEX HEAD M12 X 70MM FULL THREAD WITH NUT AND WASHER GRADE 8.8</t>
  </si>
  <si>
    <t>CM/MTI/2025/01857 - [EFSHB098] BOLT HT HEX HEAD M12 X 70MM FULL THREAD WITH NUT AND WASHER GRADE 8.8 / MRQ/2025/02586</t>
  </si>
  <si>
    <t>STJ/2025/07/06487</t>
  </si>
  <si>
    <t>[EFSHB155] BOLT HT HEX HEAD M24X 100MM FULL THREAD WITH NUT AND WASHER GRADE 8.8</t>
  </si>
  <si>
    <t>CM/MTI/2025/01856 - [EFSHB155] BOLT HT HEX HEAD M24X 100MM FULL THREAD WITH NUT AND WASHER GRADE 8.8 / MRQ/2025/02584</t>
  </si>
  <si>
    <t>STJ/2025/07/06486</t>
  </si>
  <si>
    <t>CM/MTI/2025/01856 - [EFSHB096] BOLT HT HEX HEAD M12 X 50MM FULL THREAD WITH NUT AND WASHER GRADE 8.8 / MRQ/2025/02584
Rounding Adjustment: -0.01 TSh</t>
  </si>
  <si>
    <t>STJ/2025/07/06485</t>
  </si>
  <si>
    <t>CM/MTI/2025/01876 - [EFSHB144] BOLT HT HEX HEAD M20 X 125MM FULL THREAD WITH NUT AND WASHER GRADE 8.8 / MRQ/2025/02606</t>
  </si>
  <si>
    <t>STJ/2025/07/07532</t>
  </si>
  <si>
    <t>CM/MTI/2025/01876 - [EFSHB122] BOLT HT HEX HEAD M16 X 100MM FULL THREAD WITH NUT AND WASHER GRADE 8.8 / MRQ/2025/02606</t>
  </si>
  <si>
    <t>STJ/2025/07/07531</t>
  </si>
  <si>
    <t>CM/MTI/2025/01874 - [CWCWR003] WELDING ELECTRODE MS 6013 SIZE 4 MM X 450 MM / MRQ/2025/02592
Rounding Adjustment: +0.01 TSh</t>
  </si>
  <si>
    <t>STJ/2025/07/07527</t>
  </si>
  <si>
    <t>CM/MTI/2025/01874 - [CWCGC041] CUTTING WHEEL 7'' / MRQ/2025/02592</t>
  </si>
  <si>
    <t>STJ/2025/07/07526</t>
  </si>
  <si>
    <t>CM/MTI/2025/01874 - [CIGGS005] GAS LIQUEFIED PETROLEUM FULL CYLINDER, LPG CAPACITY 15KG / MRQ/2025/02592</t>
  </si>
  <si>
    <t>STJ/2025/07/07525</t>
  </si>
  <si>
    <t>CM/MTI/2025/01874 - [CIGGS001] GAS OXYGEN FULL CYLINDER, O2 / MRQ/2025/02592</t>
  </si>
  <si>
    <t>STJ/2025/07/07524</t>
  </si>
  <si>
    <t>CM/MTI/2025/01895 - [CWCWR003] WELDING ELECTRODE MS 6013 SIZE 4 MM X 450 MM / MRQ/2025/02630</t>
  </si>
  <si>
    <t>STJ/2025/07/08224</t>
  </si>
  <si>
    <t>CM/MTI/2025/01895 - [CWCGC041] CUTTING WHEEL 7'' / MRQ/2025/02630</t>
  </si>
  <si>
    <t>STJ/2025/07/08223</t>
  </si>
  <si>
    <t>CM/MTI/2025/01946 - [CWCWR003] WELDING ELECTRODE MS 6013 SIZE 4 MM X 450 MM / MRQ/2025/02684</t>
  </si>
  <si>
    <t>STJ/2025/07/09422</t>
  </si>
  <si>
    <t>CM/MTI/2025/01937 - [CIGGS001] GAS OXYGEN FULL CYLINDER, O2 / MRQ/2025/02703</t>
  </si>
  <si>
    <t>STJ/2025/07/09399</t>
  </si>
  <si>
    <t>CM/MTI/2025/01954 - [CWCWR003] WELDING ELECTRODE MS 6013 SIZE 4 MM X 450 MM / MRQ/2025/02720</t>
  </si>
  <si>
    <t>STJ/2025/07/09919</t>
  </si>
  <si>
    <t>CM/MTI/2025/01954 - [CWCGC041] CUTTING WHEEL 7'' / MRQ/2025/02720
Rounding Adjustment: +0.01 TSh</t>
  </si>
  <si>
    <t>STJ/2025/07/09918</t>
  </si>
  <si>
    <t>CM/MTI/2025/01990 - [CWCWR003] WELDING ELECTRODE MS 6013 SIZE 4 MM X 450 MM / MRQ/2025/02749</t>
  </si>
  <si>
    <t>STJ/2025/07/11354</t>
  </si>
  <si>
    <t>CM/MTI/2025/01990 - [CWCGC041] CUTTING WHEEL 7'' / MRQ/2025/02749</t>
  </si>
  <si>
    <t>STJ/2025/07/11353</t>
  </si>
  <si>
    <t>CM/MTI/2025/01990 - [CIGGS001] GAS OXYGEN FULL CYLINDER, O2 / MRQ/2025/02749</t>
  </si>
  <si>
    <t>STJ/2025/07/11352</t>
  </si>
  <si>
    <t>[EFSHB020] BOLT MS HEX HEAD M10 X 60MM FULL THREAD WITH NUT AND WASHER GRADE 4.6</t>
  </si>
  <si>
    <t>CM/MTI/2025/01989 - [EFSHB020] BOLT MS HEX HEAD M10 X 60MM FULL THREAD WITH NUT AND WASHER GRADE 4.6 / MRQ/2025/02790</t>
  </si>
  <si>
    <t>STJ/2025/07/11351</t>
  </si>
  <si>
    <t>[EFSHB097] BOLT HT HEX HEAD M12 X 60MM HALF THREAD WITH NUT AND WASHER GRADE 8.8</t>
  </si>
  <si>
    <t>CM/MTI/2025/01984 - [EFSHB097] BOLT HT HEX HEAD M12 X 60MM HALF THREAD WITH NUT AND WASHER GRADE 8.8 / MRQ/2025/02783
Rounding Adjustment: +0.01 TSh</t>
  </si>
  <si>
    <t>STJ/2025/07/11341</t>
  </si>
  <si>
    <t>[EMERM094] FILTER BAG SIZE 150 MM DIA X 3000 MM LONG POLY NEEDLE FELT</t>
  </si>
  <si>
    <t>CM/MTI/2025/02004 - [EMERM094] FILTER BAG SIZE 150 MM DIA X 3000 MM LONG POLY NEEDLE FELT / MRQ/2025/02806
Rounding Adjustment: +0.01 TSh</t>
  </si>
  <si>
    <t>STJ/2025/07/11712</t>
  </si>
  <si>
    <t>CM/MTI/2025/02037 - [CWCWR003] WELDING ELECTRODE MS 6013 SIZE 4 MM X 450 MM / MRQ/2025/02834</t>
  </si>
  <si>
    <t>STJ/2025/07/12413</t>
  </si>
  <si>
    <t>CM/MTI/2025/02037 - [CIGGS005] GAS LIQUEFIED PETROLEUM FULL CYLINDER, LPG CAPACITY 15KG / MRQ/2025/02834</t>
  </si>
  <si>
    <t>STJ/2025/07/12412</t>
  </si>
  <si>
    <t>CM/MTI/2025/02037 - [CIGGS001] GAS OXYGEN FULL CYLINDER, O2 / MRQ/2025/02834</t>
  </si>
  <si>
    <t>STJ/2025/07/12411</t>
  </si>
  <si>
    <t>[EFSHB140] BOLT HT HEX HEAD M20 X 80MM FULL THREAD WITH NUT AND WASHER GRADE 8.8</t>
  </si>
  <si>
    <t>CM/MTI/2025/02028 - [EFSHB140] BOLT HT HEX HEAD M20 X 80MM FULL THREAD WITH NUT AND WASHER GRADE 8.8 / MRQ/2025/02838
Rounding Adjustment: -0.01 TSh</t>
  </si>
  <si>
    <t>STJ/2025/07/12396</t>
  </si>
  <si>
    <t>[EVLBV013] VALVE BALL TYPE SIZE 1-1/2''</t>
  </si>
  <si>
    <t>CM/MTI/2025/02025 - [EVLBV013] VALVE BALL TYPE SIZE 1-1/2'' / MRQ/2025/02823</t>
  </si>
  <si>
    <t>STJ/2025/07/12386</t>
  </si>
  <si>
    <t>[EVLBV012] VALVE BALL TYPE SIZE 1''</t>
  </si>
  <si>
    <t>CM/MTI/2025/02025 - [EVLBV012] VALVE BALL TYPE SIZE 1'' / MRQ/2025/02823</t>
  </si>
  <si>
    <t>STJ/2025/07/12385</t>
  </si>
  <si>
    <t>CM/MTI/2025/02058 - [EFSHB098] BOLT HT HEX HEAD M12 X 70MM FULL THREAD WITH NUT AND WASHER GRADE 8.8 / MRQ/2025/02888</t>
  </si>
  <si>
    <t>STJ/2025/07/12866</t>
  </si>
  <si>
    <t xml:space="preserve">[EMEPG002] PRESSURE GAUGE RANGE  0 TO 16 BAR 100 MM DIAL MAKE WIKA </t>
  </si>
  <si>
    <t>CM/MTI/2025/02051 - [EMEPG002] PRESSURE GAUGE RANGE  0 TO 16 BAR 100 MM DIAL MAKE WIKA  / MRQ/2025/02867</t>
  </si>
  <si>
    <t>STJ/2025/07/12852</t>
  </si>
  <si>
    <t xml:space="preserve">[EMEKM144] INDICATOR DIFFERENTIAL PRESSURE RANGE 0 TO 1.6 BAR 1SPDT 110VAC PART NO. H56-310923-1 MAKE SWITZER FOR COAL MILL SLIDE SHOE LUBRICATION SYSTEM </t>
  </si>
  <si>
    <t>CM/MTI/2025/02051 - [EMEKM144] INDICATOR DIFFERENTIAL PRESSURE RANGE 0 TO 1.6 BAR 1SPDT 110VAC PART NO. H56-310923-1 MAKE SWITZER FOR COAL MILL SLIDE SHOE LUBRICATION SYSTEM  / MRQ/2025/02867</t>
  </si>
  <si>
    <t>STJ/2025/07/12851</t>
  </si>
  <si>
    <t xml:space="preserve">[EMEKM013] FILTER BAG SIZE 150 MM DIA X 3660 MM LONG POLY NEEDLE ANTISTATIC </t>
  </si>
  <si>
    <t>CM/MTI/2025/02063 - [EMEKM013] FILTER BAG SIZE 150 MM DIA X 3660 MM LONG POLY NEEDLE ANTISTATIC  / MRQ/2025/02896</t>
  </si>
  <si>
    <t>STJ/2025/07/13167</t>
  </si>
  <si>
    <t>[EMECM005] CAGE SIZE 143 MM DIA X 3605 MM  FOR CEMENT MILL BAG FILTER 631BF3  WITH VENTURI,AS PER DRG NO.LCL/MECH/CMNT.M/10 -REV01</t>
  </si>
  <si>
    <t>CM/MTI/2025/02063 - [EMECM005] CAGE SIZE 143 MM DIA X 3605 MM  FOR CEMENT MILL BAG FILTER 631BF3  WITH VENTURI,AS PER DRG NO.LCL/MECH/CMNT.M/10 -REV01 / MRQ/2025/02896
Rounding Adjustment: +0.01 TSh</t>
  </si>
  <si>
    <t>STJ/2025/07/13166</t>
  </si>
  <si>
    <t>[CPALD001] VISOLITE POWDER</t>
  </si>
  <si>
    <t>CM/MTI/2025/02098 - [CPALD001] VISOLITE POWDER / MRQ/2025/02922</t>
  </si>
  <si>
    <t>STJ/2025/07/13856</t>
  </si>
  <si>
    <t>CM/MTI/2025/02087 - [EFSHB096] BOLT HT HEX HEAD M12 X 50MM FULL THREAD WITH NUT AND WASHER GRADE 8.8 / MRQ/2025/02948
Rounding Adjustment: +0.01 TSh</t>
  </si>
  <si>
    <t>STJ/2025/07/13825</t>
  </si>
  <si>
    <t>[EMERM096] COLLECTOR PAPER FOR ELECTROSTATIC OIL CLEANER MODEL ELC 50</t>
  </si>
  <si>
    <t>CM/MTI/2025/02128 - [EMERM096] COLLECTOR PAPER FOR ELECTROSTATIC OIL CLEANER MODEL ELC 50 / MRQ/2025/02991</t>
  </si>
  <si>
    <t>STJ/2025/07/15106</t>
  </si>
  <si>
    <t>CM/MTI/2025/02147 - [EVLBV012] VALVE BALL TYPE SIZE 1'' / MRQ/2025/03027</t>
  </si>
  <si>
    <t>STJ/2025/07/15563</t>
  </si>
  <si>
    <t xml:space="preserve">[EPFCL007] CLAMP SIZE 3'' FOR HOSE </t>
  </si>
  <si>
    <t>CM/MTI/2025/02147 - [EPFCL007] CLAMP SIZE 3'' FOR HOSE  / MRQ/2025/03027</t>
  </si>
  <si>
    <t>STJ/2025/07/15562</t>
  </si>
  <si>
    <t>CM/MTI/2025/02147 - [EFSHB140] BOLT HT HEX HEAD M20 X 80MM FULL THREAD WITH NUT AND WASHER GRADE 8.8 / MRQ/2025/03027</t>
  </si>
  <si>
    <t>STJ/2025/07/15561</t>
  </si>
  <si>
    <t>CM/MTI/2025/02147 - [EFSHB096] BOLT HT HEX HEAD M12 X 50MM FULL THREAD WITH NUT AND WASHER GRADE 8.8 / MRQ/2025/03027</t>
  </si>
  <si>
    <t>STJ/2025/07/15560</t>
  </si>
  <si>
    <t>CM/MTI/2025/02160 - [CWCWR003] WELDING ELECTRODE MS 6013 SIZE 4 MM X 450 MM / MRQ/2025/03045</t>
  </si>
  <si>
    <t>STJ/2025/07/16270</t>
  </si>
  <si>
    <t>CM/MTI/2025/01665 - [CWCWR003] WELDING ELECTRODE MS 6013 SIZE 4 MM X 450 MM / MRQ/2025/02299</t>
  </si>
  <si>
    <t>STJ/2025/07/00352</t>
  </si>
  <si>
    <t>CM/MTI/2025/01955 - [CPAPT037] THINNER SOLVENT / MRQ/2025/02727</t>
  </si>
  <si>
    <t>STJ/2025/07/09922</t>
  </si>
  <si>
    <t>CM/MTI/2025/01955 - [CPAPT007] PAINT RED OXIDE / MRQ/2025/02727</t>
  </si>
  <si>
    <t>STJ/2025/07/09921</t>
  </si>
  <si>
    <t>[EMEOS005] SEAL OIL AM-15 X 24 X 7 AM</t>
  </si>
  <si>
    <t>CM/MTI/2025/02066 - [EMEOS005] SEAL OIL AM-15 X 24 X 7 AM / MRQ/2025/02910</t>
  </si>
  <si>
    <t>STJ/2025/07/13179</t>
  </si>
  <si>
    <t>CM/MTI/2025/01641 - [CWCGC041] CUTTING WHEEL 7'' / MRQ/2025/02266</t>
  </si>
  <si>
    <t>STJ/2025/07/00114</t>
  </si>
  <si>
    <t>CM/MTI/2025/01671 - [EFSSC003] SCREW 63MM FOR ROOFING SHEET / MRQ/2025/02309</t>
  </si>
  <si>
    <t>STJ/2025/07/00361</t>
  </si>
  <si>
    <t>CM/MTI/2025/01671 - [CWCGC041] CUTTING WHEEL 7'' / MRQ/2025/02309</t>
  </si>
  <si>
    <t>STJ/2025/07/00360</t>
  </si>
  <si>
    <t>CM/MTI/2025/01719 - [CWCWR003] WELDING ELECTRODE MS 6013 SIZE 4 MM X 450 MM / MRQ/2025/02366</t>
  </si>
  <si>
    <t>STJ/2025/07/01424</t>
  </si>
  <si>
    <t>CM/MTI/2025/01719 - [CWCGC041] CUTTING WHEEL 7'' / MRQ/2025/02366</t>
  </si>
  <si>
    <t>STJ/2025/07/01423</t>
  </si>
  <si>
    <t>CM/MTI/2025/01732 - [CWCGC041] CUTTING WHEEL 7'' / MRQ/2025/02402</t>
  </si>
  <si>
    <t>STJ/2025/07/01908</t>
  </si>
  <si>
    <t>CM/MTI/2025/01756 - [CWCWR003] WELDING ELECTRODE MS 6013 SIZE 4 MM X 450 MM / MRQ/2025/02420</t>
  </si>
  <si>
    <t>STJ/2025/07/03483</t>
  </si>
  <si>
    <t>CM/MTI/2025/01756 - [CWCGC041] CUTTING WHEEL 7'' / MRQ/2025/02420</t>
  </si>
  <si>
    <t>STJ/2025/07/03482</t>
  </si>
  <si>
    <t>CM/MTI/2025/01756 - [CIGGS005] GAS LIQUEFIED PETROLEUM FULL CYLINDER, LPG CAPACITY 15KG / MRQ/2025/02420</t>
  </si>
  <si>
    <t>STJ/2025/07/03481</t>
  </si>
  <si>
    <t>CM/MTI/2025/01756 - [CIGGS001] GAS OXYGEN FULL CYLINDER, O2 / MRQ/2025/02420</t>
  </si>
  <si>
    <t>STJ/2025/07/03480</t>
  </si>
  <si>
    <t>CM/MTI/2025/01790 - [CWCGC041] CUTTING WHEEL 7'' / MRQ/2025/02474</t>
  </si>
  <si>
    <t>STJ/2025/07/04199</t>
  </si>
  <si>
    <t>[EFSHB113] BOLT HT HEX HEAD M16 X 40MM FULL THREAD WITH NUT AND WASHER GRADE 8.8</t>
  </si>
  <si>
    <t>CM/MTI/2025/01810 - [EFSHB113] BOLT HT HEX HEAD M16 X 40MM FULL THREAD WITH NUT AND WASHER GRADE 8.8 / MRQ/2025/02517</t>
  </si>
  <si>
    <t>STJ/2025/07/05458</t>
  </si>
  <si>
    <t>CM/MTI/2025/01852 - [CWCGC041] CUTTING WHEEL 7'' / MRQ/2025/02572
Rounding Adjustment: -0.01 TSh</t>
  </si>
  <si>
    <t>STJ/2025/07/06478</t>
  </si>
  <si>
    <t>[EMECB095] IDLER RETURN SPIRAL FOR 800MM BELT WIDTH DIA -133MM L -950 L2 -1002</t>
  </si>
  <si>
    <t>CM/MTI/2025/01875 - [EMECB095] IDLER RETURN SPIRAL FOR 800MM BELT WIDTH DIA -133MM L -950 L2 -1002 / MRQ/2025/02601
Rounding Adjustment: -0.01 TSh</t>
  </si>
  <si>
    <t>STJ/2025/07/07528</t>
  </si>
  <si>
    <t>CM/MTI/2025/01901 - [CWCWR003] WELDING ELECTRODE MS 6013 SIZE 4 MM X 450 MM / MRQ/2025/02626</t>
  </si>
  <si>
    <t>STJ/2025/07/08237</t>
  </si>
  <si>
    <t>[CWCGC038] GRINDING WHEEL 4''</t>
  </si>
  <si>
    <t>CM/MTI/2025/01901 - [CWCGC038] GRINDING WHEEL 4'' / MRQ/2025/02626</t>
  </si>
  <si>
    <t>STJ/2025/07/08236</t>
  </si>
  <si>
    <t>[EFSHB145] BOLT HT HEX HEAD M20 X 140MM FULL THREAD WITH NUT AND WASHER GRADE 8.8</t>
  </si>
  <si>
    <t>CM/MTI/2025/01946 - [EFSHB145] BOLT HT HEX HEAD M20 X 140MM FULL THREAD WITH NUT AND WASHER GRADE 8.8 / MRQ/2025/02684</t>
  </si>
  <si>
    <t>STJ/2025/07/09423</t>
  </si>
  <si>
    <t>[EMEBE027] BUCKET FOR GYPSUM FEEDING CHAIN ELEVATOR AS PER DRAWING NO LCL/MECH/CMII/102 R-0</t>
  </si>
  <si>
    <t>CM/MTI/2025/01954 - [EMEBE027] BUCKET FOR GYPSUM FEEDING CHAIN ELEVATOR AS PER DRAWING NO LCL/MECH/CMII/102 R-0 / MRQ/2025/02720</t>
  </si>
  <si>
    <t>STJ/2025/07/09920</t>
  </si>
  <si>
    <t>CM/MTI/2025/01986 - [CWCWR003] WELDING ELECTRODE MS 6013 SIZE 4 MM X 450 MM / MRQ/2025/02782
Rounding Adjustment: -0.01 TSh</t>
  </si>
  <si>
    <t>STJ/2025/07/11346</t>
  </si>
  <si>
    <t>CM/MTI/2025/01986 - [CIGGS005] GAS LIQUEFIED PETROLEUM FULL CYLINDER, LPG CAPACITY 15KG / MRQ/2025/02782</t>
  </si>
  <si>
    <t>STJ/2025/07/11345</t>
  </si>
  <si>
    <t>CM/MTI/2025/01986 - [CIGGS001] GAS OXYGEN FULL CYLINDER, O2 / MRQ/2025/02782</t>
  </si>
  <si>
    <t>STJ/2025/07/11344</t>
  </si>
  <si>
    <t>CM/MTI/2025/01984 - [EFSHB115] BOLT HT HEX HEAD M16 X 50MM FULL THREAD WITH NUT AND WASHER GRADE 8.8 / MRQ/2025/02783</t>
  </si>
  <si>
    <t>STJ/2025/07/11342</t>
  </si>
  <si>
    <t>CM/MTI/2025/02037 - [EFSHB097] BOLT HT HEX HEAD M12 X 60MM HALF THREAD WITH NUT AND WASHER GRADE 8.8 / MRQ/2025/02834</t>
  </si>
  <si>
    <t>STJ/2025/07/12414</t>
  </si>
  <si>
    <t>CM/MTI/2025/02100 - [CWCWR003] WELDING ELECTRODE MS 6013 SIZE 4 MM X 450 MM / MRQ/2025/02903
Rounding Adjustment: -0.01 TSh</t>
  </si>
  <si>
    <t>STJ/2025/07/13859</t>
  </si>
  <si>
    <t>CM/MTI/2025/02100 - [CWCGC041] CUTTING WHEEL 7'' / MRQ/2025/02903
Rounding Adjustment: +0.01 TSh</t>
  </si>
  <si>
    <t>STJ/2025/07/13858</t>
  </si>
  <si>
    <t>CM/MTI/2025/02115 - [CWCGC041] CUTTING WHEEL 7'' / MRQ/2025/02970</t>
  </si>
  <si>
    <t>STJ/2025/07/15081</t>
  </si>
  <si>
    <t>CM/MTI/2025/02115 - [CIGGS005] GAS LIQUEFIED PETROLEUM FULL CYLINDER, LPG CAPACITY 15KG / MRQ/2025/02970</t>
  </si>
  <si>
    <t>STJ/2025/07/15080</t>
  </si>
  <si>
    <t>851005</t>
  </si>
  <si>
    <t>INHOUSE LOGISTICS</t>
  </si>
  <si>
    <t>CASH PAID FOR REMOVING OF AXILS FROM OLD BULKER AND SERVICING ,RELOCATING PLATES FOR Z SPRING AND FITING IS NEW TRAILER</t>
  </si>
  <si>
    <t>PCV (PETTY CASH LOGISTIC)</t>
  </si>
  <si>
    <t>PCVLG/2025/05/0018</t>
  </si>
  <si>
    <t>CASH PAID FOR FABRICATION OF NEW TRAILERS</t>
  </si>
  <si>
    <t>PCVLG/2025/05/0037</t>
  </si>
  <si>
    <t>CASH PAID FOR BENDING OF MS PLATE FOR REAR BUMPER AND MUDGUARD FOR NEW TRAILER</t>
  </si>
  <si>
    <t>PCVLG/2025/05/0029</t>
  </si>
  <si>
    <t>PCVLG/2025/05/0065</t>
  </si>
  <si>
    <t>CASH PAID FOR REMOVING ,SHIFTING OF Z SPRING MOUNTING PLATES ,SERVICE OF AXILS AND FITTING IN NEW TRAILER  REMOBING FROM OLG BULKER</t>
  </si>
  <si>
    <t>PCVLG/2025/05/0117</t>
  </si>
  <si>
    <t>851004</t>
  </si>
  <si>
    <t>CASH PAID FOR FABRICATION OF HINGES 100PCS @5000 FOR NEW TRAILERS</t>
  </si>
  <si>
    <t>PCVLG/2025/05/0116</t>
  </si>
  <si>
    <t>CASH PAID FOR  FABRICATION OF NEW TRAILERS</t>
  </si>
  <si>
    <t>PCVLG/2025/05/0142</t>
  </si>
  <si>
    <t>CIVIL</t>
  </si>
  <si>
    <t>UTILITY</t>
  </si>
  <si>
    <t>731006 PACKING BAG CONSUMED</t>
  </si>
  <si>
    <t>CM/MTI/2025/01152 - [CPMBG005] BAG EMPTY FOR CEMENT PACKING GRADE 42.5R MATERIAL WOVEN POLYPROPYLENE CAPACITY 1MT COLOR BLUE / MRQ/2025/01409
Rounding Adjustment: -0.01 TSh</t>
  </si>
  <si>
    <t>STJ/2025/05/11704</t>
  </si>
  <si>
    <t>CM/MTI/2025/01148 - [CPMBG002] BAG EMPTY FOR CEMENT PACKING GRADE 42.5R MATERIAL WOVEN POLYPROPYLENE CAPACITY 50KG COLOR ORANGE / MRQ/2025/01449</t>
  </si>
  <si>
    <t>STJ/2025/05/11270</t>
  </si>
  <si>
    <t>731002 STORE SPARES &amp; CONSUMABLE-GENERAL</t>
  </si>
  <si>
    <t>CM/MTI/2025/00933 - [CCLGC328] TMT BAR SIZE 10 MM GRADE FY500. / MRQ/2025/01289</t>
  </si>
  <si>
    <t>STJ/2025/05/07071</t>
  </si>
  <si>
    <t>CM/MTI/2025/00933 - [CCLGC032] WIRE FOR BINDING / MRQ/2025/01289</t>
  </si>
  <si>
    <t>STJ/2025/05/07070</t>
  </si>
  <si>
    <t>CM/MTI/2025/01128 - [CCLGC328] TMT BAR SIZE 10 MM GRADE FY500. / MRQ/2025/01515</t>
  </si>
  <si>
    <t>STJ/2025/05/11006</t>
  </si>
  <si>
    <t>CM/MTI/2025/01128 - [CCLGC032] WIRE FOR BINDING / MRQ/2025/01515</t>
  </si>
  <si>
    <t>STJ/2025/05/11005</t>
  </si>
  <si>
    <t>CM/MTI/2025/00932 - [CWCGC041] CUTTING WHEEL 7'' / MRQ/2025/01285</t>
  </si>
  <si>
    <t>STJ/2025/05/07069</t>
  </si>
  <si>
    <t>CM/MTI/2025/00932 - [CCLGC028] NAILS CONCRETE SIZE 4'' / MRQ/2025/01285
Rounding Adjustment: -0.01 TSh</t>
  </si>
  <si>
    <t>STJ/2025/05/07068</t>
  </si>
  <si>
    <t>CM/MTI/2025/00932 - [CCLGC023] NAILS SIZE 4'' / MRQ/2025/01285</t>
  </si>
  <si>
    <t>STJ/2025/05/07067</t>
  </si>
  <si>
    <t>CM/MTI/2025/01010 - [CCLGC028] NAILS CONCRETE SIZE 4'' / MRQ/2025/01389</t>
  </si>
  <si>
    <t>STJ/2025/05/08685</t>
  </si>
  <si>
    <t>CM/MTI/2025/01010 - [CCLGC023] NAILS SIZE 4'' / MRQ/2025/01389</t>
  </si>
  <si>
    <t>STJ/2025/05/08684</t>
  </si>
  <si>
    <t>LOG/MTI/2025/00153 - [LGS0079] CUTTING WHEEL - 9'' / MRQ/2025/00935</t>
  </si>
  <si>
    <t>STJ/2025/05/01889</t>
  </si>
  <si>
    <t>CM/MTI/2025/00761 - [CWCWR003] WELDING ELECTRODE MS 6013 SIZE 4 MM X 450 MM / MRQ/2025/00934
Rounding Adjustment: +0.01 TSh</t>
  </si>
  <si>
    <t>STJ/2025/05/02630</t>
  </si>
  <si>
    <t>CM/MTI/2025/00761 - [CPAPT007] PAINT RED OXIDE / MRQ/2025/00934</t>
  </si>
  <si>
    <t>STJ/2025/05/02629</t>
  </si>
  <si>
    <t>LOG/MTI/2025/00193 - [LGS0079] CUTTING WHEEL - 9'' / MRQ/2025/00986</t>
  </si>
  <si>
    <t>STJ/2025/05/02501</t>
  </si>
  <si>
    <t xml:space="preserve">[LTS0031] TRAILER SHOCK UP BOLT/PIN M24 X 280MM </t>
  </si>
  <si>
    <t>LOG/MTI/2025/00207 - [LTS0031] TRAILER SHOCK UP BOLT/PIN M24 X 280MM  / MRQ/2025/01018</t>
  </si>
  <si>
    <t>STJ/2025/05/03678</t>
  </si>
  <si>
    <t>[LTS053] TRAILER SUSPENSION HANGER (HJ AXEL)</t>
  </si>
  <si>
    <t>LOG/MTI/2025/00220 - [LTS053] TRAILER SUSPENSION HANGER (HJ AXEL) / MRQ/2025/01096
Rounding Adjustment: -0.01 TSh</t>
  </si>
  <si>
    <t>STJ/2025/05/04061</t>
  </si>
  <si>
    <t>LOG/MTI/2025/00244 - [ESSCN004] ISMC 150 / MRQ/2025/01137</t>
  </si>
  <si>
    <t>STJ/2025/05/06779</t>
  </si>
  <si>
    <t>[ESSCN002] ISMC 100</t>
  </si>
  <si>
    <t>LOG/MTI/2025/00244 - [ESSCN002] ISMC 100 / MRQ/2025/01137</t>
  </si>
  <si>
    <t>STJ/2025/05/06778</t>
  </si>
  <si>
    <t>[ESSCN001] ISMC 75</t>
  </si>
  <si>
    <t>LOG/MTI/2025/00244 - [ESSCN001] ISMC 75 / MRQ/2025/01137</t>
  </si>
  <si>
    <t>STJ/2025/05/06777</t>
  </si>
  <si>
    <t>[EPSSP009] PLATE MS 2400 X 1200 X 12 MM THICK</t>
  </si>
  <si>
    <t>LOG/MTI/2025/00244 - [EPSSP009] PLATE MS 2400 X 1200 X 12 MM THICK / MRQ/2025/01137</t>
  </si>
  <si>
    <t>STJ/2025/05/06776</t>
  </si>
  <si>
    <t>[EPSSP007] PLATE MS 2400 X 1200 X 8 MM THICK</t>
  </si>
  <si>
    <t>LOG/MTI/2025/00244 - [EPSSP007] PLATE MS 2400 X 1200 X 8 MM THICK / MRQ/2025/01137</t>
  </si>
  <si>
    <t>STJ/2025/05/06775</t>
  </si>
  <si>
    <t>[EPSSP003] PLATE MS 2400 X 1200 X 3 MM THICK</t>
  </si>
  <si>
    <t>LOG/MTI/2025/00244 - [EPSSP003] PLATE MS 2400 X 1200 X 3 MM THICK / MRQ/2025/01137</t>
  </si>
  <si>
    <t>STJ/2025/05/06774</t>
  </si>
  <si>
    <t>[EPSCQ001] PLATE MS CHEQUERED 2400 X 1200 X 3 MM THICK</t>
  </si>
  <si>
    <t>LOG/MTI/2025/00244 - [EPSCQ001] PLATE MS CHEQUERED 2400 X 1200 X 3 MM THICK / MRQ/2025/01137</t>
  </si>
  <si>
    <t>STJ/2025/05/06773</t>
  </si>
  <si>
    <t>LOG/MTI/2025/00237 - [ESSCN004] ISMC 150 / MRQ/2025/01156</t>
  </si>
  <si>
    <t>STJ/2025/05/06308</t>
  </si>
  <si>
    <t>LOG/MTI/2025/00237 - [ESSCN002] ISMC 100 / MRQ/2025/01156</t>
  </si>
  <si>
    <t>STJ/2025/05/06307</t>
  </si>
  <si>
    <t>LOG/MTI/2025/00237 - [ESSCN001] ISMC 75 / MRQ/2025/01156</t>
  </si>
  <si>
    <t>STJ/2025/05/06306</t>
  </si>
  <si>
    <t>LOG/MTI/2025/00237 - [EPSCQ001] PLATE MS CHEQUERED 2400 X 1200 X 3 MM THICK / MRQ/2025/01156</t>
  </si>
  <si>
    <t>STJ/2025/05/06305</t>
  </si>
  <si>
    <t>LOG/MTI/2025/00230 - [ESSCN001] ISMC 75 / MRQ/2025/01182</t>
  </si>
  <si>
    <t>STJ/2025/05/06259</t>
  </si>
  <si>
    <t>LOG/MTI/2025/00230 - [EPSCQ001] PLATE MS CHEQUERED 2400 X 1200 X 3 MM THICK / MRQ/2025/01182</t>
  </si>
  <si>
    <t>STJ/2025/05/06258</t>
  </si>
  <si>
    <t>[EFSHB221] BOLT HT HEX HEAD M10 X 80MM FULL THREAD WITH NUT AND WASHER GRADE 8.8</t>
  </si>
  <si>
    <t>LOG/MTI/2025/00290 - [EFSHB221] BOLT HT HEX HEAD M10 X 80MM FULL THREAD WITH NUT AND WASHER GRADE 8.8 / MRQ/2025/01405</t>
  </si>
  <si>
    <t>STJ/2025/05/08432</t>
  </si>
  <si>
    <t>[EFSHB104] BOLT HT HEX HEAD M12 X 120MM HALF THREAD WITH NUT AND WASHER GRADE 8.8</t>
  </si>
  <si>
    <t>LOG/MTI/2025/00290 - [EFSHB104] BOLT HT HEX HEAD M12 X 120MM HALF THREAD WITH NUT AND WASHER GRADE 8.8 / MRQ/2025/01405</t>
  </si>
  <si>
    <t>STJ/2025/05/08431</t>
  </si>
  <si>
    <t>[EFSHB079] BOLT HT HEX HEAD M10 X 40MM FULL THREAD WITH NUT AND WASHER GRADE 8.8</t>
  </si>
  <si>
    <t>LOG/MTI/2025/00290 - [EFSHB079] BOLT HT HEX HEAD M10 X 40MM FULL THREAD WITH NUT AND WASHER GRADE 8.8 / MRQ/2025/01405</t>
  </si>
  <si>
    <t>STJ/2025/05/08429</t>
  </si>
  <si>
    <t>[LTS060] SPRING PIN TRAILER WITH ROUND HEAD M30 X 3.5 X 205MM</t>
  </si>
  <si>
    <t>LOG/MTI/2025/00288 - [LTS060] SPRING PIN TRAILER WITH ROUND HEAD M30 X 3.5 X 205MM / MRQ/2025/01337
Rounding Adjustment: -0.01 TSh</t>
  </si>
  <si>
    <t>STJ/2025/05/08366</t>
  </si>
  <si>
    <t>[LTS0026] TRAILER BUSH - BPW - 203169000</t>
  </si>
  <si>
    <t>LOG/MTI/2025/00288 - [LTS0026] TRAILER BUSH - BPW - 203169000 / MRQ/2025/01337</t>
  </si>
  <si>
    <t>STJ/2025/05/08365</t>
  </si>
  <si>
    <t>[LGS0014] CENTER BOLT &amp; NUT - M16 X 12"</t>
  </si>
  <si>
    <t>LOG/MTI/2025/00288 - [LGS0014] CENTER BOLT &amp; NUT - M16 X 12" / MRQ/2025/01337</t>
  </si>
  <si>
    <t>STJ/2025/05/08358</t>
  </si>
  <si>
    <t>LOG/MTI/2025/00287 - [EFSHB079] BOLT HT HEX HEAD M10 X 40MM FULL THREAD WITH NUT AND WASHER GRADE 8.8 / MRQ/2025/01340</t>
  </si>
  <si>
    <t>STJ/2025/05/08353</t>
  </si>
  <si>
    <t>LOG/MTI/2025/00280 - [EFSHB219] BOLT HT HEX HEAD M16 X 70MM HALF THREAD WITH NUT AND WASHER GRADE 10.9 / MRQ/2025/01368
Rounding Adjustment: +0.01 TSh</t>
  </si>
  <si>
    <t>STJ/2025/05/08320</t>
  </si>
  <si>
    <t>CM/MTI/2025/00726 - [CIGGS001] GAS OXYGEN FULL CYLINDER, O2 / MRQ/2025/00951</t>
  </si>
  <si>
    <t>STJ/2025/05/01819</t>
  </si>
  <si>
    <t>CM/MTI/2025/00768 - [EPSSH013] SHEET FOR ROOFING 920 X 6.0 X 0.4 MM GREEN COLOR / MRQ/2025/00997</t>
  </si>
  <si>
    <t>STJ/2025/05/02644</t>
  </si>
  <si>
    <t>[EFSHB105] BOLT HT HEX HEAD M12 X 125MM FULL THREAD WITH NUT AND WASHER GRADE 8.8</t>
  </si>
  <si>
    <t>CM/MTI/2025/00768 - [EFSHB105] BOLT HT HEX HEAD M12 X 125MM FULL THREAD WITH NUT AND WASHER GRADE 8.8 / MRQ/2025/00997</t>
  </si>
  <si>
    <t>STJ/2025/05/02643</t>
  </si>
  <si>
    <t>[EFSAB010] ANCHOR FASTENER HILTI M20 X 240MM LONG</t>
  </si>
  <si>
    <t>CM/MTI/2025/00768 - [EFSAB010] ANCHOR FASTENER HILTI M20 X 240MM LONG / MRQ/2025/00997</t>
  </si>
  <si>
    <t>STJ/2025/05/02641</t>
  </si>
  <si>
    <t>CM/MTI/2025/00768 - [CIGGS001] GAS OXYGEN FULL CYLINDER, O2 / MRQ/2025/00997</t>
  </si>
  <si>
    <t>STJ/2025/05/02640</t>
  </si>
  <si>
    <t>[CCLGC307] EPOXY MORTAR FOR REBAR CONNECTIONS HILT HIT-RE 500 V3</t>
  </si>
  <si>
    <t>CM/MTI/2025/00768 - [CCLGC307] EPOXY MORTAR FOR REBAR CONNECTIONS HILT HIT-RE 500 V3 / MRQ/2025/00997</t>
  </si>
  <si>
    <t>STJ/2025/05/02639</t>
  </si>
  <si>
    <t>CM/MTI/2025/00798 - [CWCWR003] WELDING ELECTRODE MS 6013 SIZE 4 MM X 450 MM / MRQ/2025/01029</t>
  </si>
  <si>
    <t>STJ/2025/05/03149</t>
  </si>
  <si>
    <t>CM/MTI/2025/00838 - [CWCWR003] WELDING ELECTRODE MS 6013 SIZE 4 MM X 450 MM / MRQ/2025/01099</t>
  </si>
  <si>
    <t>STJ/2025/05/03793</t>
  </si>
  <si>
    <t>CM/MTI/2025/00838 - [CIGGS001] GAS OXYGEN FULL CYLINDER, O2 / MRQ/2025/01099</t>
  </si>
  <si>
    <t>STJ/2025/05/03792</t>
  </si>
  <si>
    <t xml:space="preserve">[EFSSB025] STUD WITH WASHER AND NUT AS PER DWAWING  FOR COOLER </t>
  </si>
  <si>
    <t>CM/MTI/2025/00889 - [EFSSB025] STUD WITH WASHER AND NUT AS PER DWAWING  FOR COOLER  / MRQ/2025/01169</t>
  </si>
  <si>
    <t>STJ/2025/05/05238</t>
  </si>
  <si>
    <t>CM/MTI/2025/00888 - [CWCWR003] WELDING ELECTRODE MS 6013 SIZE 4 MM X 450 MM / MRQ/2025/01157</t>
  </si>
  <si>
    <t>STJ/2025/05/05237</t>
  </si>
  <si>
    <t>[EMEGN004] GRATING AS PER DRAWING NO. LCL/MECH/GEN/02- R-0</t>
  </si>
  <si>
    <t>CM/MTI/2025/00885 - [EMEGN004] GRATING AS PER DRAWING NO. LCL/MECH/GEN/02- R-0 / MRQ/2025/01146
Rounding Adjustment: +0.01 TSh</t>
  </si>
  <si>
    <t>STJ/2025/05/05232</t>
  </si>
  <si>
    <t>CM/MTI/2025/00885 - [CIGGS001] GAS OXYGEN FULL CYLINDER, O2 / MRQ/2025/01146</t>
  </si>
  <si>
    <t>STJ/2025/05/05231</t>
  </si>
  <si>
    <t>[EMECL030] RUBBER ELEMENT FOR COUPLING LOVEJOY L075</t>
  </si>
  <si>
    <t>CM/MTI/2025/00951 - [EMECL030] RUBBER ELEMENT FOR COUPLING LOVEJOY L075 / MRQ/2025/01294</t>
  </si>
  <si>
    <t>STJ/2025/05/07194</t>
  </si>
  <si>
    <t>CM/MTI/2025/00937 - [EFSHB118] BOLT HT HEX HEAD M16 X 75MM FULL THREAD WITH NUT AND WASHER GRADE 8.8 / MRQ/2025/01206</t>
  </si>
  <si>
    <t>STJ/2025/05/07079</t>
  </si>
  <si>
    <t>CM/MTI/2025/00937 - [CWCWR003] WELDING ELECTRODE MS 6013 SIZE 4 MM X 450 MM / MRQ/2025/01206</t>
  </si>
  <si>
    <t>STJ/2025/05/07078</t>
  </si>
  <si>
    <t>CM/MTI/2025/00937 - [CIGGS001] GAS OXYGEN FULL CYLINDER, O2 / MRQ/2025/01206</t>
  </si>
  <si>
    <t>STJ/2025/05/07077</t>
  </si>
  <si>
    <t>CM/MTI/2025/01081 - [CWCWR003] WELDING ELECTRODE MS 6013 SIZE 4 MM X 450 MM / MRQ/2025/01467
Rounding Adjustment: -0.01 TSh</t>
  </si>
  <si>
    <t>STJ/2025/05/09830</t>
  </si>
  <si>
    <t>CM/MTI/2025/01081 - [CIGGS005] GAS LIQUEFIED PETROLEUM FULL CYLINDER, LPG CAPACITY 15KG / MRQ/2025/01467
Rounding Adjustment: +0.01 TSh</t>
  </si>
  <si>
    <t>STJ/2025/05/09829</t>
  </si>
  <si>
    <t>CM/MTI/2025/01081 - [CIGGS001] GAS OXYGEN FULL CYLINDER, O2 / MRQ/2025/01467</t>
  </si>
  <si>
    <t>STJ/2025/05/09828</t>
  </si>
  <si>
    <t>[EMEGN005] STEP GRATING SIZE 250MM X 800 MM AS PER DRAWING NO. LCL/CSS/STR/03</t>
  </si>
  <si>
    <t>CM/MTI/2025/01129 - [EMEGN005] STEP GRATING SIZE 250MM X 800 MM AS PER DRAWING NO. LCL/CSS/STR/03 / MRQ/2025/01517</t>
  </si>
  <si>
    <t>STJ/2025/05/11010</t>
  </si>
  <si>
    <t>CM/MTI/2025/01129 - [EFSHB122] BOLT HT HEX HEAD M16 X 100MM FULL THREAD WITH NUT AND WASHER GRADE 8.8 / MRQ/2025/01517</t>
  </si>
  <si>
    <t>STJ/2025/05/11009</t>
  </si>
  <si>
    <t>CM/MTI/2025/01129 - [CWCWR003] WELDING ELECTRODE MS 6013 SIZE 4 MM X 450 MM / MRQ/2025/01517</t>
  </si>
  <si>
    <t>STJ/2025/05/11008</t>
  </si>
  <si>
    <t>CM/MTI/2025/01129 - [CIGGS001] GAS OXYGEN FULL CYLINDER, O2 / MRQ/2025/01517</t>
  </si>
  <si>
    <t>STJ/2025/05/11007</t>
  </si>
  <si>
    <t>[EFSAB012] ANCHOR FASTENER  HAS-E M24 X 210/54, 290MM HILTI</t>
  </si>
  <si>
    <t>CM/MTI/2025/01150 - [EFSAB012] ANCHOR FASTENER  HAS-E M24 X 210/54, 290MM HILTI / MRQ/2025/01548</t>
  </si>
  <si>
    <t>STJ/2025/05/11275</t>
  </si>
  <si>
    <t>CM/MTI/2025/01150 - [EFSAB010] ANCHOR FASTENER HILTI M20 X 240MM LONG / MRQ/2025/01548</t>
  </si>
  <si>
    <t>STJ/2025/05/11274</t>
  </si>
  <si>
    <t>CM/MTI/2025/01150 - [CWCGC041] CUTTING WHEEL 7'' / MRQ/2025/01548</t>
  </si>
  <si>
    <t>STJ/2025/05/11273</t>
  </si>
  <si>
    <t xml:space="preserve">[EMERO001] ROPE ASBESTOS DIA 6 MM TEMPERATURE 900 TO 1200 DEG C </t>
  </si>
  <si>
    <t>CM/MTI/2025/00866 - [EMERO001] ROPE ASBESTOS DIA 6 MM TEMPERATURE 900 TO 1200 DEG C  / MRQ/2025/01124</t>
  </si>
  <si>
    <t>STJ/2025/05/05073</t>
  </si>
  <si>
    <t>[EFSHB165] BOLT HT HEX HEAD M30 X 125MM HALF THREAD WITH NUT AND WASHER GRADE 8.8</t>
  </si>
  <si>
    <t>CM/MTI/2025/00866 - [EFSHB165] BOLT HT HEX HEAD M30 X 125MM HALF THREAD WITH NUT AND WASHER GRADE 8.8 / MRQ/2025/01124</t>
  </si>
  <si>
    <t>STJ/2025/05/05072</t>
  </si>
  <si>
    <t>CM/MTI/2025/00866 - [EFSHB122] BOLT HT HEX HEAD M16 X 100MM FULL THREAD WITH NUT AND WASHER GRADE 8.8 / MRQ/2025/01124</t>
  </si>
  <si>
    <t>STJ/2025/05/05071</t>
  </si>
  <si>
    <t>[EFSHB019] BOLT MS HEX HEAD M10 X 50MM FULL THREAD WITH NUT AND WASHER GRADE 4.6</t>
  </si>
  <si>
    <t>CM/MTI/2025/00866 - [EFSHB019] BOLT MS HEX HEAD M10 X 50MM FULL THREAD WITH NUT AND WASHER GRADE 4.6 / MRQ/2025/01124
Rounding Adjustment: -0.01 TSh</t>
  </si>
  <si>
    <t>STJ/2025/05/05070</t>
  </si>
  <si>
    <t>[ETLGN130] BLADE FOR UTILITY KNIFE KING TONY</t>
  </si>
  <si>
    <t>CM/MTI/2025/00887 - [ETLGN130] BLADE FOR UTILITY KNIFE KING TONY / MRQ/2025/01155</t>
  </si>
  <si>
    <t>STJ/2025/05/05236</t>
  </si>
  <si>
    <t>[EMECB065] BELT CONVEYOR SIZE 650MM WIDTH TENSILE STRENGTH 400/3PLY TOP RUBBER 5MM THICK, BOTTOM RUBBER 2MM THICK GRADE FR GRADE FOR RAW COAL TRANSPORT APPLICATION</t>
  </si>
  <si>
    <t>CM/MTI/2025/00887 - [EMECB065] BELT CONVEYOR SIZE 650MM WIDTH TENSILE STRENGTH 400/3PLY TOP RUBBER 5MM THICK, BOTTOM RUBBER 2MM THICK GRADE FR GRADE FOR RAW COAL TRANSPORT APPLICATION / MRQ/2025/01155</t>
  </si>
  <si>
    <t>STJ/2025/05/05235</t>
  </si>
  <si>
    <t>CASH PAID FOR BENDING OF MS PLATE 1.5 MM 30 PCS @20000EACH</t>
  </si>
  <si>
    <t>PCVLG/2025/06/0190</t>
  </si>
  <si>
    <t>LOG/MTI/2025/00513 - [EFSHB219] BOLT HT HEX HEAD M16 X 70MM HALF THREAD WITH NUT AND WASHER GRADE 10.9 / MRQ/2025/02257</t>
  </si>
  <si>
    <t>STJ/2025/06/14771</t>
  </si>
  <si>
    <t>[EPFBN004] BEND MS SIZE 1''</t>
  </si>
  <si>
    <t>CM/MTI/2025/01613 - [EPFBN004] BEND MS SIZE 1'' / MRQ/2025/02230</t>
  </si>
  <si>
    <t>STJ/2025/06/14793</t>
  </si>
  <si>
    <t>[EPFPI024] PIPE MS SIZE 1" DIA X 6000 MM LONG CLASS C</t>
  </si>
  <si>
    <t>CM/MTI/2025/01613 - [EPFPI024] PIPE MS SIZE 1" DIA X 6000 MM LONG CLASS C / MRQ/2025/02230</t>
  </si>
  <si>
    <t>STJ/2025/06/14794</t>
  </si>
  <si>
    <t>CM/MTI/2025/01613 - [EVLBV012] VALVE BALL TYPE SIZE 1'' / MRQ/2025/02230</t>
  </si>
  <si>
    <t>STJ/2025/06/14795</t>
  </si>
  <si>
    <t>CM/MTI/2025/01625 - [CIGGS001] GAS OXYGEN FULL CYLINDER, O2 / MRQ/2025/02237</t>
  </si>
  <si>
    <t>STJ/2025/06/15033</t>
  </si>
  <si>
    <t>CM/MTI/2025/01625 - [CWCWR003] WELDING ELECTRODE MS 6013 SIZE 4 MM X 450 MM / MRQ/2025/02237</t>
  </si>
  <si>
    <t>STJ/2025/06/15034</t>
  </si>
  <si>
    <t>CM/MTI/2025/01626 - [CIGGS001] GAS OXYGEN FULL CYLINDER, O2 / MRQ/2025/02253</t>
  </si>
  <si>
    <t>STJ/2025/06/15219</t>
  </si>
  <si>
    <t>CM/MTI/2025/01626 - [CIGGS005] GAS LIQUEFIED PETROLEUM FULL CYLINDER, LPG CAPACITY 15KG / MRQ/2025/02253</t>
  </si>
  <si>
    <t>STJ/2025/06/15220</t>
  </si>
  <si>
    <t>CM/MTI/2025/01626 - [CWCGC041] CUTTING WHEEL 7'' / MRQ/2025/02253</t>
  </si>
  <si>
    <t>STJ/2025/06/15221</t>
  </si>
  <si>
    <t>CM/MTI/2025/01626 - [CWCWR003] WELDING ELECTRODE MS 6013 SIZE 4 MM X 450 MM / MRQ/2025/02253</t>
  </si>
  <si>
    <t>STJ/2025/06/15222</t>
  </si>
  <si>
    <t>CM/MTI/2025/01627 - [CPAPT007] PAINT RED OXIDE / MRQ/2025/02228</t>
  </si>
  <si>
    <t>STJ/2025/06/15314</t>
  </si>
  <si>
    <t>CM/MTI/2025/01627 - [CPAPT009] PAINT OIL BLACK / MRQ/2025/02228</t>
  </si>
  <si>
    <t>STJ/2025/06/15315</t>
  </si>
  <si>
    <t>CM/MTI/2025/01627 - [CPAPT037] THINNER SOLVENT / MRQ/2025/02228
Rounding Adjustment: +0.01 TSh</t>
  </si>
  <si>
    <t>STJ/2025/06/15316</t>
  </si>
  <si>
    <t>CM/MTI/2025/01627 - [EFSHB115] BOLT HT HEX HEAD M16 X 50MM FULL THREAD WITH NUT AND WASHER GRADE 8.8 / MRQ/2025/02228</t>
  </si>
  <si>
    <t>STJ/2025/06/15317</t>
  </si>
  <si>
    <t>CM/MTI/2025/01595 - [CWCWR003] WELDING ELECTRODE MS 6013 SIZE 4 MM X 450 MM / MRQ/2025/02229</t>
  </si>
  <si>
    <t>STJ/2025/06/13837</t>
  </si>
  <si>
    <t>CM/MTI/2025/01597 - [EFSHB096] BOLT HT HEX HEAD M12 X 50MM FULL THREAD WITH NUT AND WASHER GRADE 8.8 / MRQ/2025/02225
Rounding Adjustment: +0.01 TSh</t>
  </si>
  <si>
    <t>STJ/2025/06/13840</t>
  </si>
  <si>
    <t>CM/MTI/2025/01597 - [EFSHB115] BOLT HT HEX HEAD M16 X 50MM FULL THREAD WITH NUT AND WASHER GRADE 8.8 / MRQ/2025/02225</t>
  </si>
  <si>
    <t>STJ/2025/06/13841</t>
  </si>
  <si>
    <t>CASH PAID FOR JOST PIN PLATE FOR NEW TRAILER FABRICATION</t>
  </si>
  <si>
    <t>PCVLG/2025/06/0174</t>
  </si>
  <si>
    <t>CASH PAID FOR 1PC JOST PIN FOR FABRICATION OF TRAILERS</t>
  </si>
  <si>
    <t>PCVLG/2025/06/0177</t>
  </si>
  <si>
    <t>[LTS0018] LANDING LEG ASSY - TRAILER</t>
  </si>
  <si>
    <t>LOG/MTI/2025/00480 - [LTS0018] LANDING LEG ASSY - TRAILER / MRQ/2025/02160</t>
  </si>
  <si>
    <t>STJ/2025/06/13120</t>
  </si>
  <si>
    <t>CM/MTI/2025/01583 - [CWCWR003] WELDING ELECTRODE MS 6013 SIZE 4 MM X 450 MM / MRQ/2025/02187</t>
  </si>
  <si>
    <t>STJ/2025/06/13487</t>
  </si>
  <si>
    <t>CM/MTI/2025/01590 - [CCLGC023] NAILS SIZE 4'' / MRQ/2025/02195</t>
  </si>
  <si>
    <t>STJ/2025/06/13500</t>
  </si>
  <si>
    <t>CM/MTI/2025/01590 - [CCLGC028] NAILS CONCRETE SIZE 4'' / MRQ/2025/02195</t>
  </si>
  <si>
    <t>STJ/2025/06/13501</t>
  </si>
  <si>
    <t>CM/MTI/2025/01590 - [CCLGC329] TMT BAR SIZE 12 MM GRADE FY500. / MRQ/2025/02195</t>
  </si>
  <si>
    <t>STJ/2025/06/13502</t>
  </si>
  <si>
    <t>CM/MTI/2025/01593 - [CIGGS001] GAS OXYGEN FULL CYLINDER, O2 / MRQ/2025/02199</t>
  </si>
  <si>
    <t>STJ/2025/06/13510</t>
  </si>
  <si>
    <t>CM/MTI/2025/01593 - [CWCGC041] CUTTING WHEEL 7'' / MRQ/2025/02199</t>
  </si>
  <si>
    <t>STJ/2025/06/13511</t>
  </si>
  <si>
    <t>CM/MTI/2025/01593 - [CWCWR003] WELDING ELECTRODE MS 6013 SIZE 4 MM X 450 MM / MRQ/2025/02199
Rounding Adjustment: +0.01 TSh</t>
  </si>
  <si>
    <t>STJ/2025/06/13512</t>
  </si>
  <si>
    <t>CM/MTI/2025/01593 - [EFSHB098] BOLT HT HEX HEAD M12 X 70MM FULL THREAD WITH NUT AND WASHER GRADE 8.8 / MRQ/2025/02199</t>
  </si>
  <si>
    <t>STJ/2025/06/13513</t>
  </si>
  <si>
    <t>CM/MTI/2025/01594 - [CWCGC038] GRINDING WHEEL 4'' / MRQ/2025/02207
Rounding Adjustment: -0.01 TSh</t>
  </si>
  <si>
    <t>STJ/2025/06/13516</t>
  </si>
  <si>
    <t>[CWCGC040] CUTTING WHEEL 4''</t>
  </si>
  <si>
    <t>CM/MTI/2025/01594 - [CWCGC040] CUTTING WHEEL 4'' / MRQ/2025/02207</t>
  </si>
  <si>
    <t>STJ/2025/06/13517</t>
  </si>
  <si>
    <t>CM/MTI/2025/01559 - [CPAPT007] PAINT RED OXIDE / MRQ/2025/02089</t>
  </si>
  <si>
    <t>STJ/2025/06/12924</t>
  </si>
  <si>
    <t>CM/MTI/2025/01559 - [CWCGC041] CUTTING WHEEL 7'' / MRQ/2025/02089</t>
  </si>
  <si>
    <t>STJ/2025/06/12925</t>
  </si>
  <si>
    <t>[CPASL003] SOLUTION COLD JOINT FOR HEAT RESISTANT BELT</t>
  </si>
  <si>
    <t>CM/MTI/2025/01563 - [CPASL003] SOLUTION COLD JOINT FOR HEAT RESISTANT BELT / MRQ/2025/02152</t>
  </si>
  <si>
    <t>STJ/2025/06/12931</t>
  </si>
  <si>
    <t>CM/MTI/2025/01568 - [CIGGS001] GAS OXYGEN FULL CYLINDER, O2 / MRQ/2025/02163</t>
  </si>
  <si>
    <t>STJ/2025/06/12943</t>
  </si>
  <si>
    <t>CM/MTI/2025/01568 - [CWCGC041] CUTTING WHEEL 7'' / MRQ/2025/02163</t>
  </si>
  <si>
    <t>STJ/2025/06/12944</t>
  </si>
  <si>
    <t>CM/MTI/2025/01537 - [CPMBG002] BAG EMPTY FOR CEMENT PACKING GRADE 42.5R MATERIAL WOVEN POLYPROPYLENE CAPACITY 50KG COLOR ORANGE / MRQ/2025/02109</t>
  </si>
  <si>
    <t>STJ/2025/06/12322</t>
  </si>
  <si>
    <t>CM/MTI/2025/01544 - [CWCWR003] WELDING ELECTRODE MS 6013 SIZE 4 MM X 450 MM / MRQ/2025/02130</t>
  </si>
  <si>
    <t>STJ/2025/06/12333</t>
  </si>
  <si>
    <t>CM/MTI/2025/01548 - [CIGGS001] GAS OXYGEN FULL CYLINDER, O2 / MRQ/2025/02135</t>
  </si>
  <si>
    <t>STJ/2025/06/12348</t>
  </si>
  <si>
    <t>CM/MTI/2025/01548 - [CWCGC041] CUTTING WHEEL 7'' / MRQ/2025/02135</t>
  </si>
  <si>
    <t>STJ/2025/06/12349</t>
  </si>
  <si>
    <t>CM/MTI/2025/01548 - [CWCWR003] WELDING ELECTRODE MS 6013 SIZE 4 MM X 450 MM / MRQ/2025/02135</t>
  </si>
  <si>
    <t>STJ/2025/06/12350</t>
  </si>
  <si>
    <t>CWIP-PRE OPERATIVE EXPENSE</t>
  </si>
  <si>
    <t>791008</t>
  </si>
  <si>
    <t>ADMINISTRATIVE EXPENSES</t>
  </si>
  <si>
    <t>ALLIANCE INSURANCE CORPORATION LTD</t>
  </si>
  <si>
    <t>CMLT1108</t>
  </si>
  <si>
    <t>DNP100-20259980</t>
  </si>
  <si>
    <t xml:space="preserve">INSURANCE CHARGES </t>
  </si>
  <si>
    <t>Service Bills</t>
  </si>
  <si>
    <t>SERBL/2025/06/0100</t>
  </si>
  <si>
    <t>[EFSHB124] BOLT HT HEX HEAD M16 X 120MM FULL THREAD WITH NUT AND WASHER GRADE 8.8</t>
  </si>
  <si>
    <t>CM/MTI/2025/01516 - [EFSHB124] BOLT HT HEX HEAD M16 X 120MM FULL THREAD WITH NUT AND WASHER GRADE 8.8 / MRQ/2025/02100</t>
  </si>
  <si>
    <t>STJ/2025/06/11793</t>
  </si>
  <si>
    <t>CM/MTI/2025/01526 - [CPAPT007] PAINT RED OXIDE / MRQ/2025/02105</t>
  </si>
  <si>
    <t>STJ/2025/06/11814</t>
  </si>
  <si>
    <t>CM/MTI/2025/01526 - [CPAPT037] THINNER SOLVENT / MRQ/2025/02105</t>
  </si>
  <si>
    <t>STJ/2025/06/11815</t>
  </si>
  <si>
    <t>CM/MTI/2025/01526 - [CWCGC041] CUTTING WHEEL 7'' / MRQ/2025/02105</t>
  </si>
  <si>
    <t>STJ/2025/06/11816</t>
  </si>
  <si>
    <t>CM/MTI/2025/01526 - [CWCWR003] WELDING ELECTRODE MS 6013 SIZE 4 MM X 450 MM / MRQ/2025/02105</t>
  </si>
  <si>
    <t>STJ/2025/06/11817</t>
  </si>
  <si>
    <t>CM/MTI/2025/01528 - [CWCGC041] CUTTING WHEEL 7'' / MRQ/2025/02114</t>
  </si>
  <si>
    <t>STJ/2025/06/11819</t>
  </si>
  <si>
    <t>CM/MTI/2025/01483 - [CIGGS001] GAS OXYGEN FULL CYLINDER, O2 / MRQ/2025/02026</t>
  </si>
  <si>
    <t>STJ/2025/06/10074</t>
  </si>
  <si>
    <t>CM/MTI/2025/01483 - [CWCGC041] CUTTING WHEEL 7'' / MRQ/2025/02026</t>
  </si>
  <si>
    <t>STJ/2025/06/10075</t>
  </si>
  <si>
    <t>CM/MTI/2025/01483 - [EFSSC003] SCREW 63MM FOR ROOFING SHEET / MRQ/2025/02026</t>
  </si>
  <si>
    <t>STJ/2025/06/10076</t>
  </si>
  <si>
    <t>CM/MTI/2025/01484 - [CWCWR003] WELDING ELECTRODE MS 6013 SIZE 4 MM X 450 MM / MRQ/2025/02035</t>
  </si>
  <si>
    <t>STJ/2025/06/10077</t>
  </si>
  <si>
    <t>CM/MTI/2025/01486 - [CWCWR003] WELDING ELECTRODE MS 6013 SIZE 4 MM X 450 MM / MRQ/2025/02048</t>
  </si>
  <si>
    <t>STJ/2025/06/10079</t>
  </si>
  <si>
    <t>CM/MTI/2025/01495 - [CCLGC184] PAINT BRUSH 1'' / MRQ/2025/02082</t>
  </si>
  <si>
    <t>STJ/2025/06/11097</t>
  </si>
  <si>
    <t>CM/MTI/2025/01495 - [CPAPT007] PAINT RED OXIDE / MRQ/2025/02082</t>
  </si>
  <si>
    <t>STJ/2025/06/11098</t>
  </si>
  <si>
    <t>CM/MTI/2025/01495 - [CPAPT037] THINNER SOLVENT / MRQ/2025/02082
Rounding Adjustment: +0.01 TSh</t>
  </si>
  <si>
    <t>STJ/2025/06/11099</t>
  </si>
  <si>
    <t>CM/MTI/2025/01496 - [CIGGS001] GAS OXYGEN FULL CYLINDER, O2 / MRQ/2025/02069</t>
  </si>
  <si>
    <t>STJ/2025/06/11100</t>
  </si>
  <si>
    <t>CM/MTI/2025/01496 - [CWCGC041] CUTTING WHEEL 7'' / MRQ/2025/02069</t>
  </si>
  <si>
    <t>STJ/2025/06/11101</t>
  </si>
  <si>
    <t>CM/MTI/2025/01496 - [CWCWR003] WELDING ELECTRODE MS 6013 SIZE 4 MM X 450 MM / MRQ/2025/02069</t>
  </si>
  <si>
    <t>STJ/2025/06/11102</t>
  </si>
  <si>
    <t>CM/MTI/2025/01496 - [EFSHB096] BOLT HT HEX HEAD M12 X 50MM FULL THREAD WITH NUT AND WASHER GRADE 8.8 / MRQ/2025/02069</t>
  </si>
  <si>
    <t>STJ/2025/06/11103</t>
  </si>
  <si>
    <t>CM/MTI/2025/01496 - [EFSHB113] BOLT HT HEX HEAD M16 X 40MM FULL THREAD WITH NUT AND WASHER GRADE 8.8 / MRQ/2025/02069</t>
  </si>
  <si>
    <t>STJ/2025/06/11104</t>
  </si>
  <si>
    <t>CM/MTI/2025/01501 - [CIGGS001] GAS OXYGEN FULL CYLINDER, O2 / MRQ/2025/02061</t>
  </si>
  <si>
    <t>STJ/2025/06/11118</t>
  </si>
  <si>
    <t>CM/MTI/2025/01501 - [CIGGS005] GAS LIQUEFIED PETROLEUM FULL CYLINDER, LPG CAPACITY 15KG / MRQ/2025/02061</t>
  </si>
  <si>
    <t>STJ/2025/06/11119</t>
  </si>
  <si>
    <t>CM/MTI/2025/01501 - [CWCWR003] WELDING ELECTRODE MS 6013 SIZE 4 MM X 450 MM / MRQ/2025/02061
Rounding Adjustment: -0.01 TSh</t>
  </si>
  <si>
    <t>STJ/2025/06/11120</t>
  </si>
  <si>
    <t>CM/MTI/2025/01506 - [CCLGC022] NAILS SIZE 3'' / MRQ/2025/02027</t>
  </si>
  <si>
    <t>STJ/2025/06/11146</t>
  </si>
  <si>
    <t>CM/MTI/2025/01506 - [CCLGC023] NAILS SIZE 4'' / MRQ/2025/02027</t>
  </si>
  <si>
    <t>STJ/2025/06/11147</t>
  </si>
  <si>
    <t>CM/MTI/2025/01506 - [CCLGC028] NAILS CONCRETE SIZE 4'' / MRQ/2025/02027</t>
  </si>
  <si>
    <t>STJ/2025/06/11148</t>
  </si>
  <si>
    <t>CM/MTI/2025/01506 - [CCLGC329] TMT BAR SIZE 12 MM GRADE FY500. / MRQ/2025/02027</t>
  </si>
  <si>
    <t>STJ/2025/06/11149</t>
  </si>
  <si>
    <t>CM/MTI/2025/01506 - [CWCWR003] WELDING ELECTRODE MS 6013 SIZE 4 MM X 450 MM / MRQ/2025/02027</t>
  </si>
  <si>
    <t>STJ/2025/06/11150</t>
  </si>
  <si>
    <t>CASH PAID FOR FABRICATION OF DOOR HINGES 75 PCS @8000 FOR NEW TRAILERS</t>
  </si>
  <si>
    <t>PCVLG/2025/06/0135</t>
  </si>
  <si>
    <t>CM/MTI/2025/01470 - [CIGGS001] GAS OXYGEN FULL CYLINDER, O2 / MRQ/2025/02033</t>
  </si>
  <si>
    <t>STJ/2025/06/09729</t>
  </si>
  <si>
    <t>CM/MTI/2025/01470 - [CWCGC041] CUTTING WHEEL 7'' / MRQ/2025/02033</t>
  </si>
  <si>
    <t>STJ/2025/06/09730</t>
  </si>
  <si>
    <t>CM/MTI/2025/01470 - [CWCWR003] WELDING ELECTRODE MS 6013 SIZE 4 MM X 450 MM / MRQ/2025/02033
Rounding Adjustment: +0.01 TSh</t>
  </si>
  <si>
    <t>STJ/2025/06/09731</t>
  </si>
  <si>
    <t>CM/MTI/2025/01470 - [EFSHB082] BOLT HT HEX HEAD M10 X 50MM HALF THREAD WITH NUT AND WASHER GRADE 8.8 / MRQ/2025/02033</t>
  </si>
  <si>
    <t>STJ/2025/06/09732</t>
  </si>
  <si>
    <t>CM/MTI/2025/01470 - [EFSHB124] BOLT HT HEX HEAD M16 X 120MM FULL THREAD WITH NUT AND WASHER GRADE 8.8 / MRQ/2025/02033</t>
  </si>
  <si>
    <t>STJ/2025/06/09733</t>
  </si>
  <si>
    <t>CM/MTI/2025/01470 - [EPFPI030] PIPE MS SIZE 4" DIA X 6000 MM LONG CLASS C / MRQ/2025/02033</t>
  </si>
  <si>
    <t>STJ/2025/06/09734</t>
  </si>
  <si>
    <t>CM/MTI/2025/01471 - [CIGGS001] GAS OXYGEN FULL CYLINDER, O2 / MRQ/2025/02053</t>
  </si>
  <si>
    <t>STJ/2025/06/09735</t>
  </si>
  <si>
    <t>CM/MTI/2025/01471 - [CIGGS005] GAS LIQUEFIED PETROLEUM FULL CYLINDER, LPG CAPACITY 15KG / MRQ/2025/02053
Rounding Adjustment: +0.01 TSh</t>
  </si>
  <si>
    <t>STJ/2025/06/09736</t>
  </si>
  <si>
    <t>CM/MTI/2025/01471 - [CWCGC041] CUTTING WHEEL 7'' / MRQ/2025/02053</t>
  </si>
  <si>
    <t>STJ/2025/06/09737</t>
  </si>
  <si>
    <t>CM/MTI/2025/01471 - [CWCWR003] WELDING ELECTRODE MS 6013 SIZE 4 MM X 450 MM / MRQ/2025/02053</t>
  </si>
  <si>
    <t>STJ/2025/06/09738</t>
  </si>
  <si>
    <t>CM/MTI/2025/01471 - [EPFPI030] PIPE MS SIZE 4" DIA X 6000 MM LONG CLASS C / MRQ/2025/02053</t>
  </si>
  <si>
    <t>STJ/2025/06/09739</t>
  </si>
  <si>
    <t>CM/MTI/2025/01459 - [CWCWR003] WELDING ELECTRODE MS 6013 SIZE 4 MM X 450 MM / MRQ/2025/02005
Rounding Adjustment: -0.01 TSh</t>
  </si>
  <si>
    <t>STJ/2025/06/09029</t>
  </si>
  <si>
    <t>CM/MTI/2025/01459 - [EFSHB115] BOLT HT HEX HEAD M16 X 50MM FULL THREAD WITH NUT AND WASHER GRADE 8.8 / MRQ/2025/02005</t>
  </si>
  <si>
    <t>STJ/2025/06/09030</t>
  </si>
  <si>
    <t>CM/MTI/2025/01442 - [CIGGS001] GAS OXYGEN FULL CYLINDER, O2 / MRQ/2025/01974</t>
  </si>
  <si>
    <t>STJ/2025/06/08354</t>
  </si>
  <si>
    <t>CM/MTI/2025/01442 - [CWCGC041] CUTTING WHEEL 7'' / MRQ/2025/01974</t>
  </si>
  <si>
    <t>STJ/2025/06/08355</t>
  </si>
  <si>
    <t>CM/MTI/2025/01442 - [CWCWR003] WELDING ELECTRODE MS 6013 SIZE 4 MM X 450 MM / MRQ/2025/01974</t>
  </si>
  <si>
    <t>STJ/2025/06/08356</t>
  </si>
  <si>
    <t>CM/MTI/2025/01443 - [CIGGS001] GAS OXYGEN FULL CYLINDER, O2 / MRQ/2025/01972</t>
  </si>
  <si>
    <t>STJ/2025/06/08357</t>
  </si>
  <si>
    <t>CM/MTI/2025/01443 - [EFSSC003] SCREW 63MM FOR ROOFING SHEET / MRQ/2025/01972</t>
  </si>
  <si>
    <t>STJ/2025/06/08358</t>
  </si>
  <si>
    <t>CM/MTI/2025/01411 - [CIGGS001] GAS OXYGEN FULL CYLINDER, O2 / MRQ/2025/01921</t>
  </si>
  <si>
    <t>STJ/2025/06/07572</t>
  </si>
  <si>
    <t>CM/MTI/2025/01411 - [CIGGS005] GAS LIQUEFIED PETROLEUM FULL CYLINDER, LPG CAPACITY 15KG / MRQ/2025/01921</t>
  </si>
  <si>
    <t>STJ/2025/06/07573</t>
  </si>
  <si>
    <t>CM/MTI/2025/01415 - [CIGGS001] GAS OXYGEN FULL CYLINDER, O2 / MRQ/2025/01936</t>
  </si>
  <si>
    <t>STJ/2025/06/07577</t>
  </si>
  <si>
    <t>CM/MTI/2025/01415 - [CWCGC041] CUTTING WHEEL 7'' / MRQ/2025/01936</t>
  </si>
  <si>
    <t>STJ/2025/06/07578</t>
  </si>
  <si>
    <t>CM/MTI/2025/01415 - [CWCWR003] WELDING ELECTRODE MS 6013 SIZE 4 MM X 450 MM / MRQ/2025/01936</t>
  </si>
  <si>
    <t>STJ/2025/06/07579</t>
  </si>
  <si>
    <t>CASH PAID FOR BENDING MS SHEET 1.5MM 12 PCS FOR FABRICATION DOORS FOR NEW TRAILERS</t>
  </si>
  <si>
    <t>PCVLG/2025/06/0112</t>
  </si>
  <si>
    <t>CM/MTI/2025/01384 - [CIGGS001] GAS OXYGEN FULL CYLINDER, O2 / MRQ/2025/01898</t>
  </si>
  <si>
    <t>STJ/2025/06/07242</t>
  </si>
  <si>
    <t>CM/MTI/2025/01384 - [CWCGC041] CUTTING WHEEL 7'' / MRQ/2025/01898</t>
  </si>
  <si>
    <t>STJ/2025/06/07243</t>
  </si>
  <si>
    <t>CM/MTI/2025/01384 - [CWCWR003] WELDING ELECTRODE MS 6013 SIZE 4 MM X 450 MM / MRQ/2025/01898</t>
  </si>
  <si>
    <t>STJ/2025/06/07244</t>
  </si>
  <si>
    <t>CM/MTI/2025/01366 - [CWCGC041] CUTTING WHEEL 7'' / MRQ/2025/01883</t>
  </si>
  <si>
    <t>STJ/2025/06/06026</t>
  </si>
  <si>
    <t>CM/MTI/2025/01370 - [CIGGS001] GAS OXYGEN FULL CYLINDER, O2 / MRQ/2025/01890</t>
  </si>
  <si>
    <t>STJ/2025/06/06204</t>
  </si>
  <si>
    <t>CM/MTI/2025/01371 - [CIGGS001] GAS OXYGEN FULL CYLINDER, O2 / MRQ/2025/01881</t>
  </si>
  <si>
    <t>STJ/2025/06/06241</t>
  </si>
  <si>
    <t>CM/MTI/2025/01371 - [CWCWR003] WELDING ELECTRODE MS 6013 SIZE 4 MM X 450 MM / MRQ/2025/01881</t>
  </si>
  <si>
    <t>STJ/2025/06/06242</t>
  </si>
  <si>
    <t>CM/MTI/2025/01371 - [EFSHB096] BOLT HT HEX HEAD M12 X 50MM FULL THREAD WITH NUT AND WASHER GRADE 8.8 / MRQ/2025/01881
Rounding Adjustment: -0.01 TSh</t>
  </si>
  <si>
    <t>STJ/2025/06/06243</t>
  </si>
  <si>
    <t>CM/MTI/2025/01371 - [EMEGN005] STEP GRATING SIZE 250MM X 800 MM AS PER DRAWING NO. LCL/CSS/STR/03 / MRQ/2025/01881</t>
  </si>
  <si>
    <t>STJ/2025/06/06244</t>
  </si>
  <si>
    <t>CM/MTI/2025/01354 - [CIGGS001] GAS OXYGEN FULL CYLINDER, O2 / MRQ/2025/01835</t>
  </si>
  <si>
    <t>STJ/2025/06/05822</t>
  </si>
  <si>
    <t>CM/MTI/2025/01354 - [CWCWR003] WELDING ELECTRODE MS 6013 SIZE 4 MM X 450 MM / MRQ/2025/01835</t>
  </si>
  <si>
    <t>STJ/2025/06/05823</t>
  </si>
  <si>
    <t>CM/MTI/2025/01355 - [EFSHB096] BOLT HT HEX HEAD M12 X 50MM FULL THREAD WITH NUT AND WASHER GRADE 8.8 / MRQ/2025/01855</t>
  </si>
  <si>
    <t>STJ/2025/06/05824</t>
  </si>
  <si>
    <t>[ESSAG011] ISA 75 X 75 X 6</t>
  </si>
  <si>
    <t>CM/MTI/2025/01365 - [ESSAG011] ISA 75 X 75 X 6 / MRQ/2025/01842</t>
  </si>
  <si>
    <t>STJ/2025/06/05844</t>
  </si>
  <si>
    <t>[ESSBM008] ISMB 300</t>
  </si>
  <si>
    <t>CM/MTI/2025/01365 - [ESSBM008] ISMB 300 / MRQ/2025/01842</t>
  </si>
  <si>
    <t>STJ/2025/06/05845</t>
  </si>
  <si>
    <t>[ESSCN005] ISMC 200</t>
  </si>
  <si>
    <t>CM/MTI/2025/01365 - [ESSCN005] ISMC 200 / MRQ/2025/01842</t>
  </si>
  <si>
    <t>STJ/2025/06/05846</t>
  </si>
  <si>
    <t>[EPSCQ004] PLATE MS CHEQUERED 2400 X 1200 X 6 MM THICK</t>
  </si>
  <si>
    <t>CM/MTI/2025/01335 - [EPSCQ004] PLATE MS CHEQUERED 2400 X 1200 X 6 MM THICK / MRQ/2025/01787</t>
  </si>
  <si>
    <t>STJ/2025/06/04999</t>
  </si>
  <si>
    <t>[ESSAG010] ISA 70 X 70 X 6</t>
  </si>
  <si>
    <t>CM/MTI/2025/01335 - [ESSAG010] ISA 70 X 70 X 6 / MRQ/2025/01787</t>
  </si>
  <si>
    <t>STJ/2025/06/05000</t>
  </si>
  <si>
    <t>[ESSBM006] ISMB 200</t>
  </si>
  <si>
    <t>CM/MTI/2025/01335 - [ESSBM006] ISMB 200 / MRQ/2025/01787</t>
  </si>
  <si>
    <t>STJ/2025/06/05001</t>
  </si>
  <si>
    <t>[ESSCN003] ISMC 125</t>
  </si>
  <si>
    <t>CM/MTI/2025/01335 - [ESSCN003] ISMC 125 / MRQ/2025/01787</t>
  </si>
  <si>
    <t>STJ/2025/06/05002</t>
  </si>
  <si>
    <t>CM/MTI/2025/01339 - [CIGGS001] GAS OXYGEN FULL CYLINDER, O2 / MRQ/2025/01834</t>
  </si>
  <si>
    <t>STJ/2025/06/05053</t>
  </si>
  <si>
    <t>CM/MTI/2025/01339 - [CIGGS005] GAS LIQUEFIED PETROLEUM FULL CYLINDER, LPG CAPACITY 15KG / MRQ/2025/01834</t>
  </si>
  <si>
    <t>STJ/2025/06/05054</t>
  </si>
  <si>
    <t>CM/MTI/2025/01339 - [CWCWR003] WELDING ELECTRODE MS 6013 SIZE 4 MM X 450 MM / MRQ/2025/01834
Rounding Adjustment: -0.01 TSh</t>
  </si>
  <si>
    <t>STJ/2025/06/05055</t>
  </si>
  <si>
    <t>CM/MTI/2025/01328 - [CWCGC041] CUTTING WHEEL 7'' / MRQ/2025/01801</t>
  </si>
  <si>
    <t>STJ/2025/06/04824</t>
  </si>
  <si>
    <t>CM/MTI/2025/01328 - [CWCWR003] WELDING ELECTRODE MS 6013 SIZE 4 MM X 450 MM / MRQ/2025/01801</t>
  </si>
  <si>
    <t>STJ/2025/06/04825</t>
  </si>
  <si>
    <t>CM/MTI/2025/01329 - [EFSHB096] BOLT HT HEX HEAD M12 X 50MM FULL THREAD WITH NUT AND WASHER GRADE 8.8 / MRQ/2025/01769</t>
  </si>
  <si>
    <t>STJ/2025/06/04826</t>
  </si>
  <si>
    <t>791020</t>
  </si>
  <si>
    <t>Blueberry Travel India Private Limited</t>
  </si>
  <si>
    <t>CMMI1985</t>
  </si>
  <si>
    <t>ITI00000560</t>
  </si>
  <si>
    <t xml:space="preserve">AIR TICKET CHARGES </t>
  </si>
  <si>
    <t>SERBL/2025/06/0054</t>
  </si>
  <si>
    <t>MT</t>
  </si>
  <si>
    <t>[CPRRF003] CASTABLE LC-90</t>
  </si>
  <si>
    <t>PRODUCTION</t>
  </si>
  <si>
    <t>CWIP-Pyro Upgradation</t>
  </si>
  <si>
    <t>CM/MTI/2025/01290 - [CPRRF003] CASTABLE LC-90 / MRQ/2025/01716
Rounding Adjustment: -0.01 TSh</t>
  </si>
  <si>
    <t>STJ/2025/06/04238</t>
  </si>
  <si>
    <t>CM/MTI/2025/01294 - [CIGGS001] GAS OXYGEN FULL CYLINDER, O2 / MRQ/2025/01761</t>
  </si>
  <si>
    <t>STJ/2025/06/04246</t>
  </si>
  <si>
    <t>CM/MTI/2025/01294 - [CIGGS016] GAS LIQUEFIED PETROLEUM FULL CYLINDER, LPG CAPACITY 40KG / MRQ/2025/01761</t>
  </si>
  <si>
    <t>STJ/2025/06/04247</t>
  </si>
  <si>
    <t>CM/MTI/2025/01294 - [CWCGC041] CUTTING WHEEL 7'' / MRQ/2025/01761</t>
  </si>
  <si>
    <t>STJ/2025/06/04248</t>
  </si>
  <si>
    <t>CM/MTI/2025/01294 - [CWCWR003] WELDING ELECTRODE MS 6013 SIZE 4 MM X 450 MM / MRQ/2025/01761
Rounding Adjustment: +0.01 TSh</t>
  </si>
  <si>
    <t>STJ/2025/06/04249</t>
  </si>
  <si>
    <t>CM/MTI/2025/01282 - [CIGGS001] GAS OXYGEN FULL CYLINDER, O2 / MRQ/2025/01742</t>
  </si>
  <si>
    <t>STJ/2025/06/03612</t>
  </si>
  <si>
    <t>CM/MTI/2025/01282 - [CIGGS005] GAS LIQUEFIED PETROLEUM FULL CYLINDER, LPG CAPACITY 15KG / MRQ/2025/01742</t>
  </si>
  <si>
    <t>STJ/2025/06/03613</t>
  </si>
  <si>
    <t>CM/MTI/2025/01282 - [CIGGS016] GAS LIQUEFIED PETROLEUM FULL CYLINDER, LPG CAPACITY 40KG / MRQ/2025/01742</t>
  </si>
  <si>
    <t>STJ/2025/06/03614</t>
  </si>
  <si>
    <t>CM/MTI/2025/01282 - [CWCWR003] WELDING ELECTRODE MS 6013 SIZE 4 MM X 450 MM / MRQ/2025/01742</t>
  </si>
  <si>
    <t>STJ/2025/06/03615</t>
  </si>
  <si>
    <t>CM/MTI/2025/01259 - [CWCWR003] WELDING ELECTRODE MS 6013 SIZE 4 MM X 450 MM / MRQ/2025/01707</t>
  </si>
  <si>
    <t>STJ/2025/06/02543</t>
  </si>
  <si>
    <t>CM/MTI/2025/01264 - [CPMBG002] BAG EMPTY FOR CEMENT PACKING GRADE 42.5R MATERIAL WOVEN POLYPROPYLENE CAPACITY 50KG COLOR ORANGE / MRQ/2025/01658
Rounding Adjustment: +0.01 TSh</t>
  </si>
  <si>
    <t>STJ/2025/06/02551</t>
  </si>
  <si>
    <t>CM/MTI/2025/01236 - [CIGGS001] GAS OXYGEN FULL CYLINDER, O2 / MRQ/2025/01688</t>
  </si>
  <si>
    <t>STJ/2025/06/01426</t>
  </si>
  <si>
    <t>CM/MTI/2025/01236 - [CWCWR003] WELDING ELECTRODE MS 6013 SIZE 4 MM X 450 MM / MRQ/2025/01688</t>
  </si>
  <si>
    <t>STJ/2025/06/01427</t>
  </si>
  <si>
    <t>CM/MTI/2025/01223 - [CIGGS001] GAS OXYGEN FULL CYLINDER, O2 / MRQ/2025/01629</t>
  </si>
  <si>
    <t>STJ/2025/06/01161</t>
  </si>
  <si>
    <t>CM/MTI/2025/01223 - [CWCGC041] CUTTING WHEEL 7'' / MRQ/2025/01629</t>
  </si>
  <si>
    <t>STJ/2025/06/01162</t>
  </si>
  <si>
    <t>CM/MTI/2025/01223 - [CWCWR003] WELDING ELECTRODE MS 6013 SIZE 4 MM X 450 MM / MRQ/2025/01629</t>
  </si>
  <si>
    <t>STJ/2025/06/01163</t>
  </si>
  <si>
    <t>CM/MTI/2025/01202 - [CCLGC028] NAILS CONCRETE SIZE 4'' / MRQ/2025/01633</t>
  </si>
  <si>
    <t>STJ/2025/06/00855</t>
  </si>
  <si>
    <t>CM/MTI/2025/01208 - [CIGGS001] GAS OXYGEN FULL CYLINDER, O2 / MRQ/2025/01647</t>
  </si>
  <si>
    <t>STJ/2025/06/00872</t>
  </si>
  <si>
    <t>CM/MTI/2025/01208 - [CIGGS005] GAS LIQUEFIED PETROLEUM FULL CYLINDER, LPG CAPACITY 15KG / MRQ/2025/01647</t>
  </si>
  <si>
    <t>STJ/2025/06/00873</t>
  </si>
  <si>
    <t>CASH PAID FOR TRASPORT CHARGES FOR SEDING METERIAL FOR MACHING AT TEMEKE</t>
  </si>
  <si>
    <t>PCVLG/2025/04/0061</t>
  </si>
  <si>
    <t>CASH PAID FOR MECHNNG AND DRILLING OF 128 HOLES FOR BOOSTER SUPPORT PLATE FOR NEW TRAILERS</t>
  </si>
  <si>
    <t>PCVLG/2025/04/0060</t>
  </si>
  <si>
    <t>CASH PAID FOR BENDING OF REAR BUMPER 3 SETS  AND MUDGUARDS 12 PCS</t>
  </si>
  <si>
    <t>PCVLG/2025/04/0059</t>
  </si>
  <si>
    <t>CASH PAID FOR FABRICATION OF NEW TRAILERS IN HOUSE</t>
  </si>
  <si>
    <t>PCVLG/2025/04/0056</t>
  </si>
  <si>
    <t>PCVLG/2025/04/0118</t>
  </si>
  <si>
    <t>PCVLG/2025/04/0117</t>
  </si>
  <si>
    <t>CASH PAID FOR REMOVING AND SERVICING  AND RELOCATION OF PLATE AND FITTING OF ALL AXILL FOR NEW TRAILER</t>
  </si>
  <si>
    <t>PCVLG/2025/04/0121</t>
  </si>
  <si>
    <t>PCVLG/2025/04/0041</t>
  </si>
  <si>
    <t>CASH PAID FOR  REMOVING AND SERVING OF 6AXIL FROM OLD BULKERS AND SHIFTING OF BOTTEM TOP PLATED FOR Z SPRING 12SETS</t>
  </si>
  <si>
    <t>PCVLG/2025/04/0076</t>
  </si>
  <si>
    <t>CASH PAID FOR PURCHASING OF JOST PIN 2 PCS FOR NEW TRAILERS</t>
  </si>
  <si>
    <t>PCVLG/2025/04/0094</t>
  </si>
  <si>
    <t>DISPATCH</t>
  </si>
  <si>
    <t>CM/MTI/2025/00219 - [CPMBG005] BAG EMPTY FOR CEMENT PACKING GRADE 42.5R MATERIAL WOVEN POLYPROPYLENE CAPACITY 1MT COLOR BLUE / MRQ/2025/00125</t>
  </si>
  <si>
    <t>STJ/2025/04/05185</t>
  </si>
  <si>
    <t>CM/MTI/2025/00232 - [CPMBG002] BAG EMPTY FOR CEMENT PACKING GRADE 42.5R MATERIAL WOVEN POLYPROPYLENE CAPACITY 50KG COLOR ORANGE / MRQ/2024/11959</t>
  </si>
  <si>
    <t>STJ/2025/04/05213</t>
  </si>
  <si>
    <t>CM/MTI/2025/00126 - [CCLGC328] TMT BAR SIZE 10 MM GRADE FY500. / MRQ/2025/00124</t>
  </si>
  <si>
    <t>STJ/2025/04/02552</t>
  </si>
  <si>
    <t>CM/MTI/2025/00141 - [CWCWR001] WELDING ELECTRODE MS 6013 SIZE 2.5 MM X 350 MM / MRQ/2025/00167</t>
  </si>
  <si>
    <t>STJ/2025/04/02596</t>
  </si>
  <si>
    <t>CM/MTI/2025/00288 - [EFSHB118] BOLT HT HEX HEAD M16 X 75MM FULL THREAD WITH NUT AND WASHER GRADE 8.8 / MRQ/2025/00382</t>
  </si>
  <si>
    <t>STJ/2025/04/05773</t>
  </si>
  <si>
    <t>CM/MTI/2025/00288 - [CPAPT037] THINNER SOLVENT / MRQ/2025/00382</t>
  </si>
  <si>
    <t>STJ/2025/04/05772</t>
  </si>
  <si>
    <t>CM/MTI/2025/00288 - [CPAPT007] PAINT RED OXIDE / MRQ/2025/00382</t>
  </si>
  <si>
    <t>STJ/2025/04/05771</t>
  </si>
  <si>
    <t>LOG/MTI/2025/00010 - [LGS0079] CUTTING WHEEL - 9'' / MRQ/2025/00040</t>
  </si>
  <si>
    <t>STJ/2025/04/00832</t>
  </si>
  <si>
    <t>LOG/MTI/2025/00014 - [ESSCN004] ISMC 150 / MRQ/2025/00041</t>
  </si>
  <si>
    <t>STJ/2025/04/00818</t>
  </si>
  <si>
    <t>LOG/MTI/2025/00014 - [ESSCN002] ISMC 100 / MRQ/2025/00041</t>
  </si>
  <si>
    <t>STJ/2025/04/00817</t>
  </si>
  <si>
    <t>LOG/MTI/2025/00014 - [ESSCN001] ISMC 75 / MRQ/2025/00041</t>
  </si>
  <si>
    <t>STJ/2025/04/00816</t>
  </si>
  <si>
    <t>LOG/MTI/2025/00014 - [EPSSP009] PLATE MS 2400 X 1200 X 12 MM THICK / MRQ/2025/00041</t>
  </si>
  <si>
    <t>STJ/2025/04/00815</t>
  </si>
  <si>
    <t>LOG/MTI/2025/00014 - [EPSSP007] PLATE MS 2400 X 1200 X 8 MM THICK / MRQ/2025/00041</t>
  </si>
  <si>
    <t>STJ/2025/04/00814</t>
  </si>
  <si>
    <t>LOG/MTI/2025/00014 - [EPSSP003] PLATE MS 2400 X 1200 X 3 MM THICK / MRQ/2025/00041</t>
  </si>
  <si>
    <t>STJ/2025/04/00813</t>
  </si>
  <si>
    <t>LOG/MTI/2025/00014 - [EPSCQ001] PLATE MS CHEQUERED 2400 X 1200 X 3 MM THICK / MRQ/2025/00041</t>
  </si>
  <si>
    <t>STJ/2025/04/00812</t>
  </si>
  <si>
    <t>[LGS0070] JOST KING PIN - 2.5 INCH</t>
  </si>
  <si>
    <t>LOG/MTI/2025/00046 - [LGS0070] JOST KING PIN - 2.5 INCH / MRQ/2025/00291</t>
  </si>
  <si>
    <t>STJ/2025/04/04151</t>
  </si>
  <si>
    <t>CM/MTI/2025/00957 - [EFSHB096] BOLT HT HEX HEAD M12 X 50MM FULL THREAD WITH NUT AND WASHER GRADE 8.8 / MRQ/2025/01308</t>
  </si>
  <si>
    <t>STJ/2025/05/07206</t>
  </si>
  <si>
    <t>CM/MTI/2025/01042 - [CWCWR003] WELDING ELECTRODE MS 6013 SIZE 4 MM X 450 MM / MRQ/2025/01417</t>
  </si>
  <si>
    <t>STJ/2025/05/09552</t>
  </si>
  <si>
    <t>CM/MTI/2025/01041 - [EPFPI030] PIPE MS SIZE 4" DIA X 6000 MM LONG CLASS C / MRQ/2025/01404</t>
  </si>
  <si>
    <t>STJ/2025/05/09551</t>
  </si>
  <si>
    <t>[EFSHB087] BOLT HT HEX HEAD M10 X 70MM FULL THREAD WITH NUT AND WASHER GRADE 8.8</t>
  </si>
  <si>
    <t>CM/MTI/2025/01041 - [EFSHB087] BOLT HT HEX HEAD M10 X 70MM FULL THREAD WITH NUT AND WASHER GRADE 8.8 / MRQ/2025/01404</t>
  </si>
  <si>
    <t>STJ/2025/05/09550</t>
  </si>
  <si>
    <t>CM/MTI/2025/01039 - [CWCWR003] WELDING ELECTRODE MS 6013 SIZE 4 MM X 450 MM / MRQ/2025/01356
Rounding Adjustment: -0.01 TSh</t>
  </si>
  <si>
    <t>STJ/2025/05/09548</t>
  </si>
  <si>
    <t>CM/MTI/2025/01039 - [CIGGS001] GAS OXYGEN FULL CYLINDER, O2 / MRQ/2025/01356</t>
  </si>
  <si>
    <t>STJ/2025/05/09547</t>
  </si>
  <si>
    <t>CM/MTI/2025/01161 - [CWCWR003] WELDING ELECTRODE MS 6013 SIZE 4 MM X 450 MM / MRQ/2025/01581</t>
  </si>
  <si>
    <t>STJ/2025/05/12096</t>
  </si>
  <si>
    <t>CM/MTI/2025/01161 - [CIGGS001] GAS OXYGEN FULL CYLINDER, O2 / MRQ/2025/01581</t>
  </si>
  <si>
    <t>STJ/2025/05/12095</t>
  </si>
  <si>
    <t>CM/MTI/2025/00957 - [CIGGS001] GAS OXYGEN FULL CYLINDER, O2 / MRQ/2025/01308</t>
  </si>
  <si>
    <t>STJ/2025/05/07205</t>
  </si>
  <si>
    <t>CM/MTI/2025/00986 - [CWCWR003] WELDING ELECTRODE MS 6013 SIZE 4 MM X 450 MM / MRQ/2025/01361</t>
  </si>
  <si>
    <t>STJ/2025/05/08133</t>
  </si>
  <si>
    <t>CM/MTI/2025/00986 - [CWCGC041] CUTTING WHEEL 7'' / MRQ/2025/01361</t>
  </si>
  <si>
    <t>STJ/2025/05/08132</t>
  </si>
  <si>
    <t>CM/MTI/2025/00986 - [CIGGS001] GAS OXYGEN FULL CYLINDER, O2 / MRQ/2025/01361</t>
  </si>
  <si>
    <t>STJ/2025/05/08131</t>
  </si>
  <si>
    <t>[EFSHB123] BOLT HT HEX HEAD M16 X 100MM HALF THREAD WITH NUT AND WASHER GRADE 8.8</t>
  </si>
  <si>
    <t>CM/MTI/2025/01080 - [EFSHB123] BOLT HT HEX HEAD M16 X 100MM HALF THREAD WITH NUT AND WASHER GRADE 8.8 / MRQ/2025/01466</t>
  </si>
  <si>
    <t>STJ/2025/05/09827</t>
  </si>
  <si>
    <t>CM/MTI/2025/01080 - [CWCWR003] WELDING ELECTRODE MS 6013 SIZE 4 MM X 450 MM / MRQ/2025/01466</t>
  </si>
  <si>
    <t>STJ/2025/05/09826</t>
  </si>
  <si>
    <t>CM/MTI/2025/01080 - [CIGGS005] GAS LIQUEFIED PETROLEUM FULL CYLINDER, LPG CAPACITY 15KG / MRQ/2025/01466</t>
  </si>
  <si>
    <t>STJ/2025/05/09825</t>
  </si>
  <si>
    <t>CM/MTI/2025/01080 - [CIGGS001] GAS OXYGEN FULL CYLINDER, O2 / MRQ/2025/01466</t>
  </si>
  <si>
    <t>STJ/2025/05/09824</t>
  </si>
  <si>
    <t>CM/MTI/2025/01080 - [CCLGC328] TMT BAR SIZE 10 MM GRADE FY500. / MRQ/2025/01466</t>
  </si>
  <si>
    <t>STJ/2025/05/09823</t>
  </si>
  <si>
    <t>CM/MTI/2025/01080 - [CCLGC032] WIRE FOR BINDING / MRQ/2025/01466</t>
  </si>
  <si>
    <t>STJ/2025/05/09822</t>
  </si>
  <si>
    <t>CM/MTI/2025/01108 - [CWCGC041] CUTTING WHEEL 7'' / MRQ/2025/01498</t>
  </si>
  <si>
    <t>STJ/2025/05/10810</t>
  </si>
  <si>
    <t>CM/MTI/2025/01108 - [CIGGS005] GAS LIQUEFIED PETROLEUM FULL CYLINDER, LPG CAPACITY 15KG / MRQ/2025/01498</t>
  </si>
  <si>
    <t>STJ/2025/05/10809</t>
  </si>
  <si>
    <t>CM/MTI/2025/01165 - [CCLGC028] NAILS CONCRETE SIZE 4'' / MRQ/2025/01567</t>
  </si>
  <si>
    <t>STJ/2025/05/12105</t>
  </si>
  <si>
    <t>CM/MTI/2025/01163 - [CWCGC041] CUTTING WHEEL 7'' / MRQ/2025/01575</t>
  </si>
  <si>
    <t>STJ/2025/05/12101</t>
  </si>
  <si>
    <t>CM/MTI/2025/01163 - [CIGGS016] GAS LIQUEFIED PETROLEUM FULL CYLINDER, LPG CAPACITY 40KG / MRQ/2025/01575</t>
  </si>
  <si>
    <t>STJ/2025/05/12100</t>
  </si>
  <si>
    <t>CM/MTI/2025/01163 - [CIGGS001] GAS OXYGEN FULL CYLINDER, O2 / MRQ/2025/01575</t>
  </si>
  <si>
    <t>STJ/2025/05/12099</t>
  </si>
  <si>
    <t>CM/MTI/2025/01163 - [CCLGC023] NAILS SIZE 4'' / MRQ/2025/01575</t>
  </si>
  <si>
    <t>STJ/2025/05/12098</t>
  </si>
  <si>
    <t>MRT/2025/00004 - [CFLFL001] FUEL DIESEL / Return from Request/MRQ/2024/10425</t>
  </si>
  <si>
    <t>STJ/2025/04/12028</t>
  </si>
  <si>
    <t>MRT/2025/00005 - [CFLFL001] FUEL DIESEL / Return from Request/MRQ/2024/10462</t>
  </si>
  <si>
    <t>STJ/2025/04/12029</t>
  </si>
  <si>
    <t>CM/MTI/2025/00608 - [EFSHB096] BOLT HT HEX HEAD M12 X 50MM FULL THREAD WITH NUT AND WASHER GRADE 8.8 / MRQ/2025/00790</t>
  </si>
  <si>
    <t>STJ/2025/04/12269</t>
  </si>
  <si>
    <t>[ETLGN125] PIANO WIRE 0.5MM (AMWG-08) TENSILE STRENGTH 1000-2000 MPA MATERIAL SS- 304</t>
  </si>
  <si>
    <t>CM/MTI/2025/00608 - [ETLGN125] PIANO WIRE 0.5MM (AMWG-08) TENSILE STRENGTH 1000-2000 MPA MATERIAL SS- 304 / MRQ/2025/00790</t>
  </si>
  <si>
    <t>STJ/2025/04/12270</t>
  </si>
  <si>
    <t>CM/MTI/2025/00568 - [CIGGS001] GAS OXYGEN FULL CYLINDER, O2 / MRQ/2025/00567</t>
  </si>
  <si>
    <t>STJ/2025/04/11789</t>
  </si>
  <si>
    <t>CM/MTI/2025/00498 - [CCLGC307] EPOXY MORTAR FOR REBAR CONNECTIONS HILT HIT-RE 500 V3 / MRQ/2025/00653
Rounding Adjustment: +0.01 TSh</t>
  </si>
  <si>
    <t>STJ/2025/04/10346</t>
  </si>
  <si>
    <t>CM/MTI/2025/00498 - [CIGGS016] GAS LIQUEFIED PETROLEUM FULL CYLINDER, LPG CAPACITY 40KG / MRQ/2025/00653</t>
  </si>
  <si>
    <t>STJ/2025/04/10347</t>
  </si>
  <si>
    <t>CM/MTI/2025/00498 - [EFSAB012] ANCHOR FASTENER  HAS-E M24 X 210/54, 290MM HILTI / MRQ/2025/00653</t>
  </si>
  <si>
    <t>STJ/2025/04/10348</t>
  </si>
  <si>
    <t>CM/MTI/2025/00498 - [EFSHB096] BOLT HT HEX HEAD M12 X 50MM FULL THREAD WITH NUT AND WASHER GRADE 8.8 / MRQ/2025/00653
Rounding Adjustment: -0.01 TSh</t>
  </si>
  <si>
    <t>STJ/2025/04/10349</t>
  </si>
  <si>
    <t>CM/MTI/2025/00446 - [CIGGS001] GAS OXYGEN FULL CYLINDER, O2 / MRQ/2025/00551</t>
  </si>
  <si>
    <t>STJ/2025/04/09970</t>
  </si>
  <si>
    <t>CM/MTI/2025/00366 - [CIGGS001] GAS OXYGEN FULL CYLINDER, O2 / MRQ/2025/00466</t>
  </si>
  <si>
    <t>STJ/2025/04/07696</t>
  </si>
  <si>
    <t>CM/MTI/2025/00343 - [CIGGS001] GAS OXYGEN FULL CYLINDER, O2 / MRQ/2025/00436</t>
  </si>
  <si>
    <t>STJ/2025/04/06844</t>
  </si>
  <si>
    <t xml:space="preserve">[EMEKL041] GUN  OIL  FOR KILN DIESEL FIRING HOSE WITH 1" HOSE WITH QUICK COUPLER </t>
  </si>
  <si>
    <t>CM/MRT/2025/00002 - [EMEKL041] GUN  OIL  FOR KILN DIESEL FIRING HOSE WITH 1" HOSE WITH QUICK COUPLER  / Return from Request/MRQ/2024/11432</t>
  </si>
  <si>
    <t>STJ/2025/04/06083</t>
  </si>
  <si>
    <t>CM/MTI/2025/00279 - [CIGGS001] GAS OXYGEN FULL CYLINDER, O2 / MRQ/2025/00280</t>
  </si>
  <si>
    <t>STJ/2025/04/05752</t>
  </si>
  <si>
    <t>CM/MTI/2025/00189 - [CFLFL001] FUEL DIESEL / MRQ/2025/00258</t>
  </si>
  <si>
    <t>STJ/2025/04/02971</t>
  </si>
  <si>
    <t>CM/MTI/2025/00190 - [CFLFL001] FUEL DIESEL / MRQ/2025/00259</t>
  </si>
  <si>
    <t>STJ/2025/04/02972</t>
  </si>
  <si>
    <t>CM/MTI/2025/00101 - [CFLFL001] FUEL DIESEL / MRQ/2025/00113
Rounding Adjustment: -0.01 TSh</t>
  </si>
  <si>
    <t>STJ/2025/04/00999</t>
  </si>
  <si>
    <t>CM/MTI/2025/00104 - [CFLFL001] FUEL DIESEL / MRQ/2025/00115</t>
  </si>
  <si>
    <t>STJ/2025/04/01002</t>
  </si>
  <si>
    <t>CM/MTI/2025/00004 - [CFLFL001] FUEL DIESEL / MRQ/2025/00007</t>
  </si>
  <si>
    <t>STJ/2025/04/00294</t>
  </si>
  <si>
    <t>CM/MTI/2025/00005 - [CFLFL001] FUEL DIESEL / MRQ/2025/00008</t>
  </si>
  <si>
    <t>STJ/2025/04/00295</t>
  </si>
  <si>
    <t>CM/MTI/2025/00006 - [CFLFL001] FUEL DIESEL / MRQ/2025/00009</t>
  </si>
  <si>
    <t>STJ/2025/04/00296</t>
  </si>
  <si>
    <t>CWIP-ESP UPGRADATION</t>
  </si>
  <si>
    <t>CM/MTI/2025/00019 - [CCLGC032] WIRE FOR BINDING / MRQ/2025/00023</t>
  </si>
  <si>
    <t>STJ/2025/04/00328</t>
  </si>
  <si>
    <t>CM/MTI/2025/00020 - [CIGGS001] GAS OXYGEN FULL CYLINDER, O2 / MRQ/2025/00024</t>
  </si>
  <si>
    <t>STJ/2025/04/00329</t>
  </si>
  <si>
    <t>CM/MTI/2025/00085 - [EPFPI030] PIPE MS SIZE 4" DIA X 6000 MM LONG CLASS C / MRQ/2024/11092</t>
  </si>
  <si>
    <t>STJ/2025/04/00469</t>
  </si>
  <si>
    <t xml:space="preserve">[CAOFE005] AIR CONDITION UNIT 24000 BTU SPLIT TYPE </t>
  </si>
  <si>
    <t>COAL MILL</t>
  </si>
  <si>
    <t>Fixed Asset</t>
  </si>
  <si>
    <t>CM/MTI/2025/03161 - [CAOFE005] AIR CONDITION UNIT 24000 BTU SPLIT TYPE  / MRQ/2025/04517</t>
  </si>
  <si>
    <t>STJ/2025/09/16577</t>
  </si>
  <si>
    <t>[CAOFE002] AIR CONDITION UNIT 18000 BTU SPLIT TYPE</t>
  </si>
  <si>
    <t>ADMIN</t>
  </si>
  <si>
    <t>HO</t>
  </si>
  <si>
    <t>CM/MTI/2025/03068 - [CAOFE002] AIR CONDITION UNIT 18000 BTU SPLIT TYPE / MRQ/2025/04403</t>
  </si>
  <si>
    <t>CM/MTI/2025/03068 - [CAOFE002] AIR CONDITION UNIT 18000 BTU SPLIT TYPE / MRQ/2025/04403-SAJIV OFFICE</t>
  </si>
  <si>
    <t>STJ/2025/09/13669</t>
  </si>
  <si>
    <t>[CACOP009] SQL SERVER 2022 STANDARD</t>
  </si>
  <si>
    <t>CM/MTI/2025/02951 - [CACOP009] SQL SERVER 2022 STANDARD / MRQ/2025/04229</t>
  </si>
  <si>
    <t>STJ/2025/09/08632</t>
  </si>
  <si>
    <t>[CACOP006] LAPTOP</t>
  </si>
  <si>
    <t>HR</t>
  </si>
  <si>
    <t>CM/MTI/2025/02903 - [CACOP006] LAPTOP / MRQ/2025/04022-PAVAN GANDHI(UNIT HEAD)</t>
  </si>
  <si>
    <t>CM/MTI/2025/02903 - [CACOP006] LAPTOP / MRQ/2025/04022</t>
  </si>
  <si>
    <t>STJ/2025/09/06697</t>
  </si>
  <si>
    <t>CM/MTI/2025/02667 - [CAOFE002] AIR CONDITION UNIT 18000 BTU SPLIT TYPE / MRQ/2025/03808</t>
  </si>
  <si>
    <t>STJ/2025/08/15363</t>
  </si>
  <si>
    <t>[CACOP007] PRINTER</t>
  </si>
  <si>
    <t>CM/MTI/2025/02609 - [CACOP007] PRINTER / MRQ/2025/03704</t>
  </si>
  <si>
    <t>STJ/2025/08/13343</t>
  </si>
  <si>
    <t>[CAFRF007] OFFICE TABLE SIZE 120 X 60 CM</t>
  </si>
  <si>
    <t>CM/MTI/2025/02524 - [CAFRF007] OFFICE TABLE SIZE 120 X 60 CM / MRQ/2025/03613</t>
  </si>
  <si>
    <t>STJ/2025/08/10957</t>
  </si>
  <si>
    <t>STORE</t>
  </si>
  <si>
    <t>CM/MTI/2025/02529 - [CACOP006] LAPTOP / MRQ/2025/03540</t>
  </si>
  <si>
    <t>CM/MTI/2025/02529 - [CACOP006] LAPTOP / MRQ/2025/03540-KISHORE</t>
  </si>
  <si>
    <t>STJ/2025/08/10967</t>
  </si>
  <si>
    <t>[CAFRF006] CHAIR WITHOUT WHEELS</t>
  </si>
  <si>
    <t>CM/MTI/2025/02428 - [CAFRF006] CHAIR WITHOUT WHEELS / MRQ/2025/03453</t>
  </si>
  <si>
    <t>STJ/2025/08/07695</t>
  </si>
  <si>
    <t>CM/MTI/2025/02283 - [CAOFE005] AIR CONDITION UNIT 24000 BTU SPLIT TYPE  / MRQ/2025/03248</t>
  </si>
  <si>
    <t>STJ/2025/08/03292</t>
  </si>
  <si>
    <t>CM/MTI/2025/02292 - [CACOP007] PRINTER / MRQ/2025/03238</t>
  </si>
  <si>
    <t>STJ/2025/08/03367</t>
  </si>
  <si>
    <t>CM/MTI/2025/02078 - [CAOFE002] AIR CONDITION UNIT 18000 BTU SPLIT TYPE / MRQ/2025/02869</t>
  </si>
  <si>
    <t>STJ/2025/07/13802</t>
  </si>
  <si>
    <t>[CAFRF010] CABINET STEEL</t>
  </si>
  <si>
    <t>CM/MTI/2025/02080 - [CAFRF010] CABINET STEEL / MRQ/2025/02955</t>
  </si>
  <si>
    <t>STJ/2025/07/13817</t>
  </si>
  <si>
    <t>CM/MTI/2025/02082 - [CACOP006] LAPTOP / MRQ/2025/02957</t>
  </si>
  <si>
    <t>CM/MTI/2025/02082 - [CACOP006] LAPTOP / MRQ/2025/02957-LCL/HO/098-PUNIT ASAWLA</t>
  </si>
  <si>
    <t>STJ/2025/07/13819</t>
  </si>
  <si>
    <t>ACCOUNTS</t>
  </si>
  <si>
    <t>CM/MTI/2025/02083 - [CACOP006] LAPTOP / MRQ/2025/02870</t>
  </si>
  <si>
    <t>CM/MTI/2025/02083 - [CACOP006] LAPTOP / MRQ/2025/02870-	LCL/HO/155-ROBERT ELIUD JOB</t>
  </si>
  <si>
    <t>STJ/2025/07/13820</t>
  </si>
  <si>
    <t>[CAFRF015] TV</t>
  </si>
  <si>
    <t>CM/MTI/2025/01908 - [CAFRF015] TV / MRQ/2025/02669
Rounding Adjustment: +0.01 TSh</t>
  </si>
  <si>
    <t>STJ/2025/07/08498</t>
  </si>
  <si>
    <t>CM/MTI/2025/01821 - [CAOFE002] AIR CONDITION UNIT 18000 BTU SPLIT TYPE / MRQ/2025/02497</t>
  </si>
  <si>
    <t>STJ/2025/07/05478</t>
  </si>
  <si>
    <t>RAW MILL-1</t>
  </si>
  <si>
    <t>CM/MTI/2025/01656 - [CAOFE005] AIR CONDITION UNIT 24000 BTU SPLIT TYPE  / MRQ/2025/02287</t>
  </si>
  <si>
    <t>STJ/2025/07/00147</t>
  </si>
  <si>
    <t>PHYSICAL LABORATORY</t>
  </si>
  <si>
    <t>CM/MTI/2025/01616 - [CAOFE005] AIR CONDITION UNIT 24000 BTU SPLIT TYPE  / MRQ/2025/02265</t>
  </si>
  <si>
    <t>STJ/2025/06/14811</t>
  </si>
  <si>
    <t>[CAFRF014] FAN EXHAUST PVC 46 WATT 230 VAC SIZE 12 INCH WITH LOUVERS WALL MOUNT FOR WASH ROOM</t>
  </si>
  <si>
    <t>CM/MTI/2025/01465 - [CAFRF014] FAN EXHAUST PVC 46 WATT 230 VAC SIZE 12 INCH WITH LOUVERS WALL MOUNT FOR WASH ROOM / MRQ/2025/02015</t>
  </si>
  <si>
    <t>STJ/2025/06/09255</t>
  </si>
  <si>
    <t>[CITGC078] MOBILE PHONE</t>
  </si>
  <si>
    <t>CM/MTI/2025/01241 - [CITGC078] MOBILE PHONE / MRQ/2025/01683</t>
  </si>
  <si>
    <t>STJ/2025/06/01443</t>
  </si>
  <si>
    <t>731003 STORE SPARES &amp; CONSUMABLE-CA</t>
  </si>
  <si>
    <t>CM/MTI/2025/01154 - [CACOP007] PRINTER / MRQ/2025/01557</t>
  </si>
  <si>
    <t>STJ/2025/05/11698</t>
  </si>
  <si>
    <t>[CAFRF019] CHAIR WITH WHEELS</t>
  </si>
  <si>
    <t>CM/MTI/2025/01115 - [CAFRF019] CHAIR WITH WHEELS / MRQ/2025/01312</t>
  </si>
  <si>
    <t>STJ/2025/05/10980</t>
  </si>
  <si>
    <t>CAPTIVE POWER PLANT</t>
  </si>
  <si>
    <t>WATER TREATMENT</t>
  </si>
  <si>
    <t>CM/MTI/2025/01127 - [CAFRF019] CHAIR WITH WHEELS / MRQ/2025/01513
Rounding Adjustment: +0.01 TSh</t>
  </si>
  <si>
    <t>STJ/2025/05/11001</t>
  </si>
  <si>
    <t>[CAOFE007] WATER DISPENSER</t>
  </si>
  <si>
    <t>QUARRYING</t>
  </si>
  <si>
    <t>CM/MTI/2025/01076 - [CAOFE007] WATER DISPENSER / MRQ/2025/01453</t>
  </si>
  <si>
    <t>STJ/2025/05/09815</t>
  </si>
  <si>
    <t>CM/MTI/2025/00974 - [CAFRF019] CHAIR WITH WHEELS / MRQ/2025/01335
Rounding Adjustment: +0.01 TSh</t>
  </si>
  <si>
    <t>STJ/2025/05/07717</t>
  </si>
  <si>
    <t>[CAFRF011] FAN PEDESTAL 55 WATT 230 VAC 400  MM SWEEP</t>
  </si>
  <si>
    <t>CM/MTI/2025/00702 - [CAFRF011] FAN PEDESTAL 55 WATT 230 VAC 400  MM SWEEP / MRQ/2025/00273</t>
  </si>
  <si>
    <t>STJ/2025/05/00799</t>
  </si>
  <si>
    <t>[CGCHM049] WASHING MACHINE</t>
  </si>
  <si>
    <t>CM/MTI/2025/00618 - [CGCHM049] WASHING MACHINE / MRQ/2025/00804</t>
  </si>
  <si>
    <t>STJ/2025/04/12299</t>
  </si>
  <si>
    <t>[CGCHM053] MICROWAVE</t>
  </si>
  <si>
    <t>CM/MTI/2025/00618 - [CGCHM053] MICROWAVE / MRQ/2025/00804</t>
  </si>
  <si>
    <t>STJ/2025/04/12300</t>
  </si>
  <si>
    <t>[EISWE098] WEIGHING SCALE CAPACITY 150KG INTERFACE RS-232 PORT, PAN SIZE 400MM X 500MM SUPPLY 230VAC ADAPTER WITH INTERNAL RECHARGABLE BATTERY</t>
  </si>
  <si>
    <t>CM/MTI/2025/00449 - [EISWE098] WEIGHING SCALE CAPACITY 150KG INTERFACE RS-232 PORT, PAN SIZE 400MM X 500MM SUPPLY 230VAC ADAPTER WITH INTERNAL RECHARGABLE BATTERY / MRQ/2025/00582</t>
  </si>
  <si>
    <t>STJ/2025/04/09984</t>
  </si>
  <si>
    <t>[CAFRF009] FRIDGE</t>
  </si>
  <si>
    <t>CM/MTI/2025/00618 - [CAFRF009] FRIDGE / MRQ/2025/00804 Rounding Adjustment: -0.01 TSh-FAMILY QUARTER</t>
  </si>
  <si>
    <t>CM/MTI/2025/00618 - [CAFRF009] FRIDGE / MRQ/2025/00804
Rounding Adjustment: -0.01 TSh</t>
  </si>
  <si>
    <t>STJ/2025/04/12291</t>
  </si>
  <si>
    <t>CM/MTI/2025/00618 - [CAFRF015] TV / MRQ/2025/00804 Rounding Adjustment: -0.01 TSh-FAMILY QUARTER</t>
  </si>
  <si>
    <t>CM/MTI/2025/00618 - [CAFRF015] TV / MRQ/2025/00804
Rounding Adjustment: -0.01 TSh</t>
  </si>
  <si>
    <t>STJ/2025/04/12292</t>
  </si>
  <si>
    <t>[CAFRF016] SOFA SET</t>
  </si>
  <si>
    <t>CM/MTI/2025/00618 - [CAFRF016] SOFA SET / MRQ/2025/00804-FAMILY QUARTER</t>
  </si>
  <si>
    <t>CM/MTI/2025/00618 - [CAFRF016] SOFA SET / MRQ/2025/00804</t>
  </si>
  <si>
    <t>STJ/2025/04/12293</t>
  </si>
  <si>
    <t>[CACOP003] COMPUTER DESKTOP</t>
  </si>
  <si>
    <t>CM/MTI/2025/00449 - [CACOP003] COMPUTER DESKTOP / MRQ/2025/00582-FOR PACKER TWO</t>
  </si>
  <si>
    <t>CM/MTI/2025/00449 - [CACOP003] COMPUTER DESKTOP / MRQ/2025/00582</t>
  </si>
  <si>
    <t>STJ/2025/04/09983</t>
  </si>
  <si>
    <t xml:space="preserve">CM/MTI/2025/00221 - [CAFRF019] CHAIR WITH WHEELS / MRQ/2025/00303-Chair with Wheels for Accounts Dept </t>
  </si>
  <si>
    <t>CM/MTI/2025/00221 - [CAFRF019] CHAIR WITH WHEELS / MRQ/2025/00303</t>
  </si>
  <si>
    <t>STJ/2025/04/05188</t>
  </si>
  <si>
    <t>CM/MTI/2025/00108 - [CACOP003] COMPUTER DESKTOP / MRQ/2025/00126FOR PACKING PLANT WEGHSCALE</t>
  </si>
  <si>
    <t>CM/MTI/2025/00108 - [CACOP003] COMPUTER DESKTOP / MRQ/2025/00126-FOR PACKING PLANT WEGHSCALE</t>
  </si>
  <si>
    <t>STJ/2025/04/01577</t>
  </si>
  <si>
    <t>Corporate</t>
  </si>
  <si>
    <t>371056</t>
  </si>
  <si>
    <t>Fixed Assets</t>
  </si>
  <si>
    <t>CAPITAL WORK IN PROGRESS</t>
  </si>
  <si>
    <t>Being payment for export permit fee of minerals for Talawanda project - Marina</t>
  </si>
  <si>
    <t xml:space="preserve">TARAWANDA EXPENSES </t>
  </si>
  <si>
    <t>PCV (PETTY CASH HO)</t>
  </si>
  <si>
    <t>PCVHO/2025/09/0296</t>
  </si>
  <si>
    <t>Being payment for XRF Analysis sample exported for Tarawanda project - Anastazia</t>
  </si>
  <si>
    <t>PCVHO/2025/09/0297</t>
  </si>
  <si>
    <t>Misc. Income</t>
  </si>
  <si>
    <t>[SER006] Job Contract</t>
  </si>
  <si>
    <t>TARAWANDA EXPENSE</t>
  </si>
  <si>
    <t>Pyramid Haulage Company Limited</t>
  </si>
  <si>
    <t>CMLT2093</t>
  </si>
  <si>
    <t>PHCL-2025-30</t>
  </si>
  <si>
    <t>LPORD/2025/00960: Charges for Transportation of 1x40 empty office container from Lake Cement to Tarawanda</t>
  </si>
  <si>
    <t>SERBL/2025/09/0190</t>
  </si>
  <si>
    <t>Hotel Sapphire</t>
  </si>
  <si>
    <t>CMLT1235</t>
  </si>
  <si>
    <t>HS19169</t>
  </si>
  <si>
    <t xml:space="preserve">HOTEL CHARGES </t>
  </si>
  <si>
    <t>SERBL/2025/09/0126</t>
  </si>
  <si>
    <t>Being cash deposit to Mr Elisha Joram for surveying land crop house trees at Tarawanda - Elisha</t>
  </si>
  <si>
    <t>PCVHO/2025/09/0210</t>
  </si>
  <si>
    <t>TOYOTA RAV4 T346DXC</t>
  </si>
  <si>
    <t>351001</t>
  </si>
  <si>
    <t>VEHICLES</t>
  </si>
  <si>
    <t>TOYOTA RAV4 T346DXC: Sale Against Inv no. INV/2025/09/01669 dated 19.09.2025</t>
  </si>
  <si>
    <t>Assets</t>
  </si>
  <si>
    <t>AST/2025/09/0001</t>
  </si>
  <si>
    <t>TOYOTA PASSO T952DKT</t>
  </si>
  <si>
    <t>TOYOTA PASSO T952DKT: Sale Against Inv no. INV/2025/09/01668 DATED 19.09.2025</t>
  </si>
  <si>
    <t>AST/2025/09/0002</t>
  </si>
  <si>
    <t>Being payment for Talawanda crop house evaluation survey for land procuments - Elisha Joram</t>
  </si>
  <si>
    <t>PCVHO/2025/09/0177</t>
  </si>
  <si>
    <t>Days</t>
  </si>
  <si>
    <t>[SER032] Job Contract-10</t>
  </si>
  <si>
    <t>Holtec Consulting Private Limited</t>
  </si>
  <si>
    <t>CMMU0734</t>
  </si>
  <si>
    <t>26IN0505</t>
  </si>
  <si>
    <t>IPORD/2025/00015: Engg charges Per diem fee for extra 8 days spent at site-Mr. Harish Ameta</t>
  </si>
  <si>
    <t>SERBL/2025/09/0128</t>
  </si>
  <si>
    <t>Trip</t>
  </si>
  <si>
    <t>[SER029] Job Contract-7</t>
  </si>
  <si>
    <t>IPORD/2025/00015: Visa fee</t>
  </si>
  <si>
    <t>IPORD/2025/00015: Charges for Preparation of Bulk Samples for Industrial Testing</t>
  </si>
  <si>
    <t>IPORD/2025/00015: Travel Conveyance Expenses &amp; Overseas Insurance</t>
  </si>
  <si>
    <t>HS19160</t>
  </si>
  <si>
    <t>SERBL/2025/09/0130</t>
  </si>
  <si>
    <t>HS19170</t>
  </si>
  <si>
    <t>SERBL/2025/09/0131</t>
  </si>
  <si>
    <t>HS19168</t>
  </si>
  <si>
    <t>SERBL/2025/09/0132</t>
  </si>
  <si>
    <t>HS19263</t>
  </si>
  <si>
    <t>SERBL/2025/09/0133</t>
  </si>
  <si>
    <t>HS19261</t>
  </si>
  <si>
    <t>SERBL/2025/09/0134</t>
  </si>
  <si>
    <t>HS19259</t>
  </si>
  <si>
    <t>SERBL/2025/09/0135</t>
  </si>
  <si>
    <t>HS19252</t>
  </si>
  <si>
    <t>SERBL/2025/09/0136</t>
  </si>
  <si>
    <t>HS19251</t>
  </si>
  <si>
    <t>SERBL/2025/09/0137</t>
  </si>
  <si>
    <t>HS19167</t>
  </si>
  <si>
    <t>SERBL/2025/09/0138</t>
  </si>
  <si>
    <t>HS19164</t>
  </si>
  <si>
    <t>SERBL/2025/09/0139</t>
  </si>
  <si>
    <t>SM</t>
  </si>
  <si>
    <t>[SER034] Job Contract-12</t>
  </si>
  <si>
    <t>371021</t>
  </si>
  <si>
    <t>Deogratius Atanasi Assey T/A Thermal Insulation Technology</t>
  </si>
  <si>
    <t>CMLT2231</t>
  </si>
  <si>
    <t>TIT/LAKE/001/2025</t>
  </si>
  <si>
    <t>LPORD/2025/00971: Insulation work at various location in the plant as per attached sheet and invoice</t>
  </si>
  <si>
    <t>SERBL/2025/09/0141</t>
  </si>
  <si>
    <t>Lumpsum</t>
  </si>
  <si>
    <t>[SER027] Job Contract-5</t>
  </si>
  <si>
    <t>CRUSHER AND STACKER</t>
  </si>
  <si>
    <t>371014</t>
  </si>
  <si>
    <t>Taz Engineering Company Limited</t>
  </si>
  <si>
    <t>CMLT2186</t>
  </si>
  <si>
    <t>TAZ- 0026</t>
  </si>
  <si>
    <t xml:space="preserve">LPORD/2025/00936: GYPSUM CRUSHER FABRICATION AND ERECTION AT RECLAIMER SHED </t>
  </si>
  <si>
    <t>SERBL/2025/09/0142</t>
  </si>
  <si>
    <t>PYRO COOLER</t>
  </si>
  <si>
    <t>[PROPCO0105] COOLING FAN</t>
  </si>
  <si>
    <t>PLANT VEHICLES</t>
  </si>
  <si>
    <t>CM/MTI/2025/02991 - [PROPCO0105] COOLING FAN / MRQ/2025/04273</t>
  </si>
  <si>
    <t>STJ/2025/09/09988</t>
  </si>
  <si>
    <t>MANDAY</t>
  </si>
  <si>
    <t>[SER037] Job Contract-15</t>
  </si>
  <si>
    <t>371038</t>
  </si>
  <si>
    <t>TAZ-0021</t>
  </si>
  <si>
    <t xml:space="preserve">LPORD/2025/00940: SUPPLY OF WELDER -2 FOR RAWMILL 2 PLATFROM JOB </t>
  </si>
  <si>
    <t>SERBL/2025/09/0096</t>
  </si>
  <si>
    <t xml:space="preserve">LPORD/2025/00940: SUPPLY OF WELDER -1 FOR RAWMILL 2 PLATFORM JOB </t>
  </si>
  <si>
    <t>TAZ-0023</t>
  </si>
  <si>
    <t xml:space="preserve">LPORD/2025/00941: SUPPLY OF SKILLED FITTER FOR PREHEATER PLATFORM JOB </t>
  </si>
  <si>
    <t>SERBL/2025/09/0100</t>
  </si>
  <si>
    <t xml:space="preserve">LPORD/2025/00941: SUPPLY OF SKILLED WELDER FOR PREHEATER PLATFORM JOB </t>
  </si>
  <si>
    <t xml:space="preserve">LPORD/2025/00941: SUPPLY OF UNSKILLED HELPER FOR PREHEATER PLATFORM JOB </t>
  </si>
  <si>
    <t>371030</t>
  </si>
  <si>
    <t>Being payment for facilitation fee for special pass of Mr Vinodbhai Rathava ( Consultant ) - Shafii</t>
  </si>
  <si>
    <t xml:space="preserve">facilitation fee for spacila pass </t>
  </si>
  <si>
    <t>PCVHO/2025/09/0134</t>
  </si>
  <si>
    <t>Being payment for facilitation fee for special pass of Mr Manojkumar Baria Consultant - Shafii</t>
  </si>
  <si>
    <t xml:space="preserve">FACILITATION FEE </t>
  </si>
  <si>
    <t>PCVHO/2025/09/0135</t>
  </si>
  <si>
    <t>Being payment for facilitation fee for special pass of Mr Bakabhai Rathva Consultant - Shafii</t>
  </si>
  <si>
    <t>PCVHO/2025/09/0136</t>
  </si>
  <si>
    <t>Being payment for facilitation fee for special pass of Mr Rajeshkumar Baria  Consultant - Shafii</t>
  </si>
  <si>
    <t>PCVHO/2025/09/0137</t>
  </si>
  <si>
    <t>Routescape Travels Tanzania Limited</t>
  </si>
  <si>
    <t>CMLT2222</t>
  </si>
  <si>
    <t>RST/25000054</t>
  </si>
  <si>
    <t>SERBL/2025/09/0087</t>
  </si>
  <si>
    <t>DHL Tanzania Limited</t>
  </si>
  <si>
    <t>CMLU1172</t>
  </si>
  <si>
    <t>D002213844 ( V.CODE- 48D5AE84660 )-B/L NO.8334483581</t>
  </si>
  <si>
    <t xml:space="preserve">POSTAGE CHARGES </t>
  </si>
  <si>
    <t>SERBL/2025/09/0089</t>
  </si>
  <si>
    <t>DARIR00055868 ( V.CODE- 04C2A572246 )-B/L NO.8334483581</t>
  </si>
  <si>
    <t>SERBL/2025/09/0090</t>
  </si>
  <si>
    <t>Kwik Carriers Limited</t>
  </si>
  <si>
    <t>CMLT2103</t>
  </si>
  <si>
    <t>KCR227/2025</t>
  </si>
  <si>
    <t xml:space="preserve">CAR HIRING CHARGES </t>
  </si>
  <si>
    <t>SERBL/2025/09/0092</t>
  </si>
  <si>
    <t>KCR226/2025</t>
  </si>
  <si>
    <t>SERBL/2025/09/0093</t>
  </si>
  <si>
    <t>Being settlement against imprest taken by Pooja for Tarawanda visit - Pooja/ Sajivkumar</t>
  </si>
  <si>
    <t xml:space="preserve">DIESEL EXPENSES </t>
  </si>
  <si>
    <t>PCVHO/2025/09/0123</t>
  </si>
  <si>
    <t>Being payment for deim pocket expenses for six peoples for seven days - Tanmay Maitra</t>
  </si>
  <si>
    <t>PCVHO/2025/09/0085</t>
  </si>
  <si>
    <t>Being payment for reimbursement for business visa for ERCOM team for six persons - Tanmay Maitra</t>
  </si>
  <si>
    <t>PCVHO/2025/09/0086</t>
  </si>
  <si>
    <t>Being payment for medical insurance for six persons from ERCOM engineers - Tanmay Maitra</t>
  </si>
  <si>
    <t>PCVHO/2025/09/0087</t>
  </si>
  <si>
    <t>ITC00000316</t>
  </si>
  <si>
    <t xml:space="preserve">DBN AGAINST AIR TICKET CHARGES </t>
  </si>
  <si>
    <t>DBN/2025/09/0002</t>
  </si>
  <si>
    <t>371058</t>
  </si>
  <si>
    <t>CASH PAID FOR FABRICATION OF SIDDE WALLS FOR 3RD TRAILER</t>
  </si>
  <si>
    <t>PCVLG/2025/09/0049</t>
  </si>
  <si>
    <t>ITI00002041</t>
  </si>
  <si>
    <t>SERBL/2025/09/0030</t>
  </si>
  <si>
    <t>ITI00001749</t>
  </si>
  <si>
    <t>SERBL/2025/09/0039</t>
  </si>
  <si>
    <t>ITI00001748</t>
  </si>
  <si>
    <t>SERBL/2025/09/0040</t>
  </si>
  <si>
    <t>ITI00002216</t>
  </si>
  <si>
    <t>SERBL/2025/09/0046</t>
  </si>
  <si>
    <t>ITI00002127</t>
  </si>
  <si>
    <t>SERBL/2025/09/0047</t>
  </si>
  <si>
    <t>ITI00002213</t>
  </si>
  <si>
    <t>SERBL/2025/09/0049</t>
  </si>
  <si>
    <t>ITI00002214</t>
  </si>
  <si>
    <t>SERBL/2025/09/0052</t>
  </si>
  <si>
    <t>DTI00002672</t>
  </si>
  <si>
    <t>SERBL/2025/09/0053</t>
  </si>
  <si>
    <t>DTI00002250</t>
  </si>
  <si>
    <t>SERBL/2025/09/0054</t>
  </si>
  <si>
    <t>MUKESH AGRAWAL</t>
  </si>
  <si>
    <t>LCL/KIMB/1359</t>
  </si>
  <si>
    <t>BEING  SETTLEMENT EXPENSES FOR THE MONTH OF AUGUST 2025 FOR THE TARAWANDA PROJECT-MUKESH AGRAWAL</t>
  </si>
  <si>
    <t>OPERATION EXPENSES</t>
  </si>
  <si>
    <t>Miscellaneous Operations</t>
  </si>
  <si>
    <t>MISC/2025/09/0125</t>
  </si>
  <si>
    <t>ARNOLD KADURI</t>
  </si>
  <si>
    <t>LCL/KIMB/071</t>
  </si>
  <si>
    <t>ACCOMODATION AND FOOD</t>
  </si>
  <si>
    <t>DIESEL</t>
  </si>
  <si>
    <t>CASH WITHDRAW CHARGES</t>
  </si>
  <si>
    <t>MISCELLANEOUS</t>
  </si>
  <si>
    <t>DRIVERS ALLOWANCES</t>
  </si>
  <si>
    <t>CEMENT MILL</t>
  </si>
  <si>
    <t>[PROCM204] SHEET ALUMINIUM SIZE 24 SWG FOR INSULATION</t>
  </si>
  <si>
    <t>371023</t>
  </si>
  <si>
    <t>CM/MTI/2025/02709 - [PROCM204] SHEET ALUMINIUM SIZE 24 SWG FOR INSULATION / MRQ/2025/03822</t>
  </si>
  <si>
    <t>STJ/2025/09/00341</t>
  </si>
  <si>
    <t>JOBWORK-CONTRACT</t>
  </si>
  <si>
    <t>TAZ-0020</t>
  </si>
  <si>
    <t xml:space="preserve">LPORD/2025/00809: SUPPLY OF UNSKILLED HELPER  FOR PREHEATER FAN PLATFORM MODIFICATION AND HANDRAIL FIXING AT PREHETAER </t>
  </si>
  <si>
    <t>SERBL/2025/08/0146</t>
  </si>
  <si>
    <t xml:space="preserve">LPORD/2025/00809: SUPPLY OF SKILLED FITTER FOR PREHEATER FAN PLATFORM MODIFICATION AND HANDRAIL FIXING AT PREHETAER </t>
  </si>
  <si>
    <t xml:space="preserve">LPORD/2025/00809: SUPPLY OF SKILLED WELDER FOR PREHEATER FAN PLATFORM MODIFICATION AND HANDRAIL FIXING AT PREHETAER </t>
  </si>
  <si>
    <t>PURCHASE</t>
  </si>
  <si>
    <t>Being payment for transport charges for the limestone sample from tarawanda to Kimbiji plant - Stivene Richard</t>
  </si>
  <si>
    <t xml:space="preserve">LOCAL TRANSPORTATION </t>
  </si>
  <si>
    <t>PCVHO/2025/08/0250</t>
  </si>
  <si>
    <t>CM/MTI/2025/02572 - [PROCM204] SHEET ALUMINIUM SIZE 24 SWG FOR INSULATION / MRQ/2025/03663</t>
  </si>
  <si>
    <t>STJ/2025/08/12263</t>
  </si>
  <si>
    <t>Being payment for lunch with TANESCO team during meeting for Tarawanda project - Sajivkumar</t>
  </si>
  <si>
    <t xml:space="preserve">CONVAYANCE CHARGES </t>
  </si>
  <si>
    <t>PCVHO/2025/08/0217</t>
  </si>
  <si>
    <t>[SER025] Job Contract-3</t>
  </si>
  <si>
    <t>Gibs Developers Company</t>
  </si>
  <si>
    <t>CMLT1217</t>
  </si>
  <si>
    <t>28991</t>
  </si>
  <si>
    <t xml:space="preserve">LPORD/2025/00786: ERECTION OF PALTE AND STRUCTURE WORK FOR HOT AIR DUCT PREHATER DUCT TO NEW AND OLD COAL MILL INLET DUCT </t>
  </si>
  <si>
    <t>SERBL/2025/08/0126</t>
  </si>
  <si>
    <t xml:space="preserve">LPORD/2025/00786: FABRICATION OF PALTE AND STRUCTURE WORK FOR HOT AIR DUCT PREHATER DUCT TO NEW AND OLD COAL MILL INLET DUCT </t>
  </si>
  <si>
    <t>TAZ-0018</t>
  </si>
  <si>
    <t xml:space="preserve">LPORD/2025/00783: SUPPLY OF UNSKILLED HELPER FOR RAWMILL 2  COMMISSIONING ACTIVITIES </t>
  </si>
  <si>
    <t>SERBL/2025/08/0115</t>
  </si>
  <si>
    <t xml:space="preserve">LPORD/2025/00783: SUPPLY OF SKILLED WELDER FOR RAWMILL 2  COMMISSIONING ACTIVITIES </t>
  </si>
  <si>
    <t xml:space="preserve">LPORD/2025/00783: SUPPLY OF SKILLED FITTER FOR RAWMILL 2  COMMISSIONING ACTIVITIES </t>
  </si>
  <si>
    <t>Caneth Engineering Company Limited</t>
  </si>
  <si>
    <t>CMLT1838</t>
  </si>
  <si>
    <t>CN-0334</t>
  </si>
  <si>
    <t>LPORD/2024/01243: Insulation work for duct, chutes, Cyclone, Bag filters etc with material provided by Lake cement as Glass wool, Aluminum/ GI sheeting, Bids and ribs.</t>
  </si>
  <si>
    <t>SERBL/2025/08/0118</t>
  </si>
  <si>
    <t>TAZ-0016</t>
  </si>
  <si>
    <t xml:space="preserve">LPORD/2025/00782: UNSKILLED HELPER  TO REMOVE THE SCAFOLDING PIPE AT RAWMILL AREA AND PREHEATER BUILDING </t>
  </si>
  <si>
    <t>SERBL/2025/08/0120</t>
  </si>
  <si>
    <t xml:space="preserve">LPORD/2025/00782: SKILLED SCAFOLDER TO REMOVE THE SCAFOLDING PIPE AT RAWMILL AREA AND PREHEATER BUILDING </t>
  </si>
  <si>
    <t>371039</t>
  </si>
  <si>
    <t>TAZ-00014</t>
  </si>
  <si>
    <t xml:space="preserve">LPORD/2025/00785: RECLAIMER SHED EXTENSION SIDE GLADING,SHEET FIXING AND REPARING JOB </t>
  </si>
  <si>
    <t>SERBL/2025/08/0121</t>
  </si>
  <si>
    <t>29022</t>
  </si>
  <si>
    <t>LPORD/2025/00736: Insulation work at ducting area in plant</t>
  </si>
  <si>
    <t>SERBL/2025/08/0122</t>
  </si>
  <si>
    <t>BEING PAYMENTS FOR SURVEING CHARGE FOR RAWMILL ROLLER NO. 3 BASE LEVELLING DURING LONG SHUT DOWN WORK-GRIVIN KITANA</t>
  </si>
  <si>
    <t>PCVFY/2025/08/0070</t>
  </si>
  <si>
    <t>371012</t>
  </si>
  <si>
    <t>BEING LABOUR CHARGES FOR UNLOADING OF MIRUNDA FOR NEW SHED EXTENSION OF RAW MATERIALS-GOVIND SINGH</t>
  </si>
  <si>
    <t>PCVFY/2025/08/0064</t>
  </si>
  <si>
    <t>Tuff Rock Limited</t>
  </si>
  <si>
    <t>CMLT2205</t>
  </si>
  <si>
    <t>0005</t>
  </si>
  <si>
    <t>LPORD/2025/00547: Charges of Machinery JCB 215 (3 Days)</t>
  </si>
  <si>
    <t>SERBL/2025/08/0110</t>
  </si>
  <si>
    <t>CWIP-TECHNICAL CONSULTATION AND EXPERTS HIRING FOR PROJECT WORK</t>
  </si>
  <si>
    <t>371050</t>
  </si>
  <si>
    <t>Chanderpur Works Private Limited</t>
  </si>
  <si>
    <t>CMMU0685</t>
  </si>
  <si>
    <t>P/0051/25-26</t>
  </si>
  <si>
    <t>IPORD/2025/00053: ENGINEERING SERVICE CHARGES FOR EXPANSION OF CEMENT PRODUCTION PLANT (Per day 35000 INR, for 81 days, total 2835000 INR)</t>
  </si>
  <si>
    <t>SERBL/2025/08/0104</t>
  </si>
  <si>
    <t>P/0050/25-26</t>
  </si>
  <si>
    <t>IPORD/2025/00052: ENGINEERING SERVICE CHARGES FOR EXPANSION OF CEMENT PRODUCTION PLANT (Per Day 20000 INR ,for 30 day total -600000 INR)</t>
  </si>
  <si>
    <t>SERBL/2025/08/0106</t>
  </si>
  <si>
    <t>P/0108/25-26</t>
  </si>
  <si>
    <t xml:space="preserve">IPORD/2025/00056: Service Charges of Engineer - DCS Engineer for Pyro upgradation </t>
  </si>
  <si>
    <t>SERBL/2025/08/0107</t>
  </si>
  <si>
    <t>CM/MTI/2025/02433 - [PROCM204] SHEET ALUMINIUM SIZE 24 SWG FOR INSULATION / MRQ/2025/03457</t>
  </si>
  <si>
    <t>STJ/2025/08/08034</t>
  </si>
  <si>
    <t>CASH PAID FOR FIXING OF HANGERS ,6 PCS AND SUSPENSTION SYSTEM 6 PCS AND 3 AXILS FOR NEW TRAILERS</t>
  </si>
  <si>
    <t>PCVLG/2025/08/0107</t>
  </si>
  <si>
    <t>CASH PAID FOR BENDING OF MS SHEETS 1.5MM 20 PCS FOR FABRICATION OF SIDE BODY FOR NEW TRAILER</t>
  </si>
  <si>
    <t>PCVLG/2025/08/0108</t>
  </si>
  <si>
    <t>CM/MTI/2025/02406 - [PROPCO0105] COOLING FAN / MRQ/2025/03423</t>
  </si>
  <si>
    <t>STJ/2025/08/06842</t>
  </si>
  <si>
    <t>CASH PAID FOR PAINTING PREPARATION AND PAINTING OF NEW TRAILER</t>
  </si>
  <si>
    <t>PCVLG/2025/08/0089</t>
  </si>
  <si>
    <t>CASH PAID FOR FITTING OF SUSPENSTION SYSTEM AND AXILS FOR NEW TRAILER</t>
  </si>
  <si>
    <t>PCVLG/2025/08/0095</t>
  </si>
  <si>
    <t>TAZ-0015</t>
  </si>
  <si>
    <t>LPORD/2025/00704: Welders for Raw mill-2 project work</t>
  </si>
  <si>
    <t>SERBL/2025/08/0066</t>
  </si>
  <si>
    <t>0004</t>
  </si>
  <si>
    <t>SERBL/2025/08/0068</t>
  </si>
  <si>
    <t>0002</t>
  </si>
  <si>
    <t>LPORD/2025/00547: DE Mobilization Charges of Machinery CAT-320D OR Kamatsu PC220</t>
  </si>
  <si>
    <t>SERBL/2025/08/0069</t>
  </si>
  <si>
    <t>LPORD/2025/00547: Mobilization Charges of Machinery CAT-320D OR Kamatsu PC220</t>
  </si>
  <si>
    <t>LPORD/2025/00547: Charges of Machinery CAT-320D OR Kamatsu PC220 (3 Days)</t>
  </si>
  <si>
    <t>Being settlement against imprest taken by Shadrack Sanga for various ref numbers - Shadrack</t>
  </si>
  <si>
    <t xml:space="preserve">TARAWANDA WORK EXPENSES </t>
  </si>
  <si>
    <t>PCVHO/2025/08/0098</t>
  </si>
  <si>
    <t>29015</t>
  </si>
  <si>
    <t>LPORD/2025/00684: REQUIRED  2-WELDERS FOR  NEW RAW MILL</t>
  </si>
  <si>
    <t>SERBL/2025/08/0052</t>
  </si>
  <si>
    <t>LPORD/2025/00684: REQUIRED  2-FITTER FOR NEW RAW MILL</t>
  </si>
  <si>
    <t xml:space="preserve">LPORD/2025/00684: REQUIRED 10 HELPERS FOR 30 DAYS FOR NEW RAW MILL COMMISSIONING </t>
  </si>
  <si>
    <t>ITC00000191</t>
  </si>
  <si>
    <t>DBN/2025/08/0002</t>
  </si>
  <si>
    <t>CASH PAID FOR FABRICATION OF SIDE WALLS FOR SECOND NEW TRAILERS</t>
  </si>
  <si>
    <t>PCVLG/2025/08/0035</t>
  </si>
  <si>
    <t>ITI00001669</t>
  </si>
  <si>
    <t>SERBL/2025/08/0005</t>
  </si>
  <si>
    <t>ITI00001229</t>
  </si>
  <si>
    <t>SERBL/2025/08/0006</t>
  </si>
  <si>
    <t>ITI00001472</t>
  </si>
  <si>
    <t>SERBL/2025/08/0011</t>
  </si>
  <si>
    <t>ITI00001241</t>
  </si>
  <si>
    <t>SERBL/2025/08/0015</t>
  </si>
  <si>
    <t>ITI00001299</t>
  </si>
  <si>
    <t>SERBL/2025/08/0017</t>
  </si>
  <si>
    <t>DTI00001681</t>
  </si>
  <si>
    <t>SERBL/2025/08/0018</t>
  </si>
  <si>
    <t>ITI00001300</t>
  </si>
  <si>
    <t>SERBL/2025/08/0019</t>
  </si>
  <si>
    <t>ITI00001452</t>
  </si>
  <si>
    <t>SERBL/2025/08/0020</t>
  </si>
  <si>
    <t>DTI00001835</t>
  </si>
  <si>
    <t xml:space="preserve">AIR TIUCKET CHARGES </t>
  </si>
  <si>
    <t>SERBL/2025/08/0021</t>
  </si>
  <si>
    <t>DTI00001834</t>
  </si>
  <si>
    <t>SERBL/2025/08/0022</t>
  </si>
  <si>
    <t>WHEEL LOADER T963DTP</t>
  </si>
  <si>
    <t>CM/MTI/2025/02257 - [PROPCO0105] COOLING FAN / MRQ/2025/03182</t>
  </si>
  <si>
    <t>STJ/2025/08/02057</t>
  </si>
  <si>
    <t>CASH PAID FOR PURCHASING OF FLAT BAR 5 PCS 6X50MM @36000 FOR SIDE BODY REPAIRS</t>
  </si>
  <si>
    <t>PCVLG/2025/08/0004</t>
  </si>
  <si>
    <t>CWIP-Cement Mill 50TPH New</t>
  </si>
  <si>
    <t>DBN:-205/206/374</t>
  </si>
  <si>
    <t>Vendor Bills</t>
  </si>
  <si>
    <t>DBN/2025/07/0078</t>
  </si>
  <si>
    <t>CWIP-Bag House Upgrade</t>
  </si>
  <si>
    <t>371024</t>
  </si>
  <si>
    <t>371041</t>
  </si>
  <si>
    <t>371037</t>
  </si>
  <si>
    <t>371045</t>
  </si>
  <si>
    <t>28907</t>
  </si>
  <si>
    <t xml:space="preserve">LPORD/2025/00623: SUPPLY OF HYDRA OPERATOR FOR THE MONTH OF JUNE USED FOR RAWMILL 2 CONVERTATION </t>
  </si>
  <si>
    <t>SERBL/2025/07/0196</t>
  </si>
  <si>
    <t xml:space="preserve">LPORD/2025/00623: SUPPLY OF BACKHOE OPERATOR FOR THE MONTH OF JUNE 2025 </t>
  </si>
  <si>
    <t xml:space="preserve">LPORD/2025/00623: SUPPLY OF CRANE OPERATOR FOR THE MONTH OF JUNE 2025 USED FOR RAWMILL 2 CONVERTION </t>
  </si>
  <si>
    <t>PYRO KILN</t>
  </si>
  <si>
    <t>[PROPKL0337] CONNECTORS PROFIBUS RELAY WITH ACCESSORIES FOR PYRO SECTION</t>
  </si>
  <si>
    <t>CM/MTI/2025/02173 - [PROPKL0337] CONNECTORS PROFIBUS RELAY WITH ACCESSORIES FOR PYRO SECTION / MRQ/2025/03048</t>
  </si>
  <si>
    <t>STJ/2025/07/16304</t>
  </si>
  <si>
    <t>CM/MTI/2025/02148 - [PROCM204] SHEET ALUMINIUM SIZE 24 SWG FOR INSULATION / MRQ/2025/03022</t>
  </si>
  <si>
    <t>STJ/2025/07/15564</t>
  </si>
  <si>
    <t>[PROCM156] BRAZING TOURCH,TORCH SET ALLGAS ACETYLENE,MAKE:MESSERS</t>
  </si>
  <si>
    <t>CM/MTI/2025/02153 - [PROCM156] BRAZING TOURCH,TORCH SET ALLGAS ACETYLENE,MAKE:MESSERS / MRQ/2025/03026</t>
  </si>
  <si>
    <t>STJ/2025/07/15579</t>
  </si>
  <si>
    <t>Being payment for travelling allowance for Talawanda visit - Sajivkumar</t>
  </si>
  <si>
    <t>PCVHO/2025/07/0212</t>
  </si>
  <si>
    <t>Kimbiji Factory</t>
  </si>
  <si>
    <t>301003</t>
  </si>
  <si>
    <t>LAND &amp; SITE DEVELOPMENT</t>
  </si>
  <si>
    <t>Being payment for purchase of land at Kimbiji Plot No. LC/KIM/25-626 for 0.13Acres - Boniphace S. Masele</t>
  </si>
  <si>
    <t xml:space="preserve">LAND COST </t>
  </si>
  <si>
    <t>PCVHO/2025/07/0214</t>
  </si>
  <si>
    <t>CASH PAID FOR FABRICATION OF SIDE DOORS ,TAIL GATE AND FRONT BULK HEAD FOR NEW TRAILR</t>
  </si>
  <si>
    <t>PCVLG/2025/07/0145</t>
  </si>
  <si>
    <t>CASH PAID FOR PURCHASING OF FLAT BAR 6X50X6 M 1PCS</t>
  </si>
  <si>
    <t>PCVLG/2025/07/0151</t>
  </si>
  <si>
    <t>CASH PAID FOR FABRICATION OF 75 PCS HINGES FOR 2ND TRAILER INCLUDING MATERIAL @8000/PCS</t>
  </si>
  <si>
    <t>PCVLG/2025/07/0160</t>
  </si>
  <si>
    <t>PURCHASE OF 80LTD DRUMS</t>
  </si>
  <si>
    <t>PCVHO/2025/07/0110</t>
  </si>
  <si>
    <t xml:space="preserve">EXPENSES FOR TARAWANDA </t>
  </si>
  <si>
    <t>KILN</t>
  </si>
  <si>
    <t>CM/MTI/2025/01917 - [PROCM204] SHEET ALUMINIUM SIZE 24 SWG FOR INSULATION / MRQ/2025/02650</t>
  </si>
  <si>
    <t>STJ/2025/07/08798</t>
  </si>
  <si>
    <t>28902</t>
  </si>
  <si>
    <t>LPORD/2025/00514: REQUIRED 10 HELPERS FOR 30 DAYS FOR OLD COAL MILL CONVERSION TO RAW MILL</t>
  </si>
  <si>
    <t>SERBL/2025/07/0108</t>
  </si>
  <si>
    <t>LPORD/2025/00514: REQUIRED TWO FITTER FOR OLD COAL MILL CONVERSION TO RAW MILL</t>
  </si>
  <si>
    <t>LPORD/2025/00514: REQUIRED  2-WELDERS FOR  OLD COAL MILL CONVERSION TO RAW MILL</t>
  </si>
  <si>
    <t>CASH PAID FOR BENDING OF SIDE PANELS 25PCS @20000 FOR FABRI CATION OF SIDE BODY</t>
  </si>
  <si>
    <t>PCVLG/2025/07/0077</t>
  </si>
  <si>
    <t>CASH PAID FOR FABRICATION OF 63 PCS HINGES @8000 INCLUDING MATERIAL</t>
  </si>
  <si>
    <t>PCVLG/2025/07/0062</t>
  </si>
  <si>
    <t>DTI00001558</t>
  </si>
  <si>
    <t>SERBL/2025/07/0061</t>
  </si>
  <si>
    <t>ITI00001124</t>
  </si>
  <si>
    <t xml:space="preserve">AIR TICKET CHARGES  </t>
  </si>
  <si>
    <t>SERBL/2025/07/0062</t>
  </si>
  <si>
    <t>ITI00000870</t>
  </si>
  <si>
    <t>SERBL/2025/07/0063</t>
  </si>
  <si>
    <t>ITI00000773</t>
  </si>
  <si>
    <t>SERBL/2025/07/0064</t>
  </si>
  <si>
    <t>DTI00001225</t>
  </si>
  <si>
    <t>SERBL/2025/07/0065</t>
  </si>
  <si>
    <t>DTI00001081</t>
  </si>
  <si>
    <t>SERBL/2025/07/0066</t>
  </si>
  <si>
    <t>DTI00001080</t>
  </si>
  <si>
    <t>SERBL/2025/07/0067</t>
  </si>
  <si>
    <t>[SER024] Job Contract-2</t>
  </si>
  <si>
    <t>28997</t>
  </si>
  <si>
    <t>LPORD/2024/01819: Footing excavation for civil foundation work</t>
  </si>
  <si>
    <t>SERBL/2025/07/0045</t>
  </si>
  <si>
    <t>LPORD/2024/01819: For big bag loading EOT crane structure fabrication</t>
  </si>
  <si>
    <t>LPORD/2024/01819: PCC for foundation</t>
  </si>
  <si>
    <t>LPORD/2024/01819: Rebaring for foundation work</t>
  </si>
  <si>
    <t xml:space="preserve">LPORD/2024/01819: RCC volume for foundation </t>
  </si>
  <si>
    <t>LPORD/2024/01819: For erection of big bag loading EOT crane structure and crane</t>
  </si>
  <si>
    <t>LPORD/2024/01819: Shuttering work for footing</t>
  </si>
  <si>
    <t>LPORD/2024/01819: Shuttering work for column</t>
  </si>
  <si>
    <t>28996</t>
  </si>
  <si>
    <t>LPORD/2025/00472: MANPOWER SUPPLY FOR BACKHOE OPERATOR FOR THE MONTH OF MAY 2025</t>
  </si>
  <si>
    <t>SERBL/2025/07/0048</t>
  </si>
  <si>
    <t>LPORD/2025/00472: MANPOWER SUPPLY FOR CRANE OPERATOR FOR THE MONTH OF MAY 2025</t>
  </si>
  <si>
    <t xml:space="preserve">LPORD/2025/00472: MANPOWER SUPPLY FOR HYDRA OPERATOR FOR THE MONTH OF MAY 2025 </t>
  </si>
  <si>
    <t>Being payment for application fee for prospecting license for industrial minerals PL/31929/2025 - Marina</t>
  </si>
  <si>
    <t xml:space="preserve">MINING LICENSE </t>
  </si>
  <si>
    <t>PCVHO/2025/07/0043</t>
  </si>
  <si>
    <t>CASH PAID FOR FABRICATION OF HINGES 63 PCS @8000 FOR FABRICATION NEW TRAILERS</t>
  </si>
  <si>
    <t>PCVLG/2025/07/0023</t>
  </si>
  <si>
    <t>MANPOWER COST</t>
  </si>
  <si>
    <t>341004</t>
  </si>
  <si>
    <t>OFFICE &amp; MISC EQUIPEMENTS</t>
  </si>
  <si>
    <t>BRIJ K. PANDEY</t>
  </si>
  <si>
    <t>LCL/KIMB/1090</t>
  </si>
  <si>
    <t>BEING AMOUNT OF COMMUNICATION ALLOWANCE PAID TO PANDEY</t>
  </si>
  <si>
    <t>PCVFY/2025/07/0016</t>
  </si>
  <si>
    <t>CASH PAID FOR FABRICATION OF SIDE DOORS FOR NEW TRAILERS</t>
  </si>
  <si>
    <t>PCVLG/2025/07/0013</t>
  </si>
  <si>
    <t>ABSA TZS CHQ NO.106154 PAID FOR LAND PURCHASE OF CODE NO.LC/KM/24-603 AREA 0.1 ACRES , 23.217 B.H -SHIJA N SHIJA-</t>
  </si>
  <si>
    <t>LAND PURCHASE</t>
  </si>
  <si>
    <t>MISC/2025/07/0002</t>
  </si>
  <si>
    <t>ABSA TZS CHQ NO.106155 PAID FOR LAND PURCHASE OF CODE NO.LC/KM/25-622, LC/KM/25-623,  AREA 0.11, 0.1 ACRES -RICKY OPTATI PASCAL</t>
  </si>
  <si>
    <t>MISC/2025/07/0003</t>
  </si>
  <si>
    <t>ABSA TZS CHQ NO.106156 PAID FOR LAND PURCHASE OF CODE NO.LC/KM/25-624, AREA 0.39 ACRES -SILVERY INYASI KALIKISHA</t>
  </si>
  <si>
    <t>MISC/2025/07/0004</t>
  </si>
  <si>
    <t>ABSA TZS CHQ NO.106157 PAID FOR LAND PURCHASE OF CODE NO.LC/KM/25-625  AREA 4.00 ACRES -DOREEN SIMON KELLYA</t>
  </si>
  <si>
    <t>MISC/2025/07/0005</t>
  </si>
  <si>
    <t>ABSA TZS CHQ NO.106158 PAID FOR LAND PURCHASE OF CODE NO.LC/KM/25-625 AREA 4.00 ACRES -DOREEN SIMON KELLYA</t>
  </si>
  <si>
    <t>MISC/2025/07/0006</t>
  </si>
  <si>
    <t>ABSA TZS CHQ NO.106159 PAID FOR LAND PURCHASE OF CODE NO.LC/KM/25-625 AREA 4.00 ACRES -DOREEN SIMON KELLYA</t>
  </si>
  <si>
    <t>MISC/2025/07/0007</t>
  </si>
  <si>
    <t>ABSA TZS CHQ NO.106160 PAID FOR LAND PURCHASE OF CODE NO.LC/KM/25-625 AREA 4.00 ACRES -DOREEN SIMON KELLYA</t>
  </si>
  <si>
    <t>MISC/2025/07/0008</t>
  </si>
  <si>
    <t>ABSA TZS CHQ NO.106161 PAID FOR LAND PURCHASE OF CODE NO.LC/KM/25-625 AREA 4.00 ACRES -DOREEN SIMON KELLYA</t>
  </si>
  <si>
    <t>MISC/2025/07/0009</t>
  </si>
  <si>
    <t>Being payment for purchase of Land at Kimbiji Plot No. LC/KIM /25-623 for 0.1 Acres - Ricky Pascal</t>
  </si>
  <si>
    <t xml:space="preserve">LAND PURCHASE </t>
  </si>
  <si>
    <t>PCVHO/2025/07/0008</t>
  </si>
  <si>
    <t>Being payment for purchase of Land at Kimbiji Plot No. LC/KIM /25-625 for 4.0 Acres - Doreen Kellya</t>
  </si>
  <si>
    <t>PCVHO/2025/07/0009</t>
  </si>
  <si>
    <t>Being payment for purchase of Land at Kimbiji Plot No. LC/KIM /25-622 for 0.11 Acres - Ricky Pascal</t>
  </si>
  <si>
    <t>PCVHO/2025/07/0010</t>
  </si>
  <si>
    <t>CASH PAID FOR FABRICATION HINGES 75 PCS @8000 INCLUING MATERIL FOR NEW TRAILER</t>
  </si>
  <si>
    <t>PCVLG/2025/07/0006</t>
  </si>
  <si>
    <t>1071</t>
  </si>
  <si>
    <t>DBN/2025/06/0013</t>
  </si>
  <si>
    <t>Bajrangi Construction Limited</t>
  </si>
  <si>
    <t>CMLT1940</t>
  </si>
  <si>
    <t>85</t>
  </si>
  <si>
    <t>LPORD/2025/00348: SHUTTRING WORK (SQM)</t>
  </si>
  <si>
    <t>SERBL/2025/06/0132</t>
  </si>
  <si>
    <t>LPORD/2025/00348: BLINDING (CUM)</t>
  </si>
  <si>
    <t>LPORD/2025/00348: PLASTERING WORK(SQM)</t>
  </si>
  <si>
    <t>LPORD/2025/00348: BRICK WORK FOR WALL(SQM)</t>
  </si>
  <si>
    <t>LPORD/2025/00348: REINFORCEMENT WORK(KG)</t>
  </si>
  <si>
    <t>LPORD/2025/00348: CONCRETE WORK (CUM)</t>
  </si>
  <si>
    <t>LPORD/2025/00348: BRICK WORK FOR FOUNDATION(SQM)</t>
  </si>
  <si>
    <t>28979</t>
  </si>
  <si>
    <t xml:space="preserve">LPORD/2025/00398: MANPOWER SUPPLY HYDRA OPERATOR FOR APRIL 2025 </t>
  </si>
  <si>
    <t>SERBL/2025/06/0133</t>
  </si>
  <si>
    <t>LPORD/2025/00398: MANPOWER SUPPLY CRANE OPERATOR 1 FOR APRIL 2025</t>
  </si>
  <si>
    <t>LPORD/2025/00398: MANPOWER SUPPLY TRUCK DRIVER FOR APRIL 2025</t>
  </si>
  <si>
    <t>LPORD/2025/00398: MANPOWER SUPPLY BACKHOE OPERATOR APRIL 2025</t>
  </si>
  <si>
    <t xml:space="preserve">LPORD/2025/00398: MANPOWER SUPPLY CRANE OPERATOR 2 FOR APRIL 2025 </t>
  </si>
  <si>
    <t>Geoprimosi Engineering Limited</t>
  </si>
  <si>
    <t>CMLT1563</t>
  </si>
  <si>
    <t>0386</t>
  </si>
  <si>
    <t xml:space="preserve">LPORD/2024/02693: Grain Size Distribution (Wet Sieve analysis)
</t>
  </si>
  <si>
    <t>SERBL/2025/06/0134</t>
  </si>
  <si>
    <t xml:space="preserve">LPORD/2024/02693: Odo meter test (One dimension Consolidationtest-time settlement curve and load settlement curve)
</t>
  </si>
  <si>
    <t>LPORD/2024/02693: Cost for Core Transportation</t>
  </si>
  <si>
    <t>LPORD/2024/02693: Charges for Core Splitting for additional holes</t>
  </si>
  <si>
    <t>LPORD/2024/02693: Mobilization and demobilization</t>
  </si>
  <si>
    <t xml:space="preserve">LPORD/2024/02693: Unconfined compression test for rock samples
</t>
  </si>
  <si>
    <t xml:space="preserve">LPORD/2024/02693: Point load test (axial and diametric)
</t>
  </si>
  <si>
    <t xml:space="preserve">LPORD/2024/02693: Bulk density of rock
</t>
  </si>
  <si>
    <t xml:space="preserve">LPORD/2024/02693: Specific weight test (Gs)
</t>
  </si>
  <si>
    <t xml:space="preserve">LPORD/2024/02693: Atterberg limit
</t>
  </si>
  <si>
    <t xml:space="preserve">LPORD/2024/02693: Water content (MC)
</t>
  </si>
  <si>
    <t>LPORD/2024/02693: Provisional of Core boxes</t>
  </si>
  <si>
    <t xml:space="preserve">LPORD/2024/02693: Consolidated drained triaxial compression test/Direct shear test
</t>
  </si>
  <si>
    <t>LPORD/2024/02693: Grain Size Distribution (Sieve analysis/Hydrometer)</t>
  </si>
  <si>
    <t xml:space="preserve">LPORD/2024/02693: Collection of Undisturbed Samples (U 100 samples per bore holes) in Land
</t>
  </si>
  <si>
    <t xml:space="preserve">LPORD/2024/02693: Carrying out SPT Test from 0-20m @1.5m intervals in each borehole in Land
</t>
  </si>
  <si>
    <t xml:space="preserve">LPORD/2024/02693: Drilling through soft to stiff soil/sand/rock from 0-20m maximum depth--BHs-diameter of 86mm to 125 mm(including inserting casing OR using PQ core barrel) in Land
</t>
  </si>
  <si>
    <t xml:space="preserve">LPORD/2024/02693: Movement of Rig from one point location to the other
</t>
  </si>
  <si>
    <t xml:space="preserve">LPORD/2024/02693: Setting up, shifting and dismantling of rig in Land (Drilling)
</t>
  </si>
  <si>
    <t xml:space="preserve">LPORD/2024/02693: Bulk density
</t>
  </si>
  <si>
    <t xml:space="preserve">LPORD/2024/02693: Report Submission
</t>
  </si>
  <si>
    <t>CASH PAID FOR TRANSPORT CHARGES FOR SENDING MS PLATE 1.5MM 60PCS FOR BENDING PURPOUSE</t>
  </si>
  <si>
    <t>PCVLG/2025/06/0186</t>
  </si>
  <si>
    <t>CN-0314</t>
  </si>
  <si>
    <t>LPORD/2025/00393: Supply of skilled Fitters and Welders</t>
  </si>
  <si>
    <t>SERBL/2025/06/0117</t>
  </si>
  <si>
    <t>LPORD/2025/00393: Supply of casual helpers</t>
  </si>
  <si>
    <t>CN-0310</t>
  </si>
  <si>
    <t>LPORD/2025/00394: Supply of casual helpers</t>
  </si>
  <si>
    <t>SERBL/2025/06/0118</t>
  </si>
  <si>
    <t>CN-0315</t>
  </si>
  <si>
    <t>LPORD/2025/00396: Supply of Casual helpers</t>
  </si>
  <si>
    <t>SERBL/2025/06/0119</t>
  </si>
  <si>
    <t>LPORD/2025/00396: Supply of skilled Fitters and Welders</t>
  </si>
  <si>
    <t>CN-0313</t>
  </si>
  <si>
    <t>LPORD/2025/00395: Supply of casual helpers</t>
  </si>
  <si>
    <t>SERBL/2025/06/0120</t>
  </si>
  <si>
    <t>LPORD/2025/00395: Supply of skilled Fitters and Welders</t>
  </si>
  <si>
    <t>28901</t>
  </si>
  <si>
    <t>LPORD/2025/00391: Supply of Civil Helpers</t>
  </si>
  <si>
    <t>SERBL/2025/06/0103</t>
  </si>
  <si>
    <t>28900</t>
  </si>
  <si>
    <t>LPORD/2025/00390: Supply of Civil Helpers</t>
  </si>
  <si>
    <t>SERBL/2025/06/0105</t>
  </si>
  <si>
    <t>28986</t>
  </si>
  <si>
    <t>LPORD/2025/00399: Supply of Mason for RCC dismantling finishing work</t>
  </si>
  <si>
    <t>SERBL/2025/06/0106</t>
  </si>
  <si>
    <t xml:space="preserve">LPORD/2025/00399: Supply of Helpers For RCC dismantling finishing work </t>
  </si>
  <si>
    <t>28899</t>
  </si>
  <si>
    <t>LPORD/2025/00389: Supply of Civil Helpers</t>
  </si>
  <si>
    <t>SERBL/2025/06/0108</t>
  </si>
  <si>
    <t>28974</t>
  </si>
  <si>
    <t>LPORD/2025/00392: Supply of Helpers</t>
  </si>
  <si>
    <t>SERBL/2025/06/0109</t>
  </si>
  <si>
    <t>[SER028] Job Contract-6</t>
  </si>
  <si>
    <t>28869</t>
  </si>
  <si>
    <t>LPORD/2025/00373: Charges for Total Station Machine Hiring and Surveyor (1 No = 1 Day)</t>
  </si>
  <si>
    <t>SERBL/2025/06/0111</t>
  </si>
  <si>
    <t>VOLTECH PRODUCT AND SERVICES (TANZANIA) LIMITED</t>
  </si>
  <si>
    <t>CMLT1955</t>
  </si>
  <si>
    <t>VPSTL/CN001/2025</t>
  </si>
  <si>
    <t>DBN/2025/06/0006</t>
  </si>
  <si>
    <t>371057</t>
  </si>
  <si>
    <t>28990</t>
  </si>
  <si>
    <t>LPORD/2025/00364: WELDERS/FITTERS FOR NEW MINING WEIGHBRIDGE</t>
  </si>
  <si>
    <t>SERBL/2025/06/0094</t>
  </si>
  <si>
    <t>LPORD/2025/00364: HELPERS FOR NEW MINING WEIGHBRIDGE</t>
  </si>
  <si>
    <t>28897</t>
  </si>
  <si>
    <t>LPORD/2025/00374: Charges for Making 80mm Anchors (SS 309) from Material Provided by LCL</t>
  </si>
  <si>
    <t>SERBL/2025/06/0095</t>
  </si>
  <si>
    <t>VPSTL/I005/2025</t>
  </si>
  <si>
    <t>LPORD/2024/00064: "Testing and commissioning of Electrical and
Instrumentation equipment’s for OPC Project .Refer Annexures A ,A 01,B,C &amp; D (Retention 5% amount)</t>
  </si>
  <si>
    <t>SERBL/2025/06/0098</t>
  </si>
  <si>
    <t>LPORD/2024/00064: Installation, of Electrical, Instrumentation of E&amp;I work for
OPC Project .Refer Annexures A ,A 01,B,C &amp; D (Retention 5% amount )</t>
  </si>
  <si>
    <t>VPSTL/I006/2025</t>
  </si>
  <si>
    <t>LPORD/2024/00485: Installation of Electrical &amp; Instrumentation works for your Phase II Expansion Project– as per BOQ (Scope of work is attached in Annexure – (A) (Retention 5% amount &amp; Less advance paid 30%)</t>
  </si>
  <si>
    <t>SERBL/2025/06/0099</t>
  </si>
  <si>
    <t>LPORD/2024/00485: Testing and commissioning of Electrical &amp; Instrumentation works for your Phase II Expansion Project – as per BOQ (Scope of work is attached in Annexure – (B&amp;C) (Retention 5% amount &amp; Less advance paid 30%)</t>
  </si>
  <si>
    <t>Virinchi Engineering Pvt. Ltd.</t>
  </si>
  <si>
    <t>CMMU0843</t>
  </si>
  <si>
    <t>008/924003-01</t>
  </si>
  <si>
    <t>IPORD/2025/00026: Engineering Consultancy Services for Expansion of Cement Production Plant Project</t>
  </si>
  <si>
    <t>SERBL/2025/06/0077</t>
  </si>
  <si>
    <t>FLSmidth A/s</t>
  </si>
  <si>
    <t>CMME0708</t>
  </si>
  <si>
    <t>1622970</t>
  </si>
  <si>
    <t>IPORD/2025/00023: Engineering Consultancy Services for Expansion 
 of Cement Production Plant Project</t>
  </si>
  <si>
    <t>SERBL/2025/06/0078</t>
  </si>
  <si>
    <t>Transportation Charges</t>
  </si>
  <si>
    <t>[SER003] Transportation Charges</t>
  </si>
  <si>
    <t>Doshi Hardware ( T ) Ltd</t>
  </si>
  <si>
    <t>CMLT1534</t>
  </si>
  <si>
    <t>DHI/103700</t>
  </si>
  <si>
    <t>LPORD/2025/00344: Transportation Charges</t>
  </si>
  <si>
    <t>SERBL/2025/06/0080</t>
  </si>
  <si>
    <t>Sai Office Supplies ( TZ ) Ltd</t>
  </si>
  <si>
    <t>CMLT0507</t>
  </si>
  <si>
    <t>TI204999</t>
  </si>
  <si>
    <t>LPORD/2025/00352: Transportation Charges</t>
  </si>
  <si>
    <t>SERBL/2025/06/0081</t>
  </si>
  <si>
    <t>CM/MTI/2025/01316 - [PROCM204] SHEET ALUMINIUM SIZE 24 SWG FOR INSULATION / MRQ/2025/01803</t>
  </si>
  <si>
    <t>STJ/2025/06/04682</t>
  </si>
  <si>
    <t>ITI00000380</t>
  </si>
  <si>
    <t>SERBL/2025/06/0048</t>
  </si>
  <si>
    <t>28960</t>
  </si>
  <si>
    <t>LPORD/2025/00300: Supply of truck driver March 2025</t>
  </si>
  <si>
    <t>SERBL/2025/06/0057</t>
  </si>
  <si>
    <t>LPORD/2025/00300: Supply of crane operators March 2025</t>
  </si>
  <si>
    <t>LPORD/2025/00300: Supply of back hoe operators March 2025</t>
  </si>
  <si>
    <t>LPORD/2025/00300: Supply of two hydra operators March 2025</t>
  </si>
  <si>
    <t>LPORD/2025/00300: Supply of crane operators March 2025
180 T</t>
  </si>
  <si>
    <t>28961</t>
  </si>
  <si>
    <t>LPORD/2025/00299: Supply of Extra Crane Operator for March - 2025 - 180 Tons</t>
  </si>
  <si>
    <t>SERBL/2025/06/0058</t>
  </si>
  <si>
    <t>DR/ GIBS DEVELOPS COMPANY BEING AIR TICKET CHARGES FOR MR TUNKIWALA FAKHRIBH ( OPC PROJECT ) FROM BOMBAY TO BDQ AGAINST INVOIOCE NO. DTI00000850 - BLUEBERRY TRAVELS INDIA PVT LTD</t>
  </si>
  <si>
    <t>MISC/2025/06/0155</t>
  </si>
  <si>
    <t>DR/GIBS DEVELOPERS COMPANY - BEING AIR TICKET CHARGES FOR MR TUNKIWALA MOHMMAD ( OPC PROJECT ) FROM DAR TO BOMBAY AGAINST INVOICE NO. ITI00000608 - BLUEBERRY TRAVELS INDIA PVT LTD</t>
  </si>
  <si>
    <t>MISC/2025/06/0156</t>
  </si>
  <si>
    <t>DTI00000850</t>
  </si>
  <si>
    <t>SERBL/2025/06/0041</t>
  </si>
  <si>
    <t>ITI00000608</t>
  </si>
  <si>
    <t>SERBL/2025/06/0042</t>
  </si>
  <si>
    <t>CM/MTI/2025/01126 - [PROCM204] SHEET ALUMINIUM SIZE 24 SWG FOR INSULATION / MRQ/2025/01512</t>
  </si>
  <si>
    <t>STJ/2025/05/11000</t>
  </si>
  <si>
    <t>1622888</t>
  </si>
  <si>
    <t>IPORD/2025/00021: Engineering consultancy Services for Cement Expansion production Project.</t>
  </si>
  <si>
    <t>SERBL/2025/05/0128</t>
  </si>
  <si>
    <t>CASH PAID FOR FABRICATION NEW TRAILERS</t>
  </si>
  <si>
    <t>PCVLG/2025/05/0122</t>
  </si>
  <si>
    <t>CM/MTI/2025/00989 - [PROCM204] SHEET ALUMINIUM SIZE 24 SWG FOR INSULATION / MRQ/2025/01371</t>
  </si>
  <si>
    <t>STJ/2025/05/08144</t>
  </si>
  <si>
    <t>Well Erectors of Engineering Technology Pvt Ltd</t>
  </si>
  <si>
    <t>CMMI1936</t>
  </si>
  <si>
    <t>WEET/LCL/015A</t>
  </si>
  <si>
    <t>IPORD/2025/00018: ENGINEERING CONSUILTANCY SERVICES FOR THE EXPANSION OF CEMENT PRODUCTION PLANT</t>
  </si>
  <si>
    <t>SERBL/2025/05/0082</t>
  </si>
  <si>
    <t>ITI00000228</t>
  </si>
  <si>
    <t>SERBL/2025/05/0062</t>
  </si>
  <si>
    <t>28950</t>
  </si>
  <si>
    <t>LPORD/2024/00604: Erection of plate work like ducts, chutes, vent, hoppers, stacks, Cyclones, crane girders, oil and water tanks etc</t>
  </si>
  <si>
    <t>SERBL/2025/05/0013</t>
  </si>
  <si>
    <t>LPORD/2024/00604: Erection of structural work like sheds, tresses, Galleries, platforms, stairs, Derrick, Temporary support etc</t>
  </si>
  <si>
    <t>LPORD/2024/00604: Assembly of plant &amp; machinery</t>
  </si>
  <si>
    <t>LPORD/2024/00604: Anchor(SS-304/310)</t>
  </si>
  <si>
    <t>LPORD/2024/00604: Fabrication of Built up sections from plates</t>
  </si>
  <si>
    <t>LPORD/2024/00604: Unloading of equipment’s 20 Feet</t>
  </si>
  <si>
    <t>LPORD/2024/00604: Painting of any ducting/chutes/piping/additional machinery and equipment’s with Red oxide and paint of approved shade &amp; quality for structures.</t>
  </si>
  <si>
    <t>LPORD/2024/00604: Erection of plant &amp; machinery</t>
  </si>
  <si>
    <t>LPORD/2024/00604: Fabrication of plate work like ducts, chutes, vent, hoppers, stacks, crane girders, oil and water tanks, cyclones etc</t>
  </si>
  <si>
    <t>LPORD/2024/00604: Fabrication of structural steel work like sheds, tresses, Galleries, platforms, stairs, Derrick, Temporary support etc</t>
  </si>
  <si>
    <t>[SER030] Job Contract-8</t>
  </si>
  <si>
    <t>LPORD/2024/00604: Fabrication and Erection of  hand railing with toe guard</t>
  </si>
  <si>
    <t>[PROCM234] EPOXY MORTAR FOR REBAR HILT HIT-RE500V4</t>
  </si>
  <si>
    <t>RETROFITTING JOB FOR CEMENT MILL-2 BUILDING</t>
  </si>
  <si>
    <t>CM/MTI/2025/00636 - [PROCM234] EPOXY MORTAR FOR REBAR HILT HIT-RE500V4 / MRQ/2025/00840</t>
  </si>
  <si>
    <t>STJ/2025/05/00219</t>
  </si>
  <si>
    <t>BEING: STTLEMENT FOR TRAVELING EXPENSES TO TALAWANDA- IBRAHIM NYAKIBOHA</t>
  </si>
  <si>
    <t>PCVFY/2025/04/0113</t>
  </si>
  <si>
    <t>IBRAHIM NYAKIBOHA</t>
  </si>
  <si>
    <t>LCL/KIMB/1063</t>
  </si>
  <si>
    <t>BEING PAYMENT FOR TALAWANDA EXPENSES CARRIED OUT APRL 13-22 ,2025- IBRAHIM NYAKIBOHA.</t>
  </si>
  <si>
    <t>PCVFY/2025/04/0114</t>
  </si>
  <si>
    <t>VPSTL/I004/2025</t>
  </si>
  <si>
    <t>LPORD/2024/00485: Installation of Electrical &amp; Instrumentation works for your Phase II Expansion Project– as per BOQ (Scope of work is attached in Annexure – (A) (Final 32%)</t>
  </si>
  <si>
    <t>SERBL/2025/04/0098</t>
  </si>
  <si>
    <t>LPORD/2024/00485: Testing and commissioning of Electrical &amp; Instrumentation works for your Phase II Expansion Project – as per BOQ (Scope of work is attached in Annexure – (B&amp;C) (Final 20%)</t>
  </si>
  <si>
    <t>A One Engineering</t>
  </si>
  <si>
    <t>CMMI2133</t>
  </si>
  <si>
    <t>INS/LAKE/003/25-26</t>
  </si>
  <si>
    <t>IPORD/2025/00011: CHARGES FOR SUPERVISORS FOR INSULATION WORK FOR PROJECT (MARCH - 2025)</t>
  </si>
  <si>
    <t>SERBL/2025/04/0103</t>
  </si>
  <si>
    <t>TI191960</t>
  </si>
  <si>
    <t xml:space="preserve">LPORD/2024/02677: Transport Charges for Scaffolding Pipes Received for Project on 01.07.2024 </t>
  </si>
  <si>
    <t>SERBL/2025/04/0107</t>
  </si>
  <si>
    <t>PCVFY/2025/04/0054</t>
  </si>
  <si>
    <t>ITI00003104</t>
  </si>
  <si>
    <t>SERBL/2025/04/0015</t>
  </si>
  <si>
    <t>ITI00003326</t>
  </si>
  <si>
    <t>SERBL/2025/04/0016</t>
  </si>
  <si>
    <t>ITI00003233</t>
  </si>
  <si>
    <t>SERBL/2025/04/0017</t>
  </si>
  <si>
    <t>DTI00006395</t>
  </si>
  <si>
    <t>SERBL/2025/04/0019</t>
  </si>
  <si>
    <t>DTI00006372</t>
  </si>
  <si>
    <t>SERBL/2025/04/0020</t>
  </si>
  <si>
    <t>ITI00003206</t>
  </si>
  <si>
    <t>SERBL/2025/04/0021</t>
  </si>
  <si>
    <t>ITI00003110</t>
  </si>
  <si>
    <t>SERBL/2025/04/0022</t>
  </si>
  <si>
    <t>ITC00000314</t>
  </si>
  <si>
    <t>DBN/2025/04/0001</t>
  </si>
  <si>
    <t>ABSA TZS CHQ NO.106076 PAID LAND COST - LC/KM/25-610, 1 ACRES, 205 B.H  -ALNASIR KASSAMALI GULAMHUSSEIN</t>
  </si>
  <si>
    <t>MISC/2025/04/0010</t>
  </si>
  <si>
    <t>ABSA TZS CHQ NO.106077 PAID LAND COST - LC/KM/25-610, 1 ACRES, 205 B.H  -ALNASIR KASSAMALI GULAMHUSSEIN</t>
  </si>
  <si>
    <t>MISC/2025/04/0011</t>
  </si>
  <si>
    <t>QUALITY CONTROL</t>
  </si>
  <si>
    <t>ABSA TZS CHQ NO.106078 PAID LAND COST - LC/KM/25-610, 1 ACRES, 205 B.H -ALNASIR KASSAMALI GULAMHUSSEIN</t>
  </si>
  <si>
    <t>MISC/2025/04/0012</t>
  </si>
  <si>
    <t>ABSA TZS CHQ NO.106079 PAID LAND COST - LC/KM/25-610, 1 ACRES, 205 B.H -ALNASIR KASSAMALI GULAMHUSSEIN</t>
  </si>
  <si>
    <t>MISC/2025/04/0013</t>
  </si>
  <si>
    <t>ABSA TZS CHQ NO.106080 PAID LAND COST - LC/KM/25-610, 1 ACRES, 205 B.H -ALNASIR KASSAMALI GULAMHUSSEIN</t>
  </si>
  <si>
    <t>MISC/2025/04/0014</t>
  </si>
  <si>
    <t>ABSA TZS CHQ NO.106081 PAID LAND COST - LC/KM/25-610, 1 ACRES, 205 B.H -ALNASIR KASSAMALI GULAMHUSSEIN</t>
  </si>
  <si>
    <t>MISC/2025/04/0015</t>
  </si>
  <si>
    <t>301001</t>
  </si>
  <si>
    <t>ABSA TZS CHQ NO.106082 PAID LAND COST - LC/KM/24-592, 1 ACRES, 37.1 B.H -IPYANA NELSON MALAMBA</t>
  </si>
  <si>
    <t>MISC/2025/04/0016</t>
  </si>
  <si>
    <t>ABSA TZS CHQ NO.106083 PAID LAND COST - LC/KM/24-592, 1 ACRES, 37.1 B.H -IPYANA NELSON MALAMBA</t>
  </si>
  <si>
    <t>MISC/2025/04/0017</t>
  </si>
  <si>
    <t>ABSA TZS CHQ NO.106084 PAID LAND COST - LC/KM/24-592, 1 ACRES, 37.1 B.H -IPYANA NELSON MALAMBA</t>
  </si>
  <si>
    <t>MISC/2025/04/0018</t>
  </si>
  <si>
    <t>ABSA TZS CHQ NO.106118 PAID LAND COST - LC/KM/25-619, 0.49ACRES -VITUS MALIPESA EXAVERY</t>
  </si>
  <si>
    <t>MISC/2025/04/0019</t>
  </si>
  <si>
    <t>ABSA TZS CHQ NO.106113 PAID LAND COST - LC/KM/25-616,  2 ACRES -LEONARD LAZARO MATHIAS</t>
  </si>
  <si>
    <t>MISC/2025/04/0020</t>
  </si>
  <si>
    <t>ABSA TZS CHQ NO.106114 PAID LAND COST - LC/KM/25-616, 2 ACRES -LEONARD LAZARO MATHIAS</t>
  </si>
  <si>
    <t>MISC/2025/04/0021</t>
  </si>
  <si>
    <t>ABSA TZS CHQ NO.106115 PAID LAND COST - LC/KM/25-616, 2 ACRES -LEONARD LAZARO MATHIAS</t>
  </si>
  <si>
    <t>MISC/2025/04/0022</t>
  </si>
  <si>
    <t>ABSA TZS CHQ NO.106116 PAID LAND COST - LC/KM/25-616, 2 ACRES -LEONARD LAZARO MATHIAS</t>
  </si>
  <si>
    <t>MISC/2025/04/0023</t>
  </si>
  <si>
    <t>ABSA TZS CHQ NO.106117 PAID LAND COST - LC/KM/25-616, 2 ACRES -LEONARD LAZARO MATHIAS</t>
  </si>
  <si>
    <t>MISC/2025/04/0024</t>
  </si>
  <si>
    <t>ABSA TZS CHQ NO.106091 PAID LAND COST - LC/KM/25-616, 2 ACRES -LEONARD LAZARO MATHIAS</t>
  </si>
  <si>
    <t>MISC/2025/04/0025</t>
  </si>
  <si>
    <t>ABSA TZS CHQ NO.106122 PAID LAND COST - LC/KM/25-618, 2 ACRES, 110 B.H -SALVATORY ENYAS MWANANDENJE</t>
  </si>
  <si>
    <t>MISC/2025/04/0026</t>
  </si>
  <si>
    <t>ABSA TZS CHQ NO.106123 PAID LAND COST - LC/KM/25-618, 2 ACRES, 110 B.H -SALVATORY ENYAS MWANANDENJE</t>
  </si>
  <si>
    <t>MISC/2025/04/0027</t>
  </si>
  <si>
    <t>ABSA TZS CHQ NO.106124 PAID LAND COST - LC/KM/25-618, 2 ACRES, 110 B.H -SALVATORY ENYAS MWANANDENJE</t>
  </si>
  <si>
    <t>MISC/2025/04/0028</t>
  </si>
  <si>
    <t>ABSA TZS CHQ NO.106125 PAID LAND COST - LC/KM/25-618, 2 ACRES, 110 B.H -SALVATORY ENYAS MWANANDENJE</t>
  </si>
  <si>
    <t>MISC/2025/04/0029</t>
  </si>
  <si>
    <t>ABSA TZS CHQ NO.106126 PAID LAND COST - LC/KM/25-618, 2 ACRES, 110 B.H -SALVATORY ENYAS MWANANDENJE</t>
  </si>
  <si>
    <t>MISC/2025/04/0030</t>
  </si>
  <si>
    <t>ABSA TZS CHQ NO.106127 PAID LAND COST - LC/KM/25-618, 2 ACRES, 110 B.H -SALVATORY ENYAS MWANANDENJE</t>
  </si>
  <si>
    <t>MISC/2025/04/0031</t>
  </si>
  <si>
    <t>ABSA TZS CHQ NO.106128 PAID LAND COST - LC/KM/25-618, 2 ACRES, 110 B.H -SALVATORY ENYAS MWANANDENJE</t>
  </si>
  <si>
    <t>MISC/2025/04/0032</t>
  </si>
  <si>
    <t>ABSA TZS CHQ NO.106099 PAID LAND COST - LC/KM/25-620, LC/KM/25-621, 3 ACRES, 94 B.H -EMMANUEL FRANCIS MASSAWE</t>
  </si>
  <si>
    <t>MISC/2025/04/0033</t>
  </si>
  <si>
    <t>ABSA TZS CHQ NO.106100 PAID LAND COST - LC/KM/25-620, LC/KM/25-621, 3 ACRES, 94 B.H -EMMANUEL FRANCIS MASSAWE</t>
  </si>
  <si>
    <t>MISC/2025/04/0034</t>
  </si>
  <si>
    <t>ABSA TZS CHQ NO.106101 PAID LAND COST - LC/KM/25-620, LC/KM/25-621, 3 ACRES, 94 B.H -EMMANUEL FRANCIS MASSAWE</t>
  </si>
  <si>
    <t>MISC/2025/04/0035</t>
  </si>
  <si>
    <t>ABSA TZS CHQ NO.106102 PAID LAND COST - LC/KM/25-620, LC/KM/25-621, 3 ACRES, 94 B.H -EMMANUEL FRANCIS MASSAWE</t>
  </si>
  <si>
    <t>MISC/2025/04/0036</t>
  </si>
  <si>
    <t>ABSA TZS CHQ NO.106103 PAID LAND COST - LC/KM/25-620, LC/KM/25-621, 3 ACRES, 94 B.H -EMMANUEL FRANCIS MASSAWE</t>
  </si>
  <si>
    <t>MISC/2025/04/0037</t>
  </si>
  <si>
    <t>ABSA TZS CHQ NO.106104 PAID LAND COST - LC/KM/25-620, LC/KM/25-621, 3 ACRES, 94 B.H -EMMANUEL FRANCIS MASSAWE</t>
  </si>
  <si>
    <t>MISC/2025/04/0038</t>
  </si>
  <si>
    <t>ABSA TZS CHQ NO.106105 PAID LAND COST - LC/KM/25-620, LC/KM/25-621, 3 ACRES, 94 B.H -EMMANUEL FRANCIS MASSAWE</t>
  </si>
  <si>
    <t>MISC/2025/04/0039</t>
  </si>
  <si>
    <t>ABSA TZS CHQ NO.106106 PAID LAND COST - LC/KM/25-620, LC/KM/25-621, 3 ACRES, 94 B.H -EMMANUEL FRANCIS MASSAWE</t>
  </si>
  <si>
    <t>MISC/2025/04/0040</t>
  </si>
  <si>
    <t>ABSA TZS CHQ NO.106107 PAID LAND COST - LC/KM/25-620, LC/KM/25-621, 3 ACRES, 94 B.H -EMMANUEL FRANCIS MASSAWE</t>
  </si>
  <si>
    <t>MISC/2025/04/0041</t>
  </si>
  <si>
    <t>ABSA TZS CHQ NO.106108 PAID LAND COST - LC/KM/25-620, LC/KM/25-621, 3 ACRES, 94 B.H -EMMANUEL FRANCIS MASSAWE</t>
  </si>
  <si>
    <t>MISC/2025/04/0042</t>
  </si>
  <si>
    <t>ABSA TZS CHQ NO.106109 PAID LAND COST - LC/KM/25-620, LC/KM/25-621, 3 ACRES, 94 B.H -EMMANUEL FRANCIS MASSAWE</t>
  </si>
  <si>
    <t xml:space="preserve"> LAND PURCHASE
</t>
  </si>
  <si>
    <t>MISC/2025/04/0043</t>
  </si>
  <si>
    <t>ABSA TZS CHQ NO.106110 PAID LAND COST - LC/KM/25-620, LC/KM/25-621, 3 ACRES, 94 B.H -EMMANUEL FRANCIS MASSAWE</t>
  </si>
  <si>
    <t>MISC/2025/04/0044</t>
  </si>
  <si>
    <t>ABSA TZS CHQ NO.106111 PAID LAND COST - LC/KM/25-620, LC/KM/25-621, 3 ACRES, 94 B.H -EMMANUEL FRANCIS MASSAWE</t>
  </si>
  <si>
    <t>MISC/2025/04/0045</t>
  </si>
  <si>
    <t>ABSA TZS CHQ NO.106112 PAID LAND COST - LC/KM/25-620, LC/KM/25-621, 3 ACRES, 94 B.H -EMMANUEL FRANCIS MASSAWE</t>
  </si>
  <si>
    <t>MISC/2025/04/0046</t>
  </si>
  <si>
    <t>Being payment for purchase of land at Kimbiji plot No, LC/KIM/25-619 for 0.49 acres - Vitus Exavery</t>
  </si>
  <si>
    <t>PURCHASE OF LAND</t>
  </si>
  <si>
    <t>PCVHO/2025/04/0024</t>
  </si>
  <si>
    <t>Being payment for purchase of land at Kimbiji plot No, LC/KIM/25-616 for 2.0 acres - Leonard Mathias</t>
  </si>
  <si>
    <t>PCVHO/2025/04/0025</t>
  </si>
  <si>
    <t>Being payment for purchase of land at Kimbiji plot No, LC/KIM/25-592 for 1.0 acres - Ipyana N. Malamba</t>
  </si>
  <si>
    <t>PCVHO/2025/04/0026</t>
  </si>
  <si>
    <t>Being payment for purchase of land at Kimbiji plot No, LC/KIM/25-620 &amp; 621 for 2.0 acres - Emmanuel F. Massawe</t>
  </si>
  <si>
    <t>PCVHO/2025/04/0027</t>
  </si>
  <si>
    <t>DTI00006204</t>
  </si>
  <si>
    <t>SERBL/2025/04/0002</t>
  </si>
  <si>
    <t>ITI00003113</t>
  </si>
  <si>
    <t>SERBL/2025/04/0003</t>
  </si>
  <si>
    <t>DTI00006374</t>
  </si>
  <si>
    <t>SERBL/2025/04/0004</t>
  </si>
  <si>
    <t>ITI00003207</t>
  </si>
  <si>
    <t>SERBL/2025/04/0005</t>
  </si>
  <si>
    <t>DTI00006588</t>
  </si>
  <si>
    <t>SERBL/2025/04/0006</t>
  </si>
  <si>
    <t>ITI00003367</t>
  </si>
  <si>
    <t>SERBL/2025/04/0007</t>
  </si>
  <si>
    <t>MXI00000135</t>
  </si>
  <si>
    <t xml:space="preserve">EXCESS OF BAGGAGE CHARGES </t>
  </si>
  <si>
    <t>SERBL/2025/04/0008</t>
  </si>
  <si>
    <t>ITI00003360</t>
  </si>
  <si>
    <t>SERBL/2025/04/0009</t>
  </si>
  <si>
    <t>DTI00006586</t>
  </si>
  <si>
    <t>SERBL/2025/04/0010</t>
  </si>
  <si>
    <t>ITI00003410</t>
  </si>
  <si>
    <t>SERBL/2025/04/0011</t>
  </si>
  <si>
    <t>ITI00003420</t>
  </si>
  <si>
    <t>SERBL/2025/04/0012</t>
  </si>
  <si>
    <t>ITI00003103</t>
  </si>
  <si>
    <t>SERBL/2025/04/0014</t>
  </si>
  <si>
    <t>BEING: STTLEMENT FOR PAYMENT FOR CONPENSATION FOR ROAD TO VILLAGERS FOR 10 BOREHOLES  - IBRAHIM R. NYAKABOHA</t>
  </si>
  <si>
    <t>PCVFY/2025/04/0018</t>
  </si>
  <si>
    <t>BEING AMOUNT OF DEBITED TO GIDO AS PER MAIL FROM MR SAJIV SIR AGAINST INV NO PSG01B AND BILL NO SERBL/2025/03/297 DT 31/03/2025</t>
  </si>
  <si>
    <t>MISC/2025/04/0001</t>
  </si>
  <si>
    <t>N. Account</t>
  </si>
  <si>
    <t>UOM</t>
  </si>
  <si>
    <t>Quantity</t>
  </si>
  <si>
    <t>Category</t>
  </si>
  <si>
    <t>Product</t>
  </si>
  <si>
    <t>Currency</t>
  </si>
  <si>
    <t>Amount Currency</t>
  </si>
  <si>
    <t>Department</t>
  </si>
  <si>
    <t>Division</t>
  </si>
  <si>
    <t>Analytic Account</t>
  </si>
  <si>
    <t>Account</t>
  </si>
  <si>
    <t>Account Code</t>
  </si>
  <si>
    <t>Account Type</t>
  </si>
  <si>
    <t>Account Group</t>
  </si>
  <si>
    <t>Partner Name</t>
  </si>
  <si>
    <t>Partner Code</t>
  </si>
  <si>
    <t>Reference</t>
  </si>
  <si>
    <t>Label</t>
  </si>
  <si>
    <t>Voucher Type</t>
  </si>
  <si>
    <t>Voucher No</t>
  </si>
  <si>
    <t>Date</t>
  </si>
  <si>
    <t>Create Date</t>
  </si>
  <si>
    <t>S.No</t>
  </si>
  <si>
    <t>GROUP</t>
  </si>
  <si>
    <t>Type</t>
  </si>
  <si>
    <t>(blank)</t>
  </si>
  <si>
    <t>Value IN USD</t>
  </si>
  <si>
    <t>COST HEAD</t>
  </si>
  <si>
    <t>2200 TPD Commissioning</t>
  </si>
  <si>
    <t>ROADS</t>
  </si>
  <si>
    <t>MINING LAND</t>
  </si>
  <si>
    <t>WALL</t>
  </si>
  <si>
    <t>RM SHED</t>
  </si>
  <si>
    <t>OTHERS</t>
  </si>
  <si>
    <t>Total Sum of Value IN USD</t>
  </si>
  <si>
    <t>Sum of Value IN USD</t>
  </si>
  <si>
    <t>Values</t>
  </si>
  <si>
    <t>2200 TPD Commissioning Total</t>
  </si>
  <si>
    <t>MINING LAND Total</t>
  </si>
  <si>
    <t>OTHERS Total</t>
  </si>
  <si>
    <t>RM SHED Total</t>
  </si>
  <si>
    <t>ROADS Total</t>
  </si>
  <si>
    <t>WALL Total</t>
  </si>
  <si>
    <t>BUDGET IN USD</t>
  </si>
  <si>
    <t>Total Sum of BUDGET IN USD</t>
  </si>
  <si>
    <t>Sum of BUDGET IN USD</t>
  </si>
  <si>
    <t>PCVLG/2025/10/0004</t>
  </si>
  <si>
    <t>CASH PAID FOR ON   COMPLETE PAITING PREPARATION AND PAINTING OF NEW TRILER</t>
  </si>
  <si>
    <t>MISC/2025/10/0023</t>
  </si>
  <si>
    <t>ACCOMODATION FROM 05/09/2025 TO 24/09/2025</t>
  </si>
  <si>
    <t>BEING AMOUNT OF TARAWANDA ACCOMODATION AND HIRED VEHICLEEXPENSE FROM 10/09/2025 TO 25/09/2025</t>
  </si>
  <si>
    <t>Hired Vehicle 10days from 15/09/25 to 25/09/2025</t>
  </si>
  <si>
    <t>ACCOMODATION FROM 10/09/2025 TO 20/09/2025</t>
  </si>
  <si>
    <t>AST/2025/10/0001</t>
  </si>
  <si>
    <t>TOYOTA PROBOX T406CTT</t>
  </si>
  <si>
    <t>TOYOTA PROBOX T406CTT: Sale Against Inv No. INV/2025/10/00313</t>
  </si>
  <si>
    <t>351001 VEHICLES - PASSENGER</t>
  </si>
  <si>
    <t>STJ/2025/10/02504</t>
  </si>
  <si>
    <t>CM/MTI/2025/03308 - [PROCM204] SHEET ALUMINIUM SIZE 24 SWG FOR INSULATION / MRQ/2025/04690</t>
  </si>
  <si>
    <t>SERBL/2025/10/0035</t>
  </si>
  <si>
    <t>DTI00002857</t>
  </si>
  <si>
    <t>INR</t>
  </si>
  <si>
    <t>STJ/2025/10/05404</t>
  </si>
  <si>
    <t>CM/MTI/2025/03392 - [PROCM204] SHEET ALUMINIUM SIZE 24 SWG FOR INSULATION / MRQ/2025/04870</t>
  </si>
  <si>
    <t>MISC/2025/10/0163</t>
  </si>
  <si>
    <t xml:space="preserve">SETTLEMENTS AGAINST IMPREST </t>
  </si>
  <si>
    <t>BEING SETTLEMENT AGAINST IMPREST TAKEN BY MR MUKESH AGRAWAL FOR EXPENSES  DURING TARAWANDA PROJECT</t>
  </si>
  <si>
    <t>MISC/2025/10/0162</t>
  </si>
  <si>
    <t xml:space="preserve">SETTLEMENT AGAINST IMPREST </t>
  </si>
  <si>
    <t>BEING SETTLEMENT AGAINST IMPREST TAKEN BY MR MUKESH AGRAWAL FOR  BANK AND MOBILE CHARGES DURING TARAWANDA PROJECT EXPENSES</t>
  </si>
  <si>
    <t>MISC/2025/10/0161</t>
  </si>
  <si>
    <t>BEING SETTLEMENT AGAINST IMPREST TAKEN BY MR MUKESH AGRAWAL FOR TARAWANDA PROJECT EXPENSES</t>
  </si>
  <si>
    <t>SERBL/2025/10/0086</t>
  </si>
  <si>
    <t>LPORD/2025/01075: REQUIRED 2 WELDERS FOR 15 DAYS FOR GYPSUM CIRCUIT READINESS</t>
  </si>
  <si>
    <t>29025</t>
  </si>
  <si>
    <t xml:space="preserve">LPORD/2025/01075: REQUIRED 5 HELPERS FOR 15 DAYS FOR GYPSUM CIRCUIT READINESS	</t>
  </si>
  <si>
    <t>LPORD/2025/01075: REQUIRED 5 HELPERS FOR 15 DAYS FOR GYPSUM CIRCUIT READINESS</t>
  </si>
  <si>
    <t>STJ/2025/10/08805</t>
  </si>
  <si>
    <t>CM/MTI/2025/03470 - [PROCM204] SHEET ALUMINIUM SIZE 24 SWG FOR INSULATION / MRQ/2025/04983</t>
  </si>
  <si>
    <t>MISC/2025/10/0242</t>
  </si>
  <si>
    <t xml:space="preserve">VAT TRANSFER </t>
  </si>
  <si>
    <t>BEING VAT AMOUNT TRANSFERED FROM CWIP LEDGER TO VAT ON PURCHASE LEDGER AGAINST TANSAD NO. TZDA-25-1499442</t>
  </si>
  <si>
    <t>AST/2025/10/0002</t>
  </si>
  <si>
    <t>Mitsubishi  Pick Up T899DCQ</t>
  </si>
  <si>
    <t>Mitsubishi  Pick Up T899DCQ: Sale Against Inv no. INV/2025/10/01562 dated 17.10.25</t>
  </si>
  <si>
    <t>351005</t>
  </si>
  <si>
    <t>351005 VEHICLES - PASSENGER - LOGISTICS</t>
  </si>
  <si>
    <t>PCVHO/2025/10/0170</t>
  </si>
  <si>
    <t xml:space="preserve">TRAVELLING EXPENSES </t>
  </si>
  <si>
    <t>Being payment for T.A bill for Talawanda visit for new project - Sajivkumar</t>
  </si>
  <si>
    <t>LCL/HO/004</t>
  </si>
  <si>
    <t>SARASWATHY S PALISERI</t>
  </si>
  <si>
    <t>STJ/2025/10/10846</t>
  </si>
  <si>
    <t>CM/MTI/2025/03525 - [PROCM204] SHEET ALUMINIUM SIZE 24 SWG FOR INSULATION / MRQ/2025/05106</t>
  </si>
  <si>
    <t>MISC/2025/10/0334</t>
  </si>
  <si>
    <t>BEIG SETTLEMENT AGAINST IMPREST TAKEN BY MUKESH AGRAWAL FOR TARAWANDA PROJECT WORKS</t>
  </si>
  <si>
    <t>SERBL/2025/10/0129</t>
  </si>
  <si>
    <t xml:space="preserve">CAR RENT CHARGES </t>
  </si>
  <si>
    <t>KCR249/2025</t>
  </si>
  <si>
    <t>SERBL/2025/10/0090</t>
  </si>
  <si>
    <t>LPORD/2025/00417: Charges for Civil Jobs for Installation of Two Weighbridge at Mining as Per LCL Scope</t>
  </si>
  <si>
    <t>29041</t>
  </si>
  <si>
    <t>MISC/2025/10/0445</t>
  </si>
  <si>
    <t>BEING SETTLEMENT AGAINST IMPREST TAKEN BY MR ARNOLD KADURI FOR TARAWANDA PROJECT EXPENSES</t>
  </si>
  <si>
    <t>STJ/2025/10/00367</t>
  </si>
  <si>
    <t>CM/MTI/2025/03211 - [CAOFE005] AIR CONDITION UNIT 24000 BTU SPLIT TYPE  / MRQ/2025/04579</t>
  </si>
  <si>
    <t>Office Equipment</t>
  </si>
  <si>
    <t>STJ/2025/10/02052</t>
  </si>
  <si>
    <t>CM/MTI/2025/03278 - [CACOP003] COMPUTER DESKTOP / MRQ/2025/04592</t>
  </si>
  <si>
    <t>Computer &amp; Printers</t>
  </si>
  <si>
    <t>STJ/2025/10/02051</t>
  </si>
  <si>
    <t>Gases</t>
  </si>
  <si>
    <t>Welding Rod</t>
  </si>
  <si>
    <t>Paint</t>
  </si>
  <si>
    <t>Gas Cutting</t>
  </si>
  <si>
    <t>STJ/2025/10/14175</t>
  </si>
  <si>
    <t>CM/MTI/2025/03660 - [CCLGC032] WIRE FOR BINDING / MRQ/2025/05254</t>
  </si>
  <si>
    <t>General Consumables</t>
  </si>
  <si>
    <t>STJ/2025/10/14176</t>
  </si>
  <si>
    <t>CM/MTI/2025/03660 - [CCLGC328] TMT BAR SIZE 10 MM GRADE FY500. / MRQ/2025/05254</t>
  </si>
  <si>
    <t>STJ/2025/10/14177</t>
  </si>
  <si>
    <t>CM/MTI/2025/03660 - [CCLGC329] TMT BAR SIZE 12 MM GRADE FY500. / MRQ/2025/05254</t>
  </si>
  <si>
    <t>STJ/2025/10/14178</t>
  </si>
  <si>
    <t>CM/MTI/2025/03660 - [CCLGC330] TMT BAR SIZE 16 MM GRADE FY500. / MRQ/2025/05254</t>
  </si>
  <si>
    <t>STJ/2025/10/14179</t>
  </si>
  <si>
    <t>CM/MTI/2025/03660 - [CWCGC041] CUTTING WHEEL 7'' / MRQ/2025/05254</t>
  </si>
  <si>
    <t>STJ/2025/10/13665</t>
  </si>
  <si>
    <t>CM/MTI/2025/03626 - [CCLGC002] AGGREGATE GRANITE SIZE 14 MM TO 20 MM  / MRQ/2025/05195</t>
  </si>
  <si>
    <t>STJ/2025/10/12892</t>
  </si>
  <si>
    <t>CM/MTI/2025/03605 - [CCLGC021] NAILS SIZE 2.5'' / MRQ/2025/05136</t>
  </si>
  <si>
    <t>[CCLGC021] NAILS SIZE 2.5''</t>
  </si>
  <si>
    <t>STJ/2025/10/12893</t>
  </si>
  <si>
    <t>CM/MTI/2025/03605 - [CCLGC183] POLES WOODEN MIRUNDA  / MRQ/2025/05136</t>
  </si>
  <si>
    <t>STJ/2025/10/12894</t>
  </si>
  <si>
    <t>CM/MTI/2025/03605 - [CCLGC328] TMT BAR SIZE 10 MM GRADE FY500. / MRQ/2025/05136</t>
  </si>
  <si>
    <t>STJ/2025/10/12422</t>
  </si>
  <si>
    <t>CM/MTI/2025/03574 - [CCLGC328] TMT BAR SIZE 10 MM GRADE FY500. / MRQ/2025/05086
Rounding Adjustment: -0.01 TSh</t>
  </si>
  <si>
    <t>STJ/2025/10/06432</t>
  </si>
  <si>
    <t>CM/MTI/2025/03437 - [CCLGC004] SAND / MRQ/2025/04896</t>
  </si>
  <si>
    <t>STJ/2025/10/00803</t>
  </si>
  <si>
    <t>CM/MTI/2025/03222 - [CCLGC038] TIMBER 2 INCH X 4 INCH UNTREATED / MRQ/2025/04583</t>
  </si>
  <si>
    <t>STJ/2025/10/00804</t>
  </si>
  <si>
    <t>CM/MTI/2025/03222 - [CCLGC329] TMT BAR SIZE 12 MM GRADE FY500. / MRQ/2025/04583
Rounding Adjustment: +0.01 TSh</t>
  </si>
  <si>
    <t>STJ/2025/10/10417</t>
  </si>
  <si>
    <t>LOG/MTI/2025/01261 - [CPAPT005] PAINT BLUE AUTOMOBILE / MRQ/2025/05054</t>
  </si>
  <si>
    <t>[CPAPT005] PAINT BLUE AUTOMOBILE</t>
  </si>
  <si>
    <t>STJ/2025/10/08807</t>
  </si>
  <si>
    <t>LOG/MTI/2025/01250 - [CGCAB021] PAPER SAND P100 GRIFT MEDIUM / MRQ/2025/04997</t>
  </si>
  <si>
    <t>Abrasive Item</t>
  </si>
  <si>
    <t>STJ/2025/10/08829</t>
  </si>
  <si>
    <t>LOG/MTI/2025/01251 - [LTS0046] TRAILOR SPRING SEAT / MRQ/2025/04998
Rounding Adjustment: -0.01 TSh</t>
  </si>
  <si>
    <t>[LTS0046] TRAILOR SPRING SEAT</t>
  </si>
  <si>
    <t>TRAILER SPARES</t>
  </si>
  <si>
    <t>STJ/2025/10/06870</t>
  </si>
  <si>
    <t>LOG/MTI/2025/01231 - [CPAPT005] PAINT BLUE AUTOMOBILE / MRQ/2025/04923</t>
  </si>
  <si>
    <t>STJ/2025/10/06880</t>
  </si>
  <si>
    <t>LOG/MTI/2025/01232 - [CPAPT005] PAINT BLUE AUTOMOBILE / MRQ/2025/04925</t>
  </si>
  <si>
    <t>STJ/2025/10/06901</t>
  </si>
  <si>
    <t>LOG/MTI/2025/01237 - [CGCAB021] PAPER SAND P100 GRIFT MEDIUM / MRQ/2025/04898
Rounding Adjustment: +0.01 TSh</t>
  </si>
  <si>
    <t>STJ/2025/10/06904</t>
  </si>
  <si>
    <t>LOG/MTI/2025/01237 - [CGCAB023] PAPER SAND P240 GRIFT FINE / MRQ/2025/04898</t>
  </si>
  <si>
    <t>STJ/2025/10/06905</t>
  </si>
  <si>
    <t>LOG/MTI/2025/01237 - [CPAPT033] THINNER HR / MRQ/2025/04898</t>
  </si>
  <si>
    <t>STJ/2025/10/07004</t>
  </si>
  <si>
    <t>LOG/MTI/2025/01240 - [LTS0014] CENTRE PLATE LEAF SPRING TRAILER - BPW / MRQ/2025/04874</t>
  </si>
  <si>
    <t>[LTS0014] CENTRE PLATE LEAF SPRING TRAILER - BPW</t>
  </si>
  <si>
    <t>STJ/2025/10/07005</t>
  </si>
  <si>
    <t>LOG/MTI/2025/01240 - [LTS0020] SPRING PIN TRAILER WITH HEX HEAD M30 X 3.5 X 205MM / MRQ/2025/04874</t>
  </si>
  <si>
    <t>[LTS0020] SPRING PIN TRAILER WITH HEX HEAD M30 X 3.5 X 205MM</t>
  </si>
  <si>
    <t>STJ/2025/10/07227</t>
  </si>
  <si>
    <t>LOG/MTI/2025/01241 - [LTS0046] TRAILOR SPRING SEAT / MRQ/2025/04875</t>
  </si>
  <si>
    <t>STJ/2025/10/02757</t>
  </si>
  <si>
    <t>LOG/MTI/2025/01171 - [LGS0079] CUTTING WHEEL - 9'' / MRQ/2025/04771</t>
  </si>
  <si>
    <t>General Spares</t>
  </si>
  <si>
    <t>STJ/2025/10/03180</t>
  </si>
  <si>
    <t>LOG/MTI/2025/01178 - [CPAPT004] PAINT BLACK AUTOMOBILE / MRQ/2025/04718</t>
  </si>
  <si>
    <t>[CPAPT004] PAINT BLACK AUTOMOBILE</t>
  </si>
  <si>
    <t>STJ/2025/10/03181</t>
  </si>
  <si>
    <t>LOG/MTI/2025/01178 - [CPAPT033] THINNER HR / MRQ/2025/04718</t>
  </si>
  <si>
    <t>STJ/2025/10/03537</t>
  </si>
  <si>
    <t>LOG/MTI/2025/01186 - [CPAPT033] THINNER HR / MRQ/2025/04688</t>
  </si>
  <si>
    <t>STJ/2025/10/03583</t>
  </si>
  <si>
    <t>LOG/MTI/2025/01198 - [CPAPT004] PAINT BLACK AUTOMOBILE / MRQ/2025/04651</t>
  </si>
  <si>
    <t>STJ/2025/10/03584</t>
  </si>
  <si>
    <t>LOG/MTI/2025/01198 - [CPAPT033] THINNER HR / MRQ/2025/04651</t>
  </si>
  <si>
    <t>STJ/2025/10/15768</t>
  </si>
  <si>
    <t>CM/MTI/2025/03702 - [CWCGC041] CUTTING WHEEL 7'' / MRQ/2025/05309</t>
  </si>
  <si>
    <t>STJ/2025/10/11503</t>
  </si>
  <si>
    <t>CM/MTI/2025/03536 - [CIGGS001] GAS OXYGEN FULL CYLINDER, O2 / MRQ/2025/05075</t>
  </si>
  <si>
    <t>STJ/2025/10/08787</t>
  </si>
  <si>
    <t>CM/MTI/2025/03467 - [CIGGS001] GAS OXYGEN FULL CYLINDER, O2 / MRQ/2025/04988</t>
  </si>
  <si>
    <t>STJ/2025/10/08788</t>
  </si>
  <si>
    <t>CM/MTI/2025/03467 - [CIGGS005] GAS LIQUEFIED PETROLEUM FULL CYLINDER, LPG CAPACITY 15KG / MRQ/2025/04988</t>
  </si>
  <si>
    <t>STJ/2025/10/08789</t>
  </si>
  <si>
    <t>CM/MTI/2025/03467 - [CWCGC041] CUTTING WHEEL 7'' / MRQ/2025/04988
Rounding Adjustment: +0.01 TSh</t>
  </si>
  <si>
    <t>STJ/2025/10/08790</t>
  </si>
  <si>
    <t>CM/MTI/2025/03467 - [CWCWR003] WELDING ELECTRODE MS 6013 SIZE 4 MM X 450 MM / MRQ/2025/04988</t>
  </si>
  <si>
    <t>STJ/2025/10/11504</t>
  </si>
  <si>
    <t>CM/MTI/2025/03536 - [CPAPT009] PAINT OIL BLACK / MRQ/2025/05075</t>
  </si>
  <si>
    <t>STJ/2025/10/09458</t>
  </si>
  <si>
    <t>CM/MTI/2025/03491 - [EFSHB118] BOLT HT HEX HEAD M16 X 75MM FULL THREAD WITH NUT AND WASHER GRADE 8.8 / MRQ/2025/05040</t>
  </si>
  <si>
    <t>Hex Bolt</t>
  </si>
  <si>
    <t>STJ/2025/10/00368</t>
  </si>
  <si>
    <t>CM/MTI/2025/03212 - [CPAPT007] PAINT RED OXIDE / MRQ/2025/04611</t>
  </si>
  <si>
    <t>STJ/2025/10/00369</t>
  </si>
  <si>
    <t>CM/MTI/2025/03212 - [CPAPT037] THINNER SOLVENT / MRQ/2025/04611</t>
  </si>
  <si>
    <t>STJ/2025/10/00370</t>
  </si>
  <si>
    <t>CM/MTI/2025/03212 - [CWCGC041] CUTTING WHEEL 7'' / MRQ/2025/04611
Rounding Adjustment: +0.01 TSh</t>
  </si>
  <si>
    <t>STJ/2025/10/12888</t>
  </si>
  <si>
    <t>CM/MTI/2025/03604 - [CCLGC052] PLYWOOD 8FEET X 4FEET X 18 MM THICK  / MRQ/2025/05087</t>
  </si>
  <si>
    <t>STJ/2025/10/11493</t>
  </si>
  <si>
    <t>CM/MTI/2025/03533 - [CCLGC023] NAILS SIZE 4'' / MRQ/2025/05078</t>
  </si>
  <si>
    <t>STJ/2025/10/11494</t>
  </si>
  <si>
    <t>CM/MTI/2025/03533 - [CCLGC032] WIRE FOR BINDING / MRQ/2025/05078</t>
  </si>
  <si>
    <t>STJ/2025/10/11495</t>
  </si>
  <si>
    <t>CM/MTI/2025/03533 - [CCLGC038] TIMBER 2 INCH X 4 INCH UNTREATED / MRQ/2025/05078</t>
  </si>
  <si>
    <t>STJ/2025/10/11496</t>
  </si>
  <si>
    <t>CM/MTI/2025/03533 - [CCLGC327] TMT BAR SIZE 8 MM GRADE FY500. / MRQ/2025/05078</t>
  </si>
  <si>
    <t>STJ/2025/10/11497</t>
  </si>
  <si>
    <t>CM/MTI/2025/03533 - [CCLGC329] TMT BAR SIZE 12 MM GRADE FY500. / MRQ/2025/05078
Rounding Adjustment: -0.01 TSh</t>
  </si>
  <si>
    <t>STJ/2025/10/11498</t>
  </si>
  <si>
    <t>CM/MTI/2025/03533 - [CCLGC330] TMT BAR SIZE 16 MM GRADE FY500. / MRQ/2025/05078</t>
  </si>
  <si>
    <t>STJ/2025/10/11499</t>
  </si>
  <si>
    <t>CM/MTI/2025/03533 - [CWCGC041] CUTTING WHEEL 7'' / MRQ/2025/05078</t>
  </si>
  <si>
    <t>STJ/2025/10/09944</t>
  </si>
  <si>
    <t>CM/MTI/2025/03507 - [CCLGC023] NAILS SIZE 4'' / MRQ/2025/05003</t>
  </si>
  <si>
    <t>STJ/2025/10/09945</t>
  </si>
  <si>
    <t>CM/MTI/2025/03507 - [CCLGC038] TIMBER 2 INCH X 4 INCH UNTREATED / MRQ/2025/05003</t>
  </si>
  <si>
    <t>STJ/2025/10/03668</t>
  </si>
  <si>
    <t>CM/MTI/2025/03315 - [CCLGC022] NAILS SIZE 3'' / MRQ/2025/04751</t>
  </si>
  <si>
    <t>STJ/2025/10/03669</t>
  </si>
  <si>
    <t>CM/MTI/2025/03315 - [CCLGC023] NAILS SIZE 4'' / MRQ/2025/04751</t>
  </si>
  <si>
    <t>STJ/2025/10/03670</t>
  </si>
  <si>
    <t>CM/MTI/2025/03315 - [CCLGC183] POLES WOODEN MIRUNDA  / MRQ/2025/04751</t>
  </si>
  <si>
    <t>STJ/2025/10/01145</t>
  </si>
  <si>
    <t>CM/MTI/2025/03239 - [CCLGC021] NAILS SIZE 2.5'' / MRQ/2025/04686</t>
  </si>
  <si>
    <t>STJ/2025/10/01146</t>
  </si>
  <si>
    <t>CM/MTI/2025/03239 - [CCLGC023] NAILS SIZE 4'' / MRQ/2025/04686</t>
  </si>
  <si>
    <t>STJ/2025/10/01147</t>
  </si>
  <si>
    <t>CM/MTI/2025/03239 - [CCLGC032] WIRE FOR BINDING / MRQ/2025/04686</t>
  </si>
  <si>
    <t>STJ/2025/10/01148</t>
  </si>
  <si>
    <t>CM/MTI/2025/03239 - [CCLGC038] TIMBER 2 INCH X 4 INCH UNTREATED / MRQ/2025/04686</t>
  </si>
  <si>
    <t>STJ/2025/10/01149</t>
  </si>
  <si>
    <t>CM/MTI/2025/03239 - [CWCGC041] CUTTING WHEEL 7'' / MRQ/2025/04686</t>
  </si>
  <si>
    <t>STJ/2025/10/01163</t>
  </si>
  <si>
    <t>CM/MTI/2025/03248 - [CCLGC328] TMT BAR SIZE 10 MM GRADE FY500. / MRQ/2025/04673</t>
  </si>
  <si>
    <t>STJ/2025/10/00800</t>
  </si>
  <si>
    <t>CM/MTI/2025/03221 - [CCLGC032] WIRE FOR BINDING / MRQ/2025/04625</t>
  </si>
  <si>
    <t>STJ/2025/10/00801</t>
  </si>
  <si>
    <t>CM/MTI/2025/03221 - [CCLGC330] TMT BAR SIZE 16 MM GRADE FY500. / MRQ/2025/04625</t>
  </si>
  <si>
    <t>STJ/2025/10/00802</t>
  </si>
  <si>
    <t>CM/MTI/2025/03221 - [CWCGC041] CUTTING WHEEL 7'' / MRQ/2025/04625
Rounding Adjustment: -0.01 TSh</t>
  </si>
  <si>
    <t>STJ/2025/10/11780</t>
  </si>
  <si>
    <t>CM/MTI/2025/03554 - [CCLGC328] TMT BAR SIZE 10 MM GRADE FY500. / MRQ/2025/05107</t>
  </si>
  <si>
    <t>STJ/2025/10/09465</t>
  </si>
  <si>
    <t>CM/MTI/2025/03498 - [CPMBG002] BAG EMPTY FOR CEMENT PACKING GRADE 42.5R MATERIAL WOVEN POLYPROPYLENE CAPACITY 50KG COLOR ORANGE / MRQ/2025/04773</t>
  </si>
  <si>
    <t>Bag</t>
  </si>
  <si>
    <t>STJ/2025/10/03673</t>
  </si>
  <si>
    <t>CM/MTI/2025/03316 - [CPMBG002] BAG EMPTY FOR CEMENT PACKING GRADE 42.5R MATERIAL WOVEN POLYPROPYLENE CAPACITY 50KG COLOR ORANGE / MRQ/2025/04710</t>
  </si>
  <si>
    <t>Oct</t>
  </si>
  <si>
    <t>(All)</t>
  </si>
  <si>
    <t>OPC Project</t>
  </si>
  <si>
    <t>OPC Project Total</t>
  </si>
  <si>
    <t>AST/2025/11/0001</t>
  </si>
  <si>
    <t>TOYOTA CROWN T950DXA</t>
  </si>
  <si>
    <t>TOYOTA CROWN T950DXA: Sale</t>
  </si>
  <si>
    <t>SERBL/2025/11/0012</t>
  </si>
  <si>
    <t>DARR000351082</t>
  </si>
  <si>
    <t>AST/2025/11/0003</t>
  </si>
  <si>
    <t>ESCORT HYDRA T632CXV</t>
  </si>
  <si>
    <t>ESCORT HYDRA T632CXV: Sale Against Inv no. INV/2025/11/00701</t>
  </si>
  <si>
    <t>351002</t>
  </si>
  <si>
    <t>351002 VEHICLES - OFFROAD COMMERCIAL</t>
  </si>
  <si>
    <t>SERBL/2025/11/0039</t>
  </si>
  <si>
    <t xml:space="preserve">LPORD/2025/01268: SUPPLY OF SKILLED FITTER FOR ADDITIVE GYPSUM FEEDING SYSTEM </t>
  </si>
  <si>
    <t>TAZ-0033</t>
  </si>
  <si>
    <t xml:space="preserve">LPORD/2025/01268: SUPPLY OF SKILLED WELDER FOR ADDITIVE GYPSUM FEEDING SYSTEM </t>
  </si>
  <si>
    <t xml:space="preserve">LPORD/2025/01268: SUPPLY OF UNSKILLED HELPER  FOR ADDITIVE GYPSUM FEEDING SYSTEM </t>
  </si>
  <si>
    <t>MISC/2025/11/0136</t>
  </si>
  <si>
    <t>LAND COST</t>
  </si>
  <si>
    <t>BEING TRANSFER OF EXPENSES ACCOUNT FROM LAND RIGHTS AQUISITION TARAWANDA TO LAND COST AGAINST JV NO. MISC/2025/04/0016</t>
  </si>
  <si>
    <t>PASSENGER VEHICLES</t>
  </si>
  <si>
    <t>SERBL/2025/11/0076</t>
  </si>
  <si>
    <t>KCR250/2025</t>
  </si>
  <si>
    <t>MISC/2025/11/0235</t>
  </si>
  <si>
    <t>NMB TZS CHQ NO.003368 PAID LAND COST -12 ACRES -MAUA SAIDI DIBWE</t>
  </si>
  <si>
    <t>MISC/2025/11/0234</t>
  </si>
  <si>
    <t>NMB TZS CHQ NO.003367 PAID LAND COST -12 ACRES -MAUA SAIDI DIBWE</t>
  </si>
  <si>
    <t>MISC/2025/11/0233</t>
  </si>
  <si>
    <t>NMB TZS CHQ NO.003366 PAID LAND COST -2.86 ACRES -MERINA CLEMENT SINGANO</t>
  </si>
  <si>
    <t>MISC/2025/11/0231</t>
  </si>
  <si>
    <t>NMB TZS CHQ NO.003364 PAID LAND COST -0.66 ACRES -FATUMA DAUDI KIDAMANE</t>
  </si>
  <si>
    <t>MISC/2025/11/0230</t>
  </si>
  <si>
    <t>NMB TZS CHQ NO.003363 PAID LAND COST -FATUMA DAUDI KIDAMANE</t>
  </si>
  <si>
    <t>MISC/2025/11/0229</t>
  </si>
  <si>
    <t>NMB TZS CHQ NO.003362 PAID LAND COST -FATUMA DAUDI KIDAMANE</t>
  </si>
  <si>
    <t>MISC/2025/11/0228</t>
  </si>
  <si>
    <t>NMB TZS CHQ NO.003361 PAID LAND COST -4.79 ACRES -MASOUD ALLY CHABU</t>
  </si>
  <si>
    <t>MISC/2025/11/0227</t>
  </si>
  <si>
    <t>NMB TZS CHQ NO.003360 PAID LAND COST -4.79 ACRES -MASOUD ALLY CHABU</t>
  </si>
  <si>
    <t>MISC/2025/11/0226</t>
  </si>
  <si>
    <t>NMB TZS CHQ NO.003359 PAID LAND COST -13.30 ACRES -IDDI MIRAJI CHUMA</t>
  </si>
  <si>
    <t>MISC/2025/11/0225</t>
  </si>
  <si>
    <t>NMB TZS CHQ NO.003358 PAID LAND COST -13.30 ACRES -IDDI MIRAJI CHUMA</t>
  </si>
  <si>
    <t>MISC/2025/11/0224</t>
  </si>
  <si>
    <t>NMB TZS CHQ NO.003357 PAID LAND COST -ADELA MAIKO MFAUME</t>
  </si>
  <si>
    <t>MISC/2025/11/0223</t>
  </si>
  <si>
    <t>NMB TZS CHQ NO.003356 PAID LAND COST -ADELA MAIKO MFAUME</t>
  </si>
  <si>
    <t>MISC/2025/11/0222</t>
  </si>
  <si>
    <t>NMB TZS CHQ NO.003355 PAID LAND COST -5.54 ACRES -RASHIDI MOHAMEDI RASHIDI</t>
  </si>
  <si>
    <t>MISC/2025/11/0221</t>
  </si>
  <si>
    <t>NMB TZS CHQ NO.003354 PAID LAND COST -9.94 ACRES -STAMILI GEUZA MSABAHA</t>
  </si>
  <si>
    <t>MISC/2025/11/0220</t>
  </si>
  <si>
    <t>NMB TZS CHQ NO.003353 PAID LAND COST -0.62 ACRES -STAMILI GEUZA MSABAHA</t>
  </si>
  <si>
    <t>MISC/2025/11/0219</t>
  </si>
  <si>
    <t>NMB TZS CHQ NO.003352 PAID LAND COST - 3.35 ACRES -ANTHONIA MICHAEL MFAUME</t>
  </si>
  <si>
    <t>MISC/2025/11/0218</t>
  </si>
  <si>
    <t>NMB TZS CHQ NO.003351 PAID LAND COST - 3.35 ACRES -ANTHONIA MICHAEL MFAUME</t>
  </si>
  <si>
    <t>MISC/2025/11/0217</t>
  </si>
  <si>
    <t>NMB TZS CHQ NO.003350 PAID LAND COST - 0.13 ACRES -IDDI SELEMANI LUBARATI</t>
  </si>
  <si>
    <t>MISC/2025/11/0212</t>
  </si>
  <si>
    <t>NMB TZS CHQ NO.003345 PAID LAND COST -0.42 ACRES -SALEHE KASIMU ALLY</t>
  </si>
  <si>
    <t>MISC/2025/11/0211</t>
  </si>
  <si>
    <t>NMB TZS CHQ NO.003344 PAID LAND COST -0.60 ACRES -HAMISI DAUDI KIDAMANE</t>
  </si>
  <si>
    <t>MISC/2025/11/0210</t>
  </si>
  <si>
    <t>NMB TZS CHQ NO.003343 PAID LAND COST -0.18 ACRES -RAMADHANI SAIDI NDARU</t>
  </si>
  <si>
    <t>MISC/2025/11/0209</t>
  </si>
  <si>
    <t>NMB TZS CHQ NO.003372 PAID LAND COST -0.69 ACRES -MAIMUNA SADIKI OMARY</t>
  </si>
  <si>
    <t>MISC/2025/11/0208</t>
  </si>
  <si>
    <t>NMB TZS CHQ NO.003341 PAID LAND COST -0.63 ACRES -RAMADHANI IDI OMARI</t>
  </si>
  <si>
    <t>MISC/2025/11/0207</t>
  </si>
  <si>
    <t>NMB TZS CHQ NO.003340 PAID LAND COST - 0.93 ACRES -BUSHIRI RAISI KILIMILA</t>
  </si>
  <si>
    <t>MISC/2025/11/0206</t>
  </si>
  <si>
    <t>NMB TZS CHQ NO.003339 PAID LAND COST - 0.93 ACRES -BUSHIRI RAISI KILIMILA</t>
  </si>
  <si>
    <t>MISC/2025/11/0205</t>
  </si>
  <si>
    <t>NMB TZS CHQ NO.003338 PAID LAND COST - 0.12 ACRES -KAUNDA HAMISI RAISI</t>
  </si>
  <si>
    <t>MISC/2025/11/0204</t>
  </si>
  <si>
    <t>NMB TZS CHQ NO.003337 PAID LAND COST - 0.12 ACRES -KAUNDA HAMISI RAISI</t>
  </si>
  <si>
    <t>MISC/2025/11/0203</t>
  </si>
  <si>
    <t>NMB TZS CHQ NO.003336 PAID LAND COST - 0.12 ACRES -KAUNDA HAMISI RAISI</t>
  </si>
  <si>
    <t>MISC/2025/11/0202</t>
  </si>
  <si>
    <t>NMB TZS CHQ NO.003335 PAID LAND COST - 0.35 ACRES -HAMISI RAISI KILIMILA</t>
  </si>
  <si>
    <t>MISC/2025/11/0201</t>
  </si>
  <si>
    <t>NMB TZS CHQ NO.003370 PAID LAND COST - 0.18 ACRES -MWANAHAMISI SAIDI DIBWE</t>
  </si>
  <si>
    <t>MISC/2025/11/0200</t>
  </si>
  <si>
    <t>NMB TZS CHQ NO.003369 PAID LAND COST - 0.18 ACRES -MWANAHAMISI SAIDI DIBWE</t>
  </si>
  <si>
    <t>MISC/2025/11/0199</t>
  </si>
  <si>
    <t>NMB TZS CHQ NO.003332 PAID LAND COST - 0.11 ACRES -GOMBO DOTTO GOMBO</t>
  </si>
  <si>
    <t>MISC/2025/11/0198</t>
  </si>
  <si>
    <t>NMB TZS CHQ NO.003331 PAID LAND COST - 0.11 ACRES -GOMBO DOTTO GOMBO</t>
  </si>
  <si>
    <t>MISC/2025/11/0197</t>
  </si>
  <si>
    <t>MISC/2025/11/0195</t>
  </si>
  <si>
    <t>NMB TZS CHQ NO.003371 PAID LAND COST - 1.13 ACRES -FATUMA MAULIDI DIBWE</t>
  </si>
  <si>
    <t>MISC/2025/11/0194</t>
  </si>
  <si>
    <t>NMB TZS CHQ NO.003324 PAID LAND COST - 1 ACRES -STEVEN MICHAEL MFAUME</t>
  </si>
  <si>
    <t>MISC/2025/11/0193</t>
  </si>
  <si>
    <t>NMB TZS CHQ NO.003326 PAID LAND COST - 1 ACRES -STEVEN MICHAEL MFAUME</t>
  </si>
  <si>
    <t>MISC/2025/11/0192</t>
  </si>
  <si>
    <t>NMB TZS CHQ NO.003325 PAID LAND COST - 1 ACRES -STEVEN MICHAEL MFAUME</t>
  </si>
  <si>
    <t>MISC/2025/11/0196</t>
  </si>
  <si>
    <t>BEING LAND PURCHASE FROM MR.RAMADHANI ROMAN AGAINST CHQ NO.003373</t>
  </si>
  <si>
    <t>PCVHO/2025/11/0206</t>
  </si>
  <si>
    <t xml:space="preserve">PURCHASE OF LAND </t>
  </si>
  <si>
    <t>Being payment for purchase of land at Tarawanda plot No. TW/E/4- Athuman Hoseni Saidi</t>
  </si>
  <si>
    <t>PCVHO/2025/11/0205</t>
  </si>
  <si>
    <t>Being payment for purchase of land at Tarawanda plot No. TW/D5/053- Naima Mohamedi Athuman</t>
  </si>
  <si>
    <t>PCVHO/2025/11/0204</t>
  </si>
  <si>
    <t>Being payment for purchase of land at Tarawanda plot No. TW/M6/151- Toni Adamu Matima</t>
  </si>
  <si>
    <t>PCVHO/2025/11/0203</t>
  </si>
  <si>
    <t xml:space="preserve">purchase of land </t>
  </si>
  <si>
    <t>Being payment for purchase of land at Tarawanda plot No. TW/H6/139- Jafari Adamu Matima</t>
  </si>
  <si>
    <t>PCVHO/2025/11/0202</t>
  </si>
  <si>
    <t>Being payment for purchase of land at Tarawanda plot No. TW/V/112- Peter Patricki Peter</t>
  </si>
  <si>
    <t>PCVHO/2025/11/0201</t>
  </si>
  <si>
    <t>Being payment for purchase of land at Tarawanda plot No. TW/X/111- Shaban Miraji Dibwe Peter Patricki Peter</t>
  </si>
  <si>
    <t>PCVHO/2025/11/0200</t>
  </si>
  <si>
    <t>Being payment for purchase of land at Tarawanda plot No. TW/Z1/133 - Shaban Miraji Dibwe</t>
  </si>
  <si>
    <t>PCVHO/2025/11/0199</t>
  </si>
  <si>
    <t>Being payment for purchase of land at Tarawanda plot No. TW/C2/131/1 - Salumu Saidi Dibwe</t>
  </si>
  <si>
    <t>PCVHO/2025/11/0198</t>
  </si>
  <si>
    <t>Being payment for purchase of land at Tarawanda plot No. TW/X2 - Issa Shabani Pindua</t>
  </si>
  <si>
    <t>PCVHO/2025/11/0197</t>
  </si>
  <si>
    <t>Being payment for purchase of land at Tarawanda plot No. TW/M/129 - Miraji Saidi Dibwe</t>
  </si>
  <si>
    <t>PCVHO/2025/11/0196</t>
  </si>
  <si>
    <t>Being payment for purchase of land at Tarawanda plot No. TW/P1/085- Sara Paulo Mdinda</t>
  </si>
  <si>
    <t>PCVHO/2025/11/0195</t>
  </si>
  <si>
    <t>Being payment for purchase of land at Tarawanda plot No. TW/D6 - Justine Anton Ngowi</t>
  </si>
  <si>
    <t>PCVHO/2025/11/0194</t>
  </si>
  <si>
    <t>Being payment for purchase of land at Tarawanda plot No. TW//S4/083 - Miraji Saidi Dibwe</t>
  </si>
  <si>
    <t>PCVHO/2025/11/0193</t>
  </si>
  <si>
    <t>Being payment for purchase of land at Tarawanda plot No. TW/Y2- Hitaji Geuza Bongho</t>
  </si>
  <si>
    <t>PCVHO/2025/11/0192</t>
  </si>
  <si>
    <t>PCVHO/2025/11/0191</t>
  </si>
  <si>
    <t>Being payment for purchase of land at Tarawanda plot No. TW/R4/105 - Iddi Miraji Chuma</t>
  </si>
  <si>
    <t>PCVHO/2025/11/0190</t>
  </si>
  <si>
    <t>Being payment for purchase of land at Tarawanda plot No. TW/G7/122 - Fatuma Daudi Kidamane</t>
  </si>
  <si>
    <t>PCVHO/2025/11/0189</t>
  </si>
  <si>
    <t>Being payment for purchase of land at Tarawanda plot No. TW/F7-  Ramadhan Daudi Kidamane</t>
  </si>
  <si>
    <t>PCVHO/2025/11/0188</t>
  </si>
  <si>
    <t>PCVHO/2025/11/0187</t>
  </si>
  <si>
    <t>Being payment for purchase of land at Tarawanda plot No. TW/J5/148-  Merina Clement Singano</t>
  </si>
  <si>
    <t>PCVHO/2025/11/0186</t>
  </si>
  <si>
    <t>Being payment for purchase of land at Tarawanda plot No. TW/R2/131-  Hadija Athumani Kiyumbo</t>
  </si>
  <si>
    <t>PCVHO/2025/11/0185</t>
  </si>
  <si>
    <t>Being payment for purchase of land at Tarawanda plot No. TW/J2 -  Sakina Abeidi Raisi</t>
  </si>
  <si>
    <t>PCVHO/2025/11/0184</t>
  </si>
  <si>
    <t>Being payment for purchase of land at Tarawanda plot No. TW/H3/150-  Athuman Jamesi  Funza</t>
  </si>
  <si>
    <t>PCVHO/2025/11/0183</t>
  </si>
  <si>
    <t>Being payment for purchase of land at Tarawanda plot No. TW/F2 -  James Funza Mohamedi</t>
  </si>
  <si>
    <t>PCVHO/2025/11/0182</t>
  </si>
  <si>
    <t>Being payment for purchase of land at Tarawanda plot No. TW/F3/029/ James Funza Mohamedi</t>
  </si>
  <si>
    <t>PCVHO/2025/11/0181</t>
  </si>
  <si>
    <t>Being payment for purchase of land at Tarawanda plot No TW/O/103A - Rashidi Omari Mgunga</t>
  </si>
  <si>
    <t>PCVHO/2025/11/0180</t>
  </si>
  <si>
    <t>Being payment for purchase of land at Tarawanda plot No TW/M1/094 - Rashidi Omari Mgunga</t>
  </si>
  <si>
    <t>PCVHO/2025/11/0179</t>
  </si>
  <si>
    <t>Being payment for purchase of land at Tarawanda Plot No. TW/S1/102- Mauwa Saidi Mrisho</t>
  </si>
  <si>
    <t>PCVHO/2025/11/0178</t>
  </si>
  <si>
    <t>Being payment for purchase of land at Tarawanda plot No TW/I7/152 - Chambuli Stephano Mazoezi</t>
  </si>
  <si>
    <t>PCVHO/2025/11/0177</t>
  </si>
  <si>
    <t>Being payment for purchase of land at Tarawanda plot No TW/R1- Ruben Raphael Amas</t>
  </si>
  <si>
    <t>PCVHO/2025/11/0176</t>
  </si>
  <si>
    <t>Being payment for purchase of land at Tarawanda plot No TW/G2/099 - Hadija Kufikili Kilimila</t>
  </si>
  <si>
    <t>PCVHO/2025/11/0175</t>
  </si>
  <si>
    <t>Being payment for purchase of land at Tarawanda plot No TW/06/060- Ramadhani M. Roman</t>
  </si>
  <si>
    <t>PCVHO/2025/11/0174</t>
  </si>
  <si>
    <t>Being payment for purchase of Land at Tarawanda plot No TW/V3 - Zainabu Saidi Dibwe</t>
  </si>
  <si>
    <t>PCVHO/2025/11/0173</t>
  </si>
  <si>
    <t>Being payment for purchase of land at Tarawanda plot No. TW/W/066 - Helena Michael Mfaume</t>
  </si>
  <si>
    <t>PCVHO/2025/11/0172</t>
  </si>
  <si>
    <t>PCVHO/2025/11/0171</t>
  </si>
  <si>
    <t>Being payment for purchase of land at Tarawanda plot No TW/L3 - Maua saidi Dibwe</t>
  </si>
  <si>
    <t>PCVHO/2025/11/0170</t>
  </si>
  <si>
    <t>Being payment for purchase of land at Tarawanda plot No TW/Y/101 - Salome Michael Mfaume</t>
  </si>
  <si>
    <t>PCVHO/2025/11/0169</t>
  </si>
  <si>
    <t>Being payment for purchase of land at Tarawanda plot No TW/V1/123 - Salome Michael Mfaume</t>
  </si>
  <si>
    <t>PCVHO/2025/11/0168</t>
  </si>
  <si>
    <t>Being payment for purchase of land at Tarawanda plot No TW/C1/109 - Salome Michael Mfaume</t>
  </si>
  <si>
    <t>PCVHO/2025/11/0167</t>
  </si>
  <si>
    <t>Being payment for purchase of land at Tarawanda plot No TW/R6/03 - Pili Salumu Halfani</t>
  </si>
  <si>
    <t>PCVHO/2025/11/0166</t>
  </si>
  <si>
    <t>Being payment for purchase of land at Tarawanda plots No TW/H5 - Hadija Ramadhani Zakatimu</t>
  </si>
  <si>
    <t>PCVHO/2025/11/0165</t>
  </si>
  <si>
    <t>Being payment for purchase of land at Tarawanda plot No. TWK - Hadija Ramadhani Zakatimu</t>
  </si>
  <si>
    <t>PCVHO/2025/11/0164</t>
  </si>
  <si>
    <t>Being payment for purchase of land at Tarawanda plot No. TW/D4- Amina Yusuph Dibwe</t>
  </si>
  <si>
    <t>PCVHO/2025/11/0163</t>
  </si>
  <si>
    <t>Being payment for purchase of land at Tarawanda plot No. TW/A1/065 - Anthonia Michael Mfaume</t>
  </si>
  <si>
    <t>PCVHO/2025/11/0162</t>
  </si>
  <si>
    <t>Being payment for purchase of land at Tarawanda plot No. TW/R6/154 - Iddi Selemani Lubarati</t>
  </si>
  <si>
    <t>PCVHO/2025/11/0161</t>
  </si>
  <si>
    <t>Being payment for purchase of land at Tarawanda plot No. TW/E5 - Iddi Selemani Lubarati</t>
  </si>
  <si>
    <t>PCVHO/2025/11/0160</t>
  </si>
  <si>
    <t>Being payment for purchase of land at Tarawanda plot No. TW/G5 - Iddi Selemani Lubarati</t>
  </si>
  <si>
    <t>PCVHO/2025/11/0159</t>
  </si>
  <si>
    <t>Being payment for purchase of Land at Kimbiji plot No. TWN/084 - Rashidi Mohamedi Rashidi</t>
  </si>
  <si>
    <t>PCVHO/2025/11/0158</t>
  </si>
  <si>
    <t>Being payment for purchase of land at Tarawanda Plot No. TW/C8/- Maimuna Sadiki Omary</t>
  </si>
  <si>
    <t>PCVHO/2025/11/0157</t>
  </si>
  <si>
    <t>Being payment for purchase of land at Tarawanda plot No. TW/V6/005 - Mwamtumu Halfani Ramadhani</t>
  </si>
  <si>
    <t>PCVHO/2025/11/0156</t>
  </si>
  <si>
    <t>Being payment for purchase of land at Tarawanda Plot No. TW/N1/082 - Stamili Guza Msabaha</t>
  </si>
  <si>
    <t>PCVHO/2025/11/0155</t>
  </si>
  <si>
    <t>Being payment for purchase of land at Tarawanda Plot No. TW/U/116 - Masoud Ally Chabu</t>
  </si>
  <si>
    <t>PCVHO/2025/11/0154</t>
  </si>
  <si>
    <t>Being payment for purchase of land at Tarawanda Plot No. TW/N2/096 - Kaunda Hamisi Raisi</t>
  </si>
  <si>
    <t>PCVHO/2025/11/0153</t>
  </si>
  <si>
    <t>Being payment for purchase of land at Tarawanda Plot No. TW/L1/097 - Kaunda Hamisi Raisi</t>
  </si>
  <si>
    <t>PCVHO/2025/11/0152</t>
  </si>
  <si>
    <t>Being payment for purchase of land at Tarawanda Plot No. TW/I1/095 - Kaunda Hamisi Raisi</t>
  </si>
  <si>
    <t>PCVHO/2025/11/0151</t>
  </si>
  <si>
    <t>Being payment for purchase of land at Tarawanda Plot No. TW/N5/059 - Abdallah S. Abdala</t>
  </si>
  <si>
    <t>PCVHO/2025/11/0150</t>
  </si>
  <si>
    <t>Being payment for purchase of land at Tarawanda Plot No. TW/S3/078 - Amadi R. Dibwe</t>
  </si>
  <si>
    <t>PCVHO/2025/11/0149</t>
  </si>
  <si>
    <t>Being payment for purchase of land at Tarawanda Plot No. TW/D7/128 - Hassani Adam Ramadhan</t>
  </si>
  <si>
    <t>PCVHO/2025/11/0148</t>
  </si>
  <si>
    <t>Being payment for purchase of land at Tarawanda Plot No. TW/T1/027 - Hossein Ibrahim Hosseini</t>
  </si>
  <si>
    <t>PCVHO/2025/11/0147</t>
  </si>
  <si>
    <t>Being payment for purchase of Land at Tarawanda Plot No. TW/Z7- Iddi Selemeni Rubarati</t>
  </si>
  <si>
    <t>PCVHO/2025/11/0146</t>
  </si>
  <si>
    <t>Being payment for purchase of Land at Tarawanda Plot No. TW/A2 - Maua Saidi Dibwe</t>
  </si>
  <si>
    <t>PCVHO/2025/11/0145</t>
  </si>
  <si>
    <t>Being payment for purchase of land at Tarawanda Plot No. TW/Z7/001 - Mohamedi S. Selemani</t>
  </si>
  <si>
    <t>PCVHO/2025/11/0144</t>
  </si>
  <si>
    <t>Being payment for purchase of Land at Tarawanda Plot No. TW/D3/032 - Hamis Jemesi Funza</t>
  </si>
  <si>
    <t>PCVHO/2025/11/0143</t>
  </si>
  <si>
    <t>Being payment for purchase of land T Tarawanda Plot No. TW/D3/032 - Hamis Jemsi Funza</t>
  </si>
  <si>
    <t>PCVHO/2025/11/0142</t>
  </si>
  <si>
    <t>Being payment for purchase of Land at Tarawanda Plot No. TW/03/030 - Yusufu Jemesi Funza</t>
  </si>
  <si>
    <t>PCVHO/2025/11/0141</t>
  </si>
  <si>
    <t>Being payment for purchase of Land at Tarawanda Plot No. TW G3/030 - Yusufu Jemsi Funza</t>
  </si>
  <si>
    <t>PCVHO/2025/11/0140</t>
  </si>
  <si>
    <t>Being payment for purchase of Land at Tarawanda Plot No. TW I3/056 - Fatuma Funza Setebe</t>
  </si>
  <si>
    <t>PCVHO/2025/11/0139</t>
  </si>
  <si>
    <t>Being payment for purchase of land at  Tarawanda Plot No. TW Q1/055 - Miraji Ali Dogaya</t>
  </si>
  <si>
    <t>PCVHO/2025/11/0138</t>
  </si>
  <si>
    <t>Being payment for purchase of Land at Tarawanda Plot No. TW B1/002 - Steven Michale Mfaume</t>
  </si>
  <si>
    <t>PCVHO/2025/11/0137</t>
  </si>
  <si>
    <t>Being payment for purchase of Land at Tarawanda Plot Bo. TW L6/035 - Salehe Kassimu Ally</t>
  </si>
  <si>
    <t>PCVHO/2025/11/0136</t>
  </si>
  <si>
    <t>Being payment for purchase of Land at Tarawanda Plot No. TW G1/005 - Pili Saidi Dibwe</t>
  </si>
  <si>
    <t>PCVHO/2025/11/0135</t>
  </si>
  <si>
    <t>Being payment for purchase of Land at Tarawanda Plot No. TW E2/003 - Fatuma Maulidi Dibwe</t>
  </si>
  <si>
    <t>PCVHO/2025/11/0134</t>
  </si>
  <si>
    <t>Being payment for purchase of Land at Tarawanda Plot No. TW A2/015 - Tatu Ally Daudi</t>
  </si>
  <si>
    <t>PCVHO/2025/11/0133</t>
  </si>
  <si>
    <t>Being payment for purchase of Land at Tarawanda Plot No. TW X6/033 - Hamis Daudi Kidamane</t>
  </si>
  <si>
    <t>PCVHO/2025/11/0132</t>
  </si>
  <si>
    <t>Being payment for purchase of Land at Tarawanda Plot No. TW X6/034 - Ramadhan Daudi Kidamane</t>
  </si>
  <si>
    <t>PCVHO/2025/11/0131</t>
  </si>
  <si>
    <t>Being payment for purchase of Land at Tarawanda Plot No. TW Z2/019 - Bushir Raisi Kilimila</t>
  </si>
  <si>
    <t>PCVHO/2025/11/0130</t>
  </si>
  <si>
    <t>Being payment for purchase of Land at Tarawanda Plot No. TW D8/014 - Hadija Athumani Kiumbo</t>
  </si>
  <si>
    <t>PCVHO/2025/11/0129</t>
  </si>
  <si>
    <t xml:space="preserve">PURCHASE OIF LAND </t>
  </si>
  <si>
    <t>Being payment for purchase of Land at Tarwanda Plot No. TW D8 - Fatuma S. Lubawa</t>
  </si>
  <si>
    <t>PCVHO/2025/11/0128</t>
  </si>
  <si>
    <t>Being payment for purchase of Land at Tarawanda Plot No. TW XI/028 - Hamadi Shabani Kufikili</t>
  </si>
  <si>
    <t>PCVHO/2025/11/0127</t>
  </si>
  <si>
    <t>Being payment for purchase of Land at Tarawanda Plot No. TWK2/024 - Ramadhan Iddi Omari</t>
  </si>
  <si>
    <t>PCVHO/2025/11/0245</t>
  </si>
  <si>
    <t>Being settlement against imprest taken by Arnold Kaduri - Elisha Joram</t>
  </si>
  <si>
    <t>PCVHO/2025/11/0244</t>
  </si>
  <si>
    <t>Being settlement against imprest taken by Anorld Kaduri - Saidi Rajabu Tunda</t>
  </si>
  <si>
    <t>PCVHO/2025/11/0243</t>
  </si>
  <si>
    <t>SERBL/2025/11/0095</t>
  </si>
  <si>
    <t xml:space="preserve">CAR RENTAL CHARGES </t>
  </si>
  <si>
    <t>5266</t>
  </si>
  <si>
    <t>CMLT1147</t>
  </si>
  <si>
    <t>Budget Travels Tours And Cars Rentals Limited</t>
  </si>
  <si>
    <t>MISC/2025/11/0535</t>
  </si>
  <si>
    <t>NMB TZS CHQ NO.003378 PAID LAND COST -10.78 ACRES - MAGANGA MGASA MIHAYO</t>
  </si>
  <si>
    <t>SERBL/2025/11/0122</t>
  </si>
  <si>
    <t>LPORD/2025/00418: Charges for Fabrication and Erection Job for Installation of Two Weighbridge at Mining as Per LCL Scope</t>
  </si>
  <si>
    <t>TAZ-0043</t>
  </si>
  <si>
    <t>PCVHO/2025/11/0282</t>
  </si>
  <si>
    <t>Being payment for purchase of land at Kimbiji plot No. LC/KM/25-627 - Tausi Abdu Hatibu</t>
  </si>
  <si>
    <t>MISC/2025/11/0640</t>
  </si>
  <si>
    <t>MISC/2025/11/0639</t>
  </si>
  <si>
    <t>MISC/2025/11/0638</t>
  </si>
  <si>
    <t>MISC/2025/11/0637</t>
  </si>
  <si>
    <t>NMB TZS CHQ NO.003400 PAID LAND COST 7.59 ACRES -MOHAMEDI ATHUMANI MOHAMEDI</t>
  </si>
  <si>
    <t>MISC/2025/11/0636</t>
  </si>
  <si>
    <t>NMB TZS CHQ NO.003399 PAID LAND COST 12.20 ACRES -JUMA HAMISI KIUMBO</t>
  </si>
  <si>
    <t>MISC/2025/11/0635</t>
  </si>
  <si>
    <t>NMB TZS CHQ NO.003398 PAID LAND COST 12.20 ACRES -JUMA HAMISI KIUMBO</t>
  </si>
  <si>
    <t>MISC/2025/11/0634</t>
  </si>
  <si>
    <t>NMB TZS CHQ NO.003397 PAID LAND COST 12.20 ACRES -JUMA HAMISI KIUMBO</t>
  </si>
  <si>
    <t>MISC/2025/11/0633</t>
  </si>
  <si>
    <t>NMB TZS CHQ NO.003396 PAID LAND COST 12.20 ACRES -JUMA HAMISI KIUMBO</t>
  </si>
  <si>
    <t>MISC/2025/11/0632</t>
  </si>
  <si>
    <t>NMB TZS CHQ NO.003395 PAID LAND COST 12.20 ACRES -JUMA HAMISI KIUMBO</t>
  </si>
  <si>
    <t>MISC/2025/11/0631</t>
  </si>
  <si>
    <t>NMB TZS CHQ NO.003394 PAID LAND COST 12.20 ACRES -JUMA HAMISI KIUMBO</t>
  </si>
  <si>
    <t>MISC/2025/11/0630</t>
  </si>
  <si>
    <t>NMB TZS CHQ NO.003393 PAID LAND COST 12.20 ACRES -JUMA HAMISI KIUMBO</t>
  </si>
  <si>
    <t>MISC/2025/11/0629</t>
  </si>
  <si>
    <t>NMB TZS CHQ NO.003392 PAID LAND COST 1.92 ACRES -JUMA SHIDA OMARI</t>
  </si>
  <si>
    <t>MISC/2025/11/0628</t>
  </si>
  <si>
    <t>NMB TZS CHQ NO.003391 PAID LAND COST 1.92 ACRES -JUMA SHIDA OMARI</t>
  </si>
  <si>
    <t>MISC/2025/11/0627</t>
  </si>
  <si>
    <t>NMB TZS CHQ NO.003390 PAID LAND COST -RAMADHANI MICHAEL ROMAN</t>
  </si>
  <si>
    <t>MISC/2025/11/0626</t>
  </si>
  <si>
    <t>NMB TZS CHQ NO.003389 PAID LAND COST -RAMADHANI MICHAEL ROMAN</t>
  </si>
  <si>
    <t>MISC/2025/11/0625</t>
  </si>
  <si>
    <t>NMB TZS CHQ NO.003388 PAID LAND COST -FATUMA MIKAEL ROMANI</t>
  </si>
  <si>
    <t>MISC/2025/11/0624</t>
  </si>
  <si>
    <t>NMB TZS CHQ NO.003387 PAID LAND COST - 6 ACRES -ALLI M. ROMANI</t>
  </si>
  <si>
    <t>MISC/2025/11/0623</t>
  </si>
  <si>
    <t>NMB TZS CHQ NO.003386 PAID LAND COST - 0.1 ACRES -ZAWADI MOHAMEDI ATHUMANI</t>
  </si>
  <si>
    <t>MISC/2025/11/0622</t>
  </si>
  <si>
    <t>NMB TZS CHQ NO.003385 PAID LAND COST - 0.1 ACRES -IDDI HOSSENI RASHID</t>
  </si>
  <si>
    <t>MISC/2025/11/0621</t>
  </si>
  <si>
    <t>NMB TZS CHQ NO.003384 PAID LAND COST - 0.1 ACRES -IDDI HOSSENI RASHIDI</t>
  </si>
  <si>
    <t>MISC/2025/11/0620</t>
  </si>
  <si>
    <t>NMB TZS CHQ NO.003383 PAID LAND COST - 0.1 ACRES -IDDI HOSSENI RASHIDI</t>
  </si>
  <si>
    <t>MISC/2025/11/0619</t>
  </si>
  <si>
    <t>NMB TZS CHQ NO.003382 PAID LAND COST - 0.17 ACRES -MOHAMEDI ATHUMANI MOHAMEDI</t>
  </si>
  <si>
    <t>STJ/2025/04/05214</t>
  </si>
  <si>
    <t>CM/MTI/2025/00232 - [FG001] CEMENT 42.5 R / MRQ/2024/11959</t>
  </si>
  <si>
    <t>Cost Of Revenue</t>
  </si>
  <si>
    <t>Cost of Revenue</t>
  </si>
  <si>
    <t>721001</t>
  </si>
  <si>
    <t>721001 COST OF GOODS SOLD (COGS)</t>
  </si>
  <si>
    <t>[FG001] CEMENT 42.5 R</t>
  </si>
  <si>
    <t>Finished Goods</t>
  </si>
  <si>
    <t>STJ/2025/04/05186</t>
  </si>
  <si>
    <t>CM/MTI/2025/00219 - [FG001] CEMENT 42.5 R / MRQ/2025/00125
Rounding Adjustment: -0.01 TSh</t>
  </si>
  <si>
    <t>STJ/2025/05/11705</t>
  </si>
  <si>
    <t>CM/MTI/2025/01152 - [FG001] CEMENT 42.5 R / MRQ/2025/01409
Rounding Adjustment: -0.01 TSh</t>
  </si>
  <si>
    <t>STJ/2025/05/11271</t>
  </si>
  <si>
    <t>CM/MTI/2025/01148 - [FG001] CEMENT 42.5 R / MRQ/2025/01449</t>
  </si>
  <si>
    <t>STJ/2025/06/02552</t>
  </si>
  <si>
    <t>CM/MTI/2025/01264 - [FG001] CEMENT 42.5 R / MRQ/2025/01658</t>
  </si>
  <si>
    <t>STJ/2025/06/12323</t>
  </si>
  <si>
    <t>CM/MTI/2025/01537 - [FG001] CEMENT 42.5 R / MRQ/2025/02109</t>
  </si>
  <si>
    <t>STJ/2025/07/11337</t>
  </si>
  <si>
    <t>CM/MTI/2025/01982 - [FG001] CEMENT 42.5 R / MRQ/2025/02677</t>
  </si>
  <si>
    <t>STJ/2025/07/16285</t>
  </si>
  <si>
    <t>CM/MTI/2025/02167 - [FG001] CEMENT 42.5 R / MRQ/2025/02813</t>
  </si>
  <si>
    <t>STJ/2025/07/16278</t>
  </si>
  <si>
    <t>CM/MTI/2025/02163 - [FG003] CEMENT 42.5 N / MRQ/2025/02843
Rounding Adjustment: -0.01 TSh</t>
  </si>
  <si>
    <t>[FG003] CEMENT 42.5 N</t>
  </si>
  <si>
    <t>STJ/2025/07/16269</t>
  </si>
  <si>
    <t>CM/MTI/2025/02159 - [FG001] CEMENT 42.5 R / MRQ/2025/02859</t>
  </si>
  <si>
    <t>STJ/2025/08/01653</t>
  </si>
  <si>
    <t>CM/MTI/2025/02223 - [FG001] CEMENT 42.5 R / MRQ/2025/03079</t>
  </si>
  <si>
    <t>STJ/2025/08/04722</t>
  </si>
  <si>
    <t>CM/MTI/2025/02323 - [FG001] CEMENT 42.5 R / MRQ/2025/03171</t>
  </si>
  <si>
    <t>STJ/2025/09/05340</t>
  </si>
  <si>
    <t>CM/MTI/2025/02863 - [FG001] CEMENT 42.5 R / MRQ/2025/04039</t>
  </si>
  <si>
    <t>STJ/2025/09/05308</t>
  </si>
  <si>
    <t>CM/MTI/2025/02850 - [FG001] CEMENT 42.5 R / MRQ/2025/03788
Rounding Adjustment: +0.01 TSh</t>
  </si>
  <si>
    <t>STJ/2025/09/05306</t>
  </si>
  <si>
    <t>CM/MTI/2025/02849 - [FG001] CEMENT 42.5 R / MRQ/2025/03952</t>
  </si>
  <si>
    <t>STJ/2025/09/09967</t>
  </si>
  <si>
    <t>CM/MTI/2025/02982 - [FG003] CEMENT 42.5 N / MRQ/2025/04240</t>
  </si>
  <si>
    <t>STJ/2025/09/09965</t>
  </si>
  <si>
    <t>CM/MTI/2025/02981 - [FG003] CEMENT 42.5 N / MRQ/2025/04239</t>
  </si>
  <si>
    <t>STJ/2025/09/11333</t>
  </si>
  <si>
    <t>CM/MTI/2025/03030 - [FG001] CEMENT 42.5 R / MRQ/2025/04326</t>
  </si>
  <si>
    <t>STJ/2025/09/14101</t>
  </si>
  <si>
    <t>CM/MTI/2025/03106 - [FG003] CEMENT 42.5 N / MRQ/2025/04394</t>
  </si>
  <si>
    <t>STJ/2025/10/03674</t>
  </si>
  <si>
    <t>CM/MTI/2025/03316 - [FG001] CEMENT 42.5 R / MRQ/2025/04710</t>
  </si>
  <si>
    <t>STJ/2025/10/09466</t>
  </si>
  <si>
    <t>CM/MTI/2025/03498 - [FG001] CEMENT 42.5 R / MRQ/2025/04773</t>
  </si>
  <si>
    <t>STJ/2025/11/00290</t>
  </si>
  <si>
    <t>CM/MTI/2025/03730 - [CWCGC041] CUTTING WHEEL 7'' / MRQ/2025/05351</t>
  </si>
  <si>
    <t>STJ/2025/11/00289</t>
  </si>
  <si>
    <t>CM/MTI/2025/03730 - [CCLGC032] WIRE FOR BINDING / MRQ/2025/05351</t>
  </si>
  <si>
    <t>STJ/2025/11/00288</t>
  </si>
  <si>
    <t>CM/MTI/2025/03730 - [CCLGC028] NAILS CONCRETE SIZE 4'' / MRQ/2025/05351
Rounding Adjustment: -0.01 TSh</t>
  </si>
  <si>
    <t>STJ/2025/11/02292</t>
  </si>
  <si>
    <t>CM/MTI/2025/03789 - [CCLGC330] TMT BAR SIZE 16 MM GRADE FY500. / MRQ/2025/05424</t>
  </si>
  <si>
    <t>STJ/2025/11/02289</t>
  </si>
  <si>
    <t>CM/MTI/2025/03787 - [CCLGC331] TMT BAR SIZE 20 MM GRADE FY500. / MRQ/2025/05391</t>
  </si>
  <si>
    <t>STJ/2025/11/02288</t>
  </si>
  <si>
    <t>CM/MTI/2025/03787 - [CCLGC327] TMT BAR SIZE 8 MM GRADE FY500. / MRQ/2025/05391</t>
  </si>
  <si>
    <t>STJ/2025/11/02287</t>
  </si>
  <si>
    <t>CM/MTI/2025/03787 - [CCLGC183] POLES WOODEN MIRUNDA  / MRQ/2025/05391</t>
  </si>
  <si>
    <t>STJ/2025/11/02286</t>
  </si>
  <si>
    <t>CM/MTI/2025/03787 - [CCLGC052] PLYWOOD 8FEET X 4FEET X 18 MM THICK  / MRQ/2025/05391</t>
  </si>
  <si>
    <t>STJ/2025/11/02285</t>
  </si>
  <si>
    <t>CM/MTI/2025/03787 - [CCLGC038] TIMBER 2 INCH X 4 INCH UNTREATED / MRQ/2025/05391</t>
  </si>
  <si>
    <t>STJ/2025/11/02284</t>
  </si>
  <si>
    <t>CM/MTI/2025/03787 - [CCLGC023] NAILS SIZE 4'' / MRQ/2025/05391</t>
  </si>
  <si>
    <t>STJ/2025/11/02283</t>
  </si>
  <si>
    <t>CM/MTI/2025/03787 - [CCLGC021] NAILS SIZE 2.5'' / MRQ/2025/05391</t>
  </si>
  <si>
    <t>STJ/2025/11/02210</t>
  </si>
  <si>
    <t>CM/MTI/2025/03777 - [CWCGC041] CUTTING WHEEL 7'' / MRQ/2025/05360</t>
  </si>
  <si>
    <t>STJ/2025/11/02167</t>
  </si>
  <si>
    <t>CM/MTI/2025/03764 - [CPAPT009] PAINT OIL BLACK / MRQ/2025/05436</t>
  </si>
  <si>
    <t>STJ/2025/11/00546</t>
  </si>
  <si>
    <t>CM/MTI/2025/03756 - [CCLGC023] NAILS SIZE 4'' / MRQ/2025/05289</t>
  </si>
  <si>
    <t>STJ/2025/11/02761</t>
  </si>
  <si>
    <t>CM/MTI/2025/03825 - [CCLGC038] TIMBER 2 INCH X 4 INCH UNTREATED / MRQ/2025/05458</t>
  </si>
  <si>
    <t>STJ/2025/11/02760</t>
  </si>
  <si>
    <t>CM/MTI/2025/03825 - [CCLGC032] WIRE FOR BINDING / MRQ/2025/05458</t>
  </si>
  <si>
    <t>STJ/2025/11/02759</t>
  </si>
  <si>
    <t>CM/MTI/2025/03825 - [CCLGC023] NAILS SIZE 4'' / MRQ/2025/05458</t>
  </si>
  <si>
    <t>STJ/2025/11/02713</t>
  </si>
  <si>
    <t>CM/MTI/2025/03810 - [CIGGS001] GAS OXYGEN FULL CYLINDER, O2 / MRQ/2025/05468</t>
  </si>
  <si>
    <t>STJ/2025/11/03813</t>
  </si>
  <si>
    <t>CM/MTI/2025/03847 - [EFSHB117] BOLT HT HEX HEAD M16 X 65MM HALF THREAD GRADE 8.8  / MRQ/2025/05514</t>
  </si>
  <si>
    <t>STJ/2025/11/03812</t>
  </si>
  <si>
    <t>CM/MTI/2025/03847 - [EFSHB115] BOLT HT HEX HEAD M16 X 50MM FULL THREAD WITH NUT AND WASHER GRADE 8.8 / MRQ/2025/05514</t>
  </si>
  <si>
    <t>STJ/2025/11/03804</t>
  </si>
  <si>
    <t>CM/MTI/2025/03845 - [CWCGC041] CUTTING WHEEL 7'' / MRQ/2025/05519</t>
  </si>
  <si>
    <t>STJ/2025/11/04951</t>
  </si>
  <si>
    <t>CM/MTI/2025/03874 - [EISWE094] AMPLIFIER AUDIO 15 WATT POWER SUPPLY 230 VAC MAKE AHUJA / MRQ/2025/05542</t>
  </si>
  <si>
    <t>Weighing Systems</t>
  </si>
  <si>
    <t>STJ/2025/11/04950</t>
  </si>
  <si>
    <t>CM/MTI/2025/03874 - [EISGS022] SMPS MODULE / INPUT 100-240 VOLT AC 50HZ/ OUT PUT V1 +5VOLT  4 AMPS V2  +24 VOLT  1.4AMPS / MRQ/2025/05542</t>
  </si>
  <si>
    <t>STJ/2025/11/04949</t>
  </si>
  <si>
    <t>CM/MTI/2025/03874 - [EELSW120] SWITCH 8 PORT 2.5 GIGABIT POE COMPATIBLE WITH 10/100/1000MBPS / MRQ/2025/05542</t>
  </si>
  <si>
    <t>Switch</t>
  </si>
  <si>
    <t>STJ/2025/11/04948</t>
  </si>
  <si>
    <t>CM/MTI/2025/03874 - [EELLT139] LED FOR WEIGHT DISPLAY REMOTE TYPE MODEL IMS-LED-LN02,2 LINE LED DISPLAY WITH 12 CHART PER LINE,100 FEET VISIBILITY WITH CHAR SIZE 4.5"WEATHERPROOF OUTDOOR TYPE POWER SUPLY 230 VAC COMMUNICATION  RS485 SIZE 40 X 18 INCH / MRQ/2025/05542</t>
  </si>
  <si>
    <t>Lighting</t>
  </si>
  <si>
    <t>STJ/2025/11/04947</t>
  </si>
  <si>
    <t>CM/MTI/2025/03873 - [CWCWR003] WELDING ELECTRODE MS 6013 SIZE 4 MM X 450 MM / MRQ/2025/05538
Rounding Adjustment: +0.01 TSh</t>
  </si>
  <si>
    <t>STJ/2025/11/04946</t>
  </si>
  <si>
    <t>CM/MTI/2025/03873 - [CWCGC041] CUTTING WHEEL 7'' / MRQ/2025/05538
Rounding Adjustment: -0.01 TSh</t>
  </si>
  <si>
    <t>STJ/2025/11/04945</t>
  </si>
  <si>
    <t>CM/MTI/2025/03873 - [CIGGS001] GAS OXYGEN FULL CYLINDER, O2 / MRQ/2025/05538</t>
  </si>
  <si>
    <t>STJ/2025/11/04940</t>
  </si>
  <si>
    <t>CM/MTI/2025/03871 - [CCLGC327] TMT BAR SIZE 8 MM GRADE FY500. / MRQ/2025/05489</t>
  </si>
  <si>
    <t>STJ/2025/11/04931</t>
  </si>
  <si>
    <t>CM/MTI/2025/03867 - [CCLGC023] NAILS SIZE 4'' / MRQ/2025/05543</t>
  </si>
  <si>
    <t>STJ/2025/11/04924</t>
  </si>
  <si>
    <t>CM/MTI/2025/03864 - [FG001] CEMENT 42.5 R / MRQ/2025/05518</t>
  </si>
  <si>
    <t>STJ/2025/11/04923</t>
  </si>
  <si>
    <t>CM/MTI/2025/03864 - [CPMBG002] BAG EMPTY FOR CEMENT PACKING GRADE 42.5R MATERIAL WOVEN POLYPROPYLENE CAPACITY 50KG COLOR ORANGE / MRQ/2025/05518
Rounding Adjustment: -0.01 TSh</t>
  </si>
  <si>
    <t>STJ/2025/11/05372</t>
  </si>
  <si>
    <t>CM/MTI/2025/03883 - [ESSAG008] ISA 65 X 65 X 6 / MRQ/2025/05459</t>
  </si>
  <si>
    <t>[ESSAG008] ISA 65 X 65 X 6</t>
  </si>
  <si>
    <t>Angle</t>
  </si>
  <si>
    <t>STJ/2025/11/05371</t>
  </si>
  <si>
    <t>CM/MTI/2025/03883 - [CCLGC329] TMT BAR SIZE 12 MM GRADE FY500. / MRQ/2025/05459</t>
  </si>
  <si>
    <t>STJ/2025/11/05357</t>
  </si>
  <si>
    <t>CM/MTI/2025/03884 - [CCLGC331] TMT BAR SIZE 20 MM GRADE FY500. / MRQ/2025/05571</t>
  </si>
  <si>
    <t>STJ/2025/11/05356</t>
  </si>
  <si>
    <t>CM/MTI/2025/03884 - [CCLGC330] TMT BAR SIZE 16 MM GRADE FY500. / MRQ/2025/05571
Rounding Adjustment: -0.01 TSh</t>
  </si>
  <si>
    <t>STJ/2025/11/05936</t>
  </si>
  <si>
    <t>CM/MTI/2025/03936 - [CCLGC038] TIMBER 2 INCH X 4 INCH UNTREATED / MRQ/2025/05632</t>
  </si>
  <si>
    <t>STJ/2025/11/05935</t>
  </si>
  <si>
    <t>CM/MTI/2025/03936 - [CCLGC032] WIRE FOR BINDING / MRQ/2025/05632</t>
  </si>
  <si>
    <t>STJ/2025/11/05904</t>
  </si>
  <si>
    <t>CM/MTI/2025/03920 - [EELLT111] DISTRIBUTION BOARD SINGLE PHASE WITH ENCLOSURE INCOMING 63 AMPS 2 POLE OUTGOING 6 AMPS 1 POLE 8NOS / MRQ/2025/05653</t>
  </si>
  <si>
    <t>[EELLT111] DISTRIBUTION BOARD SINGLE PHASE WITH ENCLOSURE INCOMING 63 AMPS 2 POLE OUTGOING 6 AMPS 1 POLE 8NOS</t>
  </si>
  <si>
    <t>STJ/2025/11/05897</t>
  </si>
  <si>
    <t>CM/MTI/2025/03918 - [CWCGC041] CUTTING WHEEL 7'' / MRQ/2025/05623</t>
  </si>
  <si>
    <t>SERBL/2025/11/0035</t>
  </si>
  <si>
    <t>ITI00003293</t>
  </si>
  <si>
    <t>PLANT &amp; MANUFACTURING</t>
  </si>
  <si>
    <t>751017</t>
  </si>
  <si>
    <t>751017 TRAVELLING &amp; OTHER EXPENSES - CONSULTANTS &amp; CONTRACTORS</t>
  </si>
  <si>
    <t>STJ/2025/11/07268</t>
  </si>
  <si>
    <t>CM/MTI/2025/03963 - [FG001] CEMENT 42.5 R / MRQ/2025/05517</t>
  </si>
  <si>
    <t>STJ/2025/11/07267</t>
  </si>
  <si>
    <t>CM/MTI/2025/03963 - [CPMBG002] BAG EMPTY FOR CEMENT PACKING GRADE 42.5R MATERIAL WOVEN POLYPROPYLENE CAPACITY 50KG COLOR ORANGE / MRQ/2025/05517</t>
  </si>
  <si>
    <t>STJ/2025/11/07245</t>
  </si>
  <si>
    <t>CM/MTI/2025/03951 - [CCLGC327] TMT BAR SIZE 8 MM GRADE FY500. / MRQ/2025/05692</t>
  </si>
  <si>
    <t>STJ/2025/11/07244</t>
  </si>
  <si>
    <t>CM/MTI/2025/03951 - [CCLGC032] WIRE FOR BINDING / MRQ/2025/05692</t>
  </si>
  <si>
    <t>STJ/2025/11/07243</t>
  </si>
  <si>
    <t>CM/MTI/2025/03950 - [CCLGC002] AGGREGATE GRANITE SIZE 14 MM TO 20 MM  / MRQ/2025/05691</t>
  </si>
  <si>
    <t>STJ/2025/11/07621</t>
  </si>
  <si>
    <t>CM/MTI/2025/03986 - [CCLGC330] TMT BAR SIZE 16 MM GRADE FY500. / MRQ/2025/05733</t>
  </si>
  <si>
    <t>STJ/2025/11/07620</t>
  </si>
  <si>
    <t>CM/MTI/2025/03986 - [CCLGC032] WIRE FOR BINDING / MRQ/2025/05733</t>
  </si>
  <si>
    <t>STJ/2025/11/07619</t>
  </si>
  <si>
    <t>CM/MTI/2025/03986 - [CCLGC028] NAILS CONCRETE SIZE 4'' / MRQ/2025/05733</t>
  </si>
  <si>
    <t>STJ/2025/11/07618</t>
  </si>
  <si>
    <t>CM/MTI/2025/03986 - [CCLGC023] NAILS SIZE 4'' / MRQ/2025/05733</t>
  </si>
  <si>
    <t>STJ/2025/11/09171</t>
  </si>
  <si>
    <t>CM/MTI/2025/04054 - [CWCGC041] CUTTING WHEEL 7'' / MRQ/2025/05809
Rounding Adjustment: +0.01 TSh</t>
  </si>
  <si>
    <t>STJ/2025/11/09170</t>
  </si>
  <si>
    <t>CM/MTI/2025/04054 - [CCLGC329] TMT BAR SIZE 12 MM GRADE FY500. / MRQ/2025/05809</t>
  </si>
  <si>
    <t>STJ/2025/11/09169</t>
  </si>
  <si>
    <t>CM/MTI/2025/04054 - [CCLGC328] TMT BAR SIZE 10 MM GRADE FY500. / MRQ/2025/05809
Rounding Adjustment: -0.01 TSh</t>
  </si>
  <si>
    <t>STJ/2025/11/09168</t>
  </si>
  <si>
    <t>CM/MTI/2025/04054 - [CCLGC327] TMT BAR SIZE 8 MM GRADE FY500. / MRQ/2025/05809
Rounding Adjustment: +0.01 TSh</t>
  </si>
  <si>
    <t>STJ/2025/11/09167</t>
  </si>
  <si>
    <t>CM/MTI/2025/04054 - [CCLGC032] WIRE FOR BINDING / MRQ/2025/05809</t>
  </si>
  <si>
    <t>STJ/2025/11/09687</t>
  </si>
  <si>
    <t>CM/MTI/2025/04080 - [FG001] CEMENT 42.5 R / MRQ/2025/05673</t>
  </si>
  <si>
    <t>STJ/2025/11/09686</t>
  </si>
  <si>
    <t>CM/MTI/2025/04080 - [CPMBG002] BAG EMPTY FOR CEMENT PACKING GRADE 42.5R MATERIAL WOVEN POLYPROPYLENE CAPACITY 50KG COLOR ORANGE / MRQ/2025/05673</t>
  </si>
  <si>
    <t>STJ/2025/11/11052</t>
  </si>
  <si>
    <t>CM/MTI/2025/04137 - [CWCGC041] CUTTING WHEEL 7'' / MRQ/2025/05909
Rounding Adjustment: -0.01 TSh</t>
  </si>
  <si>
    <t>STJ/2025/11/11051</t>
  </si>
  <si>
    <t>CM/MTI/2025/04137 - [CCLGC330] TMT BAR SIZE 16 MM GRADE FY500. / MRQ/2025/05909</t>
  </si>
  <si>
    <t>STJ/2025/11/11050</t>
  </si>
  <si>
    <t>CM/MTI/2025/04137 - [CCLGC032] WIRE FOR BINDING / MRQ/2025/05909</t>
  </si>
  <si>
    <t>STJ/2025/11/11049</t>
  </si>
  <si>
    <t>CM/MTI/2025/04137 - [CCLGC023] NAILS SIZE 4'' / MRQ/2025/05909</t>
  </si>
  <si>
    <t>STJ/2025/11/11048</t>
  </si>
  <si>
    <t>CM/MTI/2025/04137 - [CCLGC021] NAILS SIZE 2.5'' / MRQ/2025/05909</t>
  </si>
  <si>
    <t>STJ/2025/11/11047</t>
  </si>
  <si>
    <t>CM/MTI/2025/04136 - [CCLGC330] TMT BAR SIZE 16 MM GRADE FY500. / MRQ/2025/05924</t>
  </si>
  <si>
    <t>STJ/2025/11/11046</t>
  </si>
  <si>
    <t>CM/MTI/2025/04136 - [CCLGC327] TMT BAR SIZE 8 MM GRADE FY500. / MRQ/2025/05924</t>
  </si>
  <si>
    <t>STJ/2025/11/11045</t>
  </si>
  <si>
    <t>CM/MTI/2025/04136 - [CCLGC028] NAILS CONCRETE SIZE 4'' / MRQ/2025/05924
Rounding Adjustment: +0.01 TSh</t>
  </si>
  <si>
    <t>STJ/2025/11/11044</t>
  </si>
  <si>
    <t>CM/MTI/2025/04135 - [CCLGC328] TMT BAR SIZE 10 MM GRADE FY500. / MRQ/2025/05910</t>
  </si>
  <si>
    <t>STJ/2025/11/12294</t>
  </si>
  <si>
    <t>CM/MTI/2025/04168 - [FG001] CEMENT 42.5 R / MRQ/2025/05851</t>
  </si>
  <si>
    <t>STJ/2025/11/12293</t>
  </si>
  <si>
    <t>CM/MTI/2025/04168 - [CPMBG002] BAG EMPTY FOR CEMENT PACKING GRADE 42.5R MATERIAL WOVEN POLYPROPYLENE CAPACITY 50KG COLOR ORANGE / MRQ/2025/05851</t>
  </si>
  <si>
    <t>STJ/2025/11/12292</t>
  </si>
  <si>
    <t>CM/MTI/2025/04167 - [FG001] CEMENT 42.5 R / MRQ/2025/05923</t>
  </si>
  <si>
    <t>STJ/2025/11/12291</t>
  </si>
  <si>
    <t>CM/MTI/2025/04167 - [CPMBG002] BAG EMPTY FOR CEMENT PACKING GRADE 42.5R MATERIAL WOVEN POLYPROPYLENE CAPACITY 50KG COLOR ORANGE / MRQ/2025/05923</t>
  </si>
  <si>
    <t>STJ/2025/11/13123</t>
  </si>
  <si>
    <t>CM/MTI/2025/04209 - [CCLGC327] TMT BAR SIZE 8 MM GRADE FY500. / MRQ/2025/05968</t>
  </si>
  <si>
    <t>STJ/2025/11/13119</t>
  </si>
  <si>
    <t>CM/MTI/2025/04207 - [EISWE011] LOAD CELL 30 TON FOR WEIGHBRIDGE TYPE DIGITAL MAKE ENDEL / MRQ/2025/05993</t>
  </si>
  <si>
    <t>[EISWE011] LOAD CELL 30 TON FOR WEIGHBRIDGE TYPE DIGITAL MAKE ENDEL</t>
  </si>
  <si>
    <t>STJ/2025/11/13477</t>
  </si>
  <si>
    <t>CM/MTI/2025/04232 - [CWCGC041] CUTTING WHEEL 7'' / MRQ/2025/06039</t>
  </si>
  <si>
    <t>STJ/2025/11/13476</t>
  </si>
  <si>
    <t>CM/MTI/2025/04232 - [CCLGC330] TMT BAR SIZE 16 MM GRADE FY500. / MRQ/2025/06039</t>
  </si>
  <si>
    <t>STJ/2025/11/13475</t>
  </si>
  <si>
    <t>CM/MTI/2025/04232 - [CCLGC032] WIRE FOR BINDING / MRQ/2025/06039</t>
  </si>
  <si>
    <t>STJ/2025/11/14283</t>
  </si>
  <si>
    <t>CM/MTI/2025/04254 - [CCLGC028] NAILS CONCRETE SIZE 4'' / MRQ/2025/06080</t>
  </si>
  <si>
    <t>STJ/2025/11/14282</t>
  </si>
  <si>
    <t>CM/MTI/2025/04254 - [CCLGC023] NAILS SIZE 4'' / MRQ/2025/06080</t>
  </si>
  <si>
    <t>STJ/2025/11/14767</t>
  </si>
  <si>
    <t>CM/MTI/2025/04295 - [CCLGC002] AGGREGATE GRANITE SIZE 14 MM TO 20 MM  / MRQ/2025/06101</t>
  </si>
  <si>
    <t>STJ/2025/11/15041</t>
  </si>
  <si>
    <t>CM/MTI/2025/04313 - [CWCGC041] CUTTING WHEEL 7'' / MRQ/2025/06133
Rounding Adjustment: +0.01 TSh</t>
  </si>
  <si>
    <t>STJ/2025/11/15040</t>
  </si>
  <si>
    <t>CM/MTI/2025/04313 - [CCLGC327] TMT BAR SIZE 8 MM GRADE FY500. / MRQ/2025/06133
Rounding Adjustment: +0.01 TSh</t>
  </si>
  <si>
    <t>STJ/2025/11/15039</t>
  </si>
  <si>
    <t>CM/MTI/2025/04313 - [CCLGC052] PLYWOOD 8FEET X 4FEET X 18 MM THICK  / MRQ/2025/06133</t>
  </si>
  <si>
    <t>STJ/2025/11/15038</t>
  </si>
  <si>
    <t>CM/MTI/2025/04313 - [CCLGC032] WIRE FOR BINDING / MRQ/2025/06133</t>
  </si>
  <si>
    <t>STJ/2025/11/15037</t>
  </si>
  <si>
    <t>CM/MTI/2025/04313 - [CCLGC028] NAILS CONCRETE SIZE 4'' / MRQ/2025/06133</t>
  </si>
  <si>
    <t>STJ/2025/11/15036</t>
  </si>
  <si>
    <t>CM/MTI/2025/04313 - [CCLGC023] NAILS SIZE 4'' / MRQ/2025/06133</t>
  </si>
  <si>
    <t>STJ/2025/11/15008</t>
  </si>
  <si>
    <t>CM/MTI/2025/04304 - [FG001] CEMENT 42.5 R / MRQ/2025/06059</t>
  </si>
  <si>
    <t>STJ/2025/11/15007</t>
  </si>
  <si>
    <t>CM/MTI/2025/04304 - [CPMBG002] BAG EMPTY FOR CEMENT PACKING GRADE 42.5R MATERIAL WOVEN POLYPROPYLENE CAPACITY 50KG COLOR ORANGE / MRQ/2025/06059</t>
  </si>
  <si>
    <t>Nov</t>
  </si>
  <si>
    <t>NMB TZS TT PAID LAND COST - 0.28 ACRES -SELEMANI LUBARATI MWINJUMA</t>
  </si>
  <si>
    <t>NMB TZS TT PAID LAND COST 7.47 ACRES -RAMADHANI IDI OMARI</t>
  </si>
  <si>
    <t>NMB TZS TT PAID LAND COST 4.94 ACRES -MIRAJI SAIDI VUTENI</t>
  </si>
  <si>
    <t>NMB TZS TT PAID LAND COST 7.59 ACRES -MOHAMEDI ATHUMANI MOHAMEDI</t>
  </si>
  <si>
    <t>STJ/2025/11/02769</t>
  </si>
  <si>
    <t>CM/MTI/2025/03827 - [CAFRF007] OFFICE TABLE SIZE 120 X 60 CM / MRQ/2025/05406</t>
  </si>
  <si>
    <t>STJ/2025/11/07644</t>
  </si>
  <si>
    <t>CM/MTI/2025/03995 - [CACOP007] PRINTER / MRQ/2025/05601-TOKEN OFFICE</t>
  </si>
  <si>
    <t>CM/MTI/2025/03995 - [CACOP007] PRINTER / MRQ/2025/05601</t>
  </si>
  <si>
    <t>STJ/2025/11/09106</t>
  </si>
  <si>
    <t>CM/MTI/2025/04050 - [CAVEH015] TOYOTA SUCCEED CHASSIS NO NCP58-0055408 MODEL YEAR 2006 COLOR BLUE ​ / MRQ/2025/05205-ACCOUNTS OFFICE HO</t>
  </si>
  <si>
    <t>CM/MTI/2025/04050 - [CAVEH015] TOYOTA SUCCEED CHASSIS NO NCP58-0055408 MODEL YEAR 2006 COLOR BLUE ​ / MRQ/2025/05205-ACCOUNT OFFICE HO</t>
  </si>
  <si>
    <t>[CAVEH015] TOYOTA SUCCEED CHASSIS NO NCP58-0055408 MODEL YEAR 2006 COLOR BLUE ​</t>
  </si>
  <si>
    <t>STJ/2025/11/09105</t>
  </si>
  <si>
    <t>CM/MTI/2025/04050 - [CAFRF025] SAFE CABINET / MRQ/2025/05205-ACCOUNT OFFICE HO</t>
  </si>
  <si>
    <t>[CAFRF025] SAFE CABINET</t>
  </si>
  <si>
    <t>STJ/2025/11/09104</t>
  </si>
  <si>
    <t>CM/MTI/2025/04049 - [CACOP006] LAPTOP / MRQ/2025/05204-RAHUL CHAUHAN</t>
  </si>
  <si>
    <t>CM/MTI/2025/04049 - [CACOP006] LAPTOP / MRQ/2025/05204</t>
  </si>
  <si>
    <t>STJ/2025/11/09694</t>
  </si>
  <si>
    <t>CM/MTI/2025/04085 - [CACOP010] INTERACTIVE TOUCHSCREEN DISPLAY 86 INCHES MODEL 86WM6FE / MRQ/2025/05844-CCR CONFRENCE ROOM</t>
  </si>
  <si>
    <t>CM/MTI/2025/04085 - [CACOP010] INTERACTIVE TOUCHSCREEN DISPLAY 86 INCHES MODEL 86WM6FE / MRQ/2025/05844</t>
  </si>
  <si>
    <t>[CACOP010] INTERACTIVE TOUCHSCREEN DISPLAY 86 INCHES MODEL 86WM6FE</t>
  </si>
  <si>
    <t>STJ/2025/11/10824</t>
  </si>
  <si>
    <t>CM/MTI/2025/04127 - [CACOP006] LAPTOP / MRQ/2025/05891-SANJEEV(HO PURCHASE)</t>
  </si>
  <si>
    <t>CM/MTI/2025/04127 - [CACOP006] LAPTOP / MRQ/2025/05891</t>
  </si>
  <si>
    <t>STJ/2025/11/09695</t>
  </si>
  <si>
    <t>CM/MTI/2025/04085 - [CITGC138] MOBILE PORTABLE TROLLEY MODEL WH 3309LK / MRQ/2025/05844-CCR CONFERENCE ROOM</t>
  </si>
  <si>
    <t>CM/MTI/2025/04085 - [CITGC138] MOBILE PORTABLE TROLLEY MODEL WH 3309LK / MRQ/2025/05844</t>
  </si>
  <si>
    <t>[CITGC138] MOBILE PORTABLE TROLLEY MODEL WH 3309LK</t>
  </si>
  <si>
    <t>STJ/2025/11/02195</t>
  </si>
  <si>
    <t>CM/MTI/2025/03775 - [CAFRF022] SLOTTED ANGLE RACK / MRQ/2025/05398-ho</t>
  </si>
  <si>
    <t>CM/MTI/2025/03775 - [CAFRF022] SLOTTED ANGLE RACK / MRQ/2025/05398</t>
  </si>
  <si>
    <t>[CAFRF022] SLOTTED ANGLE RACK</t>
  </si>
  <si>
    <t>MISC/2025/12/0073</t>
  </si>
  <si>
    <t>BEING SETTLEMENT AGAINST AGAINST IMPREST TAKEN BY ARNOL KADURI DURING TARAWANDA WORKS</t>
  </si>
  <si>
    <t xml:space="preserve">LOCAL TRANSPORT CHARGES </t>
  </si>
  <si>
    <t xml:space="preserve">STATIONERY EXPENSES </t>
  </si>
  <si>
    <t>MISC/2025/12/0069</t>
  </si>
  <si>
    <t>NMB TZS TT PAID LAND TO MR. HADIJA ATHUMANI KIYUMBO</t>
  </si>
  <si>
    <t>MISC/2025/12/0068</t>
  </si>
  <si>
    <t>NMB TZS TT PAID LAND TO MR.RAMADHANI HALFAN ZEMBWE</t>
  </si>
  <si>
    <t>PCVHO/2025/12/0067</t>
  </si>
  <si>
    <t>Being payment for purchase of land at Tarawanda plot No. TW/R/115 - Mohamedi  Idi Omari</t>
  </si>
  <si>
    <t>PCVHO/2025/12/0066</t>
  </si>
  <si>
    <t>Being payment for purchase of land at Tarawanda plot No. TW/F1/072- Mohamedi A. Mohamedi</t>
  </si>
  <si>
    <t>PCVHO/2025/12/0065</t>
  </si>
  <si>
    <t>Being payment for purchase of land at Tarawanda plot No. TW/W7/149 - Ramadhani H. Zembwe</t>
  </si>
  <si>
    <t>PCVHO/2025/12/0064</t>
  </si>
  <si>
    <t>Being payment for purchase of land at Tarawanda plot No. TW/S/073 - Miraji Saidi Vuteni</t>
  </si>
  <si>
    <t>PCVHO/2025/12/0063</t>
  </si>
  <si>
    <t>Being payment for purchase of land at Tarawanda plot No. TW/O1/135 - Mohamedi A. Mohamedi</t>
  </si>
  <si>
    <t>PCVHO/2025/12/0062</t>
  </si>
  <si>
    <t>PCVHO/2025/12/0061</t>
  </si>
  <si>
    <t>Being payment for purchase of land at Tarawanda plot No. TW/A3 - Fadhili B. Mfaume</t>
  </si>
  <si>
    <t>PCVHO/2025/12/0060</t>
  </si>
  <si>
    <t>Being payment for purchase of land at Tarawanda plot No. TW/T/147 - Ramadhani Hamisi Kiumbo</t>
  </si>
  <si>
    <t>PCVHO/2025/12/0059</t>
  </si>
  <si>
    <t>PCVHO/2025/12/0058</t>
  </si>
  <si>
    <t>Being payment for purchase of land at Tarawanda plot No. TW/Q4 - Naima M. Athumani</t>
  </si>
  <si>
    <t>PCVHO/2025/12/0057</t>
  </si>
  <si>
    <t>Being payment for purchase of land at Tarawanda plot No. TW/K3/087 - Masudi I. Hassani</t>
  </si>
  <si>
    <t>PCVHO/2025/12/0056</t>
  </si>
  <si>
    <t>Being payment for purchase of land at Tarawanda plot No. TW/J3/088 - Rashidi Ramadhani Kauzeni</t>
  </si>
  <si>
    <t>PCVHO/2025/12/0055</t>
  </si>
  <si>
    <t>Being payment for purchase of land at Tarawanda plot No. TW/Y1 - Pili Rashidi Ramadhani</t>
  </si>
  <si>
    <t>PCVHO/2025/12/0054</t>
  </si>
  <si>
    <t>Being payment for purchase of land at Tarawanda plot No. TW/P6/091 - Ester P. Bundala</t>
  </si>
  <si>
    <t>PCVHO/2025/12/0053</t>
  </si>
  <si>
    <t>PCVHO/2025/12/0052</t>
  </si>
  <si>
    <t>Being payment for purchase of land at Tarawanda plot No. TW/02/117 - Juma R. Selemani</t>
  </si>
  <si>
    <t>PCVHO/2025/12/0051</t>
  </si>
  <si>
    <t>Being payment for purchase of land at Tarawanda plot No. TW/M3/135/1- Riziki Mohamedi Athumani</t>
  </si>
  <si>
    <t>PCVHO/2025/12/0050</t>
  </si>
  <si>
    <t>Being payment for purchase of land at Tarawanda plot No. TW/ B5 - Riziki Mohamedi Athumani</t>
  </si>
  <si>
    <t>PCVHO/2025/12/0049</t>
  </si>
  <si>
    <t>Being payment for purchase of land  at Tarawanda plot No. TW/Q/070 - Ramadahani M. Ramadhani</t>
  </si>
  <si>
    <t>PCVHO/2025/12/0048</t>
  </si>
  <si>
    <t>PCVHO/2025/12/0047</t>
  </si>
  <si>
    <t>Being payment for purchase of land  at Tarawanda plot No. TWL - Pili Saidi Dibwe</t>
  </si>
  <si>
    <t>PCVHO/2025/12/0046</t>
  </si>
  <si>
    <t>Being payment for purchase of land  at Tarawanda plot No. TW/U3/124 - Hamadi Shabani Kufikili</t>
  </si>
  <si>
    <t>PCVHO/2025/12/0045</t>
  </si>
  <si>
    <t>Being payment for purchase of land  at Tarawanda plot No. TW/D2/130 - Shabani M. Dibwe</t>
  </si>
  <si>
    <t>PCVHO/2025/12/0044</t>
  </si>
  <si>
    <t>Being payment for purchase of land  at Tarawanda plot No. TW/W2 - Ramadhani H. Zembwe</t>
  </si>
  <si>
    <t>PCVHO/2025/12/0043</t>
  </si>
  <si>
    <t>Being payment for purchase of land  at Tarawanda plot No. TW/C3 - Ramadhani H. Zembwe</t>
  </si>
  <si>
    <t>PCVHO/2025/12/0042</t>
  </si>
  <si>
    <t>Being payment for purchase of land  at Tarawanda plot No. TW/T5 - Ramadhani Idi Omari</t>
  </si>
  <si>
    <t>PCVHO/2025/12/0041</t>
  </si>
  <si>
    <t>PCVHO/2025/12/0040</t>
  </si>
  <si>
    <t>Being payment for purchase of land  at Tarawanda plot No. TW/U7 - Athumani J. Funza</t>
  </si>
  <si>
    <t>PCVHO/2025/12/0039</t>
  </si>
  <si>
    <t>Being payment for purchase of land  at Tarawanda plot No. TW/R7/086A - Athumani J. Funza</t>
  </si>
  <si>
    <t>PCVHO/2025/12/0038</t>
  </si>
  <si>
    <t>Being payment for purchase of land  at Tarawanda plot No. TW/H2 - Hamis R. Kilimila</t>
  </si>
  <si>
    <t>PCVHO/2025/12/0037</t>
  </si>
  <si>
    <t>Being payment for purchase of land  at Tarawanda plot No. TW/L5/098 - Asha M. Athumani</t>
  </si>
  <si>
    <t>PCVHO/2025/12/0036</t>
  </si>
  <si>
    <t>Being payment for purchase of land  at Tarawanda plot No. TW/P4/063 - Asha M. Athumani</t>
  </si>
  <si>
    <t>PCVHO/2025/12/0035</t>
  </si>
  <si>
    <t>Being payment for purchase of land  at Tarawanda plot No. TW/B3/045 - Fatuma Abdul Ally</t>
  </si>
  <si>
    <t>PCVHO/2025/12/0034</t>
  </si>
  <si>
    <t>Being payment for purchase of land  at Tarawanda plot No. TW/D1/134 - Mohamedi A. Mohamedi</t>
  </si>
  <si>
    <t>PCVHO/2025/12/0033</t>
  </si>
  <si>
    <t>Being payment for purchase of land  at Tarawanda plot No. TW/E1/081 - Mohamedi A. Mohamedi</t>
  </si>
  <si>
    <t>PCVHO/2025/12/0032</t>
  </si>
  <si>
    <t>PCVHO/2025/12/0031</t>
  </si>
  <si>
    <t>Being payment for purchase of land  at Tarawanda plot No. TW/U3/132 - Mohamedi A. Mohamedi</t>
  </si>
  <si>
    <t>PCVHO/2025/12/0030</t>
  </si>
  <si>
    <t>Being payment for purchase of land  at Tarawanda plot No. TW/K5/023 - Mohamedi A. Mohamedi</t>
  </si>
  <si>
    <t>PCVHO/2025/12/0029</t>
  </si>
  <si>
    <t>Being payment for purchase of land  at Tarawanda plot No. TW/H1/006 - Pili Hamisi Kilimila</t>
  </si>
  <si>
    <t>SERBL/2025/12/0014</t>
  </si>
  <si>
    <t>5288</t>
  </si>
  <si>
    <t>SERBL/2025/12/0032</t>
  </si>
  <si>
    <t>ITI00003661</t>
  </si>
  <si>
    <t>SERBL/2025/12/0031</t>
  </si>
  <si>
    <t>ITI00003502</t>
  </si>
  <si>
    <t>SERBL/2025/12/0025</t>
  </si>
  <si>
    <t>ITI00003524</t>
  </si>
  <si>
    <t>DBN/2025/12/0002</t>
  </si>
  <si>
    <t xml:space="preserve">CRN AGAINST AIR TICKET </t>
  </si>
  <si>
    <t>ITC00000466</t>
  </si>
  <si>
    <t>SERBL/2025/12/0044</t>
  </si>
  <si>
    <t xml:space="preserve">CHEMICAL TRANSPORT PERMIT </t>
  </si>
  <si>
    <t>994380609681  FILE NO. LCL/2025/3617 FOR TRAWANDA PROJECT NO LC INVOLVED -B/L NO.</t>
  </si>
  <si>
    <t>CMLT1566</t>
  </si>
  <si>
    <t>Government Chemist Laboratory Agency</t>
  </si>
  <si>
    <t>SERBL/2025/12/0043</t>
  </si>
  <si>
    <t xml:space="preserve">AGENCY FEE </t>
  </si>
  <si>
    <t>IMPHLL/2025/12/2791 ( V.CODE- AE31F02791 )  FILE NO. LCL/2025/3617 FOR TRAWANDA PROJECT NO LC INVOLVED -B/L NO.</t>
  </si>
  <si>
    <t>CMLT0224</t>
  </si>
  <si>
    <t>Honest Logistics Ltd</t>
  </si>
  <si>
    <t>PCVHO/2025/12/0231</t>
  </si>
  <si>
    <t xml:space="preserve">AIR TICKET REIMBURSEMENT </t>
  </si>
  <si>
    <t>Being payment for reimbursement for air ticket charges for Mr Balu for Tarawanda project - Balu</t>
  </si>
  <si>
    <t>PCVHO/2025/12/0228</t>
  </si>
  <si>
    <t>Being payment for purchase of land at Tarawanda plot No. TW E7/127 - Mwajuma Maisha Sadi</t>
  </si>
  <si>
    <t>PCVHO/2025/12/0227</t>
  </si>
  <si>
    <t>Being payment for purchase of land at Tarawanda plot No. TWN6/086 - Maua . Michael</t>
  </si>
  <si>
    <t>PCVHO/2025/12/0226</t>
  </si>
  <si>
    <t>PCVHO/2025/12/0225</t>
  </si>
  <si>
    <t>Being payment for purchase of land at Tarawanda plot No. TWP/068 - Juma H. Kiumbo</t>
  </si>
  <si>
    <t>PCVHO/2025/12/0224</t>
  </si>
  <si>
    <t>Being payment for purchase of land at Tarawanda plot No. TWM7 - Alli M. Romani</t>
  </si>
  <si>
    <t>PCVHO/2025/12/0219</t>
  </si>
  <si>
    <t xml:space="preserve">EXPENSES </t>
  </si>
  <si>
    <t>Being payment for transport allowance for Tarawanda diversion road at Msanga - Benard Mwita</t>
  </si>
  <si>
    <t>PCVHO/2025/12/0218</t>
  </si>
  <si>
    <t>Being payment for transport charges to Tarawanda wtare testing - Asha</t>
  </si>
  <si>
    <t>PCVHO/2025/12/0217</t>
  </si>
  <si>
    <t>Being payment for transport charges from Dar to Tarawanda for testing Dawasa water pipe line - Ramadhan Ramadhan</t>
  </si>
  <si>
    <t>PCVHO/2025/12/0216</t>
  </si>
  <si>
    <t>Being payment for allowance for collecting water sample at Tarawanda - Asha</t>
  </si>
  <si>
    <t>SERBL/2025/12/0114</t>
  </si>
  <si>
    <t xml:space="preserve">CHEMICAL IMPORT PERMIT </t>
  </si>
  <si>
    <t>994380589378  FILE NO. LCL/2025/2534 FOR TARAWANDA PROJECT-B/L NO.</t>
  </si>
  <si>
    <t>SERBL/2025/12/0113</t>
  </si>
  <si>
    <t>994380589853  FILE NO. LCL/2025/2534 FOR TARAWANDA PROJECT-B/L NO.</t>
  </si>
  <si>
    <t>SERBL/2025/12/0112</t>
  </si>
  <si>
    <t>994380576194  FILE NO. LCL/2025/2534 FOR TARAWANDA PROJECT-B/L NO.</t>
  </si>
  <si>
    <t>PCVHO/2025/12/0271</t>
  </si>
  <si>
    <t xml:space="preserve">ACCOMMODATION </t>
  </si>
  <si>
    <t>Being settlement against imprest taken by Arnold Kaduri for Tarawanda project</t>
  </si>
  <si>
    <t xml:space="preserve">FUEL EXPENSES </t>
  </si>
  <si>
    <t>EXPENSES</t>
  </si>
  <si>
    <t>NIGHT ALLOWANCE</t>
  </si>
  <si>
    <t>MISC/2025/12/1496</t>
  </si>
  <si>
    <t xml:space="preserve"> MINERAL EXPLORATION</t>
  </si>
  <si>
    <t>BEING PAYMENT TO PROFITAN INNOVATIVE SOLUTION FOR MINERAL EXPLORATION</t>
  </si>
  <si>
    <t>MISC/2025/12/1493</t>
  </si>
  <si>
    <t>MINERAL EXPLORATION</t>
  </si>
  <si>
    <t>BEING PAYMENT TO WARIOBA KASUHU FOR MINERAL EXPLORATION</t>
  </si>
  <si>
    <t>SERBL/2025/12/0143</t>
  </si>
  <si>
    <t>FIRST ANNUAL RENT FOR LICENSE (PL/33006/2025)</t>
  </si>
  <si>
    <t>995021198913</t>
  </si>
  <si>
    <t>CMLT1646</t>
  </si>
  <si>
    <t>Ministry of Energy and Minerals</t>
  </si>
  <si>
    <t>SERBL/2025/12/0141</t>
  </si>
  <si>
    <t>RST/25000187</t>
  </si>
  <si>
    <t>MISC/2025/12/1498</t>
  </si>
  <si>
    <t>MISC/2025/12/1497</t>
  </si>
  <si>
    <t>Marketing</t>
  </si>
  <si>
    <t>MISC/2025/12/1495</t>
  </si>
  <si>
    <t>MISC/2025/12/1494</t>
  </si>
  <si>
    <t>SERBL/2025/12/0178</t>
  </si>
  <si>
    <t>LPORD/2025/01603: Construction of road from packing plant to big bag loading side</t>
  </si>
  <si>
    <t>CN-0336</t>
  </si>
  <si>
    <t>371052</t>
  </si>
  <si>
    <t>PACKING-1</t>
  </si>
  <si>
    <t>SERBL/2025/12/0177</t>
  </si>
  <si>
    <t>LPORD/2025/01604: Scaffolding work during project</t>
  </si>
  <si>
    <t>CN-0337</t>
  </si>
  <si>
    <t>STJ/2025/12/11138</t>
  </si>
  <si>
    <t>CM/MTI/2025/04656 - [FG001] CEMENT 42.5 R / MRQ/2025/06622</t>
  </si>
  <si>
    <t>STJ/2025/12/11140</t>
  </si>
  <si>
    <t>CM/MTI/2025/04657 - [FG001] CEMENT 42.5 R / MRQ/2025/06621</t>
  </si>
  <si>
    <t>STJ/2025/12/08727</t>
  </si>
  <si>
    <t>CM/MTI/2025/04557 - [FG001] CEMENT 42.5 R / MRQ/2025/06195
Rounding Adjustment: -0.01 TSh</t>
  </si>
  <si>
    <t>STJ/2025/12/08737</t>
  </si>
  <si>
    <t>CM/MTI/2025/04562 - [FG001] CEMENT 42.5 R / MRQ/2025/06464</t>
  </si>
  <si>
    <t>STJ/2025/12/00259</t>
  </si>
  <si>
    <t>CM/MTI/2025/04334 - [FG001] CEMENT 42.5 R / MRQ/2025/06107
Rounding Adjustment: -0.01 TSh</t>
  </si>
  <si>
    <t>STJ/2025/12/11135</t>
  </si>
  <si>
    <t>CM/MTI/2025/04654 - [CCLGC002] AGGREGATE GRANITE SIZE 14 MM TO 20 MM  / MRQ/2025/06599</t>
  </si>
  <si>
    <t>STJ/2025/12/09053</t>
  </si>
  <si>
    <t>CM/MTI/2025/04588 - [CCLGC004] SAND / MRQ/2025/06485
Rounding Adjustment: +0.01 TSh</t>
  </si>
  <si>
    <t>STJ/2025/12/07823</t>
  </si>
  <si>
    <t>CM/MTI/2025/04538 - [CCLGC022] NAILS SIZE 3'' / MRQ/2025/06463</t>
  </si>
  <si>
    <t>STJ/2025/12/07824</t>
  </si>
  <si>
    <t>CM/MTI/2025/04538 - [CCLGC028] NAILS CONCRETE SIZE 4'' / MRQ/2025/06463
Rounding Adjustment: +0.01 TSh</t>
  </si>
  <si>
    <t>STJ/2025/12/03998</t>
  </si>
  <si>
    <t>CM/MTI/2025/04427 - [CWCGC041] CUTTING WHEEL 7'' / MRQ/2025/06311</t>
  </si>
  <si>
    <t>STJ/2025/12/03999</t>
  </si>
  <si>
    <t>CM/MTI/2025/04427 - [CWCWR003] WELDING ELECTRODE MS 6013 SIZE 4 MM X 450 MM / MRQ/2025/06311</t>
  </si>
  <si>
    <t>STJ/2025/12/01999</t>
  </si>
  <si>
    <t>CM/MTI/2025/04396 - [CCLGC022] NAILS SIZE 3'' / MRQ/2025/06285</t>
  </si>
  <si>
    <t>STJ/2025/12/02000</t>
  </si>
  <si>
    <t>CM/MTI/2025/04396 - [CCLGC328] TMT BAR SIZE 10 MM GRADE FY500. / MRQ/2025/06285
Rounding Adjustment: -0.01 TSh</t>
  </si>
  <si>
    <t>STJ/2025/12/02001</t>
  </si>
  <si>
    <t>CM/MTI/2025/04396 - [CCLGC329] TMT BAR SIZE 12 MM GRADE FY500. / MRQ/2025/06285
Rounding Adjustment: -0.01 TSh</t>
  </si>
  <si>
    <t>STJ/2025/12/00691</t>
  </si>
  <si>
    <t>CM/MTI/2025/04342 - [CCLGC328] TMT BAR SIZE 10 MM GRADE FY500. / MRQ/2025/06192</t>
  </si>
  <si>
    <t>STJ/2025/12/00692</t>
  </si>
  <si>
    <t>CM/MTI/2025/04342 - [CWCWR003] WELDING ELECTRODE MS 6013 SIZE 4 MM X 450 MM / MRQ/2025/06192</t>
  </si>
  <si>
    <t>STJ/2025/12/00693</t>
  </si>
  <si>
    <t>CM/MTI/2025/04342 - [ESSAG008] ISA 65 X 65 X 6 / MRQ/2025/06192</t>
  </si>
  <si>
    <t>STJ/2025/12/16529</t>
  </si>
  <si>
    <t>CM/MTI/2025/04745 - [CCLGC330] TMT BAR SIZE 16 MM GRADE FY500. / MRQ/2025/06774</t>
  </si>
  <si>
    <t>STJ/2025/12/16532</t>
  </si>
  <si>
    <t>CM/MTI/2025/04747 - [CCLGC023] NAILS SIZE 4'' / MRQ/2025/06759</t>
  </si>
  <si>
    <t>STJ/2025/12/16533</t>
  </si>
  <si>
    <t>CM/MTI/2025/04747 - [CCLGC028] NAILS CONCRETE SIZE 4'' / MRQ/2025/06759</t>
  </si>
  <si>
    <t>STJ/2025/12/16534</t>
  </si>
  <si>
    <t>CM/MTI/2025/04747 - [CCLGC052] PLYWOOD 8FEET X 4FEET X 18 MM THICK  / MRQ/2025/06759</t>
  </si>
  <si>
    <t>STJ/2025/12/11134</t>
  </si>
  <si>
    <t>CM/MTI/2025/04653 - [CCLGC002] AGGREGATE GRANITE SIZE 14 MM TO 20 MM  / MRQ/2025/06598</t>
  </si>
  <si>
    <t>STJ/2025/12/10631</t>
  </si>
  <si>
    <t>CM/MTI/2025/04631 - [CCLGC022] NAILS SIZE 3'' / MRQ/2025/06619</t>
  </si>
  <si>
    <t>STJ/2025/12/10632</t>
  </si>
  <si>
    <t>CM/MTI/2025/04631 - [CCLGC028] NAILS CONCRETE SIZE 4'' / MRQ/2025/06619</t>
  </si>
  <si>
    <t>STJ/2025/12/10633</t>
  </si>
  <si>
    <t>CM/MTI/2025/04631 - [CCLGC032] WIRE FOR BINDING / MRQ/2025/06619</t>
  </si>
  <si>
    <t>STJ/2025/12/10634</t>
  </si>
  <si>
    <t>CM/MTI/2025/04631 - [CWCGC041] CUTTING WHEEL 7'' / MRQ/2025/06619
Rounding Adjustment: +0.01 TSh</t>
  </si>
  <si>
    <t>STJ/2025/12/09049</t>
  </si>
  <si>
    <t>CM/MTI/2025/04586 - [CCLGC004] SAND / MRQ/2025/06483</t>
  </si>
  <si>
    <t>STJ/2025/12/08729</t>
  </si>
  <si>
    <t>CM/MTI/2025/04559 - [CCLGC330] TMT BAR SIZE 16 MM GRADE FY500. / MRQ/2025/06562</t>
  </si>
  <si>
    <t>STJ/2025/12/07822</t>
  </si>
  <si>
    <t>CM/MTI/2025/04537 - [CCLGC330] TMT BAR SIZE 16 MM GRADE FY500. / MRQ/2025/06477</t>
  </si>
  <si>
    <t>STJ/2025/12/07825</t>
  </si>
  <si>
    <t>CM/MTI/2025/04539 - [CCLGC038] TIMBER 2 INCH X 4 INCH UNTREATED / MRQ/2025/06462</t>
  </si>
  <si>
    <t>STJ/2025/12/07826</t>
  </si>
  <si>
    <t>CM/MTI/2025/04539 - [CCLGC052] PLYWOOD 8FEET X 4FEET X 18 MM THICK  / MRQ/2025/06462</t>
  </si>
  <si>
    <t>STJ/2025/12/06046</t>
  </si>
  <si>
    <t>CM/MTI/2025/04512 - [CCLGC022] NAILS SIZE 3'' / MRQ/2025/06454</t>
  </si>
  <si>
    <t>STJ/2025/12/06047</t>
  </si>
  <si>
    <t>CM/MTI/2025/04512 - [CCLGC023] NAILS SIZE 4'' / MRQ/2025/06454</t>
  </si>
  <si>
    <t>STJ/2025/12/06048</t>
  </si>
  <si>
    <t>CM/MTI/2025/04512 - [CCLGC028] NAILS CONCRETE SIZE 4'' / MRQ/2025/06454</t>
  </si>
  <si>
    <t>STJ/2025/12/06049</t>
  </si>
  <si>
    <t>CM/MTI/2025/04512 - [CCLGC032] WIRE FOR BINDING / MRQ/2025/06454</t>
  </si>
  <si>
    <t>STJ/2025/12/06050</t>
  </si>
  <si>
    <t>CM/MTI/2025/04512 - [CCLGC038] TIMBER 2 INCH X 4 INCH UNTREATED / MRQ/2025/06454</t>
  </si>
  <si>
    <t>STJ/2025/12/06051</t>
  </si>
  <si>
    <t>CM/MTI/2025/04512 - [CCLGC327] TMT BAR SIZE 8 MM GRADE FY500. / MRQ/2025/06454
Rounding Adjustment: +0.01 TSh</t>
  </si>
  <si>
    <t>STJ/2025/12/06052</t>
  </si>
  <si>
    <t>CM/MTI/2025/04512 - [CWCGC041] CUTTING WHEEL 7'' / MRQ/2025/06454
Rounding Adjustment: +0.01 TSh</t>
  </si>
  <si>
    <t>STJ/2025/12/05139</t>
  </si>
  <si>
    <t>CM/MTI/2025/04467 - [CCLGC022] NAILS SIZE 3'' / MRQ/2025/06402</t>
  </si>
  <si>
    <t>STJ/2025/12/05140</t>
  </si>
  <si>
    <t>CM/MTI/2025/04467 - [CCLGC028] NAILS CONCRETE SIZE 4'' / MRQ/2025/06402</t>
  </si>
  <si>
    <t>STJ/2025/12/05141</t>
  </si>
  <si>
    <t>CM/MTI/2025/04467 - [CCLGC032] WIRE FOR BINDING / MRQ/2025/06402</t>
  </si>
  <si>
    <t>STJ/2025/12/03979</t>
  </si>
  <si>
    <t>CM/MTI/2025/04422 - [CCLGC022] NAILS SIZE 3'' / MRQ/2025/06342</t>
  </si>
  <si>
    <t>STJ/2025/12/03980</t>
  </si>
  <si>
    <t>CM/MTI/2025/04422 - [CCLGC183] POLES WOODEN MIRUNDA  / MRQ/2025/06342</t>
  </si>
  <si>
    <t>STJ/2025/12/02614</t>
  </si>
  <si>
    <t>CM/MTI/2025/04405 - [CCLGC032] WIRE FOR BINDING / MRQ/2025/06310</t>
  </si>
  <si>
    <t>STJ/2025/12/02615</t>
  </si>
  <si>
    <t>CM/MTI/2025/04405 - [CCLGC038] TIMBER 2 INCH X 4 INCH UNTREATED / MRQ/2025/06310</t>
  </si>
  <si>
    <t>STJ/2025/12/02616</t>
  </si>
  <si>
    <t>CM/MTI/2025/04406 - [CCLGC032] WIRE FOR BINDING / MRQ/2025/06284</t>
  </si>
  <si>
    <t>STJ/2025/12/02617</t>
  </si>
  <si>
    <t>CM/MTI/2025/04406 - [CCLGC052] PLYWOOD 8FEET X 4FEET X 18 MM THICK  / MRQ/2025/06284</t>
  </si>
  <si>
    <t>STJ/2025/12/02618</t>
  </si>
  <si>
    <t>CM/MTI/2025/04406 - [CCLGC327] TMT BAR SIZE 8 MM GRADE FY500. / MRQ/2025/06284</t>
  </si>
  <si>
    <t>STJ/2025/12/02619</t>
  </si>
  <si>
    <t>CM/MTI/2025/04406 - [CCLGC330] TMT BAR SIZE 16 MM GRADE FY500. / MRQ/2025/06284</t>
  </si>
  <si>
    <t>STJ/2025/12/02620</t>
  </si>
  <si>
    <t>CM/MTI/2025/04406 - [CWCGC041] CUTTING WHEEL 7'' / MRQ/2025/06284</t>
  </si>
  <si>
    <t>STJ/2025/12/00697</t>
  </si>
  <si>
    <t>CM/MTI/2025/04344 - [CCLGC022] NAILS SIZE 3'' / MRQ/2025/06194</t>
  </si>
  <si>
    <t>STJ/2025/12/00698</t>
  </si>
  <si>
    <t>CM/MTI/2025/04344 - [CCLGC032] WIRE FOR BINDING / MRQ/2025/06194</t>
  </si>
  <si>
    <t>STJ/2025/12/00699</t>
  </si>
  <si>
    <t>CM/MTI/2025/04344 - [CCLGC327] TMT BAR SIZE 8 MM GRADE FY500. / MRQ/2025/06194</t>
  </si>
  <si>
    <t>STJ/2025/12/00700</t>
  </si>
  <si>
    <t>CM/MTI/2025/04344 - [CCLGC330] TMT BAR SIZE 16 MM GRADE FY500. / MRQ/2025/06194</t>
  </si>
  <si>
    <t>STJ/2025/12/00701</t>
  </si>
  <si>
    <t>CM/MTI/2025/04344 - [CWCGC041] CUTTING WHEEL 7'' / MRQ/2025/06194
Rounding Adjustment: +0.01 TSh</t>
  </si>
  <si>
    <t>STJ/2025/12/11136</t>
  </si>
  <si>
    <t>CM/MTI/2025/04655 - [CCLGC002] AGGREGATE GRANITE SIZE 14 MM TO 20 MM  / MRQ/2025/06597</t>
  </si>
  <si>
    <t>STJ/2025/12/09052</t>
  </si>
  <si>
    <t>CM/MTI/2025/04587 - [CCLGC004] SAND / MRQ/2025/06484</t>
  </si>
  <si>
    <t>STJ/2025/12/11137</t>
  </si>
  <si>
    <t>CM/MTI/2025/04656 - [CPMBG002] BAG EMPTY FOR CEMENT PACKING GRADE 42.5R MATERIAL WOVEN POLYPROPYLENE CAPACITY 50KG COLOR ORANGE / MRQ/2025/06622</t>
  </si>
  <si>
    <t>STJ/2025/12/11139</t>
  </si>
  <si>
    <t>CM/MTI/2025/04657 - [CPMBG002] BAG EMPTY FOR CEMENT PACKING GRADE 42.5R MATERIAL WOVEN POLYPROPYLENE CAPACITY 50KG COLOR ORANGE / MRQ/2025/06621</t>
  </si>
  <si>
    <t>STJ/2025/12/08726</t>
  </si>
  <si>
    <t>CM/MTI/2025/04557 - [CPMBG002] BAG EMPTY FOR CEMENT PACKING GRADE 42.5R MATERIAL WOVEN POLYPROPYLENE CAPACITY 50KG COLOR ORANGE / MRQ/2025/06195</t>
  </si>
  <si>
    <t>STJ/2025/12/08736</t>
  </si>
  <si>
    <t>CM/MTI/2025/04562 - [CPMBG002] BAG EMPTY FOR CEMENT PACKING GRADE 42.5R MATERIAL WOVEN POLYPROPYLENE CAPACITY 50KG COLOR ORANGE / MRQ/2025/06464</t>
  </si>
  <si>
    <t>STJ/2025/12/00258</t>
  </si>
  <si>
    <t>CM/MTI/2025/04334 - [CPMBG002] BAG EMPTY FOR CEMENT PACKING GRADE 42.5R MATERIAL WOVEN POLYPROPYLENE CAPACITY 50KG COLOR ORANGE / MRQ/2025/06107</t>
  </si>
  <si>
    <t>STJ/2025/12/04541</t>
  </si>
  <si>
    <t>CM/MTI/2025/04451 - [CACOP007] PRINTER / MRQ/2025/06383-MUNEESH OFFICE</t>
  </si>
  <si>
    <t>STJ/2025/12/05732</t>
  </si>
  <si>
    <t>CM/MTI/2025/04483 - [CACOP011] 75 INCHES UHD 4K SMART INTERACTIVE TOUCHSCREEN DISPLAY MODEL 75WM6FE / MRQ/2025/06437</t>
  </si>
  <si>
    <t>CM/MTI/2025/04483 - [CACOP011] 75 INCHES UHD 4K SMART INTERACTIVE TOUCHSCREEN DISPLAY MODEL 75WM6FE / MRQ/2025/06437-HO</t>
  </si>
  <si>
    <t>[CACOP011] 75 INCHES UHD 4K SMART INTERACTIVE TOUCHSCREEN DISPLAY MODEL 75WM6FE</t>
  </si>
  <si>
    <t>STJ/2025/12/09015</t>
  </si>
  <si>
    <t>CM/MTI/2025/04583 - [CAFRF019] CHAIR WITH WHEELS / MRQ/2025/06420</t>
  </si>
  <si>
    <t>CM/MTI/2025/04583 - [CAFRF019] CHAIR WITH WHEELS / MRQ/2025/06420-HO OFFICE</t>
  </si>
  <si>
    <t>Stationary Consumption</t>
  </si>
  <si>
    <t>STJ/2025/12/05733</t>
  </si>
  <si>
    <t>CM/MTI/2025/04483 - [CITGC138] MOBILE PORTABLE TROLLEY MODEL WH 3309LK / MRQ/2025/06437</t>
  </si>
  <si>
    <t>Dec</t>
  </si>
  <si>
    <t xml:space="preserve">341003 OTHER OFFICE EQUIPEMENT  </t>
  </si>
  <si>
    <t>SERBL/2026/01/0002</t>
  </si>
  <si>
    <t>SERBL/2026/01/0031</t>
  </si>
  <si>
    <t xml:space="preserve">TESTING EXPENSE FOR TARAWANDA </t>
  </si>
  <si>
    <t>STJ/2026/01/06309</t>
  </si>
  <si>
    <t>CM/MTI/2025/04918 - [PROCM144] FOUNDATION BOLT / MRQ/2026/00244</t>
  </si>
  <si>
    <t>SERBL/2026/01/0080</t>
  </si>
  <si>
    <t>SERBL/2026/01/0079</t>
  </si>
  <si>
    <t>SERBL/2026/01/0074</t>
  </si>
  <si>
    <t xml:space="preserve">AIR TICKT CHARGES </t>
  </si>
  <si>
    <t>PCVHO/2026/01/0120</t>
  </si>
  <si>
    <t>PCVHO/2026/01/0119</t>
  </si>
  <si>
    <t>SERBL/2026/01/0104</t>
  </si>
  <si>
    <t>LPORD/2025/00474: Erection of new structure , ducting, platform, hand rail for Raw mill-2</t>
  </si>
  <si>
    <t>LPORD/2025/00474: Fabrication of new structure , ducting, platform, hand rail for Raw mill-2</t>
  </si>
  <si>
    <t>LPORD/2025/00474: Dismantling of old equipment from old coal mill</t>
  </si>
  <si>
    <t>LPORD/2025/00474: Erection of new equipment for Raw mill-2 (Conversion)</t>
  </si>
  <si>
    <t>SERBL/2026/01/0101</t>
  </si>
  <si>
    <t>LPORD/2025/01638: Grouting work for OPC project in the entire project</t>
  </si>
  <si>
    <t>SERBL/2026/01/0100</t>
  </si>
  <si>
    <t>LPORD/2025/01645: Erection of new structure for packing plant , duct and hand rail as per drawing</t>
  </si>
  <si>
    <t>LPORD/2025/01645: Erection of equipment of packing plant packer-2 and accessories</t>
  </si>
  <si>
    <t>LPORD/2025/01645: Fabrication of new structure for packing plant , duct and hand rail as per drawing</t>
  </si>
  <si>
    <t>DBN/2026/01/0008</t>
  </si>
  <si>
    <t>DBN/2026/01/0007</t>
  </si>
  <si>
    <t>SERBL/2026/01/0165</t>
  </si>
  <si>
    <t>PCVFY/2026/01/0073</t>
  </si>
  <si>
    <t>advance</t>
  </si>
  <si>
    <t>PCVHO/2026/01/0212</t>
  </si>
  <si>
    <t xml:space="preserve">ACCOMMODATION EXPENSES </t>
  </si>
  <si>
    <t xml:space="preserve">FUEL EXPESNES </t>
  </si>
  <si>
    <t xml:space="preserve">EXPLORATION COST </t>
  </si>
  <si>
    <t xml:space="preserve">FUEL EXPENES </t>
  </si>
  <si>
    <t xml:space="preserve">DRIVER ALLOWANCE </t>
  </si>
  <si>
    <t>[PROCM144] FOUNDATION BOLT</t>
  </si>
  <si>
    <t>HS20294</t>
  </si>
  <si>
    <t>DARR000359273</t>
  </si>
  <si>
    <t>ITI00004171</t>
  </si>
  <si>
    <t>ITI00004172</t>
  </si>
  <si>
    <t>ITI00004361</t>
  </si>
  <si>
    <t>Being settlement against imprest taken by Arnold Kaduri for Tarawand aexpenses</t>
  </si>
  <si>
    <t>29053</t>
  </si>
  <si>
    <t>29028</t>
  </si>
  <si>
    <t>BEING SERVICE CHARGES FOR MECHANICAL FABRICATION &amp; ERECTION WORK OF  NEW  STRUCTURE , DUCTING AND HAND RAIL AGAISNT INV.NO.29052 DATED 06.11.2025 .GIBS DEVELOPERS LTD--</t>
  </si>
  <si>
    <t>CN-NO 0121</t>
  </si>
  <si>
    <t>CN-NO 0122</t>
  </si>
  <si>
    <t>DARIR00056878</t>
  </si>
  <si>
    <t>BEING SALARY ADVANCE FOR TALAWANDA EXPENSES FOR THE MONTH OF JAN 2026-BALU MM(CHIEF PROJECT HEAD)</t>
  </si>
  <si>
    <t>Being settlement against imprest taken by Arnold Kaduri for Tarawanda project expenses - Arnold</t>
  </si>
  <si>
    <t>MISC/2026/01/1439</t>
  </si>
  <si>
    <t>CM/MTI/2025/04918 - [PROCM144] FOUNDATION BOLT / MRQ/2026/00244 QTY-208NOS</t>
  </si>
  <si>
    <t>BEING AMOUNT OF CORRECTION OF CWIP ACCOUNT AS CM/MTI/2025/04918 - [PROCM144] FOUNDATION BOLT / MRQ/2026/00244 POSTED IN WRONG ACCOUNT FOR THE MONTH OF JAN-26</t>
  </si>
  <si>
    <t>STJ/2026/01/14852</t>
  </si>
  <si>
    <t>CM/MTI/2025/05164 - [FG001] CEMENT 42.5 R / MRQ/2026/00510</t>
  </si>
  <si>
    <t>STJ/2026/01/09754</t>
  </si>
  <si>
    <t>CM/MTI/2025/05000 - [FG001] CEMENT 42.5 R / MRQ/2026/00349</t>
  </si>
  <si>
    <t>STJ/2026/01/14159</t>
  </si>
  <si>
    <t>CM/MTI/2025/05140 - [FG001] CEMENT 42.5 R / MRQ/2026/00350
Rounding Adjustment: -0.01 TSh</t>
  </si>
  <si>
    <t>STJ/2026/01/09756</t>
  </si>
  <si>
    <t>CM/MTI/2025/05001 - [FG001] CEMENT 42.5 R / MRQ/2026/00187
Rounding Adjustment: +0.01 TSh</t>
  </si>
  <si>
    <t>STJ/2026/01/00506</t>
  </si>
  <si>
    <t>CM/MTI/2025/04775 - [EFSSC001] SCREW 25MM FOR IRON SHEET / MRQ/2026/00031</t>
  </si>
  <si>
    <t>[EFSSC001] SCREW 25MM FOR IRON SHEET</t>
  </si>
  <si>
    <t>STJ/2026/01/14825</t>
  </si>
  <si>
    <t>CM/MTI/2025/05151 - [CCLGC022] NAILS SIZE 3'' / MRQ/2026/00586</t>
  </si>
  <si>
    <t>STJ/2026/01/14826</t>
  </si>
  <si>
    <t>CM/MTI/2025/05151 - [CCLGC327] TMT BAR SIZE 8 MM GRADE FY500. / MRQ/2026/00586
Rounding Adjustment: -0.01 TSh</t>
  </si>
  <si>
    <t>STJ/2026/01/14827</t>
  </si>
  <si>
    <t>CM/MTI/2025/05151 - [CCLGC329] TMT BAR SIZE 12 MM GRADE FY500. / MRQ/2026/00586</t>
  </si>
  <si>
    <t>STJ/2026/01/14828</t>
  </si>
  <si>
    <t>CM/MTI/2025/05151 - [CPAPT007] PAINT RED OXIDE / MRQ/2026/00586</t>
  </si>
  <si>
    <t>STJ/2026/01/14843</t>
  </si>
  <si>
    <t>CM/MTI/2025/05158 - [CCLGC022] NAILS SIZE 3'' / MRQ/2026/00551</t>
  </si>
  <si>
    <t>STJ/2026/01/13267</t>
  </si>
  <si>
    <t>CM/MTI/2025/05116 - [CCLGC329] TMT BAR SIZE 12 MM GRADE FY500. / MRQ/2026/00528</t>
  </si>
  <si>
    <t>STJ/2026/01/11734</t>
  </si>
  <si>
    <t>CM/MTI/2025/05087 - [CCLGC328] TMT BAR SIZE 10 MM GRADE FY500. / MRQ/2026/00480</t>
  </si>
  <si>
    <t>STJ/2026/01/06023</t>
  </si>
  <si>
    <t>CM/MTI/2025/04914 - [CPAPT007] PAINT RED OXIDE / MRQ/2026/00240</t>
  </si>
  <si>
    <t>STJ/2026/01/04544</t>
  </si>
  <si>
    <t>CM/MTI/2025/04867 - [CCLGC317] WALL PUTTY/WALL PLASTER / MRQ/2026/00184</t>
  </si>
  <si>
    <t>STJ/2026/01/04545</t>
  </si>
  <si>
    <t>CM/MTI/2025/04867 - [CPAPT034] PAINT WHITE EMULSION / MRQ/2026/00184</t>
  </si>
  <si>
    <t>[CPAPT034] PAINT WHITE EMULSION</t>
  </si>
  <si>
    <t>STJ/2026/01/04600</t>
  </si>
  <si>
    <t>CM/MTI/2025/04886 - [CCLGC021] NAILS SIZE 2.5'' / MRQ/2026/00168</t>
  </si>
  <si>
    <t>STJ/2026/01/04601</t>
  </si>
  <si>
    <t>CM/MTI/2025/04886 - [CCLGC022] NAILS SIZE 3'' / MRQ/2026/00168</t>
  </si>
  <si>
    <t>STJ/2026/01/04602</t>
  </si>
  <si>
    <t>CM/MTI/2025/04886 - [CCLGC023] NAILS SIZE 4'' / MRQ/2026/00168</t>
  </si>
  <si>
    <t>STJ/2026/01/04603</t>
  </si>
  <si>
    <t>CM/MTI/2025/04886 - [CCLGC038] TIMBER 2 INCH X 4 INCH UNTREATED / MRQ/2026/00168</t>
  </si>
  <si>
    <t>STJ/2026/01/04604</t>
  </si>
  <si>
    <t>CM/MTI/2025/04886 - [CCLGC052] PLYWOOD 8FEET X 4FEET X 18 MM THICK  / MRQ/2026/00168</t>
  </si>
  <si>
    <t>STJ/2026/01/02017</t>
  </si>
  <si>
    <t>CM/MTI/2025/04800 - [CCLGC038] TIMBER 2 INCH X 4 INCH UNTREATED / MRQ/2026/00038</t>
  </si>
  <si>
    <t>STJ/2026/01/00498</t>
  </si>
  <si>
    <t>CM/MTI/2025/04771 - [CCLGC327] TMT BAR SIZE 8 MM GRADE FY500. / MRQ/2026/00001</t>
  </si>
  <si>
    <t>STJ/2026/01/00499</t>
  </si>
  <si>
    <t>CM/MTI/2025/04771 - [CCLGC329] TMT BAR SIZE 12 MM GRADE FY500. / MRQ/2026/00001</t>
  </si>
  <si>
    <t>STJ/2026/01/00500</t>
  </si>
  <si>
    <t>CM/MTI/2025/04771 - [CCLGC330] TMT BAR SIZE 16 MM GRADE FY500. / MRQ/2026/00001</t>
  </si>
  <si>
    <t>STJ/2026/01/00503</t>
  </si>
  <si>
    <t>CM/MTI/2025/04772 - [CCLGC328] TMT BAR SIZE 10 MM GRADE FY500. / MRQ/2026/00036</t>
  </si>
  <si>
    <t>STJ/2026/01/17413</t>
  </si>
  <si>
    <t>CM/MTI/2025/05223 - [CWCWR002] WELDING ELECTRODE MS 6013 SIZE 3.15 MM X 350 MM / MRQ/2026/00679</t>
  </si>
  <si>
    <t>[CWCWR002] WELDING ELECTRODE MS 6013 SIZE 3.15 MM X 350 MM</t>
  </si>
  <si>
    <t>STJ/2026/01/14820</t>
  </si>
  <si>
    <t>CM/MTI/2025/05150 - [CCLGC032] WIRE FOR BINDING / MRQ/2026/00585</t>
  </si>
  <si>
    <t>STJ/2026/01/14821</t>
  </si>
  <si>
    <t>CM/MTI/2025/05150 - [CCLGC327] TMT BAR SIZE 8 MM GRADE FY500. / MRQ/2026/00585
Rounding Adjustment: +0.01 TSh</t>
  </si>
  <si>
    <t>STJ/2026/01/14822</t>
  </si>
  <si>
    <t>CM/MTI/2025/05150 - [CWCGC041] CUTTING WHEEL 7'' / MRQ/2026/00585</t>
  </si>
  <si>
    <t>STJ/2026/01/14823</t>
  </si>
  <si>
    <t>CM/MTI/2025/05150 - [CWCWR002] WELDING ELECTRODE MS 6013 SIZE 3.15 MM X 350 MM / MRQ/2026/00585</t>
  </si>
  <si>
    <t>STJ/2026/01/14824</t>
  </si>
  <si>
    <t>CM/MTI/2025/05150 - [ESSAG008] ISA 65 X 65 X 6 / MRQ/2026/00585</t>
  </si>
  <si>
    <t>STJ/2026/01/13550</t>
  </si>
  <si>
    <t>CM/MTI/2025/05121 - [CCLGC330] TMT BAR SIZE 16 MM GRADE FY500. / MRQ/2026/00527</t>
  </si>
  <si>
    <t>STJ/2026/01/13266</t>
  </si>
  <si>
    <t>CM/MTI/2025/05115 - [CCLGC330] TMT BAR SIZE 16 MM GRADE FY500. / MRQ/2026/00533</t>
  </si>
  <si>
    <t>STJ/2026/01/13268</t>
  </si>
  <si>
    <t>CM/MTI/2025/05117 - [CWCGC041] CUTTING WHEEL 7'' / MRQ/2026/00539</t>
  </si>
  <si>
    <t>STJ/2026/01/13269</t>
  </si>
  <si>
    <t>CM/MTI/2025/05117 - [CWCWR002] WELDING ELECTRODE MS 6013 SIZE 3.15 MM X 350 MM / MRQ/2026/00539</t>
  </si>
  <si>
    <t>STJ/2026/01/12836</t>
  </si>
  <si>
    <t>CM/MTI/2025/05098 - [CCLGC022] NAILS SIZE 3'' / MRQ/2026/00505</t>
  </si>
  <si>
    <t>STJ/2026/01/12837</t>
  </si>
  <si>
    <t>CM/MTI/2025/05098 - [CCLGC023] NAILS SIZE 4'' / MRQ/2026/00505</t>
  </si>
  <si>
    <t>STJ/2026/01/11729</t>
  </si>
  <si>
    <t>CM/MTI/2025/05086 - [CCLGC032] WIRE FOR BINDING / MRQ/2026/00479</t>
  </si>
  <si>
    <t>STJ/2026/01/11730</t>
  </si>
  <si>
    <t>CM/MTI/2025/05086 - [CCLGC327] TMT BAR SIZE 8 MM GRADE FY500. / MRQ/2026/00479</t>
  </si>
  <si>
    <t>STJ/2026/01/11731</t>
  </si>
  <si>
    <t>CM/MTI/2025/05086 - [CWCGC041] CUTTING WHEEL 7'' / MRQ/2026/00479</t>
  </si>
  <si>
    <t>STJ/2026/01/11732</t>
  </si>
  <si>
    <t>CM/MTI/2025/05086 - [CWCWR002] WELDING ELECTRODE MS 6013 SIZE 3.15 MM X 350 MM / MRQ/2026/00479</t>
  </si>
  <si>
    <t>STJ/2026/01/10778</t>
  </si>
  <si>
    <t>CM/MTI/2025/05045 - [CCLGC327] TMT BAR SIZE 8 MM GRADE FY500. / MRQ/2026/00414</t>
  </si>
  <si>
    <t>STJ/2026/01/10779</t>
  </si>
  <si>
    <t>CM/MTI/2025/05045 - [CWCGC041] CUTTING WHEEL 7'' / MRQ/2026/00414</t>
  </si>
  <si>
    <t>STJ/2026/01/09359</t>
  </si>
  <si>
    <t>CM/MTI/2025/04997 - [CCLGC032] WIRE FOR BINDING / MRQ/2026/00346</t>
  </si>
  <si>
    <t>STJ/2026/01/09360</t>
  </si>
  <si>
    <t>CM/MTI/2025/04997 - [CCLGC327] TMT BAR SIZE 8 MM GRADE FY500. / MRQ/2026/00346
Rounding Adjustment: +0.01 TSh</t>
  </si>
  <si>
    <t>STJ/2026/01/09361</t>
  </si>
  <si>
    <t>CM/MTI/2025/04997 - [CWCGC041] CUTTING WHEEL 7'' / MRQ/2026/00346</t>
  </si>
  <si>
    <t>STJ/2026/01/09362</t>
  </si>
  <si>
    <t>CM/MTI/2025/04997 - [CWCWR002] WELDING ELECTRODE MS 6013 SIZE 3.15 MM X 350 MM / MRQ/2026/00346</t>
  </si>
  <si>
    <t>STJ/2026/01/06305</t>
  </si>
  <si>
    <t>CM/MTI/2025/04918 - [CCLGC022] NAILS SIZE 3'' / MRQ/2026/00244</t>
  </si>
  <si>
    <t>STJ/2026/01/06306</t>
  </si>
  <si>
    <t>CM/MTI/2025/04918 - [CCLGC023] NAILS SIZE 4'' / MRQ/2026/00244</t>
  </si>
  <si>
    <t>STJ/2026/01/06307</t>
  </si>
  <si>
    <t>CM/MTI/2025/04918 - [CCLGC032] WIRE FOR BINDING / MRQ/2026/00244</t>
  </si>
  <si>
    <t>STJ/2026/01/06308</t>
  </si>
  <si>
    <t>CM/MTI/2025/04918 - [ESSAG008] ISA 65 X 65 X 6 / MRQ/2026/00244</t>
  </si>
  <si>
    <t>STJ/2026/01/04598</t>
  </si>
  <si>
    <t>CM/MTI/2025/04885 - [CCLGC327] TMT BAR SIZE 8 MM GRADE FY500. / MRQ/2026/00162</t>
  </si>
  <si>
    <t>STJ/2026/01/04599</t>
  </si>
  <si>
    <t>CM/MTI/2025/04885 - [CCLGC330] TMT BAR SIZE 16 MM GRADE FY500. / MRQ/2026/00162</t>
  </si>
  <si>
    <t>STJ/2026/01/02640</t>
  </si>
  <si>
    <t>CM/MTI/2025/04820 - [EFSSC001] SCREW 25MM FOR IRON SHEET / MRQ/2026/00083</t>
  </si>
  <si>
    <t>STJ/2026/01/14851</t>
  </si>
  <si>
    <t>CM/MTI/2025/05164 - [CPMBG002] BAG EMPTY FOR CEMENT PACKING GRADE 42.5R MATERIAL WOVEN POLYPROPYLENE CAPACITY 50KG COLOR ORANGE / MRQ/2026/00510</t>
  </si>
  <si>
    <t>STJ/2026/01/09753</t>
  </si>
  <si>
    <t>CM/MTI/2025/05000 - [CPMBG010] BAG EMPTY FOR CEMENT PACKING GRADE SUPER 42 MATERIAL WOVEN POLYPROPYLENE CAPACITY 50 KG COLOR ORANGE / MRQ/2026/00349</t>
  </si>
  <si>
    <t>[CPMBG010] BAG EMPTY FOR CEMENT PACKING GRADE SUPER 42 MATERIAL WOVEN POLYPROPYLENE CAPACITY 50 KG COLOR ORANGE</t>
  </si>
  <si>
    <t>STJ/2026/01/14158</t>
  </si>
  <si>
    <t>CM/MTI/2025/05140 - [CPMBG002] BAG EMPTY FOR CEMENT PACKING GRADE 42.5R MATERIAL WOVEN POLYPROPYLENE CAPACITY 50KG COLOR ORANGE / MRQ/2026/00350</t>
  </si>
  <si>
    <t>STJ/2026/01/09755</t>
  </si>
  <si>
    <t>CM/MTI/2025/05001 - [CPMBG002] BAG EMPTY FOR CEMENT PACKING GRADE 42.5R MATERIAL WOVEN POLYPROPYLENE CAPACITY 50KG COLOR ORANGE / MRQ/2026/00187</t>
  </si>
  <si>
    <t>Jan</t>
  </si>
  <si>
    <t>2025</t>
  </si>
  <si>
    <t>2025 Total</t>
  </si>
  <si>
    <t>2026</t>
  </si>
  <si>
    <t>2026 Total</t>
  </si>
  <si>
    <t>SERBL/2026/02/0002</t>
  </si>
  <si>
    <t xml:space="preserve">TMA DATA CHARGES </t>
  </si>
  <si>
    <t>2026/001</t>
  </si>
  <si>
    <t>CMLT0611</t>
  </si>
  <si>
    <t>Tres Consult ( T ) Limited</t>
  </si>
  <si>
    <t>PCVHO/2026/02/0020</t>
  </si>
  <si>
    <t xml:space="preserve">VISA FEE </t>
  </si>
  <si>
    <t>Being payment Holtec visa fee for four peoples Mr Nilish Batra, Mr TC Jinadr, Mr Khalid and Mr Ankit Sharma -</t>
  </si>
  <si>
    <t>PCVHO/2026/02/0029</t>
  </si>
  <si>
    <t xml:space="preserve">EXPESNES </t>
  </si>
  <si>
    <t>Being payment for purchase of clearing permission access No. PML3/PBH16 - Ramadhan Kisima</t>
  </si>
  <si>
    <t>PCVFY/2026/02/0014</t>
  </si>
  <si>
    <t>BEING PSYMENTS FOR FUEL CONSUMPTION FOR POOL CARS AND FEERY CHARGES AND AIRPORT CHARGES-BENEDICT KIMBUSU</t>
  </si>
  <si>
    <t>SERBL/2026/02/0027</t>
  </si>
  <si>
    <t xml:space="preserve">TRAVELLING EXPENSE </t>
  </si>
  <si>
    <t>MHI00002816</t>
  </si>
  <si>
    <t>SERBL/2026/02/0026</t>
  </si>
  <si>
    <t>ITI00004734</t>
  </si>
  <si>
    <t>SERBL/2026/02/0021</t>
  </si>
  <si>
    <t>ITI00004620</t>
  </si>
  <si>
    <t>SERBL/2026/02/0020</t>
  </si>
  <si>
    <t>ITI00004739</t>
  </si>
  <si>
    <t>SERBL/2026/02/0016</t>
  </si>
  <si>
    <t>ITI00004453</t>
  </si>
  <si>
    <t>SERBL/2026/02/0015</t>
  </si>
  <si>
    <t>ITI00004740</t>
  </si>
  <si>
    <t>SERBL/2026/02/0014</t>
  </si>
  <si>
    <t>ITI00004746</t>
  </si>
  <si>
    <t>DBN/2026/02/0004</t>
  </si>
  <si>
    <t xml:space="preserve">DBN AGAINST AIR TICKET </t>
  </si>
  <si>
    <t>ITC00000608</t>
  </si>
  <si>
    <t>DBN/2026/02/0002</t>
  </si>
  <si>
    <t>ITC00000632</t>
  </si>
  <si>
    <t>SERBL/2026/02/0035</t>
  </si>
  <si>
    <t xml:space="preserve">ACCOMMODATION CHARGES </t>
  </si>
  <si>
    <t>HS20681</t>
  </si>
  <si>
    <t>SERBL/2026/02/0034</t>
  </si>
  <si>
    <t>ACCOMMODATION CHARGES</t>
  </si>
  <si>
    <t>HS20678</t>
  </si>
  <si>
    <t>SERBL/2026/02/0033</t>
  </si>
  <si>
    <t>HS20680</t>
  </si>
  <si>
    <t>SERBL/2026/02/0032</t>
  </si>
  <si>
    <t>HS20679</t>
  </si>
  <si>
    <t>STJ/2026/02/03835</t>
  </si>
  <si>
    <t>CM/MTI/2025/05339 - [PROCM144] FOUNDATION BOLT / MRQ/2026/00838</t>
  </si>
  <si>
    <t>PCVFY/2026/02/0072</t>
  </si>
  <si>
    <t>BEING PAYMENTS FOR TALAWANDA VISIT FOR FOOD BILL AND TOLL FEE-MADHU REDDY</t>
  </si>
  <si>
    <t>LCL/KIMB/041</t>
  </si>
  <si>
    <t>TMADHUSUDHAN REDDY</t>
  </si>
  <si>
    <t>MISC/2026/02/0971</t>
  </si>
  <si>
    <t>BEING SETTLEMEN AGAINST IMPREST TAKEN BY ARNOLD KADURI FOR TARAWANDA PROJECT EXPENSES</t>
  </si>
  <si>
    <t>LCL/KIMB/1199</t>
  </si>
  <si>
    <t>FRED JOHN KIRESIA</t>
  </si>
  <si>
    <t xml:space="preserve">SAIDI ALLOWANCE </t>
  </si>
  <si>
    <t>CLEANING EXP</t>
  </si>
  <si>
    <t>SERBL/2026/02/0120</t>
  </si>
  <si>
    <t>LPORD/2025/01871: Insulation work at various locations in plant during project</t>
  </si>
  <si>
    <t>1095</t>
  </si>
  <si>
    <t>DBN/2026/02/0008</t>
  </si>
  <si>
    <t>SERBL/2026/02/0162</t>
  </si>
  <si>
    <t>LPORD/2025/01917: Transportation Charges for Culvert 900mm DIA 1mtr</t>
  </si>
  <si>
    <t>2185</t>
  </si>
  <si>
    <t>CMLT1688</t>
  </si>
  <si>
    <t>Tanz Unity Ltd</t>
  </si>
  <si>
    <t>371059</t>
  </si>
  <si>
    <t xml:space="preserve">LPORD/2025/01917: Transportation Charges for Culvert 1200mm DIA </t>
  </si>
  <si>
    <t>PCVFY/2026/02/0107</t>
  </si>
  <si>
    <t>BEING PAYMENT FOR TARAWANDA EXPENES FOR THE MONTH FEB 2026.</t>
  </si>
  <si>
    <t>371008</t>
  </si>
  <si>
    <t>STJ/2026/02/16516</t>
  </si>
  <si>
    <t>CM/MTI/2025/05672 - [CCLGC328] TMT BAR SIZE 10 MM GRADE FY500. / MRQ/2026/01211</t>
  </si>
  <si>
    <t>STJ/2026/02/16517</t>
  </si>
  <si>
    <t>CM/MTI/2025/05673 - [CCLGC022] NAILS SIZE 3'' / MRQ/2026/01311</t>
  </si>
  <si>
    <t>STJ/2026/02/16518</t>
  </si>
  <si>
    <t>CM/MTI/2025/05673 - [CCLGC328] TMT BAR SIZE 10 MM GRADE FY500. / MRQ/2026/01311</t>
  </si>
  <si>
    <t>STJ/2026/02/16519</t>
  </si>
  <si>
    <t>CM/MTI/2025/05673 - [CCLGC329] TMT BAR SIZE 12 MM GRADE FY500. / MRQ/2026/01311</t>
  </si>
  <si>
    <t>STJ/2026/02/16520</t>
  </si>
  <si>
    <t>CM/MTI/2025/05673 - [CCLGC330] TMT BAR SIZE 16 MM GRADE FY500. / MRQ/2026/01311</t>
  </si>
  <si>
    <t>STJ/2026/02/16614</t>
  </si>
  <si>
    <t>CM/MTI/2025/05682 - [CCLGC018] CULVERT REINFORCED CONCRETE SIZE 900 MM DIA 1MTR LENGTH CONCRETE CLASS 25 / MRQ/2026/01308</t>
  </si>
  <si>
    <t>[CCLGC018] CULVERT REINFORCED CONCRETE SIZE 900 MM DIA 1MTR LENGTH CONCRETE CLASS 25</t>
  </si>
  <si>
    <t>STJ/2026/02/16615</t>
  </si>
  <si>
    <t>CM/MTI/2025/05682 - [CCLGC019] CULVERT WITH REINFORCED PIPE SIZE 1200MM DIA GRADE 25MM / MRQ/2026/01308</t>
  </si>
  <si>
    <t>[CCLGC019] CULVERT WITH REINFORCED PIPE SIZE 1200MM DIA GRADE 25MM</t>
  </si>
  <si>
    <t>STJ/2026/02/11725</t>
  </si>
  <si>
    <t>CM/MTI/2025/05573 - [CCLGC023] NAILS SIZE 4'' / MRQ/2026/01169</t>
  </si>
  <si>
    <t>STJ/2026/02/11726</t>
  </si>
  <si>
    <t>CM/MTI/2025/05573 - [CCLGC032] WIRE FOR BINDING / MRQ/2026/01169</t>
  </si>
  <si>
    <t>STJ/2026/02/11727</t>
  </si>
  <si>
    <t>CM/MTI/2025/05573 - [CCLGC329] TMT BAR SIZE 12 MM GRADE FY500. / MRQ/2026/01169</t>
  </si>
  <si>
    <t>STJ/2026/02/11728</t>
  </si>
  <si>
    <t>CM/MTI/2025/05573 - [CWCGC041] CUTTING WHEEL 7'' / MRQ/2026/01169</t>
  </si>
  <si>
    <t>STJ/2026/02/11231</t>
  </si>
  <si>
    <t>CM/MTI/2025/05532 - [CCLGC022] NAILS SIZE 3'' / MRQ/2026/01134</t>
  </si>
  <si>
    <t>STJ/2026/02/08546</t>
  </si>
  <si>
    <t>CM/MTI/2025/05445 - [CCLGC328] TMT BAR SIZE 10 MM GRADE FY500. / MRQ/2026/01004
Rounding Adjustment: +0.01 TSh</t>
  </si>
  <si>
    <t>STJ/2026/02/06952</t>
  </si>
  <si>
    <t>CM/MTI/2025/05415 - [CCLGC022] NAILS SIZE 3'' / MRQ/2026/00950</t>
  </si>
  <si>
    <t>STJ/2026/02/06953</t>
  </si>
  <si>
    <t>CM/MTI/2025/05415 - [CPAPT007] PAINT RED OXIDE / MRQ/2026/00950
Rounding Adjustment: +0.01 TSh</t>
  </si>
  <si>
    <t>STJ/2026/02/04503</t>
  </si>
  <si>
    <t>CM/MTI/2025/05358 - [CCLGC328] TMT BAR SIZE 10 MM GRADE FY500. / MRQ/2026/00885</t>
  </si>
  <si>
    <t>STJ/2026/02/01377</t>
  </si>
  <si>
    <t>CM/MTI/2025/05279 - [CCLGC004] SAND / MRQ/2026/00726</t>
  </si>
  <si>
    <t>STJ/2026/02/00562</t>
  </si>
  <si>
    <t>CM/MTI/2025/05250 - [CCLGC002] AGGREGATE GRANITE SIZE 14 MM TO 20 MM  / MRQ/2026/00668</t>
  </si>
  <si>
    <t>STJ/2026/02/16513</t>
  </si>
  <si>
    <t>CM/MTI/2025/05670 - [CCLGC028] NAILS CONCRETE SIZE 4'' / MRQ/2026/01314</t>
  </si>
  <si>
    <t>STJ/2026/02/16514</t>
  </si>
  <si>
    <t>CM/MTI/2025/05670 - [ESSAG008] ISA 65 X 65 X 6 / MRQ/2026/01314</t>
  </si>
  <si>
    <t>STJ/2026/02/14781</t>
  </si>
  <si>
    <t>CM/MTI/2025/05645 - [CCLGC022] NAILS SIZE 3'' / MRQ/2026/01219</t>
  </si>
  <si>
    <t>STJ/2026/02/14782</t>
  </si>
  <si>
    <t>CM/MTI/2025/05645 - [CCLGC023] NAILS SIZE 4'' / MRQ/2026/01219</t>
  </si>
  <si>
    <t>STJ/2026/02/14783</t>
  </si>
  <si>
    <t>CM/MTI/2025/05645 - [CCLGC038] TIMBER 2 INCH X 4 INCH UNTREATED / MRQ/2026/01219</t>
  </si>
  <si>
    <t>STJ/2026/02/14784</t>
  </si>
  <si>
    <t>CM/MTI/2025/05645 - [CCLGC052] PLYWOOD 8FEET X 4FEET X 18 MM THICK  / MRQ/2026/01219</t>
  </si>
  <si>
    <t>STJ/2026/02/14198</t>
  </si>
  <si>
    <t>CM/MTI/2025/05617 - [CCLGC187] PAINT BRUSH 4'' 100 MM / MRQ/2026/01253</t>
  </si>
  <si>
    <t>[CCLGC187] PAINT BRUSH 4'' 100 MM</t>
  </si>
  <si>
    <t>STJ/2026/02/14199</t>
  </si>
  <si>
    <t>CM/MTI/2025/05617 - [CSTGS060] TAPE MASKING SIZE 2'' / MRQ/2026/01253</t>
  </si>
  <si>
    <t>[CSTGS060] TAPE MASKING SIZE 2''</t>
  </si>
  <si>
    <t>ROLL</t>
  </si>
  <si>
    <t>STJ/2026/02/11232</t>
  </si>
  <si>
    <t>CM/MTI/2025/05533 - [CCLGC022] NAILS SIZE 3'' / MRQ/2026/01135</t>
  </si>
  <si>
    <t>STJ/2026/02/11233</t>
  </si>
  <si>
    <t>CM/MTI/2025/05533 - [CWCWR001] WELDING ELECTRODE MS 6013 SIZE 2.5 MM X 350 MM / MRQ/2026/01135</t>
  </si>
  <si>
    <t>STJ/2026/02/08562</t>
  </si>
  <si>
    <t>CM/MTI/2025/05451 - [CCLGC023] NAILS SIZE 4'' / MRQ/2026/01003</t>
  </si>
  <si>
    <t>STJ/2026/02/08563</t>
  </si>
  <si>
    <t>CM/MTI/2025/05451 - [CCLGC038] TIMBER 2 INCH X 4 INCH UNTREATED / MRQ/2026/01003</t>
  </si>
  <si>
    <t>STJ/2026/02/08564</t>
  </si>
  <si>
    <t>CM/MTI/2025/05451 - [CWCWR001] WELDING ELECTRODE MS 6013 SIZE 2.5 MM X 350 MM / MRQ/2026/01003</t>
  </si>
  <si>
    <t>STJ/2026/02/03831</t>
  </si>
  <si>
    <t>CM/MTI/2025/05339 - [CCLGC023] NAILS SIZE 4'' / MRQ/2026/00838</t>
  </si>
  <si>
    <t>STJ/2026/02/03832</t>
  </si>
  <si>
    <t>CM/MTI/2025/05339 - [CCLGC038] TIMBER 2 INCH X 4 INCH UNTREATED / MRQ/2026/00838</t>
  </si>
  <si>
    <t>STJ/2026/02/03833</t>
  </si>
  <si>
    <t>CM/MTI/2025/05339 - [CCLGC052] PLYWOOD 8FEET X 4FEET X 18 MM THICK  / MRQ/2026/00838</t>
  </si>
  <si>
    <t>STJ/2026/02/03834</t>
  </si>
  <si>
    <t>CM/MTI/2025/05339 - [CWCWR002] WELDING ELECTRODE MS 6013 SIZE 3.15 MM X 350 MM / MRQ/2026/00838</t>
  </si>
  <si>
    <t>STJ/2026/02/03175</t>
  </si>
  <si>
    <t>CM/MTI/2025/05326 - [CCLGC028] NAILS CONCRETE SIZE 4'' / MRQ/2026/00771</t>
  </si>
  <si>
    <t>STJ/2026/02/01370</t>
  </si>
  <si>
    <t>CM/MTI/2025/05273 - [CCLGC023] NAILS SIZE 4'' / MRQ/2026/00727</t>
  </si>
  <si>
    <t>STJ/2026/02/01371</t>
  </si>
  <si>
    <t>CM/MTI/2025/05273 - [CWCWR002] WELDING ELECTRODE MS 6013 SIZE 3.15 MM X 350 MM / MRQ/2026/00727</t>
  </si>
  <si>
    <t>STJ/2026/02/01375</t>
  </si>
  <si>
    <t>CM/MTI/2025/05277 - [CCLGC004] SAND / MRQ/2026/00725</t>
  </si>
  <si>
    <t>STJ/2026/02/00548</t>
  </si>
  <si>
    <t>CM/MTI/2025/05244 - [CCLGC022] NAILS SIZE 3'' / MRQ/2026/00704</t>
  </si>
  <si>
    <t>STJ/2026/02/00549</t>
  </si>
  <si>
    <t>CM/MTI/2025/05244 - [CCLGC038] TIMBER 2 INCH X 4 INCH UNTREATED / MRQ/2026/00704</t>
  </si>
  <si>
    <t>STJ/2026/02/00561</t>
  </si>
  <si>
    <t>CM/MTI/2025/05249 - [CCLGC002] AGGREGATE GRANITE SIZE 14 MM TO 20 MM  / MRQ/2026/00669</t>
  </si>
  <si>
    <t>STJ/2026/02/11709</t>
  </si>
  <si>
    <t>CM/MTI/2025/05566 - [CCLGC328] TMT BAR SIZE 10 MM GRADE FY500. / MRQ/2026/01193
Rounding Adjustment: +0.01 TSh</t>
  </si>
  <si>
    <t>STJ/2026/02/01376</t>
  </si>
  <si>
    <t>CM/MTI/2025/05278 - [CCLGC004] SAND / MRQ/2026/00724</t>
  </si>
  <si>
    <t>STJ/2026/02/00560</t>
  </si>
  <si>
    <t>CM/MTI/2025/05248 - [CCLGC002] AGGREGATE GRANITE SIZE 14 MM TO 20 MM  / MRQ/2026/00667</t>
  </si>
  <si>
    <t>Feb</t>
  </si>
  <si>
    <t>CAPEX Report - 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</si>
</sst>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###,###,###,###,###,##0.00"/>
    <numFmt numFmtId="166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mbria"/>
      <family val="2"/>
      <scheme val="major"/>
    </font>
    <font>
      <sz val="8"/>
      <color rgb="FFFF0000"/>
      <name val="Arial"/>
      <family val="2"/>
    </font>
    <font>
      <b/>
      <sz val="2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0">
    <xf numFmtId="0" fontId="0" fillId="0" borderId="0" xfId="0"/>
    <xf numFmtId="164" fontId="0" fillId="0" borderId="0" xfId="1" applyFont="1"/>
    <xf numFmtId="164" fontId="0" fillId="0" borderId="0" xfId="0" applyNumberFormat="1"/>
    <xf numFmtId="0" fontId="0" fillId="0" borderId="0" xfId="0" pivotButton="1"/>
    <xf numFmtId="0" fontId="0" fillId="0" borderId="1" xfId="0" applyBorder="1"/>
    <xf numFmtId="164" fontId="0" fillId="0" borderId="1" xfId="1" applyFont="1" applyBorder="1" applyAlignment="1"/>
    <xf numFmtId="14" fontId="0" fillId="0" borderId="1" xfId="0" applyNumberFormat="1" applyBorder="1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4" fillId="0" borderId="1" xfId="0" applyNumberFormat="1" applyFont="1" applyBorder="1" applyAlignment="1">
      <alignment horizontal="right" vertical="center" wrapText="1"/>
    </xf>
    <xf numFmtId="164" fontId="0" fillId="0" borderId="1" xfId="1" applyFont="1" applyBorder="1"/>
    <xf numFmtId="164" fontId="4" fillId="0" borderId="1" xfId="1" applyFont="1" applyBorder="1" applyAlignment="1">
      <alignment horizontal="right" vertical="center" wrapText="1"/>
    </xf>
    <xf numFmtId="0" fontId="3" fillId="0" borderId="1" xfId="0" applyFont="1" applyBorder="1"/>
    <xf numFmtId="164" fontId="0" fillId="0" borderId="1" xfId="0" applyNumberFormat="1" applyBorder="1"/>
    <xf numFmtId="0" fontId="4" fillId="0" borderId="1" xfId="0" applyFont="1" applyBorder="1" applyAlignment="1">
      <alignment horizontal="right" vertical="center"/>
    </xf>
    <xf numFmtId="164" fontId="4" fillId="0" borderId="1" xfId="1" applyFont="1" applyBorder="1" applyAlignment="1">
      <alignment horizontal="right" vertical="center"/>
    </xf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66" fontId="0" fillId="0" borderId="1" xfId="1" applyNumberFormat="1" applyFont="1" applyBorder="1"/>
    <xf numFmtId="166" fontId="0" fillId="0" borderId="1" xfId="0" applyNumberFormat="1" applyBorder="1"/>
    <xf numFmtId="1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center" wrapText="1"/>
    </xf>
    <xf numFmtId="166" fontId="0" fillId="0" borderId="2" xfId="1" applyNumberFormat="1" applyFont="1" applyBorder="1"/>
    <xf numFmtId="0" fontId="4" fillId="0" borderId="2" xfId="0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right" vertical="center" wrapText="1"/>
    </xf>
    <xf numFmtId="0" fontId="0" fillId="0" borderId="2" xfId="0" applyBorder="1"/>
    <xf numFmtId="0" fontId="4" fillId="0" borderId="3" xfId="0" applyFont="1" applyBorder="1" applyAlignment="1">
      <alignment horizontal="left" vertical="center"/>
    </xf>
    <xf numFmtId="165" fontId="4" fillId="0" borderId="3" xfId="0" applyNumberFormat="1" applyFont="1" applyBorder="1" applyAlignment="1">
      <alignment horizontal="right" vertical="center" wrapText="1"/>
    </xf>
    <xf numFmtId="164" fontId="3" fillId="0" borderId="0" xfId="0" applyNumberFormat="1" applyFont="1"/>
    <xf numFmtId="164" fontId="0" fillId="4" borderId="0" xfId="0" applyNumberFormat="1" applyFill="1"/>
    <xf numFmtId="0" fontId="0" fillId="0" borderId="4" xfId="0" applyBorder="1"/>
    <xf numFmtId="0" fontId="5" fillId="0" borderId="4" xfId="0" applyFont="1" applyBorder="1"/>
    <xf numFmtId="0" fontId="7" fillId="3" borderId="1" xfId="0" applyFont="1" applyFill="1" applyBorder="1" applyAlignment="1">
      <alignment horizontal="center"/>
    </xf>
    <xf numFmtId="0" fontId="0" fillId="0" borderId="1" xfId="0" pivotButton="1" applyBorder="1"/>
  </cellXfs>
  <cellStyles count="2">
    <cellStyle name="Comma" xfId="1" builtinId="3"/>
    <cellStyle name="Normal" xfId="0" builtinId="0"/>
  </cellStyles>
  <dxfs count="66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.00_-;\-* #,##0.00_-;_-* &quot;-&quot;??_-;_-@_-"/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.00_-;\-* #,##0.00_-;_-* &quot;-&quot;??_-;_-@_-"/>
    </dxf>
  </dxfs>
  <tableStyles count="1" defaultTableStyle="TableStyleMedium2" defaultPivotStyle="PivotStyleLight16">
    <tableStyle name="PivotTable Style 1" table="0" count="0" xr9:uid="{27605116-6289-431A-AB90-78B270DDB56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ownloads\trial_bal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</sheetNames>
    <sheetDataSet>
      <sheetData sheetId="0">
        <row r="3">
          <cell r="A3" t="str">
            <v>371000-371500 CAPITAL WORK IN PROGRESS</v>
          </cell>
        </row>
        <row r="4">
          <cell r="A4" t="str">
            <v>371001 MINERAL EXPLORATION COAL EXP - SONGEA</v>
          </cell>
          <cell r="H4">
            <v>0</v>
          </cell>
        </row>
        <row r="5">
          <cell r="A5" t="str">
            <v>371002 MINERAL EXPLORATION EXP - SINGIDA</v>
          </cell>
          <cell r="H5">
            <v>0</v>
          </cell>
        </row>
        <row r="6">
          <cell r="A6" t="str">
            <v>371003 MINERAL EXPLORATION IRON ORE</v>
          </cell>
          <cell r="H6">
            <v>0</v>
          </cell>
        </row>
        <row r="7">
          <cell r="A7" t="str">
            <v>371004 MINERAL EXP KILUVIA NEW MINES EXPLORATION</v>
          </cell>
          <cell r="H7">
            <v>0</v>
          </cell>
        </row>
        <row r="8">
          <cell r="A8" t="str">
            <v>371005 MINERAL EXPLORATION EXP. (OTHERS)</v>
          </cell>
          <cell r="H8">
            <v>0</v>
          </cell>
        </row>
        <row r="9">
          <cell r="A9" t="str">
            <v>371006 MINERAL EXPLORATION - KILUVIA</v>
          </cell>
          <cell r="H9">
            <v>0</v>
          </cell>
        </row>
        <row r="10">
          <cell r="A10" t="str">
            <v>371007 PROSPECTING &amp; NEW MINES RESEARCH EXP</v>
          </cell>
          <cell r="H10">
            <v>0</v>
          </cell>
        </row>
        <row r="11">
          <cell r="A11" t="str">
            <v>371008 TARAWANDA LAND AQUISITION AND OTHER EXPENSES</v>
          </cell>
          <cell r="H11">
            <v>0</v>
          </cell>
        </row>
        <row r="12">
          <cell r="A12" t="str">
            <v>371009 MINERAL EXPLORATION KILWA</v>
          </cell>
          <cell r="H12">
            <v>0</v>
          </cell>
        </row>
        <row r="13">
          <cell r="A13" t="str">
            <v>371012 CWIP-QUARRY RAW MATERIAL SHED EXTENSION</v>
          </cell>
          <cell r="H13">
            <v>31286780.280000001</v>
          </cell>
        </row>
        <row r="14">
          <cell r="A14" t="str">
            <v>371014 CWIP-GYPSUM SHED SURROUNDING &amp; CEMENT MILL AREA NEW ROAD</v>
          </cell>
          <cell r="H14">
            <v>0</v>
          </cell>
        </row>
        <row r="15">
          <cell r="A15" t="str">
            <v>371021 CWIP-PYRO UPGRADATION</v>
          </cell>
          <cell r="H15">
            <v>11489000</v>
          </cell>
        </row>
        <row r="16">
          <cell r="A16" t="str">
            <v>371022 CWIP-COAL MILL NEW</v>
          </cell>
          <cell r="H16">
            <v>0</v>
          </cell>
        </row>
        <row r="17">
          <cell r="A17" t="str">
            <v>371023 CWIP-CEMENT MILL 50TPH NEW</v>
          </cell>
          <cell r="H17">
            <v>0</v>
          </cell>
        </row>
        <row r="18">
          <cell r="A18" t="str">
            <v>371024 CWIP-BAG HOUSE UPGRADE</v>
          </cell>
          <cell r="H18">
            <v>0</v>
          </cell>
        </row>
        <row r="19">
          <cell r="A19" t="str">
            <v>371025 CWIP-NEW STAFF QUARTERS</v>
          </cell>
          <cell r="H19">
            <v>0</v>
          </cell>
        </row>
        <row r="20">
          <cell r="A20" t="str">
            <v>371026 CWIP-PROJECT INFRASTRUCTURE</v>
          </cell>
          <cell r="H20">
            <v>0</v>
          </cell>
        </row>
        <row r="21">
          <cell r="A21" t="str">
            <v>371029 CWIP-NEW STEEL SILO</v>
          </cell>
          <cell r="H21">
            <v>0</v>
          </cell>
        </row>
        <row r="22">
          <cell r="A22" t="str">
            <v>371030 CWIP-PRE OPERATIVE EXPENSE</v>
          </cell>
          <cell r="H22">
            <v>1099395.7999992371</v>
          </cell>
        </row>
        <row r="23">
          <cell r="A23" t="str">
            <v>371034 CWIP-CONSTRUCTION OF HUTMENTS</v>
          </cell>
          <cell r="H23">
            <v>0</v>
          </cell>
        </row>
        <row r="24">
          <cell r="A24" t="str">
            <v>371037 CWIP-CONSTRUCTION OF PACKING PLANT AND BIG BAG LOADING</v>
          </cell>
          <cell r="H24">
            <v>0</v>
          </cell>
        </row>
        <row r="25">
          <cell r="A25" t="str">
            <v>371038 CWIP-CONSTRUCTION OF NEW RAW MILL FEEDING AND UPGRADATION</v>
          </cell>
          <cell r="H25">
            <v>0</v>
          </cell>
        </row>
        <row r="26">
          <cell r="A26" t="str">
            <v>371039 CWIP-CONSTRUCTION OF LIME STONE AND GYPSUM FEEDING SYSTEM IN CEMENT MILL</v>
          </cell>
          <cell r="H26">
            <v>0</v>
          </cell>
        </row>
        <row r="27">
          <cell r="A27" t="str">
            <v>371041 CWIP-ESP UPGRADATION</v>
          </cell>
          <cell r="H27">
            <v>0</v>
          </cell>
        </row>
        <row r="28">
          <cell r="A28" t="str">
            <v>371042 CWIP-CONSTRUCTION OF LOAD CENTRES</v>
          </cell>
          <cell r="H28">
            <v>0</v>
          </cell>
        </row>
        <row r="29">
          <cell r="A29" t="str">
            <v>371044 CWIP-CONSTRUCTION OF PACKING PLANT AND BIG BAG LOADING</v>
          </cell>
          <cell r="H29">
            <v>0</v>
          </cell>
        </row>
        <row r="30">
          <cell r="A30" t="str">
            <v>371045 CWIP-CONSTRUCTION OF NEW RAW MILL FEEDING AND UPGRADATION</v>
          </cell>
          <cell r="H30">
            <v>0</v>
          </cell>
        </row>
        <row r="31">
          <cell r="A31" t="str">
            <v>371050 CWIP-TECHNICAL CONSULTATION AND EXPERTS HIRING FOR PROJECT WORK</v>
          </cell>
          <cell r="H31">
            <v>0</v>
          </cell>
        </row>
        <row r="32">
          <cell r="A32" t="str">
            <v>371051 CWIP-ROAD PHASE 06</v>
          </cell>
          <cell r="H32">
            <v>0</v>
          </cell>
        </row>
        <row r="33">
          <cell r="A33" t="str">
            <v>371052 CWIP-ROAD PHASE 07</v>
          </cell>
          <cell r="H33">
            <v>23483743.180000011</v>
          </cell>
        </row>
        <row r="34">
          <cell r="A34" t="str">
            <v>371053 CWIP-CHANGING ROOM OF EMPLOYEE</v>
          </cell>
          <cell r="H34">
            <v>0</v>
          </cell>
        </row>
        <row r="35">
          <cell r="A35" t="str">
            <v>371055 CWIP-CIVIL WORK NEW RECLAIMER AND CRUSHER</v>
          </cell>
          <cell r="H35">
            <v>0</v>
          </cell>
        </row>
        <row r="36">
          <cell r="A36" t="str">
            <v>371056 MINERAL EXPLORATION &amp; DEVELOPMENT-TARAWANDA</v>
          </cell>
          <cell r="H36">
            <v>22320201.970000003</v>
          </cell>
        </row>
        <row r="37">
          <cell r="A37" t="str">
            <v>371057 CWIP-INSTALLATION OF NEW WEIGHBRIDGE AT QUARRY(2NOS)</v>
          </cell>
          <cell r="H37">
            <v>0</v>
          </cell>
        </row>
        <row r="38">
          <cell r="A38" t="str">
            <v>371058 CWIP-FABRICATION OF INHOUSE TRAILOR</v>
          </cell>
          <cell r="H38">
            <v>0</v>
          </cell>
        </row>
        <row r="39">
          <cell r="A39" t="str">
            <v>371059 CWIP-CONSTRUCTION OF PLANT BOUNDARY WALL</v>
          </cell>
          <cell r="H39">
            <v>23575840.16</v>
          </cell>
        </row>
        <row r="40">
          <cell r="A40" t="str">
            <v>Total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eesh Kumar Dogra" refreshedDate="46087.532673958332" createdVersion="7" refreshedVersion="7" minRefreshableVersion="3" recordCount="1810" xr:uid="{38579304-C4C6-49B9-B267-2BC9FE84195C}">
  <cacheSource type="worksheet">
    <worksheetSource ref="A2:AD1812" sheet="Breakup"/>
  </cacheSource>
  <cacheFields count="31">
    <cacheField name="S.No" numFmtId="0">
      <sharedItems containsString="0" containsBlank="1" containsNumber="1" containsInteger="1" minValue="1" maxValue="61080"/>
    </cacheField>
    <cacheField name="Create Date" numFmtId="14">
      <sharedItems containsSemiMixedTypes="0" containsNonDate="0" containsDate="1" containsString="0" minDate="2025-04-02T06:37:56" maxDate="2026-02-28T08:54:10"/>
    </cacheField>
    <cacheField name="Date" numFmtId="14">
      <sharedItems containsSemiMixedTypes="0" containsNonDate="0" containsDate="1" containsString="0" minDate="2025-04-02T00:00:00" maxDate="2026-03-01T00:00:00" count="219">
        <d v="2025-04-02T00:00:00"/>
        <d v="2025-04-03T00:00:00"/>
        <d v="2025-04-04T00:00:00"/>
        <d v="2025-04-05T00:00:00"/>
        <d v="2025-04-08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7T00:00:00"/>
        <d v="2025-05-12T00:00:00"/>
        <d v="2025-05-15T00:00:00"/>
        <d v="2025-05-20T00:00:00"/>
        <d v="2025-05-21T00:00:00"/>
        <d v="2025-05-22T00:00:00"/>
        <d v="2025-05-26T00:00:00"/>
        <d v="2025-05-27T00:00:00"/>
        <d v="2025-05-28T00:00:00"/>
        <d v="2025-05-29T00:00:00"/>
        <d v="2025-05-30T00:00:00"/>
        <d v="2025-05-31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4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30T00:00:00"/>
        <d v="2025-07-01T00:00:00"/>
        <d v="2025-07-02T00:00:00"/>
        <d v="2025-07-03T00:00:00"/>
        <d v="2025-07-04T00:00:00"/>
        <d v="2025-07-05T00:00:00"/>
        <d v="2025-07-08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2T00:00:00"/>
        <d v="2025-07-23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4T00:00:00"/>
        <d v="2025-08-05T00:00:00"/>
        <d v="2025-08-06T00:00:00"/>
        <d v="2025-08-07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3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8T00:00:00"/>
        <d v="2025-09-09T00:00:00"/>
        <d v="2025-09-10T00:00:00"/>
        <d v="2025-09-11T00:00:00"/>
        <d v="2025-09-12T00:00:00"/>
        <d v="2025-09-13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7T00:00:00"/>
        <d v="2025-09-29T00:00:00"/>
        <d v="2025-09-30T00:00:00"/>
        <d v="2025-10-01T00:00:00"/>
        <d v="2025-10-02T00:00:00"/>
        <d v="2025-10-04T00:00:00"/>
        <d v="2025-10-06T00:00:00"/>
        <d v="2025-10-08T00:00:00"/>
        <d v="2025-10-10T00:00:00"/>
        <d v="2025-10-15T00:00:00"/>
        <d v="2025-10-16T00:00:00"/>
        <d v="2025-10-17T00:00:00"/>
        <d v="2025-10-18T00:00:00"/>
        <d v="2025-10-20T00:00:00"/>
        <d v="2025-10-24T00:00:00"/>
        <d v="2025-10-27T00:00:00"/>
        <d v="2025-10-25T00:00:00"/>
        <d v="2025-10-23T00:00:00"/>
        <d v="2025-10-22T00:00:00"/>
        <d v="2025-10-13T00:00:00"/>
        <d v="2025-10-07T00:00:00"/>
        <d v="2025-10-28T00:00:00"/>
        <d v="2025-10-21T00:00:00"/>
        <d v="2025-10-03T00:00:00"/>
        <d v="2025-11-08T00:00:00"/>
        <d v="2025-11-10T00:00:00"/>
        <d v="2025-11-11T00:00:00"/>
        <d v="2025-11-12T00:00:00"/>
        <d v="2025-11-17T00:00:00"/>
        <d v="2025-11-19T00:00:00"/>
        <d v="2025-11-21T00:00:00"/>
        <d v="2025-11-24T00:00:00"/>
        <d v="2025-11-25T00:00:00"/>
        <d v="2025-11-27T00:00:00"/>
        <d v="2025-11-28T00:00:00"/>
        <d v="2025-11-29T00:00:00"/>
        <d v="2025-11-06T00:00:00"/>
        <d v="2025-11-14T00:00:00"/>
        <d v="2025-11-18T00:00:00"/>
        <d v="2025-11-05T00:00:00"/>
        <d v="2025-11-04T00:00:00"/>
        <d v="2025-11-13T00:00:00"/>
        <d v="2025-11-26T00:00:00"/>
        <d v="2025-12-02T00:00:00"/>
        <d v="2025-12-03T00:00:00"/>
        <d v="2025-12-04T00:00:00"/>
        <d v="2025-12-08T00:00:00"/>
        <d v="2025-12-10T00:00:00"/>
        <d v="2025-12-19T00:00:00"/>
        <d v="2025-12-22T00:00:00"/>
        <d v="2025-12-23T00:00:00"/>
        <d v="2025-12-24T00:00:00"/>
        <d v="2025-12-31T00:00:00"/>
        <d v="2025-12-18T00:00:00"/>
        <d v="2025-12-01T00:00:00"/>
        <d v="2025-12-16T00:00:00"/>
        <d v="2025-12-05T00:00:00"/>
        <d v="2025-12-13T00:00:00"/>
        <d v="2025-12-11T00:00:00"/>
        <d v="2025-12-06T00:00:00"/>
        <d v="2025-12-12T00:00:00"/>
        <d v="2026-01-02T00:00:00"/>
        <d v="2026-01-05T00:00:00"/>
        <d v="2026-01-14T00:00:00"/>
        <d v="2026-01-31T00:00:00"/>
        <d v="2026-01-15T00:00:00"/>
        <d v="2026-01-16T00:00:00"/>
        <d v="2026-01-27T00:00:00"/>
        <d v="2026-01-29T00:00:00"/>
        <d v="2026-01-19T00:00:00"/>
        <d v="2026-01-26T00:00:00"/>
        <d v="2026-01-03T00:00:00"/>
        <d v="2026-01-24T00:00:00"/>
        <d v="2026-01-22T00:00:00"/>
        <d v="2026-01-13T00:00:00"/>
        <d v="2026-01-09T00:00:00"/>
        <d v="2026-01-23T00:00:00"/>
        <d v="2026-01-20T00:00:00"/>
        <d v="2026-01-17T00:00:00"/>
        <d v="2026-01-06T00:00:00"/>
        <d v="2026-02-02T00:00:00"/>
        <d v="2026-02-03T00:00:00"/>
        <d v="2026-02-04T00:00:00"/>
        <d v="2026-02-05T00:00:00"/>
        <d v="2026-02-07T00:00:00"/>
        <d v="2026-02-19T00:00:00"/>
        <d v="2026-02-23T00:00:00"/>
        <d v="2026-02-28T00:00:00"/>
        <d v="2026-02-27T00:00:00"/>
        <d v="2026-02-21T00:00:00"/>
        <d v="2026-02-14T00:00:00"/>
        <d v="2026-02-12T00:00:00"/>
        <d v="2026-02-09T00:00:00"/>
        <d v="2026-02-25T00:00:00"/>
        <d v="2026-02-24T00:00:00"/>
        <d v="2026-02-06T00:00:00"/>
      </sharedItems>
      <fieldGroup par="30" base="2">
        <rangePr groupBy="months" startDate="2025-04-02T00:00:00" endDate="2026-03-01T00:00:00"/>
        <groupItems count="14">
          <s v="&lt;02/04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3/2026"/>
        </groupItems>
      </fieldGroup>
    </cacheField>
    <cacheField name="Voucher No" numFmtId="0">
      <sharedItems/>
    </cacheField>
    <cacheField name="Voucher Type" numFmtId="0">
      <sharedItems/>
    </cacheField>
    <cacheField name="Label" numFmtId="0">
      <sharedItems containsBlank="1" longText="1"/>
    </cacheField>
    <cacheField name="Reference" numFmtId="0">
      <sharedItems longText="1"/>
    </cacheField>
    <cacheField name="Partner Code" numFmtId="0">
      <sharedItems containsBlank="1"/>
    </cacheField>
    <cacheField name="Partner Name" numFmtId="0">
      <sharedItems containsBlank="1"/>
    </cacheField>
    <cacheField name="Account Group" numFmtId="0">
      <sharedItems containsBlank="1"/>
    </cacheField>
    <cacheField name="Account Type" numFmtId="0">
      <sharedItems containsBlank="1"/>
    </cacheField>
    <cacheField name="Account Code" numFmtId="0">
      <sharedItems containsBlank="1"/>
    </cacheField>
    <cacheField name="Account" numFmtId="0">
      <sharedItems/>
    </cacheField>
    <cacheField name="Analytic Account" numFmtId="0">
      <sharedItems containsBlank="1"/>
    </cacheField>
    <cacheField name="Division" numFmtId="0">
      <sharedItems/>
    </cacheField>
    <cacheField name="Department" numFmtId="0">
      <sharedItems containsBlank="1"/>
    </cacheField>
    <cacheField name="Debit" numFmtId="0">
      <sharedItems containsSemiMixedTypes="0" containsString="0" containsNumber="1" minValue="0" maxValue="839087291.13"/>
    </cacheField>
    <cacheField name="Credit" numFmtId="0">
      <sharedItems containsString="0" containsBlank="1" containsNumber="1" minValue="0" maxValue="376461643.38999999"/>
    </cacheField>
    <cacheField name="Amount Currency" numFmtId="165">
      <sharedItems containsSemiMixedTypes="0" containsString="0" containsNumber="1" minValue="-376461643.38999999" maxValue="839087291.13"/>
    </cacheField>
    <cacheField name="Currency" numFmtId="0">
      <sharedItems/>
    </cacheField>
    <cacheField name="Product" numFmtId="0">
      <sharedItems containsBlank="1"/>
    </cacheField>
    <cacheField name="Category" numFmtId="0">
      <sharedItems containsBlank="1" containsMixedTypes="1" containsNumber="1" minValue="-248032" maxValue="396.3"/>
    </cacheField>
    <cacheField name="Quantity" numFmtId="0">
      <sharedItems containsBlank="1" containsMixedTypes="1" containsNumber="1" minValue="-347220" maxValue="900"/>
    </cacheField>
    <cacheField name="UOM" numFmtId="0">
      <sharedItems containsBlank="1"/>
    </cacheField>
    <cacheField name="Type" numFmtId="0">
      <sharedItems containsNonDate="0" containsString="0" containsBlank="1" count="1">
        <m/>
      </sharedItems>
    </cacheField>
    <cacheField name="GROUP" numFmtId="0">
      <sharedItems count="5">
        <s v="371000-371500 CAPITAL WORK IN PROGRESS"/>
        <s v="301000-301050 LAND &amp; SITE DEVELOPMENT"/>
        <s v="341000-341100 OFFICE &amp; MISC EQUIPEMENTS"/>
        <s v="331000-331100 FURNITURE &amp; FIXTURES"/>
        <s v="351000-351100 VEHICLES"/>
      </sharedItems>
    </cacheField>
    <cacheField name="N. Account" numFmtId="0">
      <sharedItems count="25">
        <s v="371021 CWIP-PYRO UPGRADATION"/>
        <s v="371056 MINERAL EXPLORATION &amp; DEVELOPMENT-TARAWANDA"/>
        <s v="371041 CWIP-ESP UPGRADATION"/>
        <s v="371030 CWIP-PRE OPERATIVE EXPENSE"/>
        <s v="301003 LAND COST"/>
        <s v="301001 LAND RIGHTS AQUISITION (TARAWANDA)"/>
        <s v="341001 COMPUTER &amp; PERIPHERALS"/>
        <s v="331001 FURNITURE &amp; FIXTURES"/>
        <s v="371039 CWIP-CONSTRUCTION OF LIME STONE AND GYPSUM FEEDING SYSTEM IN CEMENT MILL"/>
        <s v="371038 CWIP-CONSTRUCTION OF NEW RAW MILL FEEDING AND UPGRADATION"/>
        <s v="341003 OTHER OFFICE EQUIPEMENT"/>
        <s v="371050 CWIP-TECHNICAL CONSULTATION AND EXPERTS HIRING FOR PROJECT WORK"/>
        <s v="371058 CWIP-FABRICATION OF INHOUSE TRAILOR"/>
        <s v="341004 COMMUNICATION EQUIPMENT"/>
        <s v="371057 CWIP-INSTALLATION OF NEW WEIGHBRIDGE AT QUARRY(2NOS)"/>
        <s v="371024 CWIP-BAG HOUSE UPGRADE"/>
        <s v="341002 AIR CONDITIONERS"/>
        <s v="371052 CWIP-ROAD PHASE 07"/>
        <s v="371012 CWIP-QUARRY RAW MATERIAL SHED EXTENSION"/>
        <s v="371014 CWIP-GYPSUM SHED SURROUNDING &amp; CEMENT MILL AREA NEW ROAD"/>
        <s v="351001 VEHICLES - PASSENGER"/>
        <s v="371059 CWIP-CONSTRUCTION OF PLANT BOUNDARY WALL"/>
        <s v="351005 VEHICLES - PASSENGER - LOGISTICS"/>
        <s v="351002 VEHICLES - OFFROAD COMMERCIAL"/>
        <s v="341003 OTHER OFFICE EQUIPEMENT  "/>
      </sharedItems>
    </cacheField>
    <cacheField name="COST HEAD" numFmtId="0">
      <sharedItems containsBlank="1" containsMixedTypes="1" containsNumber="1" containsInteger="1" minValue="0" maxValue="0" count="9">
        <s v="2200 TPD Commissioning"/>
        <m/>
        <s v="MINING LAND"/>
        <s v="OTHERS"/>
        <s v="OPC Project"/>
        <n v="0"/>
        <s v="ROADS"/>
        <s v="RM SHED"/>
        <s v="WALL"/>
      </sharedItems>
    </cacheField>
    <cacheField name="Value IN USD" numFmtId="166">
      <sharedItems containsSemiMixedTypes="0" containsString="0" containsNumber="1" minValue="-147632.01701568626" maxValue="329053.8396588235"/>
    </cacheField>
    <cacheField name="BUDGET IN USD" numFmtId="0">
      <sharedItems containsString="0" containsBlank="1" containsNumber="1" containsInteger="1" minValue="0" maxValue="600000"/>
    </cacheField>
    <cacheField name="Years" numFmtId="0" databaseField="0">
      <fieldGroup base="2">
        <rangePr groupBy="years" startDate="2025-04-02T00:00:00" endDate="2026-03-01T00:00:00"/>
        <groupItems count="4">
          <s v="&lt;02/04/2025"/>
          <s v="2025"/>
          <s v="2026"/>
          <s v="&gt;01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0">
  <r>
    <n v="26"/>
    <d v="2025-04-02T06:37:56"/>
    <x v="0"/>
    <s v="MISC/2025/04/0001"/>
    <s v="Miscellaneous Operations"/>
    <m/>
    <s v="BEING AMOUNT OF DEBITED TO GIDO AS PER MAIL FROM MR SAJIV SIR AGAINST INV NO PSG01B AND BILL NO SERBL/2025/03/297 DT 31/03/2025"/>
    <m/>
    <m/>
    <s v="CAPITAL WORK IN PROGRESS"/>
    <s v="Fixed Assets"/>
    <s v="371021"/>
    <s v="371021 CWIP-PYRO UPGRADATION"/>
    <s v="CWIP-Pyro Upgradation"/>
    <s v="PROJECT"/>
    <s v="PROJECT"/>
    <n v="0"/>
    <n v="1560000"/>
    <n v="-1560000"/>
    <s v="TZS"/>
    <m/>
    <m/>
    <n v="1"/>
    <m/>
    <x v="0"/>
    <x v="0"/>
    <x v="0"/>
    <x v="0"/>
    <n v="-611.76470588235293"/>
    <n v="300000"/>
  </r>
  <r>
    <n v="27"/>
    <d v="2025-04-03T09:53:53"/>
    <x v="1"/>
    <s v="PCVFY/2025/04/0018"/>
    <s v="PCV (PETTY CASH FACTORY)"/>
    <m/>
    <s v="BEING: STTLEMENT FOR PAYMENT FOR CONPENSATION FOR ROAD TO VILLAGERS FOR 10 BOREHOLES  - IBRAHIM R. NYAKABOHA"/>
    <s v="LCL/KIMB/1063"/>
    <s v="IBRAHIM NYAKIBOHA"/>
    <s v="CAPITAL WORK IN PROGRESS"/>
    <s v="Fixed Assets"/>
    <s v="371056"/>
    <s v="371056 MINERAL EXPLORATION &amp; DEVELOPMENT-TARAWANDA"/>
    <s v="Kimbiji Factory"/>
    <s v="QUARRY"/>
    <s v="QUARRYING"/>
    <n v="2076000"/>
    <n v="0"/>
    <n v="2076000"/>
    <s v="TZS"/>
    <m/>
    <m/>
    <n v="1"/>
    <m/>
    <x v="0"/>
    <x v="0"/>
    <x v="1"/>
    <x v="1"/>
    <n v="814.11764705882354"/>
    <n v="0"/>
  </r>
  <r>
    <n v="28"/>
    <d v="2025-04-03T00:00:00"/>
    <x v="1"/>
    <s v="STJ/2025/04/00469"/>
    <s v="Inventory Valuation"/>
    <s v="CM/MTI/2025/00085 - [EPFPI030] PIPE MS SIZE 4&quot; DIA X 6000 MM LONG CLASS C / MRQ/2024/11092"/>
    <s v="CM/MTI/2025/00085 - [EPFPI030] PIPE MS SIZE 4&quot; DIA X 6000 MM LONG CLASS C / MRQ/2024/11092"/>
    <m/>
    <m/>
    <s v="MATERIAL COST"/>
    <s v="Expenses"/>
    <s v="731002"/>
    <s v="731002 STORE SPARES &amp; CONSUMABLE-GENERAL"/>
    <s v="CWIP-Pyro Upgradation"/>
    <s v="PROJECT"/>
    <s v="PROJECT"/>
    <n v="1000000"/>
    <n v="0"/>
    <n v="1000000"/>
    <s v="TZS"/>
    <s v="[EPFPI030] PIPE MS SIZE 4&quot; DIA X 6000 MM LONG CLASS C"/>
    <m/>
    <n v="-4"/>
    <s v="NOS"/>
    <x v="0"/>
    <x v="0"/>
    <x v="0"/>
    <x v="0"/>
    <n v="392.15686274509807"/>
    <n v="0"/>
  </r>
  <r>
    <n v="29"/>
    <d v="2025-04-03T00:00:00"/>
    <x v="1"/>
    <s v="STJ/2025/04/00329"/>
    <s v="Inventory Valuation"/>
    <s v="CM/MTI/2025/00020 - [CIGGS001] GAS OXYGEN FULL CYLINDER, O2 / MRQ/2025/00024"/>
    <s v="CM/MTI/2025/00020 - [CIGGS001] GAS OXYGEN FULL CYLINDER, O2 / MRQ/2025/00024"/>
    <m/>
    <m/>
    <s v="MATERIAL COST"/>
    <s v="Expenses"/>
    <s v="731002"/>
    <s v="731002 STORE SPARES &amp; CONSUMABLE-GENERAL"/>
    <s v="CWIP-Pyro Upgradation"/>
    <s v="PROJECT"/>
    <s v="PROJECT"/>
    <n v="60000"/>
    <n v="0"/>
    <n v="60000"/>
    <s v="TZS"/>
    <s v="[CIGGS001] GAS OXYGEN FULL CYLINDER, O2"/>
    <m/>
    <n v="-4"/>
    <s v="NOS"/>
    <x v="0"/>
    <x v="0"/>
    <x v="0"/>
    <x v="0"/>
    <n v="23.529411764705884"/>
    <n v="0"/>
  </r>
  <r>
    <n v="30"/>
    <d v="2025-04-03T00:00:00"/>
    <x v="1"/>
    <s v="STJ/2025/04/00328"/>
    <s v="Inventory Valuation"/>
    <s v="CM/MTI/2025/00019 - [CCLGC032] WIRE FOR BINDING / MRQ/2025/00023"/>
    <s v="CM/MTI/2025/00019 - [CCLGC032] WIRE FOR BINDING / MRQ/2025/00023"/>
    <m/>
    <m/>
    <s v="MATERIAL COST"/>
    <s v="Expenses"/>
    <s v="731002"/>
    <s v="731002 STORE SPARES &amp; CONSUMABLE-GENERAL"/>
    <s v="CWIP-ESP UPGRADATION"/>
    <s v="PROJECT"/>
    <s v="PROJECT"/>
    <n v="350000"/>
    <n v="0"/>
    <n v="350000"/>
    <s v="TZS"/>
    <s v="[CCLGC032] WIRE FOR BINDING"/>
    <m/>
    <n v="-50"/>
    <s v="KG"/>
    <x v="0"/>
    <x v="0"/>
    <x v="2"/>
    <x v="0"/>
    <n v="137.25490196078431"/>
    <n v="0"/>
  </r>
  <r>
    <n v="31"/>
    <d v="2025-04-03T00:00:00"/>
    <x v="1"/>
    <s v="STJ/2025/04/00296"/>
    <s v="Inventory Valuation"/>
    <s v="CM/MTI/2025/00006 - [CFLFL001] FUEL DIESEL / MRQ/2025/00009"/>
    <s v="CM/MTI/2025/00006 - [CFLFL001] FUEL DIESEL / MRQ/2025/00009"/>
    <m/>
    <m/>
    <s v="MATERIAL COST"/>
    <s v="Expenses"/>
    <s v="731007"/>
    <s v="731007 DIESEL CONSUMED"/>
    <s v="HYDRA T955EAN"/>
    <s v="PROJECT"/>
    <s v="PROJECT"/>
    <n v="66951.86"/>
    <n v="0"/>
    <n v="66951.86"/>
    <s v="TZS"/>
    <s v="[CFLFL001] FUEL DIESEL"/>
    <m/>
    <n v="-25"/>
    <s v="LTR"/>
    <x v="0"/>
    <x v="0"/>
    <x v="3"/>
    <x v="0"/>
    <n v="26.255631372549018"/>
    <n v="0"/>
  </r>
  <r>
    <n v="32"/>
    <d v="2025-04-03T00:00:00"/>
    <x v="1"/>
    <s v="STJ/2025/04/00295"/>
    <s v="Inventory Valuation"/>
    <s v="CM/MTI/2025/00005 - [CFLFL001] FUEL DIESEL / MRQ/2025/00008"/>
    <s v="CM/MTI/2025/00005 - [CFLFL001] FUEL DIESEL / MRQ/2025/00008"/>
    <m/>
    <m/>
    <s v="MATERIAL COST"/>
    <s v="Expenses"/>
    <s v="731007"/>
    <s v="731007 DIESEL CONSUMED"/>
    <s v="HYDRA T289ECC"/>
    <s v="PROJECT"/>
    <s v="PROJECT"/>
    <n v="66951.86"/>
    <n v="0"/>
    <n v="66951.86"/>
    <s v="TZS"/>
    <s v="[CFLFL001] FUEL DIESEL"/>
    <m/>
    <n v="-25"/>
    <s v="LTR"/>
    <x v="0"/>
    <x v="0"/>
    <x v="3"/>
    <x v="0"/>
    <n v="26.255631372549018"/>
    <n v="0"/>
  </r>
  <r>
    <n v="33"/>
    <d v="2025-04-03T00:00:00"/>
    <x v="1"/>
    <s v="STJ/2025/04/00294"/>
    <s v="Inventory Valuation"/>
    <s v="CM/MTI/2025/00004 - [CFLFL001] FUEL DIESEL / MRQ/2025/00007"/>
    <s v="CM/MTI/2025/00004 - [CFLFL001] FUEL DIESEL / MRQ/2025/00007"/>
    <m/>
    <m/>
    <s v="MATERIAL COST"/>
    <s v="Expenses"/>
    <s v="731007"/>
    <s v="731007 DIESEL CONSUMED"/>
    <s v="Back Hoe Loader PHANTOM T909DZE"/>
    <s v="PROJECT"/>
    <s v="PROJECT"/>
    <n v="267807.45"/>
    <n v="0"/>
    <n v="267807.45"/>
    <s v="TZS"/>
    <s v="[CFLFL001] FUEL DIESEL"/>
    <m/>
    <n v="-100"/>
    <s v="LTR"/>
    <x v="0"/>
    <x v="0"/>
    <x v="3"/>
    <x v="0"/>
    <n v="105.02252941176471"/>
    <n v="0"/>
  </r>
  <r>
    <n v="34"/>
    <d v="2025-04-04T13:48:58"/>
    <x v="2"/>
    <s v="SERBL/2025/04/0014"/>
    <s v="Service Bills"/>
    <s v="AIR TICKET CHARGES "/>
    <s v="ITI00003103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754545"/>
    <n v="0"/>
    <n v="754545"/>
    <s v="TZS"/>
    <m/>
    <m/>
    <n v="1"/>
    <m/>
    <x v="0"/>
    <x v="0"/>
    <x v="3"/>
    <x v="0"/>
    <n v="295.89999999999998"/>
    <n v="0"/>
  </r>
  <r>
    <n v="35"/>
    <d v="2025-04-04T13:35:54"/>
    <x v="2"/>
    <s v="SERBL/2025/04/0012"/>
    <s v="Service Bills"/>
    <s v="AIR TICKET CHARGES "/>
    <s v="ITI0000342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769340"/>
    <n v="0"/>
    <n v="769340"/>
    <s v="TZS"/>
    <m/>
    <m/>
    <n v="1"/>
    <m/>
    <x v="0"/>
    <x v="0"/>
    <x v="3"/>
    <x v="0"/>
    <n v="301.70196078431371"/>
    <n v="0"/>
  </r>
  <r>
    <n v="36"/>
    <d v="2025-04-04T13:26:50"/>
    <x v="2"/>
    <s v="SERBL/2025/04/0011"/>
    <s v="Service Bills"/>
    <s v="AIR TICKET CHARGES "/>
    <s v="ITI0000341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769340"/>
    <n v="0"/>
    <n v="769340"/>
    <s v="TZS"/>
    <m/>
    <m/>
    <n v="1"/>
    <m/>
    <x v="0"/>
    <x v="0"/>
    <x v="3"/>
    <x v="0"/>
    <n v="301.70196078431371"/>
    <n v="0"/>
  </r>
  <r>
    <n v="37"/>
    <d v="2025-04-04T13:19:55"/>
    <x v="2"/>
    <s v="SERBL/2025/04/0010"/>
    <s v="Service Bills"/>
    <s v="AIR TICKET CHARGES "/>
    <s v="DTI00006586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294420.5"/>
    <n v="0"/>
    <n v="294420.5"/>
    <s v="TZS"/>
    <m/>
    <m/>
    <n v="1"/>
    <m/>
    <x v="0"/>
    <x v="0"/>
    <x v="3"/>
    <x v="0"/>
    <n v="115.45901960784313"/>
    <n v="0"/>
  </r>
  <r>
    <n v="38"/>
    <d v="2025-04-04T13:10:05"/>
    <x v="2"/>
    <s v="SERBL/2025/04/0009"/>
    <s v="Service Bills"/>
    <s v="AIR TICKET CHARGES "/>
    <s v="ITI0000336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837397"/>
    <n v="0"/>
    <n v="837397"/>
    <s v="TZS"/>
    <m/>
    <m/>
    <n v="1"/>
    <m/>
    <x v="0"/>
    <x v="0"/>
    <x v="3"/>
    <x v="0"/>
    <n v="328.39098039215685"/>
    <n v="0"/>
  </r>
  <r>
    <n v="39"/>
    <d v="2025-04-04T13:05:20"/>
    <x v="2"/>
    <s v="SERBL/2025/04/0008"/>
    <s v="Service Bills"/>
    <s v="EXCESS OF BAGGAGE CHARGES "/>
    <s v="MXI00000135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79893"/>
    <n v="0"/>
    <n v="79893"/>
    <s v="TZS"/>
    <m/>
    <m/>
    <n v="1"/>
    <m/>
    <x v="0"/>
    <x v="0"/>
    <x v="3"/>
    <x v="0"/>
    <n v="31.330588235294119"/>
    <n v="0"/>
  </r>
  <r>
    <n v="40"/>
    <d v="2025-04-04T12:43:33"/>
    <x v="2"/>
    <s v="SERBL/2025/04/0007"/>
    <s v="Service Bills"/>
    <s v="AIR TICKET CHARGES "/>
    <s v="ITI00003367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955757"/>
    <n v="0"/>
    <n v="955757"/>
    <s v="TZS"/>
    <m/>
    <m/>
    <n v="1"/>
    <m/>
    <x v="0"/>
    <x v="0"/>
    <x v="3"/>
    <x v="0"/>
    <n v="374.80666666666667"/>
    <n v="0"/>
  </r>
  <r>
    <n v="41"/>
    <d v="2025-04-04T12:39:57"/>
    <x v="2"/>
    <s v="SERBL/2025/04/0006"/>
    <s v="Service Bills"/>
    <s v="AIR TICKET CHARGES "/>
    <s v="DTI00006588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201212"/>
    <n v="0"/>
    <n v="201212"/>
    <s v="TZS"/>
    <m/>
    <m/>
    <n v="1"/>
    <m/>
    <x v="0"/>
    <x v="0"/>
    <x v="3"/>
    <x v="0"/>
    <n v="78.906666666666666"/>
    <n v="0"/>
  </r>
  <r>
    <n v="42"/>
    <d v="2025-04-04T12:36:09"/>
    <x v="2"/>
    <s v="SERBL/2025/04/0005"/>
    <s v="Service Bills"/>
    <s v="AIR TICKET CHARGES "/>
    <s v="ITI00003207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778217"/>
    <n v="0"/>
    <n v="778217"/>
    <s v="TZS"/>
    <m/>
    <m/>
    <n v="1"/>
    <m/>
    <x v="0"/>
    <x v="0"/>
    <x v="3"/>
    <x v="0"/>
    <n v="305.18313725490196"/>
    <n v="0"/>
  </r>
  <r>
    <n v="43"/>
    <d v="2025-04-04T12:23:51"/>
    <x v="2"/>
    <s v="SERBL/2025/04/0004"/>
    <s v="Service Bills"/>
    <s v="AIR TICKET CHARGES "/>
    <s v="DTI00006374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207130"/>
    <n v="0"/>
    <n v="207130"/>
    <s v="TZS"/>
    <m/>
    <m/>
    <n v="1"/>
    <m/>
    <x v="0"/>
    <x v="0"/>
    <x v="3"/>
    <x v="0"/>
    <n v="81.227450980392163"/>
    <n v="0"/>
  </r>
  <r>
    <n v="44"/>
    <d v="2025-04-04T12:20:41"/>
    <x v="2"/>
    <s v="SERBL/2025/04/0003"/>
    <s v="Service Bills"/>
    <s v="AIR TICKET CHARGES "/>
    <s v="ITI00003113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756024.5"/>
    <n v="0"/>
    <n v="756024.5"/>
    <s v="TZS"/>
    <m/>
    <m/>
    <n v="1"/>
    <m/>
    <x v="0"/>
    <x v="0"/>
    <x v="3"/>
    <x v="0"/>
    <n v="296.48019607843139"/>
    <n v="0"/>
  </r>
  <r>
    <n v="45"/>
    <d v="2025-04-04T12:13:54"/>
    <x v="2"/>
    <s v="SERBL/2025/04/0002"/>
    <s v="Service Bills"/>
    <s v="AIR TICKET CHARGES "/>
    <s v="DTI00006204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33155"/>
    <n v="0"/>
    <n v="133155"/>
    <s v="TZS"/>
    <m/>
    <m/>
    <n v="1"/>
    <m/>
    <x v="0"/>
    <x v="0"/>
    <x v="3"/>
    <x v="0"/>
    <n v="52.21764705882353"/>
    <n v="0"/>
  </r>
  <r>
    <n v="46"/>
    <d v="2025-04-04T11:53:22"/>
    <x v="2"/>
    <s v="PCVHO/2025/04/0027"/>
    <s v="PCV (PETTY CASH HO)"/>
    <s v="LAND PURCHASE "/>
    <s v="Being payment for purchase of land at Kimbiji plot No, LC/KIM/25-620 &amp; 621 for 2.0 acres - Emmanuel F. Massawe"/>
    <m/>
    <m/>
    <s v="LAND &amp; SITE DEVELOPMENT"/>
    <s v="Fixed Assets"/>
    <s v="301003"/>
    <s v="301003 LAND COST"/>
    <s v="Kimbiji Factory"/>
    <s v="QUARRY"/>
    <s v="QUARRYING"/>
    <n v="5000000"/>
    <n v="0"/>
    <n v="5000000"/>
    <s v="TZS"/>
    <m/>
    <m/>
    <n v="1"/>
    <m/>
    <x v="0"/>
    <x v="1"/>
    <x v="4"/>
    <x v="2"/>
    <n v="1960.7843137254902"/>
    <n v="600000"/>
  </r>
  <r>
    <n v="47"/>
    <d v="2025-04-04T11:50:46"/>
    <x v="2"/>
    <s v="PCVHO/2025/04/0026"/>
    <s v="PCV (PETTY CASH HO)"/>
    <s v="LAND PURCHASE "/>
    <s v="Being payment for purchase of land at Kimbiji plot No, LC/KIM/25-592 for 1.0 acres - Ipyana N. Malamba"/>
    <m/>
    <m/>
    <s v="LAND &amp; SITE DEVELOPMENT"/>
    <s v="Fixed Assets"/>
    <s v="301003"/>
    <s v="301003 LAND COST"/>
    <s v="Kimbiji Factory"/>
    <s v="QUARRY"/>
    <s v="QUARRYING"/>
    <n v="4000000"/>
    <n v="0"/>
    <n v="4000000"/>
    <s v="TZS"/>
    <m/>
    <m/>
    <n v="1"/>
    <m/>
    <x v="0"/>
    <x v="1"/>
    <x v="4"/>
    <x v="2"/>
    <n v="1568.6274509803923"/>
    <n v="0"/>
  </r>
  <r>
    <n v="48"/>
    <d v="2025-04-04T11:48:22"/>
    <x v="2"/>
    <s v="PCVHO/2025/04/0025"/>
    <s v="PCV (PETTY CASH HO)"/>
    <s v="LAND PURCHASE "/>
    <s v="Being payment for purchase of land at Kimbiji plot No, LC/KIM/25-616 for 2.0 acres - Leonard Mathias"/>
    <m/>
    <m/>
    <s v="LAND &amp; SITE DEVELOPMENT"/>
    <s v="Fixed Assets"/>
    <s v="301003"/>
    <s v="301003 LAND COST"/>
    <s v="Kimbiji Factory"/>
    <s v="QUARRY"/>
    <s v="QUARRYING"/>
    <n v="2000000"/>
    <n v="0"/>
    <n v="2000000"/>
    <s v="TZS"/>
    <m/>
    <m/>
    <n v="1"/>
    <m/>
    <x v="0"/>
    <x v="1"/>
    <x v="4"/>
    <x v="2"/>
    <n v="784.31372549019613"/>
    <n v="0"/>
  </r>
  <r>
    <n v="49"/>
    <d v="2025-04-04T11:45:38"/>
    <x v="2"/>
    <s v="PCVHO/2025/04/0024"/>
    <s v="PCV (PETTY CASH HO)"/>
    <s v="PURCHASE OF LAND"/>
    <s v="Being payment for purchase of land at Kimbiji plot No, LC/KIM/25-619 for 0.49 acres - Vitus Exavery"/>
    <m/>
    <m/>
    <s v="LAND &amp; SITE DEVELOPMENT"/>
    <s v="Fixed Assets"/>
    <s v="301003"/>
    <s v="301003 LAND COST"/>
    <s v="Kimbiji Factory"/>
    <s v="QUARRY"/>
    <s v="QUARRYING"/>
    <n v="3000000"/>
    <n v="0"/>
    <n v="3000000"/>
    <s v="TZS"/>
    <m/>
    <m/>
    <n v="1"/>
    <m/>
    <x v="0"/>
    <x v="1"/>
    <x v="4"/>
    <x v="2"/>
    <n v="1176.4705882352941"/>
    <n v="0"/>
  </r>
  <r>
    <n v="50"/>
    <d v="2025-04-04T10:56:51"/>
    <x v="2"/>
    <s v="MISC/2025/04/0046"/>
    <s v="Miscellaneous Operations"/>
    <s v="LAND PURCHASE"/>
    <s v="ABSA TZS CHQ NO.106112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1"/>
    <d v="2025-04-04T10:55:17"/>
    <x v="2"/>
    <s v="MISC/2025/04/0045"/>
    <s v="Miscellaneous Operations"/>
    <s v="LAND PURCHASE"/>
    <s v="ABSA TZS CHQ NO.106111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2"/>
    <d v="2025-04-04T10:53:50"/>
    <x v="2"/>
    <s v="MISC/2025/04/0044"/>
    <s v="Miscellaneous Operations"/>
    <s v="LAND PURCHASE"/>
    <s v="ABSA TZS CHQ NO.106110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3"/>
    <d v="2025-04-04T10:52:11"/>
    <x v="2"/>
    <s v="MISC/2025/04/0043"/>
    <s v="Miscellaneous Operations"/>
    <s v=" LAND PURCHASE_x000a_"/>
    <s v="ABSA TZS CHQ NO.106109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4"/>
    <d v="2025-04-04T10:50:22"/>
    <x v="2"/>
    <s v="MISC/2025/04/0042"/>
    <s v="Miscellaneous Operations"/>
    <s v="LAND PURCHASE"/>
    <s v="ABSA TZS CHQ NO.106108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5"/>
    <d v="2025-04-04T10:49:01"/>
    <x v="2"/>
    <s v="MISC/2025/04/0041"/>
    <s v="Miscellaneous Operations"/>
    <s v="LAND PURCHASE"/>
    <s v="ABSA TZS CHQ NO.106107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6"/>
    <d v="2025-04-04T10:47:39"/>
    <x v="2"/>
    <s v="MISC/2025/04/0040"/>
    <s v="Miscellaneous Operations"/>
    <s v="LAND PURCHASE"/>
    <s v="ABSA TZS CHQ NO.106106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7"/>
    <d v="2025-04-04T10:46:14"/>
    <x v="2"/>
    <s v="MISC/2025/04/0039"/>
    <s v="Miscellaneous Operations"/>
    <s v="LAND PURCHASE"/>
    <s v="ABSA TZS CHQ NO.106105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8"/>
    <d v="2025-04-04T10:44:06"/>
    <x v="2"/>
    <s v="MISC/2025/04/0038"/>
    <s v="Miscellaneous Operations"/>
    <s v="LAND PURCHASE"/>
    <s v="ABSA TZS CHQ NO.106104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9"/>
    <d v="2025-04-04T10:41:56"/>
    <x v="2"/>
    <s v="MISC/2025/04/0037"/>
    <s v="Miscellaneous Operations"/>
    <s v="LAND PURCHASE"/>
    <s v="ABSA TZS CHQ NO.106103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60"/>
    <d v="2025-04-04T10:40:26"/>
    <x v="2"/>
    <s v="MISC/2025/04/0036"/>
    <s v="Miscellaneous Operations"/>
    <s v="LAND PURCHASE"/>
    <s v="ABSA TZS CHQ NO.106102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61"/>
    <d v="2025-04-04T10:38:31"/>
    <x v="2"/>
    <s v="MISC/2025/04/0035"/>
    <s v="Miscellaneous Operations"/>
    <s v="LAND PURCHASE"/>
    <s v="ABSA TZS CHQ NO.106101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62"/>
    <d v="2025-04-04T10:36:02"/>
    <x v="2"/>
    <s v="MISC/2025/04/0034"/>
    <s v="Miscellaneous Operations"/>
    <s v="LAND PURCHASE"/>
    <s v="ABSA TZS CHQ NO.106100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63"/>
    <d v="2025-04-04T10:34:19"/>
    <x v="2"/>
    <s v="MISC/2025/04/0033"/>
    <s v="Miscellaneous Operations"/>
    <s v="LAND PURCHASE"/>
    <s v="ABSA TZS CHQ NO.106099 PAID LAND COST - LC/KM/25-620, LC/KM/25-621, 3 ACRES, 94 B.H -EMMANUEL FRANCIS MASSAW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64"/>
    <d v="2025-04-04T10:31:27"/>
    <x v="2"/>
    <s v="MISC/2025/04/0032"/>
    <s v="Miscellaneous Operations"/>
    <s v="LAND PURCHASE"/>
    <s v="ABSA TZS CHQ NO.106128 PAID LAND COST - LC/KM/25-618, 2 ACRES, 110 B.H -SALVATORY ENYAS MWANANDENJ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65"/>
    <d v="2025-04-04T10:29:57"/>
    <x v="2"/>
    <s v="MISC/2025/04/0031"/>
    <s v="Miscellaneous Operations"/>
    <s v="LAND PURCHASE"/>
    <s v="ABSA TZS CHQ NO.106127 PAID LAND COST - LC/KM/25-618, 2 ACRES, 110 B.H -SALVATORY ENYAS MWANANDENJ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66"/>
    <d v="2025-04-04T10:27:58"/>
    <x v="2"/>
    <s v="MISC/2025/04/0030"/>
    <s v="Miscellaneous Operations"/>
    <s v="LAND PURCHASE"/>
    <s v="ABSA TZS CHQ NO.106126 PAID LAND COST - LC/KM/25-618, 2 ACRES, 110 B.H -SALVATORY ENYAS MWANANDENJE"/>
    <m/>
    <m/>
    <s v="LAND &amp; SITE DEVELOPMENT"/>
    <s v="Fixed Assets"/>
    <s v="301003"/>
    <s v="301003 LAND COST"/>
    <s v="Kimbiji Factory"/>
    <s v="QUARRY"/>
    <s v="QUALITY CONTROL"/>
    <n v="10000000"/>
    <n v="0"/>
    <n v="10000000"/>
    <s v="TZS"/>
    <m/>
    <m/>
    <n v="1"/>
    <m/>
    <x v="0"/>
    <x v="1"/>
    <x v="4"/>
    <x v="2"/>
    <n v="3921.5686274509803"/>
    <n v="0"/>
  </r>
  <r>
    <n v="67"/>
    <d v="2025-04-04T10:26:16"/>
    <x v="2"/>
    <s v="MISC/2025/04/0029"/>
    <s v="Miscellaneous Operations"/>
    <s v="LAND PURCHASE"/>
    <s v="ABSA TZS CHQ NO.106125 PAID LAND COST - LC/KM/25-618, 2 ACRES, 110 B.H -SALVATORY ENYAS MWANANDENJ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68"/>
    <d v="2025-04-04T10:24:49"/>
    <x v="2"/>
    <s v="MISC/2025/04/0028"/>
    <s v="Miscellaneous Operations"/>
    <s v="LAND PURCHASE"/>
    <s v="ABSA TZS CHQ NO.106124 PAID LAND COST - LC/KM/25-618, 2 ACRES, 110 B.H -SALVATORY ENYAS MWANANDENJ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69"/>
    <d v="2025-04-04T10:23:12"/>
    <x v="2"/>
    <s v="MISC/2025/04/0027"/>
    <s v="Miscellaneous Operations"/>
    <s v="LAND PURCHASE"/>
    <s v="ABSA TZS CHQ NO.106123 PAID LAND COST - LC/KM/25-618, 2 ACRES, 110 B.H -SALVATORY ENYAS MWANANDENJ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70"/>
    <d v="2025-04-04T10:21:35"/>
    <x v="2"/>
    <s v="MISC/2025/04/0026"/>
    <s v="Miscellaneous Operations"/>
    <s v="LAND PURCHASE"/>
    <s v="ABSA TZS CHQ NO.106122 PAID LAND COST - LC/KM/25-618, 2 ACRES, 110 B.H -SALVATORY ENYAS MWANANDENJE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71"/>
    <d v="2025-04-04T10:17:51"/>
    <x v="2"/>
    <s v="MISC/2025/04/0025"/>
    <s v="Miscellaneous Operations"/>
    <s v="LAND PURCHASE"/>
    <s v="ABSA TZS CHQ NO.106091 PAID LAND COST - LC/KM/25-616, 2 ACRES -LEONARD LAZARO MATHIAS"/>
    <m/>
    <m/>
    <s v="LAND &amp; SITE DEVELOPMENT"/>
    <s v="Fixed Assets"/>
    <s v="301003"/>
    <s v="301003 LAND COST"/>
    <s v="Kimbiji Factory"/>
    <s v="QUARRY"/>
    <s v="QUARRYING"/>
    <n v="3000000"/>
    <n v="0"/>
    <n v="3000000"/>
    <s v="TZS"/>
    <m/>
    <m/>
    <n v="1"/>
    <m/>
    <x v="0"/>
    <x v="1"/>
    <x v="4"/>
    <x v="2"/>
    <n v="1176.4705882352941"/>
    <n v="0"/>
  </r>
  <r>
    <n v="72"/>
    <d v="2025-04-04T10:16:19"/>
    <x v="2"/>
    <s v="MISC/2025/04/0024"/>
    <s v="Miscellaneous Operations"/>
    <s v="LAND PURCHASE"/>
    <s v="ABSA TZS CHQ NO.106117 PAID LAND COST - LC/KM/25-616, 2 ACRES -LEONARD LAZARO MATHIAS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73"/>
    <d v="2025-04-04T10:14:13"/>
    <x v="2"/>
    <s v="MISC/2025/04/0023"/>
    <s v="Miscellaneous Operations"/>
    <s v="LAND PURCHASE"/>
    <s v="ABSA TZS CHQ NO.106116 PAID LAND COST - LC/KM/25-616, 2 ACRES -LEONARD LAZARO MATHIAS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74"/>
    <d v="2025-04-04T10:12:36"/>
    <x v="2"/>
    <s v="MISC/2025/04/0022"/>
    <s v="Miscellaneous Operations"/>
    <s v="LAND PURCHASE"/>
    <s v="ABSA TZS CHQ NO.106115 PAID LAND COST - LC/KM/25-616, 2 ACRES -LEONARD LAZARO MATHIAS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75"/>
    <d v="2025-04-04T10:10:16"/>
    <x v="2"/>
    <s v="MISC/2025/04/0021"/>
    <s v="Miscellaneous Operations"/>
    <s v="LAND PURCHASE"/>
    <s v="ABSA TZS CHQ NO.106114 PAID LAND COST - LC/KM/25-616, 2 ACRES -LEONARD LAZARO MATHIAS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76"/>
    <d v="2025-04-04T10:08:24"/>
    <x v="2"/>
    <s v="MISC/2025/04/0020"/>
    <s v="Miscellaneous Operations"/>
    <s v="LAND PURCHASE"/>
    <s v="ABSA TZS CHQ NO.106113 PAID LAND COST - LC/KM/25-616,  2 ACRES -LEONARD LAZARO MATHIAS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77"/>
    <d v="2025-04-04T10:04:58"/>
    <x v="2"/>
    <s v="MISC/2025/04/0019"/>
    <s v="Miscellaneous Operations"/>
    <s v="LAND PURCHASE"/>
    <s v="ABSA TZS CHQ NO.106118 PAID LAND COST - LC/KM/25-619, 0.49ACRES -VITUS MALIPESA EXAVERY"/>
    <m/>
    <m/>
    <s v="LAND &amp; SITE DEVELOPMENT"/>
    <s v="Fixed Assets"/>
    <s v="301003"/>
    <s v="301003 LAND COST"/>
    <s v="Kimbiji Factory"/>
    <s v="QUARRY"/>
    <s v="QUARRYING"/>
    <n v="7000000"/>
    <n v="0"/>
    <n v="7000000"/>
    <s v="TZS"/>
    <m/>
    <m/>
    <n v="1"/>
    <m/>
    <x v="0"/>
    <x v="1"/>
    <x v="4"/>
    <x v="2"/>
    <n v="2745.0980392156862"/>
    <n v="0"/>
  </r>
  <r>
    <n v="78"/>
    <d v="2025-04-04T10:02:16"/>
    <x v="2"/>
    <s v="MISC/2025/04/0018"/>
    <s v="Miscellaneous Operations"/>
    <s v="LAND PURCHASE"/>
    <s v="ABSA TZS CHQ NO.106084 PAID LAND COST - LC/KM/24-592, 1 ACRES, 37.1 B.H -IPYANA NELSON MALAMBA"/>
    <m/>
    <m/>
    <s v="LAND &amp; SITE DEVELOPMENT"/>
    <s v="Fixed Assets"/>
    <s v="301003"/>
    <s v="301003 LAND COST"/>
    <s v="Kimbiji Factory"/>
    <s v="QUARRY"/>
    <s v="QUARRYING"/>
    <n v="1000000"/>
    <n v="0"/>
    <n v="1000000"/>
    <s v="TZS"/>
    <m/>
    <m/>
    <n v="1"/>
    <m/>
    <x v="0"/>
    <x v="1"/>
    <x v="4"/>
    <x v="2"/>
    <n v="392.15686274509807"/>
    <n v="0"/>
  </r>
  <r>
    <n v="79"/>
    <d v="2025-04-04T10:00:12"/>
    <x v="2"/>
    <s v="MISC/2025/04/0017"/>
    <s v="Miscellaneous Operations"/>
    <s v="LAND PURCHASE"/>
    <s v="ABSA TZS CHQ NO.106083 PAID LAND COST - LC/KM/24-592, 1 ACRES, 37.1 B.H -IPYANA NELSON MALAMBA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80"/>
    <d v="2025-04-04T09:58:19"/>
    <x v="2"/>
    <s v="MISC/2025/04/0016"/>
    <s v="Miscellaneous Operations"/>
    <s v="LAND PURCHASE"/>
    <s v="ABSA TZS CHQ NO.106082 PAID LAND COST - LC/KM/24-592, 1 ACRES, 37.1 B.H -IPYANA NELSON MALAMBA"/>
    <m/>
    <m/>
    <s v="LAND &amp; SITE DEVELOPMENT"/>
    <s v="Fixed Assets"/>
    <s v="301001"/>
    <s v="301001 LAND RIGHTS AQUISITION (TARAWANDA)"/>
    <s v="Kimbiji Factory"/>
    <s v="QUARRY"/>
    <s v="QUARRYING"/>
    <n v="10000000"/>
    <n v="0"/>
    <n v="10000000"/>
    <s v="TZS"/>
    <m/>
    <m/>
    <n v="1"/>
    <m/>
    <x v="0"/>
    <x v="1"/>
    <x v="5"/>
    <x v="1"/>
    <n v="3921.5686274509803"/>
    <n v="0"/>
  </r>
  <r>
    <n v="81"/>
    <d v="2025-04-04T09:55:09"/>
    <x v="2"/>
    <s v="MISC/2025/04/0015"/>
    <s v="Miscellaneous Operations"/>
    <s v="LAND PURCHASE"/>
    <s v="ABSA TZS CHQ NO.106081 PAID LAND COST - LC/KM/25-610, 1 ACRES, 205 B.H -ALNASIR KASSAMALI GULAMHUSSEIN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82"/>
    <d v="2025-04-04T09:53:33"/>
    <x v="2"/>
    <s v="MISC/2025/04/0014"/>
    <s v="Miscellaneous Operations"/>
    <s v="LAND PURCHASE"/>
    <s v="ABSA TZS CHQ NO.106080 PAID LAND COST - LC/KM/25-610, 1 ACRES, 205 B.H -ALNASIR KASSAMALI GULAMHUSSEIN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83"/>
    <d v="2025-04-04T09:51:50"/>
    <x v="2"/>
    <s v="MISC/2025/04/0013"/>
    <s v="Miscellaneous Operations"/>
    <s v="LAND PURCHASE"/>
    <s v="ABSA TZS CHQ NO.106079 PAID LAND COST - LC/KM/25-610, 1 ACRES, 205 B.H -ALNASIR KASSAMALI GULAMHUSSEIN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84"/>
    <d v="2025-04-04T09:49:02"/>
    <x v="2"/>
    <s v="MISC/2025/04/0012"/>
    <s v="Miscellaneous Operations"/>
    <s v="LAND PURCHASE"/>
    <s v="ABSA TZS CHQ NO.106078 PAID LAND COST - LC/KM/25-610, 1 ACRES, 205 B.H -ALNASIR KASSAMALI GULAMHUSSEIN"/>
    <m/>
    <m/>
    <s v="LAND &amp; SITE DEVELOPMENT"/>
    <s v="Fixed Assets"/>
    <s v="301003"/>
    <s v="301003 LAND COST"/>
    <s v="Kimbiji Factory"/>
    <s v="QUARRY"/>
    <s v="QUALITY CONTROL"/>
    <n v="10000000"/>
    <n v="0"/>
    <n v="10000000"/>
    <s v="TZS"/>
    <m/>
    <m/>
    <n v="1"/>
    <m/>
    <x v="0"/>
    <x v="1"/>
    <x v="4"/>
    <x v="2"/>
    <n v="3921.5686274509803"/>
    <n v="0"/>
  </r>
  <r>
    <n v="85"/>
    <d v="2025-04-04T09:45:30"/>
    <x v="2"/>
    <s v="MISC/2025/04/0011"/>
    <s v="Miscellaneous Operations"/>
    <s v="LAND PURCHASE"/>
    <s v="ABSA TZS CHQ NO.106077 PAID LAND COST - LC/KM/25-610, 1 ACRES, 205 B.H  -ALNASIR KASSAMALI GULAMHUSSEIN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86"/>
    <d v="2025-04-04T09:43:27"/>
    <x v="2"/>
    <s v="MISC/2025/04/0010"/>
    <s v="Miscellaneous Operations"/>
    <s v="LAND PURCHASE"/>
    <s v="ABSA TZS CHQ NO.106076 PAID LAND COST - LC/KM/25-610, 1 ACRES, 205 B.H  -ALNASIR KASSAMALI GULAMHUSSEIN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87"/>
    <d v="2025-04-04T12:47:22"/>
    <x v="2"/>
    <s v="DBN/2025/04/0001"/>
    <s v="Service Bills"/>
    <s v="DBN AGAINST AIR TICKET CHARGES "/>
    <s v="ITC00000314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0"/>
    <n v="2884314.84"/>
    <n v="-2884314.84"/>
    <s v="TZS"/>
    <m/>
    <m/>
    <n v="1"/>
    <m/>
    <x v="0"/>
    <x v="0"/>
    <x v="3"/>
    <x v="0"/>
    <n v="-1131.1038588235294"/>
    <n v="0"/>
  </r>
  <r>
    <n v="88"/>
    <d v="2025-04-05T09:28:20"/>
    <x v="3"/>
    <s v="SERBL/2025/04/0022"/>
    <s v="Service Bills"/>
    <s v="AIR TICKET CHARGES "/>
    <s v="ITI0000311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133297"/>
    <n v="0"/>
    <n v="1133297"/>
    <s v="TZS"/>
    <m/>
    <m/>
    <n v="1"/>
    <m/>
    <x v="0"/>
    <x v="0"/>
    <x v="3"/>
    <x v="0"/>
    <n v="444.43019607843138"/>
    <n v="0"/>
  </r>
  <r>
    <n v="89"/>
    <d v="2025-04-05T09:20:13"/>
    <x v="3"/>
    <s v="SERBL/2025/04/0021"/>
    <s v="Service Bills"/>
    <s v="AIR TICKET CHARGES "/>
    <s v="ITI00003206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757504"/>
    <n v="0"/>
    <n v="757504"/>
    <s v="TZS"/>
    <m/>
    <m/>
    <n v="1"/>
    <m/>
    <x v="0"/>
    <x v="0"/>
    <x v="3"/>
    <x v="0"/>
    <n v="297.06039215686275"/>
    <n v="0"/>
  </r>
  <r>
    <n v="90"/>
    <d v="2025-04-05T09:16:53"/>
    <x v="3"/>
    <s v="SERBL/2025/04/0020"/>
    <s v="Service Bills"/>
    <s v="AIR TICKET CHARGES "/>
    <s v="DTI00006372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53868"/>
    <n v="0"/>
    <n v="153868"/>
    <s v="TZS"/>
    <m/>
    <m/>
    <n v="1"/>
    <m/>
    <x v="0"/>
    <x v="0"/>
    <x v="3"/>
    <x v="0"/>
    <n v="60.340392156862748"/>
    <n v="0"/>
  </r>
  <r>
    <n v="91"/>
    <d v="2025-04-05T09:12:19"/>
    <x v="3"/>
    <s v="SERBL/2025/04/0019"/>
    <s v="Service Bills"/>
    <s v="AIR TICKET CHARGES "/>
    <s v="DTI00006395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47950"/>
    <n v="0"/>
    <n v="147950"/>
    <s v="TZS"/>
    <m/>
    <m/>
    <n v="1"/>
    <m/>
    <x v="0"/>
    <x v="0"/>
    <x v="3"/>
    <x v="0"/>
    <n v="58.019607843137258"/>
    <n v="0"/>
  </r>
  <r>
    <n v="92"/>
    <d v="2025-04-05T09:00:44"/>
    <x v="3"/>
    <s v="SERBL/2025/04/0017"/>
    <s v="Service Bills"/>
    <s v="AIR TICKET CHARGES "/>
    <s v="ITI00003233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946880"/>
    <n v="0"/>
    <n v="946880"/>
    <s v="TZS"/>
    <m/>
    <m/>
    <n v="1"/>
    <m/>
    <x v="0"/>
    <x v="0"/>
    <x v="3"/>
    <x v="0"/>
    <n v="371.32549019607842"/>
    <n v="0"/>
  </r>
  <r>
    <n v="93"/>
    <d v="2025-04-05T08:55:42"/>
    <x v="3"/>
    <s v="SERBL/2025/04/0016"/>
    <s v="Service Bills"/>
    <s v="AIR TICKET CHARGES "/>
    <s v="ITI00003326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609554"/>
    <n v="0"/>
    <n v="609554"/>
    <s v="TZS"/>
    <m/>
    <m/>
    <n v="1"/>
    <m/>
    <x v="0"/>
    <x v="0"/>
    <x v="3"/>
    <x v="0"/>
    <n v="239.04078431372548"/>
    <n v="0"/>
  </r>
  <r>
    <n v="94"/>
    <d v="2025-04-05T07:29:07"/>
    <x v="3"/>
    <s v="SERBL/2025/04/0015"/>
    <s v="Service Bills"/>
    <s v="AIR TICKET CHARGES "/>
    <s v="ITI00003104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350641.5"/>
    <n v="0"/>
    <n v="350641.5"/>
    <s v="TZS"/>
    <m/>
    <m/>
    <n v="1"/>
    <m/>
    <x v="0"/>
    <x v="0"/>
    <x v="3"/>
    <x v="0"/>
    <n v="137.50647058823529"/>
    <n v="0"/>
  </r>
  <r>
    <n v="95"/>
    <d v="2025-04-05T00:00:00"/>
    <x v="3"/>
    <s v="STJ/2025/04/01002"/>
    <s v="Inventory Valuation"/>
    <s v="CM/MTI/2025/00104 - [CFLFL001] FUEL DIESEL / MRQ/2025/00115"/>
    <s v="CM/MTI/2025/00104 - [CFLFL001] FUEL DIESEL / MRQ/2025/00115"/>
    <m/>
    <m/>
    <s v="MATERIAL COST"/>
    <s v="Expenses"/>
    <s v="731007"/>
    <s v="731007 DIESEL CONSUMED"/>
    <s v="ZOOMLION CRANE T727EDH"/>
    <s v="PROJECT"/>
    <s v="MECHANICAL"/>
    <n v="267807.45"/>
    <n v="0"/>
    <n v="267807.45"/>
    <s v="TZS"/>
    <s v="[CFLFL001] FUEL DIESEL"/>
    <m/>
    <n v="-100"/>
    <s v="LTR"/>
    <x v="0"/>
    <x v="0"/>
    <x v="3"/>
    <x v="0"/>
    <n v="105.02252941176471"/>
    <n v="0"/>
  </r>
  <r>
    <n v="96"/>
    <d v="2025-04-05T00:00:00"/>
    <x v="3"/>
    <s v="STJ/2025/04/00999"/>
    <s v="Inventory Valuation"/>
    <s v="CM/MTI/2025/00101 - [CFLFL001] FUEL DIESEL / MRQ/2025/00113_x000a_Rounding Adjustment: -0.01 TSh"/>
    <s v="CM/MTI/2025/00101 - [CFLFL001] FUEL DIESEL / MRQ/2025/00113_x000a_Rounding Adjustment: -0.01 TSh"/>
    <m/>
    <m/>
    <s v="MATERIAL COST"/>
    <s v="Expenses"/>
    <s v="731007"/>
    <s v="731007 DIESEL CONSUMED"/>
    <s v="Back Hoe Loader PHANTOM T909DZE"/>
    <s v="PROJECT"/>
    <s v="MECHANICAL"/>
    <n v="267807.46000000002"/>
    <n v="0"/>
    <n v="267807.46000000002"/>
    <s v="TZS"/>
    <s v="[CFLFL001] FUEL DIESEL"/>
    <m/>
    <n v="-100"/>
    <s v="LTR"/>
    <x v="0"/>
    <x v="0"/>
    <x v="3"/>
    <x v="0"/>
    <n v="105.02253333333334"/>
    <n v="0"/>
  </r>
  <r>
    <n v="97"/>
    <d v="2025-04-08T00:00:00"/>
    <x v="4"/>
    <s v="STJ/2025/04/01577"/>
    <s v="Inventory Valuation"/>
    <s v="CM/MTI/2025/00108 - [CACOP003] COMPUTER DESKTOP / MRQ/2025/00126-FOR PACKING PLANT WEGHSCALE"/>
    <s v="CM/MTI/2025/00108 - [CACOP003] COMPUTER DESKTOP / MRQ/2025/00126FOR PACKING PLANT WEGHSCALE"/>
    <m/>
    <m/>
    <s v="MATERIAL COST"/>
    <s v="Expenses"/>
    <s v="731003"/>
    <s v="731003 STORE SPARES &amp; CONSUMABLE-CA"/>
    <s v="Fixed Asset"/>
    <s v="ADMIN"/>
    <s v="INSTRUMENTATION"/>
    <n v="1515000"/>
    <n v="0"/>
    <n v="1515000"/>
    <s v="TZS"/>
    <s v="[CACOP003] COMPUTER DESKTOP"/>
    <m/>
    <n v="-1"/>
    <s v="NOS"/>
    <x v="0"/>
    <x v="2"/>
    <x v="6"/>
    <x v="1"/>
    <n v="594.11764705882354"/>
    <n v="0"/>
  </r>
  <r>
    <n v="98"/>
    <d v="2025-04-10T00:00:00"/>
    <x v="5"/>
    <s v="STJ/2025/04/02972"/>
    <s v="Inventory Valuation"/>
    <s v="CM/MTI/2025/00190 - [CFLFL001] FUEL DIESEL / MRQ/2025/00259"/>
    <s v="CM/MTI/2025/00190 - [CFLFL001] FUEL DIESEL / MRQ/2025/00259"/>
    <m/>
    <m/>
    <s v="MATERIAL COST"/>
    <s v="Expenses"/>
    <s v="731007"/>
    <s v="731007 DIESEL CONSUMED"/>
    <s v="HYDRA T955EAN"/>
    <s v="PROJECT"/>
    <s v="MECHANICAL"/>
    <n v="66951.86"/>
    <n v="0"/>
    <n v="66951.86"/>
    <s v="TZS"/>
    <s v="[CFLFL001] FUEL DIESEL"/>
    <m/>
    <n v="-25"/>
    <s v="LTR"/>
    <x v="0"/>
    <x v="0"/>
    <x v="3"/>
    <x v="0"/>
    <n v="26.255631372549018"/>
    <n v="0"/>
  </r>
  <r>
    <n v="99"/>
    <d v="2025-04-10T00:00:00"/>
    <x v="5"/>
    <s v="STJ/2025/04/02971"/>
    <s v="Inventory Valuation"/>
    <s v="CM/MTI/2025/00189 - [CFLFL001] FUEL DIESEL / MRQ/2025/00258"/>
    <s v="CM/MTI/2025/00189 - [CFLFL001] FUEL DIESEL / MRQ/2025/00258"/>
    <m/>
    <m/>
    <s v="MATERIAL COST"/>
    <s v="Expenses"/>
    <s v="731007"/>
    <s v="731007 DIESEL CONSUMED"/>
    <s v="Back Hoe Loader PHANTOM T909DZE"/>
    <s v="PROJECT"/>
    <s v="MECHANICAL"/>
    <n v="214245.96"/>
    <n v="0"/>
    <n v="214245.96"/>
    <s v="TZS"/>
    <s v="[CFLFL001] FUEL DIESEL"/>
    <m/>
    <n v="-80"/>
    <s v="LTR"/>
    <x v="0"/>
    <x v="0"/>
    <x v="3"/>
    <x v="0"/>
    <n v="84.018023529411764"/>
    <n v="0"/>
  </r>
  <r>
    <n v="100"/>
    <d v="2025-04-11T09:10:31"/>
    <x v="6"/>
    <s v="PCVFY/2025/04/0054"/>
    <s v="PCV (PETTY CASH FACTORY)"/>
    <m/>
    <s v="BEING: STTLEMENT FOR TRAVELING EXPENSES TO TALAWANDA- IBRAHIM NYAKIBOHA"/>
    <s v="LCL/KIMB/1063"/>
    <s v="IBRAHIM NYAKIBOHA"/>
    <s v="CAPITAL WORK IN PROGRESS"/>
    <s v="Fixed Assets"/>
    <s v="371056"/>
    <s v="371056 MINERAL EXPLORATION &amp; DEVELOPMENT-TARAWANDA"/>
    <s v="TARAWANDA EXPENSE"/>
    <s v="QUARRY"/>
    <s v="QUARRYING"/>
    <n v="800000"/>
    <n v="0"/>
    <n v="800000"/>
    <s v="TZS"/>
    <m/>
    <m/>
    <n v="1"/>
    <m/>
    <x v="0"/>
    <x v="0"/>
    <x v="1"/>
    <x v="1"/>
    <n v="313.72549019607845"/>
    <n v="0"/>
  </r>
  <r>
    <n v="101"/>
    <d v="2025-04-14T00:00:00"/>
    <x v="7"/>
    <s v="STJ/2025/04/05188"/>
    <s v="Inventory Valuation"/>
    <s v="CM/MTI/2025/00221 - [CAFRF019] CHAIR WITH WHEELS / MRQ/2025/00303"/>
    <s v="CM/MTI/2025/00221 - [CAFRF019] CHAIR WITH WHEELS / MRQ/2025/00303-Chair with Wheels for Accounts Dept "/>
    <m/>
    <m/>
    <s v="MATERIAL COST"/>
    <s v="Expenses"/>
    <s v="731003"/>
    <s v="731003 STORE SPARES &amp; CONSUMABLE-CA"/>
    <s v="Fixed Asset"/>
    <s v="ADMIN"/>
    <s v="ADMIN"/>
    <n v="593220.34"/>
    <n v="0"/>
    <n v="593220.34"/>
    <s v="TZS"/>
    <s v="[CAFRF019] CHAIR WITH WHEELS"/>
    <m/>
    <n v="-1"/>
    <s v="NOS"/>
    <x v="0"/>
    <x v="3"/>
    <x v="7"/>
    <x v="1"/>
    <n v="232.63542745098039"/>
    <n v="0"/>
  </r>
  <r>
    <n v="102"/>
    <d v="2025-04-15T00:00:00"/>
    <x v="8"/>
    <s v="STJ/2025/04/05752"/>
    <s v="Inventory Valuation"/>
    <s v="CM/MTI/2025/00279 - [CIGGS001] GAS OXYGEN FULL CYLINDER, O2 / MRQ/2025/00280"/>
    <s v="CM/MTI/2025/00279 - [CIGGS001] GAS OXYGEN FULL CYLINDER, O2 / MRQ/2025/00280"/>
    <m/>
    <m/>
    <s v="MATERIAL COST"/>
    <s v="Expenses"/>
    <s v="731002"/>
    <s v="731002 STORE SPARES &amp; CONSUMABLE-GENERAL"/>
    <s v="Inventory Spares Consumable"/>
    <s v="PROJECT"/>
    <s v="MECHANICAL"/>
    <n v="90000"/>
    <n v="0"/>
    <n v="90000"/>
    <s v="TZS"/>
    <s v="[CIGGS001] GAS OXYGEN FULL CYLINDER, O2"/>
    <m/>
    <n v="-6"/>
    <s v="NOS"/>
    <x v="0"/>
    <x v="0"/>
    <x v="8"/>
    <x v="3"/>
    <n v="35.294117647058826"/>
    <n v="70000"/>
  </r>
  <r>
    <n v="103"/>
    <d v="2025-04-16T00:00:00"/>
    <x v="9"/>
    <s v="STJ/2025/04/06083"/>
    <s v="Inventory Valuation"/>
    <s v="CM/MRT/2025/00002 - [EMEKL041] GUN  OIL  FOR KILN DIESEL FIRING HOSE WITH 1&quot; HOSE WITH QUICK COUPLER  / Return from Request/MRQ/2024/11432"/>
    <s v="CM/MRT/2025/00002 - [EMEKL041] GUN  OIL  FOR KILN DIESEL FIRING HOSE WITH 1&quot; HOSE WITH QUICK COUPLER  / Return from Request/MRQ/2024/11432"/>
    <m/>
    <m/>
    <s v="MATERIAL COST"/>
    <s v="Expenses"/>
    <s v="731002"/>
    <s v="731002 STORE SPARES &amp; CONSUMABLE-GENERAL"/>
    <m/>
    <s v="PROJECT"/>
    <s v="PRODUCTION"/>
    <n v="0"/>
    <n v="435137.14"/>
    <n v="-435137.14"/>
    <s v="TZS"/>
    <s v="[EMEKL041] GUN  OIL  FOR KILN DIESEL FIRING HOSE WITH 1&quot; HOSE WITH QUICK COUPLER "/>
    <m/>
    <n v="2"/>
    <s v="NOS"/>
    <x v="0"/>
    <x v="0"/>
    <x v="3"/>
    <x v="0"/>
    <n v="-170.6420156862745"/>
    <n v="0"/>
  </r>
  <r>
    <n v="104"/>
    <d v="2025-04-17T00:00:00"/>
    <x v="10"/>
    <s v="STJ/2025/04/06844"/>
    <s v="Inventory Valuation"/>
    <s v="CM/MTI/2025/00343 - [CIGGS001] GAS OXYGEN FULL CYLINDER, O2 / MRQ/2025/00436"/>
    <s v="CM/MTI/2025/00343 - [CIGGS001] GAS OXYGEN FULL CYLINDER, O2 / MRQ/2025/00436"/>
    <m/>
    <m/>
    <s v="MATERIAL COST"/>
    <s v="Expenses"/>
    <s v="731002"/>
    <s v="731002 STORE SPARES &amp; CONSUMABLE-GENERAL"/>
    <s v="Inventory Spares Consumable"/>
    <s v="PROJECT"/>
    <s v="MECHANICAL"/>
    <n v="90000"/>
    <n v="0"/>
    <n v="90000"/>
    <s v="TZS"/>
    <s v="[CIGGS001] GAS OXYGEN FULL CYLINDER, O2"/>
    <m/>
    <n v="-6"/>
    <s v="NOS"/>
    <x v="0"/>
    <x v="0"/>
    <x v="8"/>
    <x v="3"/>
    <n v="35.294117647058826"/>
    <n v="0"/>
  </r>
  <r>
    <n v="105"/>
    <d v="2025-04-22T00:00:00"/>
    <x v="11"/>
    <s v="STJ/2025/04/07696"/>
    <s v="Inventory Valuation"/>
    <s v="CM/MTI/2025/00366 - [CIGGS001] GAS OXYGEN FULL CYLINDER, O2 / MRQ/2025/00466"/>
    <s v="CM/MTI/2025/00366 - [CIGGS001] GAS OXYGEN FULL CYLINDER, O2 / MRQ/2025/00466"/>
    <m/>
    <m/>
    <s v="MATERIAL COST"/>
    <s v="Expenses"/>
    <s v="731002"/>
    <s v="731002 STORE SPARES &amp; CONSUMABLE-GENERAL"/>
    <s v="CWIP-CONSTRUCTION OF NEW RAW MILL FEEDING AND UPGRADATION"/>
    <s v="PROJECT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106"/>
    <d v="2025-04-24T09:24:06"/>
    <x v="12"/>
    <s v="SERBL/2025/04/0107"/>
    <s v="Service Bills"/>
    <s v="LPORD/2024/02677: Transport Charges for Scaffolding Pipes Received for Project on 01.07.2024 "/>
    <s v="TI191960"/>
    <s v="CMLT0507"/>
    <s v="Sai Office Supplies ( TZ ) Ltd"/>
    <s v="CAPITAL WORK IN PROGRESS"/>
    <s v="Fixed Assets"/>
    <s v="371030"/>
    <s v="371030 CWIP-PRE OPERATIVE EXPENSE"/>
    <s v="CWIP-PRE OPERATIVE EXPENSE"/>
    <s v="PROJECT"/>
    <s v="PROJECT"/>
    <n v="800000"/>
    <n v="0"/>
    <n v="800000"/>
    <s v="TZS"/>
    <s v="[SER006] Job Contract"/>
    <s v="Misc. Income"/>
    <n v="1"/>
    <s v="NOS"/>
    <x v="0"/>
    <x v="0"/>
    <x v="3"/>
    <x v="0"/>
    <n v="313.72549019607845"/>
    <n v="0"/>
  </r>
  <r>
    <n v="107"/>
    <d v="2025-04-24T07:38:29"/>
    <x v="12"/>
    <s v="SERBL/2025/04/0103"/>
    <s v="Service Bills"/>
    <s v="IPORD/2025/00011: CHARGES FOR SUPERVISORS FOR INSULATION WORK FOR PROJECT (MARCH - 2025)"/>
    <s v="INS/LAKE/003/25-26"/>
    <s v="CMMI2133"/>
    <s v="A One Engineering"/>
    <s v="CAPITAL WORK IN PROGRESS"/>
    <s v="Fixed Assets"/>
    <s v="371021"/>
    <s v="371021 CWIP-PYRO UPGRADATION"/>
    <s v="CWIP-Pyro Upgradation"/>
    <s v="PROJECT"/>
    <s v="PROJECT"/>
    <n v="5809197.5700000003"/>
    <n v="0"/>
    <n v="5809197.5700000003"/>
    <s v="TZS"/>
    <s v="[SER037] Job Contract-15"/>
    <s v="Misc. Income"/>
    <n v="31"/>
    <s v="MANDAY"/>
    <x v="0"/>
    <x v="0"/>
    <x v="0"/>
    <x v="0"/>
    <n v="2278.1166941176471"/>
    <n v="0"/>
  </r>
  <r>
    <n v="108"/>
    <d v="2025-04-24T05:54:05"/>
    <x v="12"/>
    <s v="SERBL/2025/04/0098"/>
    <s v="Service Bills"/>
    <s v="LPORD/2024/00485: Testing and commissioning of Electrical &amp; Instrumentation works for your Phase II Expansion Project – as per BOQ (Scope of work is attached in Annexure – (B&amp;C) (Final 20%)"/>
    <s v="VPSTL/I004/2025"/>
    <s v="CMLT1955"/>
    <s v="VOLTECH PRODUCT AND SERVICES (TANZANIA) LIMITED"/>
    <s v="CAPITAL WORK IN PROGRESS"/>
    <s v="Fixed Assets"/>
    <s v="371021"/>
    <s v="371021 CWIP-PYRO UPGRADATION"/>
    <s v="CWIP-Pyro Upgradation"/>
    <s v="UTILITY"/>
    <s v="ELECTRICAL"/>
    <n v="12427837.5"/>
    <n v="0"/>
    <n v="12427837.5"/>
    <s v="TZS"/>
    <s v="[SER027] Job Contract-5"/>
    <s v="Misc. Income"/>
    <n v="1"/>
    <s v="Lumpsum"/>
    <x v="0"/>
    <x v="0"/>
    <x v="0"/>
    <x v="0"/>
    <n v="4873.661764705882"/>
    <n v="0"/>
  </r>
  <r>
    <n v="109"/>
    <d v="2025-04-24T05:54:05"/>
    <x v="12"/>
    <s v="SERBL/2025/04/0098"/>
    <s v="Service Bills"/>
    <s v="LPORD/2024/00485: Installation of Electrical &amp; Instrumentation works for your Phase II Expansion Project– as per BOQ (Scope of work is attached in Annexure – (A) (Final 32%)"/>
    <s v="VPSTL/I004/2025"/>
    <s v="CMLT1955"/>
    <s v="VOLTECH PRODUCT AND SERVICES (TANZANIA) LIMITED"/>
    <s v="CAPITAL WORK IN PROGRESS"/>
    <s v="Fixed Assets"/>
    <s v="371021"/>
    <s v="371021 CWIP-PYRO UPGRADATION"/>
    <s v="CWIP-Pyro Upgradation"/>
    <s v="PROJECT"/>
    <s v="PROJECT"/>
    <n v="33219721.600000001"/>
    <n v="0"/>
    <n v="33219721.600000001"/>
    <s v="TZS"/>
    <s v="[SER027] Job Contract-5"/>
    <s v="Misc. Income"/>
    <n v="1"/>
    <s v="Lumpsum"/>
    <x v="0"/>
    <x v="0"/>
    <x v="0"/>
    <x v="0"/>
    <n v="13027.341803921568"/>
    <n v="0"/>
  </r>
  <r>
    <n v="110"/>
    <d v="2025-04-25T00:00:00"/>
    <x v="13"/>
    <s v="STJ/2025/04/09983"/>
    <s v="Inventory Valuation"/>
    <s v="CM/MTI/2025/00449 - [CACOP003] COMPUTER DESKTOP / MRQ/2025/00582"/>
    <s v="CM/MTI/2025/00449 - [CACOP003] COMPUTER DESKTOP / MRQ/2025/00582-FOR PACKER TWO"/>
    <m/>
    <m/>
    <s v="MATERIAL COST"/>
    <s v="Expenses"/>
    <s v="731003"/>
    <s v="731003 STORE SPARES &amp; CONSUMABLE-CA"/>
    <s v="Fixed Asset"/>
    <s v="DISPATCH"/>
    <s v="INSTRUMENTATION"/>
    <n v="1515000"/>
    <n v="0"/>
    <n v="1515000"/>
    <s v="TZS"/>
    <s v="[CACOP003] COMPUTER DESKTOP"/>
    <m/>
    <n v="-1"/>
    <s v="NOS"/>
    <x v="0"/>
    <x v="2"/>
    <x v="6"/>
    <x v="1"/>
    <n v="594.11764705882354"/>
    <n v="0"/>
  </r>
  <r>
    <n v="111"/>
    <d v="2025-04-25T00:00:00"/>
    <x v="13"/>
    <s v="STJ/2025/04/09984"/>
    <s v="Inventory Valuation"/>
    <s v="CM/MTI/2025/00449 - [EISWE098] WEIGHING SCALE CAPACITY 150KG INTERFACE RS-232 PORT, PAN SIZE 400MM X 500MM SUPPLY 230VAC ADAPTER WITH INTERNAL RECHARGABLE BATTERY / MRQ/2025/00582"/>
    <s v="CM/MTI/2025/00449 - [EISWE098] WEIGHING SCALE CAPACITY 150KG INTERFACE RS-232 PORT, PAN SIZE 400MM X 500MM SUPPLY 230VAC ADAPTER WITH INTERNAL RECHARGABLE BATTERY / MRQ/2025/00582"/>
    <m/>
    <m/>
    <s v="MATERIAL COST"/>
    <s v="Expenses"/>
    <s v="731002"/>
    <s v="731002 STORE SPARES &amp; CONSUMABLE-GENERAL"/>
    <s v="Fixed Asset"/>
    <s v="DISPATCH"/>
    <s v="INSTRUMENTATION"/>
    <n v="1477796.61"/>
    <n v="0"/>
    <n v="1477796.61"/>
    <s v="TZS"/>
    <s v="[EISWE098] WEIGHING SCALE CAPACITY 150KG INTERFACE RS-232 PORT, PAN SIZE 400MM X 500MM SUPPLY 230VAC ADAPTER WITH INTERNAL RECHARGABLE BATTERY"/>
    <m/>
    <n v="-1"/>
    <s v="NOS"/>
    <x v="0"/>
    <x v="2"/>
    <x v="10"/>
    <x v="5"/>
    <n v="579.52808235294117"/>
    <n v="0"/>
  </r>
  <r>
    <n v="112"/>
    <d v="2025-04-25T00:00:00"/>
    <x v="13"/>
    <s v="STJ/2025/04/09970"/>
    <s v="Inventory Valuation"/>
    <s v="CM/MTI/2025/00446 - [CIGGS001] GAS OXYGEN FULL CYLINDER, O2 / MRQ/2025/00551"/>
    <s v="CM/MTI/2025/00446 - [CIGGS001] GAS OXYGEN FULL CYLINDER, O2 / MRQ/2025/00551"/>
    <m/>
    <m/>
    <s v="MATERIAL COST"/>
    <s v="Expenses"/>
    <s v="731002"/>
    <s v="731002 STORE SPARES &amp; CONSUMABLE-GENERAL"/>
    <s v="Inventory Spares Consumable"/>
    <s v="PROJECT"/>
    <s v="MECHANICAL"/>
    <n v="60000"/>
    <n v="0"/>
    <n v="60000"/>
    <s v="TZS"/>
    <s v="[CIGGS001] GAS OXYGEN FULL CYLINDER, O2"/>
    <m/>
    <n v="-4"/>
    <s v="NOS"/>
    <x v="0"/>
    <x v="0"/>
    <x v="8"/>
    <x v="3"/>
    <n v="23.529411764705884"/>
    <n v="0"/>
  </r>
  <r>
    <n v="113"/>
    <d v="2025-04-28T12:19:43"/>
    <x v="14"/>
    <s v="PCVFY/2025/04/0114"/>
    <s v="PCV (PETTY CASH FACTORY)"/>
    <m/>
    <s v="BEING PAYMENT FOR TALAWANDA EXPENSES CARRIED OUT APRL 13-22 ,2025- IBRAHIM NYAKIBOHA."/>
    <m/>
    <m/>
    <s v="CAPITAL WORK IN PROGRESS"/>
    <s v="Fixed Assets"/>
    <s v="371056"/>
    <s v="371056 MINERAL EXPLORATION &amp; DEVELOPMENT-TARAWANDA"/>
    <s v="TARAWANDA EXPENSE"/>
    <s v="QUARRY"/>
    <s v="QUARRYING"/>
    <n v="300000"/>
    <n v="0"/>
    <n v="300000"/>
    <s v="TZS"/>
    <m/>
    <m/>
    <n v="1"/>
    <m/>
    <x v="0"/>
    <x v="0"/>
    <x v="1"/>
    <x v="1"/>
    <n v="117.64705882352941"/>
    <n v="0"/>
  </r>
  <r>
    <n v="114"/>
    <d v="2025-04-28T12:19:43"/>
    <x v="14"/>
    <s v="PCVFY/2025/04/0114"/>
    <s v="PCV (PETTY CASH FACTORY)"/>
    <m/>
    <s v="BEING PAYMENT FOR TALAWANDA EXPENSES CARRIED OUT APRL 13-22 ,2025- IBRAHIM NYAKIBOHA."/>
    <s v="LCL/KIMB/1063"/>
    <s v="IBRAHIM NYAKIBOHA"/>
    <s v="CAPITAL WORK IN PROGRESS"/>
    <s v="Fixed Assets"/>
    <s v="371056"/>
    <s v="371056 MINERAL EXPLORATION &amp; DEVELOPMENT-TARAWANDA"/>
    <s v="TARAWANDA EXPENSE"/>
    <s v="QUARRY"/>
    <s v="QUARRYING"/>
    <n v="500000"/>
    <n v="0"/>
    <n v="500000"/>
    <s v="TZS"/>
    <m/>
    <m/>
    <n v="1"/>
    <m/>
    <x v="0"/>
    <x v="0"/>
    <x v="1"/>
    <x v="1"/>
    <n v="196.07843137254903"/>
    <n v="0"/>
  </r>
  <r>
    <n v="115"/>
    <d v="2025-04-28T12:08:36"/>
    <x v="14"/>
    <s v="PCVFY/2025/04/0113"/>
    <s v="PCV (PETTY CASH FACTORY)"/>
    <m/>
    <s v="BEING: STTLEMENT FOR TRAVELING EXPENSES TO TALAWANDA- IBRAHIM NYAKIBOHA"/>
    <s v="LCL/KIMB/1063"/>
    <s v="IBRAHIM NYAKIBOHA"/>
    <s v="CAPITAL WORK IN PROGRESS"/>
    <s v="Fixed Assets"/>
    <s v="371056"/>
    <s v="371056 MINERAL EXPLORATION &amp; DEVELOPMENT-TARAWANDA"/>
    <s v="TARAWANDA EXPENSE"/>
    <s v="QUARRY"/>
    <s v="QUARRYING"/>
    <n v="500000"/>
    <n v="0"/>
    <n v="500000"/>
    <s v="TZS"/>
    <m/>
    <m/>
    <n v="1"/>
    <m/>
    <x v="0"/>
    <x v="0"/>
    <x v="1"/>
    <x v="1"/>
    <n v="196.07843137254903"/>
    <n v="0"/>
  </r>
  <r>
    <n v="116"/>
    <d v="2025-04-28T12:08:36"/>
    <x v="14"/>
    <s v="PCVFY/2025/04/0113"/>
    <s v="PCV (PETTY CASH FACTORY)"/>
    <m/>
    <s v="BEING: STTLEMENT FOR TRAVELING EXPENSES TO TALAWANDA- IBRAHIM NYAKIBOHA"/>
    <m/>
    <m/>
    <s v="CAPITAL WORK IN PROGRESS"/>
    <s v="Fixed Assets"/>
    <s v="371056"/>
    <s v="371056 MINERAL EXPLORATION &amp; DEVELOPMENT-TARAWANDA"/>
    <s v="TARAWANDA EXPENSE"/>
    <s v="QUARRY"/>
    <s v="QUARRYING"/>
    <n v="300000"/>
    <n v="0"/>
    <n v="300000"/>
    <s v="TZS"/>
    <m/>
    <m/>
    <n v="1"/>
    <m/>
    <x v="0"/>
    <x v="0"/>
    <x v="1"/>
    <x v="1"/>
    <n v="117.64705882352941"/>
    <n v="0"/>
  </r>
  <r>
    <n v="117"/>
    <d v="2025-04-28T00:00:00"/>
    <x v="14"/>
    <s v="STJ/2025/04/10349"/>
    <s v="Inventory Valuation"/>
    <s v="CM/MTI/2025/00498 - [EFSHB096] BOLT HT HEX HEAD M12 X 50MM FULL THREAD WITH NUT AND WASHER GRADE 8.8 / MRQ/2025/00653_x000a_Rounding Adjustment: -0.01 TSh"/>
    <s v="CM/MTI/2025/00498 - [EFSHB096] BOLT HT HEX HEAD M12 X 50MM FULL THREAD WITH NUT AND WASHER GRADE 8.8 / MRQ/2025/00653_x000a_Rounding Adjustment: -0.01 TSh"/>
    <m/>
    <m/>
    <s v="MATERIAL COST"/>
    <s v="Expenses"/>
    <s v="731002"/>
    <s v="731002 STORE SPARES &amp; CONSUMABLE-GENERAL"/>
    <s v="CWIP-CONSTRUCTION OF NEW RAW MILL FEEDING AND UPGRADATION"/>
    <s v="PROJECT"/>
    <s v="MECHANICAL"/>
    <n v="54962.96"/>
    <n v="0"/>
    <n v="54962.96"/>
    <s v="TZS"/>
    <s v="[EFSHB096] BOLT HT HEX HEAD M12 X 50MM FULL THREAD WITH NUT AND WASHER GRADE 8.8"/>
    <m/>
    <n v="-100"/>
    <s v="NOS"/>
    <x v="0"/>
    <x v="0"/>
    <x v="9"/>
    <x v="4"/>
    <n v="21.554101960784312"/>
    <n v="0"/>
  </r>
  <r>
    <n v="118"/>
    <d v="2025-04-28T00:00:00"/>
    <x v="14"/>
    <s v="STJ/2025/04/10348"/>
    <s v="Inventory Valuation"/>
    <s v="CM/MTI/2025/00498 - [EFSAB012] ANCHOR FASTENER  HAS-E M24 X 210/54, 290MM HILTI / MRQ/2025/00653"/>
    <s v="CM/MTI/2025/00498 - [EFSAB012] ANCHOR FASTENER  HAS-E M24 X 210/54, 290MM HILTI / MRQ/2025/00653"/>
    <m/>
    <m/>
    <s v="MATERIAL COST"/>
    <s v="Expenses"/>
    <s v="731002"/>
    <s v="731002 STORE SPARES &amp; CONSUMABLE-GENERAL"/>
    <s v="CWIP-CONSTRUCTION OF NEW RAW MILL FEEDING AND UPGRADATION"/>
    <s v="PROJECT"/>
    <s v="MECHANICAL"/>
    <n v="2220339"/>
    <n v="0"/>
    <n v="2220339"/>
    <s v="TZS"/>
    <s v="[EFSAB012] ANCHOR FASTENER  HAS-E M24 X 210/54, 290MM HILTI"/>
    <m/>
    <n v="-20"/>
    <s v="NOS"/>
    <x v="0"/>
    <x v="0"/>
    <x v="9"/>
    <x v="4"/>
    <n v="870.72117647058826"/>
    <n v="0"/>
  </r>
  <r>
    <n v="119"/>
    <d v="2025-04-28T00:00:00"/>
    <x v="14"/>
    <s v="STJ/2025/04/10347"/>
    <s v="Inventory Valuation"/>
    <s v="CM/MTI/2025/00498 - [CIGGS016] GAS LIQUEFIED PETROLEUM FULL CYLINDER, LPG CAPACITY 40KG / MRQ/2025/00653"/>
    <s v="CM/MTI/2025/00498 - [CIGGS016] GAS LIQUEFIED PETROLEUM FULL CYLINDER, LPG CAPACITY 40KG / MRQ/2025/00653"/>
    <m/>
    <m/>
    <s v="MATERIAL COST"/>
    <s v="Expenses"/>
    <s v="731002"/>
    <s v="731002 STORE SPARES &amp; CONSUMABLE-GENERAL"/>
    <s v="CWIP-CONSTRUCTION OF NEW RAW MILL FEEDING AND UPGRADATION"/>
    <s v="PROJECT"/>
    <s v="MECHANICAL"/>
    <n v="99995.43"/>
    <n v="0"/>
    <n v="99995.43"/>
    <s v="TZS"/>
    <s v="[CIGGS016] GAS LIQUEFIED PETROLEUM FULL CYLINDER, LPG CAPACITY 40KG"/>
    <m/>
    <n v="-1"/>
    <s v="NOS"/>
    <x v="0"/>
    <x v="0"/>
    <x v="9"/>
    <x v="4"/>
    <n v="39.213894117647058"/>
    <n v="0"/>
  </r>
  <r>
    <n v="120"/>
    <d v="2025-04-28T00:00:00"/>
    <x v="14"/>
    <s v="STJ/2025/04/10346"/>
    <s v="Inventory Valuation"/>
    <s v="CM/MTI/2025/00498 - [CCLGC307] EPOXY MORTAR FOR REBAR CONNECTIONS HILT HIT-RE 500 V3 / MRQ/2025/00653_x000a_Rounding Adjustment: +0.01 TSh"/>
    <s v="CM/MTI/2025/00498 - [CCLGC307] EPOXY MORTAR FOR REBAR CONNECTIONS HILT HIT-RE 500 V3 / MRQ/2025/00653_x000a_Rounding Adjustment: +0.01 TSh"/>
    <m/>
    <m/>
    <s v="MATERIAL COST"/>
    <s v="Expenses"/>
    <s v="731002"/>
    <s v="731002 STORE SPARES &amp; CONSUMABLE-GENERAL"/>
    <s v="CWIP-CONSTRUCTION OF NEW RAW MILL FEEDING AND UPGRADATION"/>
    <s v="PROJECT"/>
    <s v="MECHANICAL"/>
    <n v="634449.15"/>
    <n v="0"/>
    <n v="634449.15"/>
    <s v="TZS"/>
    <s v="[CCLGC307] EPOXY MORTAR FOR REBAR CONNECTIONS HILT HIT-RE 500 V3"/>
    <m/>
    <n v="-5"/>
    <s v="NOS"/>
    <x v="0"/>
    <x v="0"/>
    <x v="9"/>
    <x v="4"/>
    <n v="248.80358823529411"/>
    <n v="0"/>
  </r>
  <r>
    <n v="121"/>
    <d v="2025-04-29T00:00:00"/>
    <x v="15"/>
    <s v="STJ/2025/04/11789"/>
    <s v="Inventory Valuation"/>
    <s v="CM/MTI/2025/00568 - [CIGGS001] GAS OXYGEN FULL CYLINDER, O2 / MRQ/2025/00567"/>
    <s v="CM/MTI/2025/00568 - [CIGGS001] GAS OXYGEN FULL CYLINDER, O2 / MRQ/2025/00567"/>
    <m/>
    <m/>
    <s v="MATERIAL COST"/>
    <s v="Expenses"/>
    <s v="731002"/>
    <s v="731002 STORE SPARES &amp; CONSUMABLE-GENERAL"/>
    <s v="CWIP-CONSTRUCTION OF NEW RAW MILL FEEDING AND UPGRADATION"/>
    <s v="PROJECT"/>
    <s v="MECHANICAL"/>
    <n v="225000"/>
    <n v="0"/>
    <n v="225000"/>
    <s v="TZS"/>
    <s v="[CIGGS001] GAS OXYGEN FULL CYLINDER, O2"/>
    <m/>
    <n v="-15"/>
    <s v="NOS"/>
    <x v="0"/>
    <x v="0"/>
    <x v="9"/>
    <x v="4"/>
    <n v="88.235294117647058"/>
    <n v="0"/>
  </r>
  <r>
    <n v="122"/>
    <d v="2025-04-30T00:00:00"/>
    <x v="16"/>
    <s v="STJ/2025/04/12293"/>
    <s v="Inventory Valuation"/>
    <s v="CM/MTI/2025/00618 - [CAFRF016] SOFA SET / MRQ/2025/00804"/>
    <s v="CM/MTI/2025/00618 - [CAFRF016] SOFA SET / MRQ/2025/00804-FAMILY QUARTER"/>
    <m/>
    <m/>
    <s v="MATERIAL COST"/>
    <s v="Expenses"/>
    <s v="731003"/>
    <s v="731003 STORE SPARES &amp; CONSUMABLE-CA"/>
    <s v="Fixed Asset"/>
    <s v="ADMIN"/>
    <s v="HR"/>
    <n v="8700000"/>
    <n v="0"/>
    <n v="8700000"/>
    <s v="TZS"/>
    <s v="[CAFRF016] SOFA SET"/>
    <m/>
    <n v="-6"/>
    <s v="NOS"/>
    <x v="0"/>
    <x v="3"/>
    <x v="7"/>
    <x v="1"/>
    <n v="3411.7647058823532"/>
    <n v="0"/>
  </r>
  <r>
    <n v="123"/>
    <d v="2025-04-30T00:00:00"/>
    <x v="16"/>
    <s v="STJ/2025/04/12292"/>
    <s v="Inventory Valuation"/>
    <s v="CM/MTI/2025/00618 - [CAFRF015] TV / MRQ/2025/00804_x000a_Rounding Adjustment: -0.01 TSh"/>
    <s v="CM/MTI/2025/00618 - [CAFRF015] TV / MRQ/2025/00804 Rounding Adjustment: -0.01 TSh-FAMILY QUARTER"/>
    <m/>
    <m/>
    <s v="MATERIAL COST"/>
    <s v="Expenses"/>
    <s v="731003"/>
    <s v="731003 STORE SPARES &amp; CONSUMABLE-CA"/>
    <s v="Fixed Asset"/>
    <s v="ADMIN"/>
    <s v="HR"/>
    <n v="4475702.0599999996"/>
    <n v="0"/>
    <n v="4475702.0599999996"/>
    <s v="TZS"/>
    <s v="[CAFRF015] TV"/>
    <m/>
    <n v="-6"/>
    <s v="NOS"/>
    <x v="0"/>
    <x v="3"/>
    <x v="7"/>
    <x v="1"/>
    <n v="1755.1772784313723"/>
    <n v="0"/>
  </r>
  <r>
    <n v="124"/>
    <d v="2025-04-30T00:00:00"/>
    <x v="16"/>
    <s v="STJ/2025/04/12291"/>
    <s v="Inventory Valuation"/>
    <s v="CM/MTI/2025/00618 - [CAFRF009] FRIDGE / MRQ/2025/00804_x000a_Rounding Adjustment: -0.01 TSh"/>
    <s v="CM/MTI/2025/00618 - [CAFRF009] FRIDGE / MRQ/2025/00804 Rounding Adjustment: -0.01 TSh-FAMILY QUARTER"/>
    <m/>
    <m/>
    <s v="MATERIAL COST"/>
    <s v="Expenses"/>
    <s v="731003"/>
    <s v="731003 STORE SPARES &amp; CONSUMABLE-CA"/>
    <s v="Fixed Asset"/>
    <s v="ADMIN"/>
    <s v="HR"/>
    <n v="8113188.4100000001"/>
    <n v="0"/>
    <n v="8113188.4100000001"/>
    <s v="TZS"/>
    <s v="[CAFRF009] FRIDGE"/>
    <m/>
    <n v="-6"/>
    <s v="NOS"/>
    <x v="0"/>
    <x v="3"/>
    <x v="7"/>
    <x v="1"/>
    <n v="3181.6425137254901"/>
    <n v="0"/>
  </r>
  <r>
    <n v="125"/>
    <d v="2025-04-30T00:00:00"/>
    <x v="16"/>
    <s v="STJ/2025/04/12300"/>
    <s v="Inventory Valuation"/>
    <s v="CM/MTI/2025/00618 - [CGCHM053] MICROWAVE / MRQ/2025/00804"/>
    <s v="CM/MTI/2025/00618 - [CGCHM053] MICROWAVE / MRQ/2025/00804"/>
    <m/>
    <m/>
    <s v="MATERIAL COST"/>
    <s v="Expenses"/>
    <s v="731002"/>
    <s v="731002 STORE SPARES &amp; CONSUMABLE-GENERAL"/>
    <s v="Fixed Asset"/>
    <s v="ADMIN"/>
    <s v="HR"/>
    <n v="1271186.46"/>
    <n v="0"/>
    <n v="1271186.46"/>
    <s v="TZS"/>
    <s v="[CGCHM053] MICROWAVE"/>
    <m/>
    <n v="-6"/>
    <s v="NOS"/>
    <x v="0"/>
    <x v="3"/>
    <x v="7"/>
    <x v="1"/>
    <n v="498.50449411764703"/>
    <n v="0"/>
  </r>
  <r>
    <n v="126"/>
    <d v="2025-04-30T00:00:00"/>
    <x v="16"/>
    <s v="STJ/2025/04/12299"/>
    <s v="Inventory Valuation"/>
    <s v="CM/MTI/2025/00618 - [CGCHM049] WASHING MACHINE / MRQ/2025/00804"/>
    <s v="CM/MTI/2025/00618 - [CGCHM049] WASHING MACHINE / MRQ/2025/00804"/>
    <m/>
    <m/>
    <s v="MATERIAL COST"/>
    <s v="Expenses"/>
    <s v="731002"/>
    <s v="731002 STORE SPARES &amp; CONSUMABLE-GENERAL"/>
    <s v="Fixed Asset"/>
    <s v="ADMIN"/>
    <s v="HR"/>
    <n v="3889830.48"/>
    <n v="0"/>
    <n v="3889830.48"/>
    <s v="TZS"/>
    <s v="[CGCHM049] WASHING MACHINE"/>
    <m/>
    <n v="-6"/>
    <s v="NOS"/>
    <x v="0"/>
    <x v="3"/>
    <x v="7"/>
    <x v="1"/>
    <n v="1525.4237176470588"/>
    <n v="0"/>
  </r>
  <r>
    <n v="127"/>
    <d v="2025-04-30T00:00:00"/>
    <x v="16"/>
    <s v="STJ/2025/04/12270"/>
    <s v="Inventory Valuation"/>
    <s v="CM/MTI/2025/00608 - [ETLGN125] PIANO WIRE 0.5MM (AMWG-08) TENSILE STRENGTH 1000-2000 MPA MATERIAL SS- 304 / MRQ/2025/00790"/>
    <s v="CM/MTI/2025/00608 - [ETLGN125] PIANO WIRE 0.5MM (AMWG-08) TENSILE STRENGTH 1000-2000 MPA MATERIAL SS- 304 / MRQ/2025/00790"/>
    <m/>
    <m/>
    <s v="MATERIAL COST"/>
    <s v="Expenses"/>
    <s v="731002"/>
    <s v="731002 STORE SPARES &amp; CONSUMABLE-GENERAL"/>
    <s v="Inventory Spares Consumable"/>
    <s v="PROJECT"/>
    <s v="MECHANICAL"/>
    <n v="51893.89"/>
    <n v="0"/>
    <n v="51893.89"/>
    <s v="TZS"/>
    <s v="[ETLGN125] PIANO WIRE 0.5MM (AMWG-08) TENSILE STRENGTH 1000-2000 MPA MATERIAL SS- 304"/>
    <m/>
    <n v="-4"/>
    <s v="KG"/>
    <x v="0"/>
    <x v="0"/>
    <x v="8"/>
    <x v="3"/>
    <n v="20.350545098039216"/>
    <n v="0"/>
  </r>
  <r>
    <n v="128"/>
    <d v="2025-04-30T00:00:00"/>
    <x v="16"/>
    <s v="STJ/2025/04/12269"/>
    <s v="Inventory Valuation"/>
    <s v="CM/MTI/2025/00608 - [EFSHB096] BOLT HT HEX HEAD M12 X 50MM FULL THREAD WITH NUT AND WASHER GRADE 8.8 / MRQ/2025/00790"/>
    <s v="CM/MTI/2025/00608 - [EFSHB096] BOLT HT HEX HEAD M12 X 50MM FULL THREAD WITH NUT AND WASHER GRADE 8.8 / MRQ/2025/00790"/>
    <m/>
    <m/>
    <s v="MATERIAL COST"/>
    <s v="Expenses"/>
    <s v="731002"/>
    <s v="731002 STORE SPARES &amp; CONSUMABLE-GENERAL"/>
    <s v="Inventory Spares Consumable"/>
    <s v="PROJECT"/>
    <s v="MECHANICAL"/>
    <n v="38474.07"/>
    <n v="0"/>
    <n v="38474.07"/>
    <s v="TZS"/>
    <s v="[EFSHB096] BOLT HT HEX HEAD M12 X 50MM FULL THREAD WITH NUT AND WASHER GRADE 8.8"/>
    <m/>
    <n v="-70"/>
    <s v="NOS"/>
    <x v="0"/>
    <x v="0"/>
    <x v="8"/>
    <x v="3"/>
    <n v="15.087870588235294"/>
    <n v="0"/>
  </r>
  <r>
    <n v="129"/>
    <d v="2025-04-30T00:00:00"/>
    <x v="16"/>
    <s v="STJ/2025/04/12029"/>
    <s v="Inventory Valuation"/>
    <s v="MRT/2025/00005 - [CFLFL001] FUEL DIESEL / Return from Request/MRQ/2024/10462"/>
    <s v="MRT/2025/00005 - [CFLFL001] FUEL DIESEL / Return from Request/MRQ/2024/10462"/>
    <m/>
    <m/>
    <s v="MATERIAL COST"/>
    <s v="Expenses"/>
    <s v="731007"/>
    <s v="731007 DIESEL CONSUMED"/>
    <m/>
    <s v="PROJECT"/>
    <s v="PROJECT"/>
    <n v="0"/>
    <n v="2730.46"/>
    <n v="-2730.46"/>
    <s v="TZS"/>
    <s v="[CFLFL001] FUEL DIESEL"/>
    <m/>
    <n v="1"/>
    <s v="LTR"/>
    <x v="0"/>
    <x v="0"/>
    <x v="3"/>
    <x v="0"/>
    <n v="-1.0707686274509804"/>
    <n v="0"/>
  </r>
  <r>
    <n v="130"/>
    <d v="2025-04-30T00:00:00"/>
    <x v="16"/>
    <s v="STJ/2025/04/12028"/>
    <s v="Inventory Valuation"/>
    <s v="MRT/2025/00004 - [CFLFL001] FUEL DIESEL / Return from Request/MRQ/2024/10425"/>
    <s v="MRT/2025/00004 - [CFLFL001] FUEL DIESEL / Return from Request/MRQ/2024/10425"/>
    <m/>
    <m/>
    <s v="MATERIAL COST"/>
    <s v="Expenses"/>
    <s v="731007"/>
    <s v="731007 DIESEL CONSUMED"/>
    <m/>
    <s v="PROJECT"/>
    <s v="PROJECT"/>
    <n v="0"/>
    <n v="10921.83"/>
    <n v="-10921.83"/>
    <s v="TZS"/>
    <s v="[CFLFL001] FUEL DIESEL"/>
    <m/>
    <n v="4"/>
    <s v="LTR"/>
    <x v="0"/>
    <x v="0"/>
    <x v="3"/>
    <x v="0"/>
    <n v="-4.2830705882352937"/>
    <n v="0"/>
  </r>
  <r>
    <n v="131"/>
    <d v="2025-05-02T14:17:53"/>
    <x v="17"/>
    <s v="STJ/2025/05/00219"/>
    <s v="Inventory Valuation"/>
    <s v="CM/MTI/2025/00636 - [PROCM234] EPOXY MORTAR FOR REBAR HILT HIT-RE500V4 / MRQ/2025/00840"/>
    <s v="CM/MTI/2025/00636 - [PROCM234] EPOXY MORTAR FOR REBAR HILT HIT-RE500V4 / MRQ/2025/00840"/>
    <m/>
    <m/>
    <s v="CAPITAL WORK IN PROGRESS"/>
    <s v="Fixed Assets"/>
    <s v="371023"/>
    <s v="371023 CWIP-CEMENT MILL 50TPH NEW"/>
    <s v="RETROFITTING JOB FOR CEMENT MILL-2 BUILDING"/>
    <s v="CEMENT MILL -2"/>
    <s v="MECHANICAL"/>
    <n v="2227156.0499999998"/>
    <n v="0"/>
    <n v="2227156.0499999998"/>
    <s v="TZS"/>
    <s v="[PROCM234] EPOXY MORTAR FOR REBAR HILT HIT-RE500V4"/>
    <s v="CEMENT MILL"/>
    <n v="-15"/>
    <s v="NOS"/>
    <x v="0"/>
    <x v="0"/>
    <x v="9"/>
    <x v="4"/>
    <n v="873.39452941176467"/>
    <n v="0"/>
  </r>
  <r>
    <n v="132"/>
    <d v="2025-05-05T00:00:00"/>
    <x v="18"/>
    <s v="STJ/2025/05/00799"/>
    <s v="Inventory Valuation"/>
    <s v="CM/MTI/2025/00702 - [CAFRF011] FAN PEDESTAL 55 WATT 230 VAC 400  MM SWEEP / MRQ/2025/00273"/>
    <s v="CM/MTI/2025/00702 - [CAFRF011] FAN PEDESTAL 55 WATT 230 VAC 400  MM SWEEP / MRQ/2025/00273"/>
    <m/>
    <m/>
    <s v="MATERIAL COST"/>
    <s v="Expenses"/>
    <s v="731003"/>
    <s v="731003 STORE SPARES &amp; CONSUMABLE-CA"/>
    <s v="Fixed Asset"/>
    <s v="UTILITY"/>
    <s v="STORE"/>
    <n v="137666.67000000001"/>
    <n v="0"/>
    <n v="137666.67000000001"/>
    <s v="TZS"/>
    <s v="[CAFRF011] FAN PEDESTAL 55 WATT 230 VAC 400  MM SWEEP"/>
    <m/>
    <n v="-1"/>
    <s v="NOS"/>
    <x v="0"/>
    <x v="3"/>
    <x v="7"/>
    <x v="1"/>
    <n v="53.986929411764713"/>
    <n v="0"/>
  </r>
  <r>
    <n v="133"/>
    <d v="2025-05-05T00:00:00"/>
    <x v="18"/>
    <s v="STJ/2025/05/00571"/>
    <s v="Inventory Valuation"/>
    <s v="CM/MTI/2025/00646 - [CFLFL001] FUEL DIESEL / MRQ/2025/00824"/>
    <s v="CM/MTI/2025/00646 - [CFLFL001] FUEL DIESEL / MRQ/2025/00824"/>
    <m/>
    <m/>
    <s v="MATERIAL COST"/>
    <s v="Expenses"/>
    <s v="731007"/>
    <s v="731007 DIESEL CONSUMED"/>
    <s v="Back Hoe Loader PHANTOM T909DZE"/>
    <s v="PROJECT"/>
    <s v="MECHANICAL"/>
    <n v="109652.67"/>
    <n v="0"/>
    <n v="109652.67"/>
    <s v="TZS"/>
    <s v="[CFLFL001] FUEL DIESEL"/>
    <m/>
    <n v="-40"/>
    <s v="LTR"/>
    <x v="0"/>
    <x v="0"/>
    <x v="9"/>
    <x v="4"/>
    <n v="43.001047058823531"/>
    <n v="0"/>
  </r>
  <r>
    <n v="134"/>
    <d v="2025-05-05T00:00:00"/>
    <x v="18"/>
    <s v="STJ/2025/05/00581"/>
    <s v="Inventory Valuation"/>
    <s v="CM/MTI/2025/00648 - [CFLFL001] FUEL DIESEL / MRQ/2025/00827"/>
    <s v="CM/MTI/2025/00648 - [CFLFL001] FUEL DIESEL / MRQ/2025/00827"/>
    <m/>
    <m/>
    <s v="MATERIAL COST"/>
    <s v="Expenses"/>
    <s v="731007"/>
    <s v="731007 DIESEL CONSUMED"/>
    <s v="HYDRA T289ECC"/>
    <s v="PROJECT"/>
    <s v="MECHANICAL"/>
    <n v="54826.33"/>
    <n v="0"/>
    <n v="54826.33"/>
    <s v="TZS"/>
    <s v="[CFLFL001] FUEL DIESEL"/>
    <m/>
    <n v="-20"/>
    <s v="LTR"/>
    <x v="0"/>
    <x v="0"/>
    <x v="9"/>
    <x v="4"/>
    <n v="21.500521568627452"/>
    <n v="0"/>
  </r>
  <r>
    <n v="135"/>
    <d v="2025-05-05T00:00:00"/>
    <x v="18"/>
    <s v="STJ/2025/05/00582"/>
    <s v="Inventory Valuation"/>
    <s v="CM/MTI/2025/00649 - [CFLFL001] FUEL DIESEL / MRQ/2025/00828_x000a_Rounding Adjustment: -0.01 TSh"/>
    <s v="CM/MTI/2025/00649 - [CFLFL001] FUEL DIESEL / MRQ/2025/00828_x000a_Rounding Adjustment: -0.01 TSh"/>
    <m/>
    <m/>
    <s v="MATERIAL COST"/>
    <s v="Expenses"/>
    <s v="731007"/>
    <s v="731007 DIESEL CONSUMED"/>
    <s v="HYDRA T955EAN"/>
    <s v="PROJECT"/>
    <s v="MECHANICAL"/>
    <n v="54826.34"/>
    <n v="0"/>
    <n v="54826.34"/>
    <s v="TZS"/>
    <s v="[CFLFL001] FUEL DIESEL"/>
    <m/>
    <n v="-20"/>
    <s v="LTR"/>
    <x v="0"/>
    <x v="0"/>
    <x v="9"/>
    <x v="4"/>
    <n v="21.500525490196075"/>
    <n v="0"/>
  </r>
  <r>
    <n v="136"/>
    <d v="2025-05-05T00:00:00"/>
    <x v="18"/>
    <s v="STJ/2025/05/00613"/>
    <s v="Inventory Valuation"/>
    <s v="CM/MTI/2025/00659 - [CFLFL001] FUEL DIESEL / MRQ/2025/00821_x000a_Rounding Adjustment: -0.01 TSh"/>
    <s v="CM/MTI/2025/00659 - [CFLFL001] FUEL DIESEL / MRQ/2025/00821_x000a_Rounding Adjustment: -0.01 TSh"/>
    <m/>
    <m/>
    <s v="MATERIAL COST"/>
    <s v="Expenses"/>
    <s v="731007"/>
    <s v="731007 DIESEL CONSUMED"/>
    <s v="ZOOMLION CRANE T727EDH"/>
    <s v="PROJECT"/>
    <s v="MECHANICAL"/>
    <n v="274131.68"/>
    <n v="0"/>
    <n v="274131.68"/>
    <s v="TZS"/>
    <s v="[CFLFL001] FUEL DIESEL"/>
    <m/>
    <n v="-100"/>
    <s v="LTR"/>
    <x v="0"/>
    <x v="0"/>
    <x v="9"/>
    <x v="4"/>
    <n v="107.50261960784313"/>
    <n v="0"/>
  </r>
  <r>
    <n v="137"/>
    <d v="2025-05-07T07:07:27"/>
    <x v="19"/>
    <s v="SERBL/2025/05/0013"/>
    <s v="Service Bills"/>
    <s v="LPORD/2024/00604: Fabrication and Erection of  hand railing with toe guard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3525000"/>
    <n v="0"/>
    <n v="3525000"/>
    <s v="TZS"/>
    <s v="[SER030] Job Contract-8"/>
    <s v="Misc. Income"/>
    <n v="300"/>
    <s v="MTR"/>
    <x v="0"/>
    <x v="0"/>
    <x v="0"/>
    <x v="0"/>
    <n v="1382.3529411764705"/>
    <n v="0"/>
  </r>
  <r>
    <n v="138"/>
    <d v="2025-05-07T07:07:27"/>
    <x v="19"/>
    <s v="SERBL/2025/05/0013"/>
    <s v="Service Bills"/>
    <s v="LPORD/2024/00604: Fabrication of structural steel work like sheds, tresses, Galleries, platforms, stairs, Derrick, Temporary support etc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35250000"/>
    <n v="0"/>
    <n v="35250000"/>
    <s v="TZS"/>
    <s v="[SER025] Job Contract-3"/>
    <s v="Misc. Income"/>
    <n v="60"/>
    <s v="MT"/>
    <x v="0"/>
    <x v="0"/>
    <x v="0"/>
    <x v="0"/>
    <n v="13823.529411764706"/>
    <n v="0"/>
  </r>
  <r>
    <n v="139"/>
    <d v="2025-05-07T07:07:27"/>
    <x v="19"/>
    <s v="SERBL/2025/05/0013"/>
    <s v="Service Bills"/>
    <s v="LPORD/2024/00604: Fabrication of plate work like ducts, chutes, vent, hoppers, stacks, crane girders, oil and water tanks, cyclones etc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16920000"/>
    <n v="0"/>
    <n v="16920000"/>
    <s v="TZS"/>
    <s v="[SER025] Job Contract-3"/>
    <s v="Misc. Income"/>
    <n v="24"/>
    <s v="MT"/>
    <x v="0"/>
    <x v="0"/>
    <x v="0"/>
    <x v="0"/>
    <n v="6635.2941176470586"/>
    <n v="0"/>
  </r>
  <r>
    <n v="140"/>
    <d v="2025-05-07T07:07:27"/>
    <x v="19"/>
    <s v="SERBL/2025/05/0013"/>
    <s v="Service Bills"/>
    <s v="LPORD/2024/00604: Erection of plant &amp; machinery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14424300"/>
    <n v="0"/>
    <n v="14424300"/>
    <s v="TZS"/>
    <s v="[SER025] Job Contract-3"/>
    <s v="Misc. Income"/>
    <n v="20.46"/>
    <s v="MT"/>
    <x v="0"/>
    <x v="0"/>
    <x v="0"/>
    <x v="0"/>
    <n v="5656.588235294118"/>
    <n v="0"/>
  </r>
  <r>
    <n v="141"/>
    <d v="2025-05-07T07:07:27"/>
    <x v="19"/>
    <s v="SERBL/2025/05/0013"/>
    <s v="Service Bills"/>
    <s v="LPORD/2024/00604: Painting of any ducting/chutes/piping/additional machinery and equipment’s with Red oxide and paint of approved shade &amp; quality for structures.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1269000"/>
    <n v="0"/>
    <n v="1269000"/>
    <s v="TZS"/>
    <s v="[SER025] Job Contract-3"/>
    <s v="Misc. Income"/>
    <n v="180"/>
    <s v="MT"/>
    <x v="0"/>
    <x v="0"/>
    <x v="0"/>
    <x v="0"/>
    <n v="497.64705882352939"/>
    <n v="0"/>
  </r>
  <r>
    <n v="142"/>
    <d v="2025-05-07T07:07:27"/>
    <x v="19"/>
    <s v="SERBL/2025/05/0013"/>
    <s v="Service Bills"/>
    <s v="LPORD/2024/00604: Unloading of equipment’s 20 Feet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400000"/>
    <n v="0"/>
    <n v="400000"/>
    <s v="TZS"/>
    <s v="[SER028] Job Contract-6"/>
    <s v="Misc. Income"/>
    <n v="10"/>
    <s v="NOS"/>
    <x v="0"/>
    <x v="0"/>
    <x v="0"/>
    <x v="0"/>
    <n v="156.86274509803923"/>
    <n v="0"/>
  </r>
  <r>
    <n v="143"/>
    <d v="2025-05-07T07:07:27"/>
    <x v="19"/>
    <s v="SERBL/2025/05/0013"/>
    <s v="Service Bills"/>
    <s v="LPORD/2024/00604: Fabrication of Built up sections from plates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2115000"/>
    <n v="0"/>
    <n v="2115000"/>
    <s v="TZS"/>
    <s v="[SER025] Job Contract-3"/>
    <s v="Misc. Income"/>
    <n v="3"/>
    <s v="MT"/>
    <x v="0"/>
    <x v="0"/>
    <x v="0"/>
    <x v="0"/>
    <n v="829.41176470588232"/>
    <n v="0"/>
  </r>
  <r>
    <n v="144"/>
    <d v="2025-05-07T07:07:27"/>
    <x v="19"/>
    <s v="SERBL/2025/05/0013"/>
    <s v="Service Bills"/>
    <s v="LPORD/2024/00604: Anchor(SS-304/310)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1586250"/>
    <n v="0"/>
    <n v="1586250"/>
    <s v="TZS"/>
    <s v="[SER028] Job Contract-6"/>
    <s v="Misc. Income"/>
    <n v="450"/>
    <s v="NOS"/>
    <x v="0"/>
    <x v="0"/>
    <x v="0"/>
    <x v="0"/>
    <n v="622.05882352941171"/>
    <n v="0"/>
  </r>
  <r>
    <n v="145"/>
    <d v="2025-05-07T07:07:27"/>
    <x v="19"/>
    <s v="SERBL/2025/05/0013"/>
    <s v="Service Bills"/>
    <s v="LPORD/2024/00604: Assembly of plant &amp; machinery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6010125"/>
    <n v="0"/>
    <n v="6010125"/>
    <s v="TZS"/>
    <s v="[SER025] Job Contract-3"/>
    <s v="Misc. Income"/>
    <n v="20.46"/>
    <s v="MT"/>
    <x v="0"/>
    <x v="0"/>
    <x v="0"/>
    <x v="0"/>
    <n v="2356.9117647058824"/>
    <n v="0"/>
  </r>
  <r>
    <n v="146"/>
    <d v="2025-05-07T07:07:27"/>
    <x v="19"/>
    <s v="SERBL/2025/05/0013"/>
    <s v="Service Bills"/>
    <s v="LPORD/2024/00604: Erection of structural work like sheds, tresses, Galleries, platforms, stairs, Derrick, Temporary support etc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93765000"/>
    <n v="0"/>
    <n v="93765000"/>
    <s v="TZS"/>
    <s v="[SER025] Job Contract-3"/>
    <s v="Misc. Income"/>
    <n v="133"/>
    <s v="MT"/>
    <x v="0"/>
    <x v="0"/>
    <x v="0"/>
    <x v="0"/>
    <n v="36770.588235294119"/>
    <n v="0"/>
  </r>
  <r>
    <n v="147"/>
    <d v="2025-05-07T07:07:27"/>
    <x v="19"/>
    <s v="SERBL/2025/05/0013"/>
    <s v="Service Bills"/>
    <s v="LPORD/2024/00604: Erection of plate work like ducts, chutes, vent, hoppers, stacks, Cyclones, crane girders, oil and water tanks etc"/>
    <s v="28950"/>
    <s v="CMLT1217"/>
    <s v="Gibs Developers Company"/>
    <s v="CAPITAL WORK IN PROGRESS"/>
    <s v="Fixed Assets"/>
    <s v="371021"/>
    <s v="371021 CWIP-PYRO UPGRADATION"/>
    <s v="CWIP-Pyro Upgradation"/>
    <s v="PROJECT"/>
    <s v="PROJECT"/>
    <n v="77550000"/>
    <n v="0"/>
    <n v="77550000"/>
    <s v="TZS"/>
    <s v="[SER025] Job Contract-3"/>
    <s v="Misc. Income"/>
    <n v="110"/>
    <s v="MT"/>
    <x v="0"/>
    <x v="0"/>
    <x v="0"/>
    <x v="0"/>
    <n v="30411.764705882353"/>
    <n v="0"/>
  </r>
  <r>
    <n v="148"/>
    <d v="2025-05-12T09:25:05"/>
    <x v="20"/>
    <s v="SERBL/2025/05/0062"/>
    <s v="Service Bills"/>
    <s v="AIR TICKET CHARGES "/>
    <s v="ITI00000228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942227"/>
    <n v="0"/>
    <n v="942227"/>
    <s v="TZS"/>
    <m/>
    <m/>
    <n v="1"/>
    <m/>
    <x v="0"/>
    <x v="0"/>
    <x v="3"/>
    <x v="0"/>
    <n v="369.50078431372549"/>
    <n v="0"/>
  </r>
  <r>
    <n v="149"/>
    <d v="2025-05-15T06:40:21"/>
    <x v="21"/>
    <s v="SERBL/2025/05/0082"/>
    <s v="Service Bills"/>
    <s v="IPORD/2025/00018: ENGINEERING CONSUILTANCY SERVICES FOR THE EXPANSION OF CEMENT PRODUCTION PLANT"/>
    <s v="WEET/LCL/015A"/>
    <s v="CMMI1936"/>
    <s v="Well Erectors of Engineering Technology Pvt Ltd"/>
    <s v="CAPITAL WORK IN PROGRESS"/>
    <s v="Fixed Assets"/>
    <s v="371050"/>
    <s v="371050 CWIP-TECHNICAL CONSULTATION AND EXPERTS HIRING FOR PROJECT WORK"/>
    <s v="CWIP-TECHNICAL CONSULTATION AND EXPERTS HIRING FOR PROJECT WORK"/>
    <s v="PROJECT"/>
    <s v="PROJECT"/>
    <n v="839087291.13"/>
    <n v="0"/>
    <n v="839087291.13"/>
    <s v="TZS"/>
    <s v="[SER027] Job Contract-5"/>
    <s v="Misc. Income"/>
    <n v="1"/>
    <s v="Lumpsum"/>
    <x v="0"/>
    <x v="0"/>
    <x v="11"/>
    <x v="4"/>
    <n v="329053.8396588235"/>
    <n v="0"/>
  </r>
  <r>
    <n v="150"/>
    <d v="2025-05-20T00:00:00"/>
    <x v="22"/>
    <s v="STJ/2025/05/07205"/>
    <s v="Inventory Valuation"/>
    <s v="CM/MTI/2025/00957 - [CIGGS001] GAS OXYGEN FULL CYLINDER, O2 / MRQ/2025/01308"/>
    <s v="CM/MTI/2025/00957 - [CIGGS001] GAS OXYGEN FULL CYLINDER, O2 / MRQ/2025/01308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75000"/>
    <n v="0"/>
    <n v="75000"/>
    <s v="TZS"/>
    <s v="[CIGGS001] GAS OXYGEN FULL CYLINDER, O2"/>
    <m/>
    <n v="-5"/>
    <s v="NOS"/>
    <x v="0"/>
    <x v="0"/>
    <x v="8"/>
    <x v="3"/>
    <n v="29.411764705882351"/>
    <n v="0"/>
  </r>
  <r>
    <n v="151"/>
    <d v="2025-05-20T00:00:00"/>
    <x v="22"/>
    <s v="STJ/2025/05/07206"/>
    <s v="Inventory Valuation"/>
    <s v="CM/MTI/2025/00957 - [EFSHB096] BOLT HT HEX HEAD M12 X 50MM FULL THREAD WITH NUT AND WASHER GRADE 8.8 / MRQ/2025/01308"/>
    <s v="CM/MTI/2025/00957 - [EFSHB096] BOLT HT HEX HEAD M12 X 50MM FULL THREAD WITH NUT AND WASHER GRADE 8.8 / MRQ/2025/01308"/>
    <m/>
    <m/>
    <s v="MATERIAL COST"/>
    <s v="Expenses"/>
    <s v="731002"/>
    <s v="731002 STORE SPARES &amp; CONSUMABLE-GENERAL"/>
    <s v="CWIP-CONSTRUCTION OF NEW RAW MILL FEEDING AND UPGRADATION"/>
    <s v="PROJECT"/>
    <s v="MECHANICAL"/>
    <n v="60459.25"/>
    <n v="0"/>
    <n v="60459.25"/>
    <s v="TZS"/>
    <s v="[EFSHB096] BOLT HT HEX HEAD M12 X 50MM FULL THREAD WITH NUT AND WASHER GRADE 8.8"/>
    <m/>
    <n v="-110"/>
    <s v="NOS"/>
    <x v="0"/>
    <x v="0"/>
    <x v="9"/>
    <x v="4"/>
    <n v="23.70950980392157"/>
    <n v="0"/>
  </r>
  <r>
    <n v="152"/>
    <d v="2025-05-21T00:00:00"/>
    <x v="23"/>
    <s v="STJ/2025/05/07717"/>
    <s v="Inventory Valuation"/>
    <s v="CM/MTI/2025/00974 - [CAFRF019] CHAIR WITH WHEELS / MRQ/2025/01335_x000a_Rounding Adjustment: +0.01 TSh"/>
    <s v="CM/MTI/2025/00974 - [CAFRF019] CHAIR WITH WHEELS / MRQ/2025/01335_x000a_Rounding Adjustment: +0.01 TSh"/>
    <m/>
    <m/>
    <s v="MATERIAL COST"/>
    <s v="Expenses"/>
    <s v="731003"/>
    <s v="731003 STORE SPARES &amp; CONSUMABLE-CA"/>
    <s v="Fixed Asset"/>
    <s v="ADMIN"/>
    <s v="PRODUCTION"/>
    <n v="1769491.55"/>
    <n v="0"/>
    <n v="1769491.55"/>
    <s v="TZS"/>
    <s v="[CAFRF019] CHAIR WITH WHEELS"/>
    <m/>
    <n v="-6"/>
    <s v="NOS"/>
    <x v="0"/>
    <x v="3"/>
    <x v="7"/>
    <x v="1"/>
    <n v="693.91825490196084"/>
    <n v="0"/>
  </r>
  <r>
    <n v="153"/>
    <d v="2025-05-22T13:52:56"/>
    <x v="24"/>
    <s v="STJ/2025/05/08144"/>
    <s v="Inventory Valuation"/>
    <s v="CM/MTI/2025/00989 - [PROCM204] SHEET ALUMINIUM SIZE 24 SWG FOR INSULATION / MRQ/2025/01371"/>
    <s v="CM/MTI/2025/00989 - [PROCM204] SHEET ALUMINIUM SIZE 24 SWG FOR INSULATION / MRQ/2025/01371"/>
    <m/>
    <m/>
    <s v="CAPITAL WORK IN PROGRESS"/>
    <s v="Fixed Assets"/>
    <s v="371023"/>
    <s v="371023 CWIP-CEMENT MILL 50TPH NEW"/>
    <s v="Inventory Spares Consumable"/>
    <s v="RAW MILL-1"/>
    <s v="MECHANICAL"/>
    <n v="2923770.68"/>
    <n v="0"/>
    <n v="2923770.68"/>
    <s v="TZS"/>
    <s v="[PROCM204] SHEET ALUMINIUM SIZE 24 SWG FOR INSULATION"/>
    <s v="CEMENT MILL"/>
    <n v="-164"/>
    <s v="KG"/>
    <x v="0"/>
    <x v="0"/>
    <x v="9"/>
    <x v="4"/>
    <n v="1146.5767372549021"/>
    <n v="0"/>
  </r>
  <r>
    <n v="154"/>
    <d v="2025-05-22T11:29:33"/>
    <x v="24"/>
    <s v="PCVLG/2025/05/0122"/>
    <s v="PCV (PETTY CASH LOGISTIC)"/>
    <m/>
    <s v="CASH PAID FOR FABRICATION NEW TRAILERS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1000000"/>
    <n v="0"/>
    <n v="1000000"/>
    <s v="TZS"/>
    <m/>
    <m/>
    <n v="1"/>
    <m/>
    <x v="0"/>
    <x v="0"/>
    <x v="12"/>
    <x v="1"/>
    <n v="392.15686274509807"/>
    <n v="0"/>
  </r>
  <r>
    <n v="155"/>
    <d v="2025-05-22T00:00:00"/>
    <x v="24"/>
    <s v="STJ/2025/05/08131"/>
    <s v="Inventory Valuation"/>
    <s v="CM/MTI/2025/00986 - [CIGGS001] GAS OXYGEN FULL CYLINDER, O2 / MRQ/2025/01361"/>
    <s v="CM/MTI/2025/00986 - [CIGGS001] GAS OXYGEN FULL CYLINDER, O2 / MRQ/2025/01361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60000"/>
    <n v="0"/>
    <n v="60000"/>
    <s v="TZS"/>
    <s v="[CIGGS001] GAS OXYGEN FULL CYLINDER, O2"/>
    <m/>
    <n v="-4"/>
    <s v="NOS"/>
    <x v="0"/>
    <x v="0"/>
    <x v="8"/>
    <x v="3"/>
    <n v="23.529411764705884"/>
    <n v="0"/>
  </r>
  <r>
    <n v="156"/>
    <d v="2025-05-22T00:00:00"/>
    <x v="24"/>
    <s v="STJ/2025/05/08132"/>
    <s v="Inventory Valuation"/>
    <s v="CM/MTI/2025/00986 - [CWCGC041] CUTTING WHEEL 7'' / MRQ/2025/01361"/>
    <s v="CM/MTI/2025/00986 - [CWCGC041] CUTTING WHEEL 7'' / MRQ/2025/01361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16313.55"/>
    <n v="0"/>
    <n v="16313.55"/>
    <s v="TZS"/>
    <s v="[CWCGC041] CUTTING WHEEL 7''"/>
    <m/>
    <n v="-5"/>
    <s v="NOS"/>
    <x v="0"/>
    <x v="0"/>
    <x v="8"/>
    <x v="3"/>
    <n v="6.3974705882352936"/>
    <n v="0"/>
  </r>
  <r>
    <n v="157"/>
    <d v="2025-05-22T00:00:00"/>
    <x v="24"/>
    <s v="STJ/2025/05/08133"/>
    <s v="Inventory Valuation"/>
    <s v="CM/MTI/2025/00986 - [CWCWR003] WELDING ELECTRODE MS 6013 SIZE 4 MM X 450 MM / MRQ/2025/01361"/>
    <s v="CM/MTI/2025/00986 - [CWCWR003] WELDING ELECTRODE MS 6013 SIZE 4 MM X 450 MM / MRQ/2025/01361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40975.089999999997"/>
    <n v="0"/>
    <n v="40975.089999999997"/>
    <s v="TZS"/>
    <s v="[CWCWR003] WELDING ELECTRODE MS 6013 SIZE 4 MM X 450 MM"/>
    <m/>
    <n v="-10"/>
    <s v="KG"/>
    <x v="0"/>
    <x v="0"/>
    <x v="8"/>
    <x v="3"/>
    <n v="16.068662745098038"/>
    <n v="0"/>
  </r>
  <r>
    <n v="158"/>
    <d v="2025-05-22T00:00:00"/>
    <x v="24"/>
    <s v="STJ/2025/05/08163"/>
    <s v="Inventory Valuation"/>
    <s v="CM/MTI/2025/00998 - [CFLFL001] FUEL DIESEL / MRQ/2025/01349"/>
    <s v="CM/MTI/2025/00998 - [CFLFL001] FUEL DIESEL / MRQ/2025/01349"/>
    <m/>
    <m/>
    <s v="MATERIAL COST"/>
    <s v="Expenses"/>
    <s v="731007"/>
    <s v="731007 DIESEL CONSUMED"/>
    <s v="Back Hoe Loader PHANTOM T909DZE"/>
    <s v="PROJECT"/>
    <s v="MECHANICAL"/>
    <n v="109566.35"/>
    <n v="0"/>
    <n v="109566.35"/>
    <s v="TZS"/>
    <s v="[CFLFL001] FUEL DIESEL"/>
    <m/>
    <n v="-40"/>
    <s v="LTR"/>
    <x v="0"/>
    <x v="0"/>
    <x v="9"/>
    <x v="4"/>
    <n v="42.967196078431378"/>
    <n v="0"/>
  </r>
  <r>
    <n v="159"/>
    <d v="2025-05-22T00:00:00"/>
    <x v="24"/>
    <s v="STJ/2025/05/08160"/>
    <s v="Inventory Valuation"/>
    <s v="CM/MTI/2025/00997 - [CFLFL001] FUEL DIESEL / MRQ/2025/01348_x000a_Rounding Adjustment: +0.01 TSh"/>
    <s v="CM/MTI/2025/00997 - [CFLFL001] FUEL DIESEL / MRQ/2025/01348_x000a_Rounding Adjustment: +0.01 TSh"/>
    <m/>
    <m/>
    <s v="MATERIAL COST"/>
    <s v="Expenses"/>
    <s v="731007"/>
    <s v="731007 DIESEL CONSUMED"/>
    <s v="HYDRA T289ECC"/>
    <s v="PROJECT"/>
    <s v="MECHANICAL"/>
    <n v="54783.17"/>
    <n v="0"/>
    <n v="54783.17"/>
    <s v="TZS"/>
    <s v="[CFLFL001] FUEL DIESEL"/>
    <m/>
    <n v="-20"/>
    <s v="LTR"/>
    <x v="0"/>
    <x v="0"/>
    <x v="9"/>
    <x v="4"/>
    <n v="21.483596078431372"/>
    <n v="0"/>
  </r>
  <r>
    <n v="160"/>
    <d v="2025-05-22T00:00:00"/>
    <x v="24"/>
    <s v="STJ/2025/05/08159"/>
    <s v="Inventory Valuation"/>
    <s v="CM/MTI/2025/00996 - [CFLFL001] FUEL DIESEL / MRQ/2025/01347"/>
    <s v="CM/MTI/2025/00996 - [CFLFL001] FUEL DIESEL / MRQ/2025/01347"/>
    <m/>
    <m/>
    <s v="MATERIAL COST"/>
    <s v="Expenses"/>
    <s v="731007"/>
    <s v="731007 DIESEL CONSUMED"/>
    <s v="HYDRA T955EAN"/>
    <s v="PROJECT"/>
    <s v="MECHANICAL"/>
    <n v="54783.18"/>
    <n v="0"/>
    <n v="54783.18"/>
    <s v="TZS"/>
    <s v="[CFLFL001] FUEL DIESEL"/>
    <m/>
    <n v="-20"/>
    <s v="LTR"/>
    <x v="0"/>
    <x v="0"/>
    <x v="9"/>
    <x v="4"/>
    <n v="21.483599999999999"/>
    <n v="0"/>
  </r>
  <r>
    <n v="161"/>
    <d v="2025-05-26T00:00:00"/>
    <x v="25"/>
    <s v="STJ/2025/05/09547"/>
    <s v="Inventory Valuation"/>
    <s v="CM/MTI/2025/01039 - [CIGGS001] GAS OXYGEN FULL CYLINDER, O2 / MRQ/2025/01356"/>
    <s v="CM/MTI/2025/01039 - [CIGGS001] GAS OXYGEN FULL CYLINDER, O2 / MRQ/2025/01356"/>
    <m/>
    <m/>
    <s v="MATERIAL COST"/>
    <s v="Expenses"/>
    <s v="731002"/>
    <s v="731002 STORE SPARES &amp; CONSUMABLE-GENERAL"/>
    <s v="CWIP-CONSTRUCTION OF NEW RAW MILL FEEDING AND UPGRADATION"/>
    <s v="PROJECT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162"/>
    <d v="2025-05-26T00:00:00"/>
    <x v="25"/>
    <s v="STJ/2025/05/09548"/>
    <s v="Inventory Valuation"/>
    <s v="CM/MTI/2025/01039 - [CWCWR003] WELDING ELECTRODE MS 6013 SIZE 4 MM X 450 MM / MRQ/2025/01356_x000a_Rounding Adjustment: -0.01 TSh"/>
    <s v="CM/MTI/2025/01039 - [CWCWR003] WELDING ELECTRODE MS 6013 SIZE 4 MM X 450 MM / MRQ/2025/01356_x000a_Rounding Adjustment: -0.01 TSh"/>
    <m/>
    <m/>
    <s v="MATERIAL COST"/>
    <s v="Expenses"/>
    <s v="731002"/>
    <s v="731002 STORE SPARES &amp; CONSUMABLE-GENERAL"/>
    <s v="CWIP-CONSTRUCTION OF NEW RAW MILL FEEDING AND UPGRADATION"/>
    <s v="PROJECT"/>
    <s v="MECHANICAL"/>
    <n v="122925.29"/>
    <n v="0"/>
    <n v="122925.29"/>
    <s v="TZS"/>
    <s v="[CWCWR003] WELDING ELECTRODE MS 6013 SIZE 4 MM X 450 MM"/>
    <m/>
    <n v="-30"/>
    <s v="KG"/>
    <x v="0"/>
    <x v="0"/>
    <x v="9"/>
    <x v="4"/>
    <n v="48.205996078431369"/>
    <n v="0"/>
  </r>
  <r>
    <n v="163"/>
    <d v="2025-05-26T00:00:00"/>
    <x v="25"/>
    <s v="STJ/2025/05/09550"/>
    <s v="Inventory Valuation"/>
    <s v="CM/MTI/2025/01041 - [EFSHB087] BOLT HT HEX HEAD M10 X 70MM FULL THREAD WITH NUT AND WASHER GRADE 8.8 / MRQ/2025/01404"/>
    <s v="CM/MTI/2025/01041 - [EFSHB087] BOLT HT HEX HEAD M10 X 70MM FULL THREAD WITH NUT AND WASHER GRADE 8.8 / MRQ/2025/01404"/>
    <m/>
    <m/>
    <s v="MATERIAL COST"/>
    <s v="Expenses"/>
    <s v="731002"/>
    <s v="731002 STORE SPARES &amp; CONSUMABLE-GENERAL"/>
    <s v="CWIP-CONSTRUCTION OF NEW RAW MILL FEEDING AND UPGRADATION"/>
    <s v="PROJECT"/>
    <s v="MECHANICAL"/>
    <n v="10855.93"/>
    <n v="0"/>
    <n v="10855.93"/>
    <s v="TZS"/>
    <s v="[EFSHB087] BOLT HT HEX HEAD M10 X 70MM FULL THREAD WITH NUT AND WASHER GRADE 8.8"/>
    <m/>
    <n v="-30"/>
    <s v="NOS"/>
    <x v="0"/>
    <x v="0"/>
    <x v="9"/>
    <x v="4"/>
    <n v="4.257227450980392"/>
    <n v="0"/>
  </r>
  <r>
    <n v="164"/>
    <d v="2025-05-26T00:00:00"/>
    <x v="25"/>
    <s v="STJ/2025/05/09551"/>
    <s v="Inventory Valuation"/>
    <s v="CM/MTI/2025/01041 - [EPFPI030] PIPE MS SIZE 4&quot; DIA X 6000 MM LONG CLASS C / MRQ/2025/01404"/>
    <s v="CM/MTI/2025/01041 - [EPFPI030] PIPE MS SIZE 4&quot; DIA X 6000 MM LONG CLASS C / MRQ/2025/01404"/>
    <m/>
    <m/>
    <s v="MATERIAL COST"/>
    <s v="Expenses"/>
    <s v="731002"/>
    <s v="731002 STORE SPARES &amp; CONSUMABLE-GENERAL"/>
    <s v="CWIP-CONSTRUCTION OF NEW RAW MILL FEEDING AND UPGRADATION"/>
    <s v="PROJECT"/>
    <s v="MECHANICAL"/>
    <n v="750000"/>
    <n v="0"/>
    <n v="750000"/>
    <s v="TZS"/>
    <s v="[EPFPI030] PIPE MS SIZE 4&quot; DIA X 6000 MM LONG CLASS C"/>
    <m/>
    <n v="-3"/>
    <s v="NOS"/>
    <x v="0"/>
    <x v="0"/>
    <x v="9"/>
    <x v="4"/>
    <n v="294.11764705882354"/>
    <n v="0"/>
  </r>
  <r>
    <n v="165"/>
    <d v="2025-05-26T00:00:00"/>
    <x v="25"/>
    <s v="STJ/2025/05/09552"/>
    <s v="Inventory Valuation"/>
    <s v="CM/MTI/2025/01042 - [CWCWR003] WELDING ELECTRODE MS 6013 SIZE 4 MM X 450 MM / MRQ/2025/01417"/>
    <s v="CM/MTI/2025/01042 - [CWCWR003] WELDING ELECTRODE MS 6013 SIZE 4 MM X 450 MM / MRQ/2025/01417"/>
    <m/>
    <m/>
    <s v="MATERIAL COST"/>
    <s v="Expenses"/>
    <s v="731002"/>
    <s v="731002 STORE SPARES &amp; CONSUMABLE-GENERAL"/>
    <s v="CWIP-CONSTRUCTION OF NEW RAW MILL FEEDING AND UPGRADATION"/>
    <s v="PROJECT"/>
    <s v="MECHANICAL"/>
    <n v="40975.089999999997"/>
    <n v="0"/>
    <n v="40975.089999999997"/>
    <s v="TZS"/>
    <s v="[CWCWR003] WELDING ELECTRODE MS 6013 SIZE 4 MM X 450 MM"/>
    <m/>
    <n v="-10"/>
    <s v="KG"/>
    <x v="0"/>
    <x v="0"/>
    <x v="9"/>
    <x v="4"/>
    <n v="16.068662745098038"/>
    <n v="0"/>
  </r>
  <r>
    <n v="166"/>
    <d v="2025-05-27T00:00:00"/>
    <x v="26"/>
    <s v="STJ/2025/05/09815"/>
    <s v="Inventory Valuation"/>
    <s v="CM/MTI/2025/01076 - [CAOFE007] WATER DISPENSER / MRQ/2025/01453"/>
    <s v="CM/MTI/2025/01076 - [CAOFE007] WATER DISPENSER / MRQ/2025/01453"/>
    <m/>
    <m/>
    <s v="MATERIAL COST"/>
    <s v="Expenses"/>
    <s v="731003"/>
    <s v="731003 STORE SPARES &amp; CONSUMABLE-CA"/>
    <s v="Fixed Asset"/>
    <s v="QUARRY"/>
    <s v="QUARRYING"/>
    <n v="233050.85"/>
    <n v="0"/>
    <n v="233050.85"/>
    <s v="TZS"/>
    <s v="[CAOFE007] WATER DISPENSER"/>
    <m/>
    <n v="-1"/>
    <s v="NOS"/>
    <x v="0"/>
    <x v="3"/>
    <x v="7"/>
    <x v="1"/>
    <n v="91.392490196078427"/>
    <n v="0"/>
  </r>
  <r>
    <n v="167"/>
    <d v="2025-05-27T00:00:00"/>
    <x v="26"/>
    <s v="STJ/2025/05/09822"/>
    <s v="Inventory Valuation"/>
    <s v="CM/MTI/2025/01080 - [CCLGC032] WIRE FOR BINDING / MRQ/2025/01466"/>
    <s v="CM/MTI/2025/01080 - [CCLGC032] WIRE FOR BINDING / MRQ/2025/01466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87500"/>
    <n v="0"/>
    <n v="87500"/>
    <s v="TZS"/>
    <s v="[CCLGC032] WIRE FOR BINDING"/>
    <m/>
    <n v="-17.5"/>
    <s v="KG"/>
    <x v="0"/>
    <x v="0"/>
    <x v="8"/>
    <x v="3"/>
    <n v="34.313725490196077"/>
    <n v="0"/>
  </r>
  <r>
    <n v="168"/>
    <d v="2025-05-27T00:00:00"/>
    <x v="26"/>
    <s v="STJ/2025/05/09823"/>
    <s v="Inventory Valuation"/>
    <s v="CM/MTI/2025/01080 - [CCLGC328] TMT BAR SIZE 10 MM GRADE FY500. / MRQ/2025/01466"/>
    <s v="CM/MTI/2025/01080 - [CCLGC328] TMT BAR SIZE 10 MM GRADE FY500. / MRQ/2025/01466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353289.32"/>
    <n v="0"/>
    <n v="353289.32"/>
    <s v="TZS"/>
    <s v="[CCLGC328] TMT BAR SIZE 10 MM GRADE FY500."/>
    <m/>
    <n v="-24"/>
    <s v="PCS"/>
    <x v="0"/>
    <x v="0"/>
    <x v="8"/>
    <x v="3"/>
    <n v="138.54483137254903"/>
    <n v="0"/>
  </r>
  <r>
    <n v="169"/>
    <d v="2025-05-27T00:00:00"/>
    <x v="26"/>
    <s v="STJ/2025/05/09824"/>
    <s v="Inventory Valuation"/>
    <s v="CM/MTI/2025/01080 - [CIGGS001] GAS OXYGEN FULL CYLINDER, O2 / MRQ/2025/01466"/>
    <s v="CM/MTI/2025/01080 - [CIGGS001] GAS OXYGEN FULL CYLINDER, O2 / MRQ/2025/01466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75000"/>
    <n v="0"/>
    <n v="75000"/>
    <s v="TZS"/>
    <s v="[CIGGS001] GAS OXYGEN FULL CYLINDER, O2"/>
    <m/>
    <n v="-5"/>
    <s v="NOS"/>
    <x v="0"/>
    <x v="0"/>
    <x v="8"/>
    <x v="3"/>
    <n v="29.411764705882351"/>
    <n v="0"/>
  </r>
  <r>
    <n v="170"/>
    <d v="2025-05-27T00:00:00"/>
    <x v="26"/>
    <s v="STJ/2025/05/09825"/>
    <s v="Inventory Valuation"/>
    <s v="CM/MTI/2025/01080 - [CIGGS005] GAS LIQUEFIED PETROLEUM FULL CYLINDER, LPG CAPACITY 15KG / MRQ/2025/01466"/>
    <s v="CM/MTI/2025/01080 - [CIGGS005] GAS LIQUEFIED PETROLEUM FULL CYLINDER, LPG CAPACITY 15KG / MRQ/2025/01466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48383.26"/>
    <n v="0"/>
    <n v="48383.26"/>
    <s v="TZS"/>
    <s v="[CIGGS005] GAS LIQUEFIED PETROLEUM FULL CYLINDER, LPG CAPACITY 15KG"/>
    <m/>
    <n v="-1"/>
    <s v="NOS"/>
    <x v="0"/>
    <x v="0"/>
    <x v="8"/>
    <x v="3"/>
    <n v="18.973827450980394"/>
    <n v="0"/>
  </r>
  <r>
    <n v="171"/>
    <d v="2025-05-27T00:00:00"/>
    <x v="26"/>
    <s v="STJ/2025/05/09826"/>
    <s v="Inventory Valuation"/>
    <s v="CM/MTI/2025/01080 - [CWCWR003] WELDING ELECTRODE MS 6013 SIZE 4 MM X 450 MM / MRQ/2025/01466"/>
    <s v="CM/MTI/2025/01080 - [CWCWR003] WELDING ELECTRODE MS 6013 SIZE 4 MM X 450 MM / MRQ/2025/01466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61462.64"/>
    <n v="0"/>
    <n v="61462.64"/>
    <s v="TZS"/>
    <s v="[CWCWR003] WELDING ELECTRODE MS 6013 SIZE 4 MM X 450 MM"/>
    <m/>
    <n v="-15"/>
    <s v="KG"/>
    <x v="0"/>
    <x v="0"/>
    <x v="8"/>
    <x v="3"/>
    <n v="24.102996078431371"/>
    <n v="0"/>
  </r>
  <r>
    <n v="172"/>
    <d v="2025-05-27T00:00:00"/>
    <x v="26"/>
    <s v="STJ/2025/05/09827"/>
    <s v="Inventory Valuation"/>
    <s v="CM/MTI/2025/01080 - [EFSHB123] BOLT HT HEX HEAD M16 X 100MM HALF THREAD WITH NUT AND WASHER GRADE 8.8 / MRQ/2025/01466"/>
    <s v="CM/MTI/2025/01080 - [EFSHB123] BOLT HT HEX HEAD M16 X 100MM HALF THREAD WITH NUT AND WASHER GRADE 8.8 / MRQ/2025/01466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144712.71"/>
    <n v="0"/>
    <n v="144712.71"/>
    <s v="TZS"/>
    <s v="[EFSHB123] BOLT HT HEX HEAD M16 X 100MM HALF THREAD WITH NUT AND WASHER GRADE 8.8"/>
    <m/>
    <n v="-64"/>
    <s v="NOS"/>
    <x v="0"/>
    <x v="0"/>
    <x v="8"/>
    <x v="3"/>
    <n v="56.75008235294117"/>
    <n v="0"/>
  </r>
  <r>
    <n v="173"/>
    <d v="2025-05-28T07:53:43"/>
    <x v="27"/>
    <s v="SERBL/2025/05/0128"/>
    <s v="Service Bills"/>
    <s v="IPORD/2025/00021: Engineering consultancy Services for Cement Expansion production Project."/>
    <s v="1622888"/>
    <s v="CMME0708"/>
    <s v="FLSmidth A/s"/>
    <s v="CAPITAL WORK IN PROGRESS"/>
    <s v="Fixed Assets"/>
    <s v="371021"/>
    <s v="371021 CWIP-PYRO UPGRADATION"/>
    <s v="CWIP-Pyro Upgradation"/>
    <s v="PROJECT"/>
    <s v="PROJECT"/>
    <n v="208180543.5"/>
    <n v="0"/>
    <n v="208180543.5"/>
    <s v="TZS"/>
    <s v="[SER027] Job Contract-5"/>
    <s v="Misc. Income"/>
    <n v="1"/>
    <s v="Lumpsum"/>
    <x v="0"/>
    <x v="0"/>
    <x v="0"/>
    <x v="0"/>
    <n v="81639.428823529408"/>
    <n v="0"/>
  </r>
  <r>
    <n v="174"/>
    <d v="2025-05-28T00:00:00"/>
    <x v="27"/>
    <s v="STJ/2025/05/10809"/>
    <s v="Inventory Valuation"/>
    <s v="CM/MTI/2025/01108 - [CIGGS005] GAS LIQUEFIED PETROLEUM FULL CYLINDER, LPG CAPACITY 15KG / MRQ/2025/01498"/>
    <s v="CM/MTI/2025/01108 - [CIGGS005] GAS LIQUEFIED PETROLEUM FULL CYLINDER, LPG CAPACITY 15KG / MRQ/2025/01498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48383.26"/>
    <n v="0"/>
    <n v="48383.26"/>
    <s v="TZS"/>
    <s v="[CIGGS005] GAS LIQUEFIED PETROLEUM FULL CYLINDER, LPG CAPACITY 15KG"/>
    <m/>
    <n v="-1"/>
    <s v="NOS"/>
    <x v="0"/>
    <x v="0"/>
    <x v="8"/>
    <x v="3"/>
    <n v="18.973827450980394"/>
    <n v="0"/>
  </r>
  <r>
    <n v="175"/>
    <d v="2025-05-28T00:00:00"/>
    <x v="27"/>
    <s v="STJ/2025/05/10810"/>
    <s v="Inventory Valuation"/>
    <s v="CM/MTI/2025/01108 - [CWCGC041] CUTTING WHEEL 7'' / MRQ/2025/01498"/>
    <s v="CM/MTI/2025/01108 - [CWCGC041] CUTTING WHEEL 7'' / MRQ/2025/01498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32627.1"/>
    <n v="0"/>
    <n v="32627.1"/>
    <s v="TZS"/>
    <s v="[CWCGC041] CUTTING WHEEL 7''"/>
    <m/>
    <n v="-10"/>
    <s v="NOS"/>
    <x v="0"/>
    <x v="0"/>
    <x v="8"/>
    <x v="3"/>
    <n v="12.794941176470587"/>
    <n v="0"/>
  </r>
  <r>
    <n v="176"/>
    <d v="2025-05-29T14:01:46"/>
    <x v="28"/>
    <s v="STJ/2025/05/11000"/>
    <s v="Inventory Valuation"/>
    <s v="CM/MTI/2025/01126 - [PROCM204] SHEET ALUMINIUM SIZE 24 SWG FOR INSULATION / MRQ/2025/01512"/>
    <s v="CM/MTI/2025/01126 - [PROCM204] SHEET ALUMINIUM SIZE 24 SWG FOR INSULATION / MRQ/2025/01512"/>
    <m/>
    <m/>
    <s v="CAPITAL WORK IN PROGRESS"/>
    <s v="Fixed Assets"/>
    <s v="371023"/>
    <s v="371023 CWIP-CEMENT MILL 50TPH NEW"/>
    <s v="Inventory Spares Consumable"/>
    <s v="RAW MILL-1"/>
    <s v="MECHANICAL"/>
    <n v="2923770.68"/>
    <n v="0"/>
    <n v="2923770.68"/>
    <s v="TZS"/>
    <s v="[PROCM204] SHEET ALUMINIUM SIZE 24 SWG FOR INSULATION"/>
    <s v="CEMENT MILL"/>
    <n v="-164"/>
    <s v="KG"/>
    <x v="0"/>
    <x v="0"/>
    <x v="9"/>
    <x v="4"/>
    <n v="1146.5767372549021"/>
    <n v="0"/>
  </r>
  <r>
    <n v="177"/>
    <d v="2025-05-29T00:00:00"/>
    <x v="28"/>
    <s v="STJ/2025/05/11001"/>
    <s v="Inventory Valuation"/>
    <s v="CM/MTI/2025/01127 - [CAFRF019] CHAIR WITH WHEELS / MRQ/2025/01513_x000a_Rounding Adjustment: +0.01 TSh"/>
    <s v="CM/MTI/2025/01127 - [CAFRF019] CHAIR WITH WHEELS / MRQ/2025/01513_x000a_Rounding Adjustment: +0.01 TSh"/>
    <m/>
    <m/>
    <s v="MATERIAL COST"/>
    <s v="Expenses"/>
    <s v="731003"/>
    <s v="731003 STORE SPARES &amp; CONSUMABLE-CA"/>
    <s v="Fixed Asset"/>
    <s v="WATER TREATMENT"/>
    <s v="CAPTIVE POWER PLANT"/>
    <n v="627118.65"/>
    <n v="0"/>
    <n v="627118.65"/>
    <s v="TZS"/>
    <s v="[CAFRF019] CHAIR WITH WHEELS"/>
    <m/>
    <n v="-2"/>
    <s v="NOS"/>
    <x v="0"/>
    <x v="3"/>
    <x v="7"/>
    <x v="1"/>
    <n v="245.92888235294117"/>
    <n v="0"/>
  </r>
  <r>
    <n v="178"/>
    <d v="2025-05-29T00:00:00"/>
    <x v="28"/>
    <s v="STJ/2025/05/10980"/>
    <s v="Inventory Valuation"/>
    <s v="CM/MTI/2025/01115 - [CAFRF019] CHAIR WITH WHEELS / MRQ/2025/01312"/>
    <s v="CM/MTI/2025/01115 - [CAFRF019] CHAIR WITH WHEELS / MRQ/2025/01312"/>
    <m/>
    <m/>
    <s v="MATERIAL COST"/>
    <s v="Expenses"/>
    <s v="731003"/>
    <s v="731003 STORE SPARES &amp; CONSUMABLE-CA"/>
    <s v="Fixed Asset"/>
    <s v="DISPATCH"/>
    <s v="DISPATCH"/>
    <n v="1881355.97"/>
    <n v="0"/>
    <n v="1881355.97"/>
    <s v="TZS"/>
    <s v="[CAFRF019] CHAIR WITH WHEELS"/>
    <m/>
    <n v="-6"/>
    <s v="NOS"/>
    <x v="0"/>
    <x v="3"/>
    <x v="7"/>
    <x v="1"/>
    <n v="737.78665490196079"/>
    <n v="0"/>
  </r>
  <r>
    <n v="179"/>
    <d v="2025-05-29T00:00:00"/>
    <x v="28"/>
    <s v="STJ/2025/05/11033"/>
    <s v="Inventory Valuation"/>
    <s v="CM/MTI/2025/01142 - [CFLFL001] FUEL DIESEL / MRQ/2025/01520"/>
    <s v="CM/MTI/2025/01142 - [CFLFL001] FUEL DIESEL / MRQ/2025/01520"/>
    <m/>
    <m/>
    <s v="MATERIAL COST"/>
    <s v="Expenses"/>
    <s v="731007"/>
    <s v="731007 DIESEL CONSUMED"/>
    <s v="Back Hoe Loader PHANTOM T909DZE"/>
    <s v="PROJECT"/>
    <s v="MECHANICAL"/>
    <n v="108447.76"/>
    <n v="0"/>
    <n v="108447.76"/>
    <s v="TZS"/>
    <s v="[CFLFL001] FUEL DIESEL"/>
    <m/>
    <n v="-40"/>
    <s v="LTR"/>
    <x v="0"/>
    <x v="0"/>
    <x v="9"/>
    <x v="4"/>
    <n v="42.528533333333328"/>
    <n v="0"/>
  </r>
  <r>
    <n v="180"/>
    <d v="2025-05-30T00:00:00"/>
    <x v="29"/>
    <s v="STJ/2025/05/11698"/>
    <s v="Inventory Valuation"/>
    <s v="CM/MTI/2025/01154 - [CACOP007] PRINTER / MRQ/2025/01557"/>
    <s v="CM/MTI/2025/01154 - [CACOP007] PRINTER / MRQ/2025/01557"/>
    <m/>
    <m/>
    <s v="MATERIAL COST"/>
    <s v="Expenses"/>
    <s v="731003"/>
    <s v="731003 STORE SPARES &amp; CONSUMABLE-CA"/>
    <s v="Fixed Asset"/>
    <s v="ADMIN"/>
    <s v="ACCOUNTS"/>
    <n v="299000"/>
    <n v="0"/>
    <n v="299000"/>
    <s v="TZS"/>
    <s v="[CACOP007] PRINTER"/>
    <m/>
    <n v="-1"/>
    <s v="NOS"/>
    <x v="0"/>
    <x v="2"/>
    <x v="6"/>
    <x v="1"/>
    <n v="117.25490196078431"/>
    <n v="0"/>
  </r>
  <r>
    <n v="181"/>
    <d v="2025-05-30T00:00:00"/>
    <x v="29"/>
    <s v="STJ/2025/05/11709"/>
    <s v="Inventory Valuation"/>
    <s v="CM/MTI/2025/01155 - [CFLFL001] FUEL DIESEL / MRQ/2025/01549"/>
    <s v="CM/MTI/2025/01155 - [CFLFL001] FUEL DIESEL / MRQ/2025/01549"/>
    <m/>
    <m/>
    <s v="MATERIAL COST"/>
    <s v="Expenses"/>
    <s v="731007"/>
    <s v="731007 DIESEL CONSUMED"/>
    <s v="HYDRA T289ECC"/>
    <s v="PROJECT"/>
    <s v="MECHANICAL"/>
    <n v="54512.4"/>
    <n v="0"/>
    <n v="54512.4"/>
    <s v="TZS"/>
    <s v="[CFLFL001] FUEL DIESEL"/>
    <m/>
    <n v="-20"/>
    <s v="LTR"/>
    <x v="0"/>
    <x v="0"/>
    <x v="9"/>
    <x v="4"/>
    <n v="21.377411764705883"/>
    <n v="0"/>
  </r>
  <r>
    <n v="182"/>
    <d v="2025-05-30T00:00:00"/>
    <x v="29"/>
    <s v="STJ/2025/05/11710"/>
    <s v="Inventory Valuation"/>
    <s v="CM/MTI/2025/01156 - [CFLFL001] FUEL DIESEL / MRQ/2025/01550"/>
    <s v="CM/MTI/2025/01156 - [CFLFL001] FUEL DIESEL / MRQ/2025/01550"/>
    <m/>
    <m/>
    <s v="MATERIAL COST"/>
    <s v="Expenses"/>
    <s v="731007"/>
    <s v="731007 DIESEL CONSUMED"/>
    <s v="HYDRA T955EAN"/>
    <s v="PROJECT"/>
    <s v="MECHANICAL"/>
    <n v="54512.4"/>
    <n v="0"/>
    <n v="54512.4"/>
    <s v="TZS"/>
    <s v="[CFLFL001] FUEL DIESEL"/>
    <m/>
    <n v="-20"/>
    <s v="LTR"/>
    <x v="0"/>
    <x v="0"/>
    <x v="9"/>
    <x v="4"/>
    <n v="21.377411764705883"/>
    <n v="0"/>
  </r>
  <r>
    <n v="183"/>
    <d v="2025-05-31T00:00:00"/>
    <x v="30"/>
    <s v="STJ/2025/05/12098"/>
    <s v="Inventory Valuation"/>
    <s v="CM/MTI/2025/01163 - [CCLGC023] NAILS SIZE 4'' / MRQ/2025/01575"/>
    <s v="CM/MTI/2025/01163 - [CCLGC023] NAILS SIZE 4'' / MRQ/2025/01575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5700"/>
    <n v="0"/>
    <n v="5700"/>
    <s v="TZS"/>
    <s v="[CCLGC023] NAILS SIZE 4''"/>
    <m/>
    <n v="-1"/>
    <s v="KG"/>
    <x v="0"/>
    <x v="0"/>
    <x v="8"/>
    <x v="3"/>
    <n v="2.2352941176470589"/>
    <n v="0"/>
  </r>
  <r>
    <n v="184"/>
    <d v="2025-05-31T00:00:00"/>
    <x v="30"/>
    <s v="STJ/2025/05/12099"/>
    <s v="Inventory Valuation"/>
    <s v="CM/MTI/2025/01163 - [CIGGS001] GAS OXYGEN FULL CYLINDER, O2 / MRQ/2025/01575"/>
    <s v="CM/MTI/2025/01163 - [CIGGS001] GAS OXYGEN FULL CYLINDER, O2 / MRQ/2025/01575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75000"/>
    <n v="0"/>
    <n v="75000"/>
    <s v="TZS"/>
    <s v="[CIGGS001] GAS OXYGEN FULL CYLINDER, O2"/>
    <m/>
    <n v="-5"/>
    <s v="NOS"/>
    <x v="0"/>
    <x v="0"/>
    <x v="8"/>
    <x v="3"/>
    <n v="29.411764705882351"/>
    <n v="0"/>
  </r>
  <r>
    <n v="185"/>
    <d v="2025-05-31T00:00:00"/>
    <x v="30"/>
    <s v="STJ/2025/05/12100"/>
    <s v="Inventory Valuation"/>
    <s v="CM/MTI/2025/01163 - [CIGGS016] GAS LIQUEFIED PETROLEUM FULL CYLINDER, LPG CAPACITY 40KG / MRQ/2025/01575"/>
    <s v="CM/MTI/2025/01163 - [CIGGS016] GAS LIQUEFIED PETROLEUM FULL CYLINDER, LPG CAPACITY 40KG / MRQ/2025/01575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99998.37"/>
    <n v="0"/>
    <n v="99998.37"/>
    <s v="TZS"/>
    <s v="[CIGGS016] GAS LIQUEFIED PETROLEUM FULL CYLINDER, LPG CAPACITY 40KG"/>
    <m/>
    <n v="-1"/>
    <s v="NOS"/>
    <x v="0"/>
    <x v="0"/>
    <x v="8"/>
    <x v="3"/>
    <n v="39.215047058823529"/>
    <n v="0"/>
  </r>
  <r>
    <n v="186"/>
    <d v="2025-05-31T00:00:00"/>
    <x v="30"/>
    <s v="STJ/2025/05/12101"/>
    <s v="Inventory Valuation"/>
    <s v="CM/MTI/2025/01163 - [CWCGC041] CUTTING WHEEL 7'' / MRQ/2025/01575"/>
    <s v="CM/MTI/2025/01163 - [CWCGC041] CUTTING WHEEL 7'' / MRQ/2025/01575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16313.55"/>
    <n v="0"/>
    <n v="16313.55"/>
    <s v="TZS"/>
    <s v="[CWCGC041] CUTTING WHEEL 7''"/>
    <m/>
    <n v="-5"/>
    <s v="NOS"/>
    <x v="0"/>
    <x v="0"/>
    <x v="8"/>
    <x v="3"/>
    <n v="6.3974705882352936"/>
    <n v="0"/>
  </r>
  <r>
    <n v="187"/>
    <d v="2025-05-31T00:00:00"/>
    <x v="30"/>
    <s v="STJ/2025/05/12105"/>
    <s v="Inventory Valuation"/>
    <s v="CM/MTI/2025/01165 - [CCLGC028] NAILS CONCRETE SIZE 4'' / MRQ/2025/01567"/>
    <s v="CM/MTI/2025/01165 - [CCLGC028] NAILS CONCRETE SIZE 4'' / MRQ/2025/01567"/>
    <m/>
    <m/>
    <s v="MATERIAL COST"/>
    <s v="Expenses"/>
    <s v="731002"/>
    <s v="731002 STORE SPARES &amp; CONSUMABLE-GENERAL"/>
    <s v="CWIP-CONSTRUCTION OF LIME STONE AND GYPSUM FEEDING SYSTEM IN CEMENT MILL"/>
    <s v="PROJECT"/>
    <s v="MECHANICAL"/>
    <n v="9951.27"/>
    <n v="0"/>
    <n v="9951.27"/>
    <s v="TZS"/>
    <s v="[CCLGC028] NAILS CONCRETE SIZE 4''"/>
    <m/>
    <n v="-1"/>
    <s v="KG"/>
    <x v="0"/>
    <x v="0"/>
    <x v="8"/>
    <x v="3"/>
    <n v="3.902458823529412"/>
    <n v="0"/>
  </r>
  <r>
    <n v="188"/>
    <d v="2025-05-31T00:00:00"/>
    <x v="30"/>
    <s v="STJ/2025/05/12095"/>
    <s v="Inventory Valuation"/>
    <s v="CM/MTI/2025/01161 - [CIGGS001] GAS OXYGEN FULL CYLINDER, O2 / MRQ/2025/01581"/>
    <s v="CM/MTI/2025/01161 - [CIGGS001] GAS OXYGEN FULL CYLINDER, O2 / MRQ/2025/01581"/>
    <m/>
    <m/>
    <s v="MATERIAL COST"/>
    <s v="Expenses"/>
    <s v="731002"/>
    <s v="731002 STORE SPARES &amp; CONSUMABLE-GENERAL"/>
    <s v="CWIP-CONSTRUCTION OF NEW RAW MILL FEEDING AND UPGRADATION"/>
    <s v="PROJECT"/>
    <s v="MECHANICAL"/>
    <n v="90000"/>
    <n v="0"/>
    <n v="90000"/>
    <s v="TZS"/>
    <s v="[CIGGS001] GAS OXYGEN FULL CYLINDER, O2"/>
    <m/>
    <n v="-6"/>
    <s v="NOS"/>
    <x v="0"/>
    <x v="0"/>
    <x v="9"/>
    <x v="4"/>
    <n v="35.294117647058826"/>
    <n v="0"/>
  </r>
  <r>
    <n v="189"/>
    <d v="2025-05-31T00:00:00"/>
    <x v="30"/>
    <s v="STJ/2025/05/12096"/>
    <s v="Inventory Valuation"/>
    <s v="CM/MTI/2025/01161 - [CWCWR003] WELDING ELECTRODE MS 6013 SIZE 4 MM X 450 MM / MRQ/2025/01581"/>
    <s v="CM/MTI/2025/01161 - [CWCWR003] WELDING ELECTRODE MS 6013 SIZE 4 MM X 450 MM / MRQ/2025/01581"/>
    <m/>
    <m/>
    <s v="MATERIAL COST"/>
    <s v="Expenses"/>
    <s v="731002"/>
    <s v="731002 STORE SPARES &amp; CONSUMABLE-GENERAL"/>
    <s v="CWIP-CONSTRUCTION OF NEW RAW MILL FEEDING AND UPGRADATION"/>
    <s v="PROJECT"/>
    <s v="MECHANICAL"/>
    <n v="61462.64"/>
    <n v="0"/>
    <n v="61462.64"/>
    <s v="TZS"/>
    <s v="[CWCWR003] WELDING ELECTRODE MS 6013 SIZE 4 MM X 450 MM"/>
    <m/>
    <n v="-15"/>
    <s v="KG"/>
    <x v="0"/>
    <x v="0"/>
    <x v="9"/>
    <x v="4"/>
    <n v="24.102996078431371"/>
    <n v="0"/>
  </r>
  <r>
    <n v="190"/>
    <d v="2025-06-03T00:00:00"/>
    <x v="31"/>
    <s v="STJ/2025/06/00873"/>
    <s v="Inventory Valuation"/>
    <s v="CM/MTI/2025/01208 - [CIGGS005] GAS LIQUEFIED PETROLEUM FULL CYLINDER, LPG CAPACITY 15KG / MRQ/2025/01647"/>
    <s v="CM/MTI/2025/01208 - [CIGGS005] GAS LIQUEFIED PETROLEUM FULL CYLINDER, LPG CAPACITY 15KG / MRQ/2025/01647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8383.26"/>
    <n v="0"/>
    <n v="48383.26"/>
    <s v="TZS"/>
    <s v="[CIGGS005] GAS LIQUEFIED PETROLEUM FULL CYLINDER, LPG CAPACITY 15KG"/>
    <m/>
    <n v="-1"/>
    <s v="NOS"/>
    <x v="0"/>
    <x v="0"/>
    <x v="8"/>
    <x v="3"/>
    <n v="18.973827450980394"/>
    <n v="0"/>
  </r>
  <r>
    <n v="191"/>
    <d v="2025-06-03T00:00:00"/>
    <x v="31"/>
    <s v="STJ/2025/06/00872"/>
    <s v="Inventory Valuation"/>
    <s v="CM/MTI/2025/01208 - [CIGGS001] GAS OXYGEN FULL CYLINDER, O2 / MRQ/2025/01647"/>
    <s v="CM/MTI/2025/01208 - [CIGGS001] GAS OXYGEN FULL CYLINDER, O2 / MRQ/2025/01647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75000"/>
    <n v="0"/>
    <n v="75000"/>
    <s v="TZS"/>
    <s v="[CIGGS001] GAS OXYGEN FULL CYLINDER, O2"/>
    <m/>
    <n v="-5"/>
    <s v="NOS"/>
    <x v="0"/>
    <x v="0"/>
    <x v="8"/>
    <x v="3"/>
    <n v="29.411764705882351"/>
    <n v="0"/>
  </r>
  <r>
    <n v="192"/>
    <d v="2025-06-03T00:00:00"/>
    <x v="31"/>
    <s v="STJ/2025/06/00855"/>
    <s v="Inventory Valuation"/>
    <s v="CM/MTI/2025/01202 - [CCLGC028] NAILS CONCRETE SIZE 4'' / MRQ/2025/01633"/>
    <s v="CM/MTI/2025/01202 - [CCLGC028] NAILS CONCRETE SIZE 4'' / MRQ/2025/0163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902.54"/>
    <n v="0"/>
    <n v="19902.54"/>
    <s v="TZS"/>
    <s v="[CCLGC028] NAILS CONCRETE SIZE 4''"/>
    <m/>
    <n v="-2"/>
    <s v="KG"/>
    <x v="0"/>
    <x v="0"/>
    <x v="9"/>
    <x v="4"/>
    <n v="7.804917647058824"/>
    <n v="0"/>
  </r>
  <r>
    <n v="193"/>
    <d v="2025-06-04T00:00:00"/>
    <x v="32"/>
    <s v="STJ/2025/06/01163"/>
    <s v="Inventory Valuation"/>
    <s v="CM/MTI/2025/01223 - [CWCWR003] WELDING ELECTRODE MS 6013 SIZE 4 MM X 450 MM / MRQ/2025/01629"/>
    <s v="CM/MTI/2025/01223 - [CWCWR003] WELDING ELECTRODE MS 6013 SIZE 4 MM X 450 MM / MRQ/2025/0162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194"/>
    <d v="2025-06-04T00:00:00"/>
    <x v="32"/>
    <s v="STJ/2025/06/01162"/>
    <s v="Inventory Valuation"/>
    <s v="CM/MTI/2025/01223 - [CWCGC041] CUTTING WHEEL 7'' / MRQ/2025/01629"/>
    <s v="CM/MTI/2025/01223 - [CWCGC041] CUTTING WHEEL 7'' / MRQ/2025/0162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195"/>
    <d v="2025-06-04T00:00:00"/>
    <x v="32"/>
    <s v="STJ/2025/06/01161"/>
    <s v="Inventory Valuation"/>
    <s v="CM/MTI/2025/01223 - [CIGGS001] GAS OXYGEN FULL CYLINDER, O2 / MRQ/2025/01629"/>
    <s v="CM/MTI/2025/01223 - [CIGGS001] GAS OXYGEN FULL CYLINDER, O2 / MRQ/2025/0162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5000"/>
    <n v="0"/>
    <n v="75000"/>
    <s v="TZS"/>
    <s v="[CIGGS001] GAS OXYGEN FULL CYLINDER, O2"/>
    <m/>
    <n v="-5"/>
    <s v="NOS"/>
    <x v="0"/>
    <x v="0"/>
    <x v="9"/>
    <x v="4"/>
    <n v="29.411764705882351"/>
    <n v="0"/>
  </r>
  <r>
    <n v="196"/>
    <d v="2025-06-05T00:00:00"/>
    <x v="33"/>
    <s v="STJ/2025/06/01443"/>
    <s v="Inventory Valuation"/>
    <s v="CM/MTI/2025/01241 - [CITGC078] MOBILE PHONE / MRQ/2025/01683"/>
    <s v="CM/MTI/2025/01241 - [CITGC078] MOBILE PHONE / MRQ/2025/01683"/>
    <m/>
    <m/>
    <s v="MATERIAL COST"/>
    <s v="Expenses"/>
    <s v="731002"/>
    <s v="731002 STORE SPARES &amp; CONSUMABLES - GENERAL"/>
    <s v="Fixed Asset"/>
    <s v="ADMIN"/>
    <s v="PRODUCTION"/>
    <n v="266949.15000000002"/>
    <n v="0"/>
    <n v="266949.15000000002"/>
    <s v="TZS"/>
    <s v="[CITGC078] MOBILE PHONE"/>
    <m/>
    <n v="-1"/>
    <s v="NOS"/>
    <x v="0"/>
    <x v="2"/>
    <x v="13"/>
    <x v="5"/>
    <n v="104.68594117647059"/>
    <n v="0"/>
  </r>
  <r>
    <n v="197"/>
    <d v="2025-06-05T00:00:00"/>
    <x v="33"/>
    <s v="STJ/2025/06/01427"/>
    <s v="Inventory Valuation"/>
    <s v="CM/MTI/2025/01236 - [CWCWR003] WELDING ELECTRODE MS 6013 SIZE 4 MM X 450 MM / MRQ/2025/01688"/>
    <s v="CM/MTI/2025/01236 - [CWCWR003] WELDING ELECTRODE MS 6013 SIZE 4 MM X 450 MM / MRQ/2025/0168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1462.64"/>
    <n v="0"/>
    <n v="61462.64"/>
    <s v="TZS"/>
    <s v="[CWCWR003] WELDING ELECTRODE MS 6013 SIZE 4 MM X 450 MM"/>
    <m/>
    <n v="-15"/>
    <s v="KG"/>
    <x v="0"/>
    <x v="0"/>
    <x v="9"/>
    <x v="4"/>
    <n v="24.102996078431371"/>
    <n v="0"/>
  </r>
  <r>
    <n v="198"/>
    <d v="2025-06-05T00:00:00"/>
    <x v="33"/>
    <s v="STJ/2025/06/01426"/>
    <s v="Inventory Valuation"/>
    <s v="CM/MTI/2025/01236 - [CIGGS001] GAS OXYGEN FULL CYLINDER, O2 / MRQ/2025/01688"/>
    <s v="CM/MTI/2025/01236 - [CIGGS001] GAS OXYGEN FULL CYLINDER, O2 / MRQ/2025/0168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0000"/>
    <n v="0"/>
    <n v="90000"/>
    <s v="TZS"/>
    <s v="[CIGGS001] GAS OXYGEN FULL CYLINDER, O2"/>
    <m/>
    <n v="-6"/>
    <s v="NOS"/>
    <x v="0"/>
    <x v="0"/>
    <x v="9"/>
    <x v="4"/>
    <n v="35.294117647058826"/>
    <n v="0"/>
  </r>
  <r>
    <n v="199"/>
    <d v="2025-06-06T00:00:00"/>
    <x v="34"/>
    <s v="STJ/2025/06/02551"/>
    <s v="Inventory Valuation"/>
    <s v="CM/MTI/2025/01264 - [CPMBG002] BAG EMPTY FOR CEMENT PACKING GRADE 42.5R MATERIAL WOVEN POLYPROPYLENE CAPACITY 50KG COLOR ORANGE / MRQ/2025/01658_x000a_Rounding Adjustment: +0.01 TSh"/>
    <s v="CM/MTI/2025/01264 - [CPMBG002] BAG EMPTY FOR CEMENT PACKING GRADE 42.5R MATERIAL WOVEN POLYPROPYLENE CAPACITY 50KG COLOR ORANGE / MRQ/2025/01658_x000a_Rounding Adjustment: +0.01 TSh"/>
    <m/>
    <m/>
    <s v="MATERIAL COST"/>
    <s v="Expenses"/>
    <s v="731006"/>
    <s v="731006 PACKING BAGS CONSUMED"/>
    <s v="CWIP-INSTALLATION OF NEW WEIGHBRIDGE AT QUARRY(2NOS)"/>
    <s v="UTILITY"/>
    <s v="CIVIL"/>
    <n v="12600.84"/>
    <n v="0"/>
    <n v="12600.84"/>
    <s v="TZS"/>
    <s v="[CPMBG002] BAG EMPTY FOR CEMENT PACKING GRADE 42.5R MATERIAL WOVEN POLYPROPYLENE CAPACITY 50KG COLOR ORANGE"/>
    <m/>
    <n v="-30"/>
    <s v="NOS"/>
    <x v="0"/>
    <x v="0"/>
    <x v="14"/>
    <x v="3"/>
    <n v="4.9415058823529412"/>
    <n v="0"/>
  </r>
  <r>
    <n v="200"/>
    <d v="2025-06-06T00:00:00"/>
    <x v="34"/>
    <s v="STJ/2025/06/02543"/>
    <s v="Inventory Valuation"/>
    <s v="CM/MTI/2025/01259 - [CWCWR003] WELDING ELECTRODE MS 6013 SIZE 4 MM X 450 MM / MRQ/2025/01707"/>
    <s v="CM/MTI/2025/01259 - [CWCWR003] WELDING ELECTRODE MS 6013 SIZE 4 MM X 450 MM / MRQ/2025/0170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45850.56"/>
    <n v="0"/>
    <n v="245850.56"/>
    <s v="TZS"/>
    <s v="[CWCWR003] WELDING ELECTRODE MS 6013 SIZE 4 MM X 450 MM"/>
    <m/>
    <n v="-60"/>
    <s v="KG"/>
    <x v="0"/>
    <x v="0"/>
    <x v="9"/>
    <x v="4"/>
    <n v="96.411984313725483"/>
    <n v="0"/>
  </r>
  <r>
    <n v="201"/>
    <d v="2025-06-09T13:44:09"/>
    <x v="35"/>
    <s v="SERBL/2025/06/0042"/>
    <s v="Service Bills"/>
    <s v="AIR TICKET CHARGES "/>
    <s v="ITI00000608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793860"/>
    <n v="0"/>
    <n v="793860"/>
    <s v="TZS"/>
    <m/>
    <m/>
    <n v="1"/>
    <m/>
    <x v="0"/>
    <x v="0"/>
    <x v="3"/>
    <x v="0"/>
    <n v="311.31764705882352"/>
    <n v="0"/>
  </r>
  <r>
    <n v="202"/>
    <d v="2025-06-09T13:33:35"/>
    <x v="35"/>
    <s v="SERBL/2025/06/0041"/>
    <s v="Service Bills"/>
    <s v="AIR TICKET CHARGES "/>
    <s v="DTI0000085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10040"/>
    <n v="0"/>
    <n v="110040"/>
    <s v="TZS"/>
    <m/>
    <m/>
    <n v="1"/>
    <m/>
    <x v="0"/>
    <x v="0"/>
    <x v="3"/>
    <x v="0"/>
    <n v="43.152941176470591"/>
    <n v="0"/>
  </r>
  <r>
    <n v="203"/>
    <d v="2025-06-09T13:46:11"/>
    <x v="35"/>
    <s v="MISC/2025/06/0156"/>
    <s v="Miscellaneous Operations"/>
    <s v="AIR TICKET CHARGES "/>
    <s v="DR/GIBS DEVELOPERS COMPANY - BEING AIR TICKET CHARGES FOR MR TUNKIWALA MOHMMAD ( OPC PROJECT ) FROM DAR TO BOMBAY AGAINST INVOICE NO. ITI00000608 - BLUEBERRY TRAVELS INDIA PVT LTD"/>
    <m/>
    <m/>
    <s v="CAPITAL WORK IN PROGRESS"/>
    <s v="Fixed Assets"/>
    <s v="371030"/>
    <s v="371030 CWIP-PRE OPERATIVE EXPENSE"/>
    <s v="CWIP-PRE OPERATIVE EXPENSE"/>
    <s v="PROJECT"/>
    <s v="PROJECT"/>
    <n v="0"/>
    <n v="793860"/>
    <n v="-793860"/>
    <s v="TZS"/>
    <m/>
    <m/>
    <n v="1"/>
    <m/>
    <x v="0"/>
    <x v="0"/>
    <x v="3"/>
    <x v="0"/>
    <n v="-311.31764705882352"/>
    <n v="0"/>
  </r>
  <r>
    <n v="204"/>
    <d v="2025-06-09T13:39:59"/>
    <x v="35"/>
    <s v="MISC/2025/06/0155"/>
    <s v="Miscellaneous Operations"/>
    <s v="AIR TICKET CHARGES "/>
    <s v="DR/ GIBS DEVELOPS COMPANY BEING AIR TICKET CHARGES FOR MR TUNKIWALA FAKHRIBH ( OPC PROJECT ) FROM BOMBAY TO BDQ AGAINST INVOIOCE NO. DTI00000850 - BLUEBERRY TRAVELS INDIA PVT LTD"/>
    <m/>
    <m/>
    <s v="CAPITAL WORK IN PROGRESS"/>
    <s v="Fixed Assets"/>
    <s v="371030"/>
    <s v="371030 CWIP-PRE OPERATIVE EXPENSE"/>
    <s v="CWIP-PRE OPERATIVE EXPENSE"/>
    <s v="PROJECT"/>
    <s v="PROJECT"/>
    <n v="0"/>
    <n v="110040"/>
    <n v="-110040"/>
    <s v="TZS"/>
    <m/>
    <m/>
    <n v="1"/>
    <m/>
    <x v="0"/>
    <x v="0"/>
    <x v="3"/>
    <x v="0"/>
    <n v="-43.152941176470591"/>
    <n v="0"/>
  </r>
  <r>
    <n v="205"/>
    <d v="2025-06-09T00:00:00"/>
    <x v="35"/>
    <s v="STJ/2025/06/03615"/>
    <s v="Inventory Valuation"/>
    <s v="CM/MTI/2025/01282 - [CWCWR003] WELDING ELECTRODE MS 6013 SIZE 4 MM X 450 MM / MRQ/2025/01742"/>
    <s v="CM/MTI/2025/01282 - [CWCWR003] WELDING ELECTRODE MS 6013 SIZE 4 MM X 450 MM / MRQ/2025/0174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206"/>
    <d v="2025-06-09T00:00:00"/>
    <x v="35"/>
    <s v="STJ/2025/06/03614"/>
    <s v="Inventory Valuation"/>
    <s v="CM/MTI/2025/01282 - [CIGGS016] GAS LIQUEFIED PETROLEUM FULL CYLINDER, LPG CAPACITY 40KG / MRQ/2025/01742"/>
    <s v="CM/MTI/2025/01282 - [CIGGS016] GAS LIQUEFIED PETROLEUM FULL CYLINDER, LPG CAPACITY 40KG / MRQ/2025/0174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9996.73"/>
    <n v="0"/>
    <n v="199996.73"/>
    <s v="TZS"/>
    <s v="[CIGGS016] GAS LIQUEFIED PETROLEUM FULL CYLINDER, LPG CAPACITY 40KG"/>
    <m/>
    <n v="-2"/>
    <s v="NOS"/>
    <x v="0"/>
    <x v="0"/>
    <x v="9"/>
    <x v="4"/>
    <n v="78.430090196078439"/>
    <n v="0"/>
  </r>
  <r>
    <n v="207"/>
    <d v="2025-06-09T00:00:00"/>
    <x v="35"/>
    <s v="STJ/2025/06/03613"/>
    <s v="Inventory Valuation"/>
    <s v="CM/MTI/2025/01282 - [CIGGS005] GAS LIQUEFIED PETROLEUM FULL CYLINDER, LPG CAPACITY 15KG / MRQ/2025/01742"/>
    <s v="CM/MTI/2025/01282 - [CIGGS005] GAS LIQUEFIED PETROLEUM FULL CYLINDER, LPG CAPACITY 15KG / MRQ/2025/0174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766.52"/>
    <n v="0"/>
    <n v="96766.52"/>
    <s v="TZS"/>
    <s v="[CIGGS005] GAS LIQUEFIED PETROLEUM FULL CYLINDER, LPG CAPACITY 15KG"/>
    <m/>
    <n v="-2"/>
    <s v="NOS"/>
    <x v="0"/>
    <x v="0"/>
    <x v="9"/>
    <x v="4"/>
    <n v="37.947654901960789"/>
    <n v="0"/>
  </r>
  <r>
    <n v="208"/>
    <d v="2025-06-09T00:00:00"/>
    <x v="35"/>
    <s v="STJ/2025/06/03612"/>
    <s v="Inventory Valuation"/>
    <s v="CM/MTI/2025/01282 - [CIGGS001] GAS OXYGEN FULL CYLINDER, O2 / MRQ/2025/01742"/>
    <s v="CM/MTI/2025/01282 - [CIGGS001] GAS OXYGEN FULL CYLINDER, O2 / MRQ/2025/0174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209"/>
    <d v="2025-06-10T08:33:40"/>
    <x v="36"/>
    <s v="SERBL/2025/06/0058"/>
    <s v="Service Bills"/>
    <s v="LPORD/2025/00299: Supply of Extra Crane Operator for March - 2025 - 180 Tons"/>
    <s v="28961"/>
    <s v="CMLT1217"/>
    <s v="Gibs Developers Company"/>
    <s v="CAPITAL WORK IN PROGRESS"/>
    <s v="Fixed Assets"/>
    <s v="371024"/>
    <s v="371024 CWIP-BAG HOUSE UPGRADE"/>
    <s v="CWIP-Bag House Upgrade"/>
    <s v="PROJECT"/>
    <s v="MECHANICAL"/>
    <n v="1800000"/>
    <n v="0"/>
    <n v="1800000"/>
    <s v="TZS"/>
    <s v="[SER037] Job Contract-15"/>
    <s v="Misc. Income"/>
    <n v="30"/>
    <s v="MANDAY"/>
    <x v="0"/>
    <x v="0"/>
    <x v="15"/>
    <x v="0"/>
    <n v="705.88235294117646"/>
    <n v="0"/>
  </r>
  <r>
    <n v="210"/>
    <d v="2025-06-10T08:33:11"/>
    <x v="36"/>
    <s v="SERBL/2025/06/0057"/>
    <s v="Service Bills"/>
    <s v="LPORD/2025/00300: Supply of crane operators March 2025_x000a_180 T"/>
    <s v="28960"/>
    <s v="CMLT1217"/>
    <s v="Gibs Developers Company"/>
    <s v="CAPITAL WORK IN PROGRESS"/>
    <s v="Fixed Assets"/>
    <s v="371030"/>
    <s v="371030 CWIP-PRE OPERATIVE EXPENSE"/>
    <s v="CWIP-PRE OPERATIVE EXPENSE"/>
    <s v="PROJECT"/>
    <s v="MECHANICAL"/>
    <n v="1800000"/>
    <n v="0"/>
    <n v="1800000"/>
    <s v="TZS"/>
    <s v="[SER037] Job Contract-15"/>
    <s v="Misc. Income"/>
    <n v="30"/>
    <s v="MANDAY"/>
    <x v="0"/>
    <x v="0"/>
    <x v="3"/>
    <x v="0"/>
    <n v="705.88235294117646"/>
    <n v="0"/>
  </r>
  <r>
    <n v="211"/>
    <d v="2025-06-10T08:33:11"/>
    <x v="36"/>
    <s v="SERBL/2025/06/0057"/>
    <s v="Service Bills"/>
    <s v="LPORD/2025/00300: Supply of two hydra operators March 2025"/>
    <s v="28960"/>
    <s v="CMLT1217"/>
    <s v="Gibs Developers Company"/>
    <s v="CAPITAL WORK IN PROGRESS"/>
    <s v="Fixed Assets"/>
    <s v="371030"/>
    <s v="371030 CWIP-PRE OPERATIVE EXPENSE"/>
    <s v="CWIP-PRE OPERATIVE EXPENSE"/>
    <s v="PROJECT"/>
    <s v="MECHANICAL"/>
    <n v="2400000"/>
    <n v="0"/>
    <n v="2400000"/>
    <s v="TZS"/>
    <s v="[SER037] Job Contract-15"/>
    <s v="Misc. Income"/>
    <n v="60"/>
    <s v="MANDAY"/>
    <x v="0"/>
    <x v="0"/>
    <x v="3"/>
    <x v="0"/>
    <n v="941.17647058823525"/>
    <n v="0"/>
  </r>
  <r>
    <n v="212"/>
    <d v="2025-06-10T08:33:11"/>
    <x v="36"/>
    <s v="SERBL/2025/06/0057"/>
    <s v="Service Bills"/>
    <s v="LPORD/2025/00300: Supply of crane operators March 2025"/>
    <s v="28960"/>
    <s v="CMLT1217"/>
    <s v="Gibs Developers Company"/>
    <s v="CAPITAL WORK IN PROGRESS"/>
    <s v="Fixed Assets"/>
    <s v="371030"/>
    <s v="371030 CWIP-PRE OPERATIVE EXPENSE"/>
    <s v="CWIP-PRE OPERATIVE EXPENSE"/>
    <s v="PROJECT"/>
    <s v="MECHANICAL"/>
    <n v="780000"/>
    <n v="0"/>
    <n v="780000"/>
    <s v="TZS"/>
    <s v="[SER037] Job Contract-15"/>
    <s v="Misc. Income"/>
    <n v="13"/>
    <s v="MANDAY"/>
    <x v="0"/>
    <x v="0"/>
    <x v="3"/>
    <x v="0"/>
    <n v="305.88235294117646"/>
    <n v="0"/>
  </r>
  <r>
    <n v="213"/>
    <d v="2025-06-10T08:33:11"/>
    <x v="36"/>
    <s v="SERBL/2025/06/0057"/>
    <s v="Service Bills"/>
    <s v="LPORD/2025/00300: Supply of back hoe operators March 2025"/>
    <s v="28960"/>
    <s v="CMLT1217"/>
    <s v="Gibs Developers Company"/>
    <s v="CAPITAL WORK IN PROGRESS"/>
    <s v="Fixed Assets"/>
    <s v="371030"/>
    <s v="371030 CWIP-PRE OPERATIVE EXPENSE"/>
    <s v="CWIP-PRE OPERATIVE EXPENSE"/>
    <s v="PROJECT"/>
    <s v="MECHANICAL"/>
    <n v="1200000"/>
    <n v="0"/>
    <n v="1200000"/>
    <s v="TZS"/>
    <s v="[SER037] Job Contract-15"/>
    <s v="Misc. Income"/>
    <n v="30"/>
    <s v="MANDAY"/>
    <x v="0"/>
    <x v="0"/>
    <x v="3"/>
    <x v="0"/>
    <n v="470.58823529411762"/>
    <n v="0"/>
  </r>
  <r>
    <n v="214"/>
    <d v="2025-06-10T08:33:11"/>
    <x v="36"/>
    <s v="SERBL/2025/06/0057"/>
    <s v="Service Bills"/>
    <s v="LPORD/2025/00300: Supply of crane operators March 2025"/>
    <s v="28960"/>
    <s v="CMLT1217"/>
    <s v="Gibs Developers Company"/>
    <s v="CAPITAL WORK IN PROGRESS"/>
    <s v="Fixed Assets"/>
    <s v="371030"/>
    <s v="371030 CWIP-PRE OPERATIVE EXPENSE"/>
    <s v="CWIP-PRE OPERATIVE EXPENSE"/>
    <s v="PROJECT"/>
    <s v="MECHANICAL"/>
    <n v="780000"/>
    <n v="0"/>
    <n v="780000"/>
    <s v="TZS"/>
    <s v="[SER037] Job Contract-15"/>
    <s v="Misc. Income"/>
    <n v="13"/>
    <s v="MANDAY"/>
    <x v="0"/>
    <x v="0"/>
    <x v="3"/>
    <x v="0"/>
    <n v="305.88235294117646"/>
    <n v="0"/>
  </r>
  <r>
    <n v="215"/>
    <d v="2025-06-10T08:33:11"/>
    <x v="36"/>
    <s v="SERBL/2025/06/0057"/>
    <s v="Service Bills"/>
    <s v="LPORD/2025/00300: Supply of truck driver March 2025"/>
    <s v="28960"/>
    <s v="CMLT1217"/>
    <s v="Gibs Developers Company"/>
    <s v="CAPITAL WORK IN PROGRESS"/>
    <s v="Fixed Assets"/>
    <s v="371030"/>
    <s v="371030 CWIP-PRE OPERATIVE EXPENSE"/>
    <s v="CWIP-PRE OPERATIVE EXPENSE"/>
    <s v="PROJECT"/>
    <s v="MECHANICAL"/>
    <n v="1200000"/>
    <n v="0"/>
    <n v="1200000"/>
    <s v="TZS"/>
    <s v="[SER037] Job Contract-15"/>
    <s v="Misc. Income"/>
    <n v="30"/>
    <s v="MANDAY"/>
    <x v="0"/>
    <x v="0"/>
    <x v="3"/>
    <x v="0"/>
    <n v="470.58823529411762"/>
    <n v="0"/>
  </r>
  <r>
    <n v="216"/>
    <d v="2025-06-10T06:13:00"/>
    <x v="36"/>
    <s v="SERBL/2025/06/0048"/>
    <s v="Service Bills"/>
    <s v="AIR TICKET CHARGES "/>
    <s v="ITI0000038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127124"/>
    <n v="0"/>
    <n v="1127124"/>
    <s v="TZS"/>
    <m/>
    <m/>
    <n v="1"/>
    <m/>
    <x v="0"/>
    <x v="0"/>
    <x v="3"/>
    <x v="0"/>
    <n v="442.00941176470587"/>
    <n v="0"/>
  </r>
  <r>
    <n v="217"/>
    <d v="2025-06-10T00:00:00"/>
    <x v="36"/>
    <s v="STJ/2025/06/04249"/>
    <s v="Inventory Valuation"/>
    <s v="CM/MTI/2025/01294 - [CWCWR003] WELDING ELECTRODE MS 6013 SIZE 4 MM X 450 MM / MRQ/2025/01761_x000a_Rounding Adjustment: +0.01 TSh"/>
    <s v="CM/MTI/2025/01294 - [CWCWR003] WELDING ELECTRODE MS 6013 SIZE 4 MM X 450 MM / MRQ/2025/01761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179999999993"/>
    <n v="0"/>
    <n v="81950.179999999993"/>
    <s v="TZS"/>
    <s v="[CWCWR003] WELDING ELECTRODE MS 6013 SIZE 4 MM X 450 MM"/>
    <m/>
    <n v="-20"/>
    <s v="KG"/>
    <x v="0"/>
    <x v="0"/>
    <x v="9"/>
    <x v="4"/>
    <n v="32.137325490196076"/>
    <n v="0"/>
  </r>
  <r>
    <n v="218"/>
    <d v="2025-06-10T00:00:00"/>
    <x v="36"/>
    <s v="STJ/2025/06/04248"/>
    <s v="Inventory Valuation"/>
    <s v="CM/MTI/2025/01294 - [CWCGC041] CUTTING WHEEL 7'' / MRQ/2025/01761"/>
    <s v="CM/MTI/2025/01294 - [CWCGC041] CUTTING WHEEL 7'' / MRQ/2025/0176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219"/>
    <d v="2025-06-10T00:00:00"/>
    <x v="36"/>
    <s v="STJ/2025/06/04247"/>
    <s v="Inventory Valuation"/>
    <s v="CM/MTI/2025/01294 - [CIGGS016] GAS LIQUEFIED PETROLEUM FULL CYLINDER, LPG CAPACITY 40KG / MRQ/2025/01761"/>
    <s v="CM/MTI/2025/01294 - [CIGGS016] GAS LIQUEFIED PETROLEUM FULL CYLINDER, LPG CAPACITY 40KG / MRQ/2025/0176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9996.73"/>
    <n v="0"/>
    <n v="199996.73"/>
    <s v="TZS"/>
    <s v="[CIGGS016] GAS LIQUEFIED PETROLEUM FULL CYLINDER, LPG CAPACITY 40KG"/>
    <m/>
    <n v="-2"/>
    <s v="NOS"/>
    <x v="0"/>
    <x v="0"/>
    <x v="9"/>
    <x v="4"/>
    <n v="78.430090196078439"/>
    <n v="0"/>
  </r>
  <r>
    <n v="220"/>
    <d v="2025-06-10T00:00:00"/>
    <x v="36"/>
    <s v="STJ/2025/06/04246"/>
    <s v="Inventory Valuation"/>
    <s v="CM/MTI/2025/01294 - [CIGGS001] GAS OXYGEN FULL CYLINDER, O2 / MRQ/2025/01761"/>
    <s v="CM/MTI/2025/01294 - [CIGGS001] GAS OXYGEN FULL CYLINDER, O2 / MRQ/2025/0176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0000"/>
    <n v="0"/>
    <n v="90000"/>
    <s v="TZS"/>
    <s v="[CIGGS001] GAS OXYGEN FULL CYLINDER, O2"/>
    <m/>
    <n v="-6"/>
    <s v="NOS"/>
    <x v="0"/>
    <x v="0"/>
    <x v="9"/>
    <x v="4"/>
    <n v="35.294117647058826"/>
    <n v="0"/>
  </r>
  <r>
    <n v="221"/>
    <d v="2025-06-10T00:00:00"/>
    <x v="36"/>
    <s v="STJ/2025/06/04238"/>
    <s v="Inventory Valuation"/>
    <s v="CM/MTI/2025/01290 - [CPRRF003] CASTABLE LC-90 / MRQ/2025/01716_x000a_Rounding Adjustment: -0.01 TSh"/>
    <s v="CM/MTI/2025/01290 - [CPRRF003] CASTABLE LC-90 / MRQ/2025/01716_x000a_Rounding Adjustment: -0.01 TSh"/>
    <m/>
    <m/>
    <s v="MATERIAL COST"/>
    <s v="Expenses"/>
    <s v="731002"/>
    <s v="731002 STORE SPARES &amp; CONSUMABLES - GENERAL"/>
    <s v="CWIP-Pyro Upgradation"/>
    <s v="PROJECT"/>
    <s v="PRODUCTION"/>
    <n v="129266312.81"/>
    <n v="0"/>
    <n v="129266312.81"/>
    <s v="TZS"/>
    <s v="[CPRRF003] CASTABLE LC-90"/>
    <m/>
    <n v="-20.149999999999999"/>
    <s v="MT"/>
    <x v="0"/>
    <x v="0"/>
    <x v="0"/>
    <x v="0"/>
    <n v="50692.671690196083"/>
    <n v="0"/>
  </r>
  <r>
    <n v="222"/>
    <d v="2025-06-10T00:00:00"/>
    <x v="36"/>
    <s v="SERBL/2025/06/0054"/>
    <s v="Service Bills"/>
    <s v="AIR TICKET CHARGES "/>
    <s v="ITI00000560"/>
    <s v="CMMI1985"/>
    <s v="Blueberry Travel India Private Limited"/>
    <s v="ADMINISTRATIVE EXPENSES"/>
    <s v="Expenses"/>
    <s v="791020"/>
    <s v="791020 TRAVELLING - AIR FARES (NON MARKETING )"/>
    <s v="CWIP-PRE OPERATIVE EXPENSE"/>
    <s v="PROJECT"/>
    <s v="PROJECT"/>
    <n v="2053032"/>
    <n v="0"/>
    <n v="2053032"/>
    <s v="TZS"/>
    <m/>
    <m/>
    <n v="1"/>
    <m/>
    <x v="0"/>
    <x v="0"/>
    <x v="3"/>
    <x v="0"/>
    <n v="805.11058823529413"/>
    <n v="0"/>
  </r>
  <r>
    <n v="223"/>
    <d v="2025-06-11T12:34:23"/>
    <x v="37"/>
    <s v="STJ/2025/06/04682"/>
    <s v="Inventory Valuation"/>
    <s v="CM/MTI/2025/01316 - [PROCM204] SHEET ALUMINIUM SIZE 24 SWG FOR INSULATION / MRQ/2025/01803"/>
    <s v="CM/MTI/2025/01316 - [PROCM204] SHEET ALUMINIUM SIZE 24 SWG FOR INSULATION / MRQ/2025/01803"/>
    <m/>
    <m/>
    <s v="CAPITAL WORK IN PROGRESS"/>
    <s v="Fixed Assets"/>
    <s v="371023"/>
    <s v="371023 CWIP-CEMENT MILL 50TPH NEW"/>
    <s v="CWIP-Bag House Upgrade"/>
    <s v="PROJECT"/>
    <s v="MECHANICAL"/>
    <n v="2852459.2"/>
    <n v="0"/>
    <n v="2852459.2"/>
    <s v="TZS"/>
    <s v="[PROCM204] SHEET ALUMINIUM SIZE 24 SWG FOR INSULATION"/>
    <s v="CEMENT MILL"/>
    <n v="-160"/>
    <s v="KG"/>
    <x v="0"/>
    <x v="0"/>
    <x v="9"/>
    <x v="4"/>
    <n v="1118.6114509803922"/>
    <n v="0"/>
  </r>
  <r>
    <n v="224"/>
    <d v="2025-06-11T00:00:00"/>
    <x v="37"/>
    <s v="STJ/2025/06/04826"/>
    <s v="Inventory Valuation"/>
    <s v="CM/MTI/2025/01329 - [EFSHB096] BOLT HT HEX HEAD M12 X 50MM FULL THREAD WITH NUT AND WASHER GRADE 8.8 / MRQ/2025/01769"/>
    <s v="CM/MTI/2025/01329 - [EFSHB096] BOLT HT HEX HEAD M12 X 50MM FULL THREAD WITH NUT AND WASHER GRADE 8.8 / MRQ/2025/01769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32977.769999999997"/>
    <n v="0"/>
    <n v="32977.769999999997"/>
    <s v="TZS"/>
    <s v="[EFSHB096] BOLT HT HEX HEAD M12 X 50MM FULL THREAD WITH NUT AND WASHER GRADE 8.8"/>
    <m/>
    <n v="-60"/>
    <s v="NOS"/>
    <x v="0"/>
    <x v="0"/>
    <x v="8"/>
    <x v="3"/>
    <n v="12.93245882352941"/>
    <n v="0"/>
  </r>
  <r>
    <n v="225"/>
    <d v="2025-06-11T00:00:00"/>
    <x v="37"/>
    <s v="STJ/2025/06/04825"/>
    <s v="Inventory Valuation"/>
    <s v="CM/MTI/2025/01328 - [CWCWR003] WELDING ELECTRODE MS 6013 SIZE 4 MM X 450 MM / MRQ/2025/01801"/>
    <s v="CM/MTI/2025/01328 - [CWCWR003] WELDING ELECTRODE MS 6013 SIZE 4 MM X 450 MM / MRQ/2025/01801"/>
    <m/>
    <m/>
    <s v="MATERIAL COST"/>
    <s v="Expenses"/>
    <s v="731002"/>
    <s v="731002 STORE SPARES &amp; CONSUMABLES - GENERAL"/>
    <s v="CWIP-CONSTRUCTION OF NEW RAW MILL FEEDING AND UPGRADATION"/>
    <s v="PROJECT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226"/>
    <d v="2025-06-11T00:00:00"/>
    <x v="37"/>
    <s v="STJ/2025/06/04824"/>
    <s v="Inventory Valuation"/>
    <s v="CM/MTI/2025/01328 - [CWCGC041] CUTTING WHEEL 7'' / MRQ/2025/01801"/>
    <s v="CM/MTI/2025/01328 - [CWCGC041] CUTTING WHEEL 7'' / MRQ/2025/01801"/>
    <m/>
    <m/>
    <s v="MATERIAL COST"/>
    <s v="Expenses"/>
    <s v="731002"/>
    <s v="731002 STORE SPARES &amp; CONSUMABLES - GENERAL"/>
    <s v="CWIP-CONSTRUCTION OF NEW RAW MILL FEEDING AND UPGRADATION"/>
    <s v="PROJECT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227"/>
    <d v="2025-06-12T00:00:00"/>
    <x v="38"/>
    <s v="STJ/2025/06/05055"/>
    <s v="Inventory Valuation"/>
    <s v="CM/MTI/2025/01339 - [CWCWR003] WELDING ELECTRODE MS 6013 SIZE 4 MM X 450 MM / MRQ/2025/01834_x000a_Rounding Adjustment: -0.01 TSh"/>
    <s v="CM/MTI/2025/01339 - [CWCWR003] WELDING ELECTRODE MS 6013 SIZE 4 MM X 450 MM / MRQ/2025/01834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9"/>
    <n v="0"/>
    <n v="122925.29"/>
    <s v="TZS"/>
    <s v="[CWCWR003] WELDING ELECTRODE MS 6013 SIZE 4 MM X 450 MM"/>
    <m/>
    <n v="-30"/>
    <s v="KG"/>
    <x v="0"/>
    <x v="0"/>
    <x v="9"/>
    <x v="4"/>
    <n v="48.205996078431369"/>
    <n v="0"/>
  </r>
  <r>
    <n v="228"/>
    <d v="2025-06-12T00:00:00"/>
    <x v="38"/>
    <s v="STJ/2025/06/05054"/>
    <s v="Inventory Valuation"/>
    <s v="CM/MTI/2025/01339 - [CIGGS005] GAS LIQUEFIED PETROLEUM FULL CYLINDER, LPG CAPACITY 15KG / MRQ/2025/01834"/>
    <s v="CM/MTI/2025/01339 - [CIGGS005] GAS LIQUEFIED PETROLEUM FULL CYLINDER, LPG CAPACITY 15KG / MRQ/2025/0183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766.52"/>
    <n v="0"/>
    <n v="96766.52"/>
    <s v="TZS"/>
    <s v="[CIGGS005] GAS LIQUEFIED PETROLEUM FULL CYLINDER, LPG CAPACITY 15KG"/>
    <m/>
    <n v="-2"/>
    <s v="NOS"/>
    <x v="0"/>
    <x v="0"/>
    <x v="9"/>
    <x v="4"/>
    <n v="37.947654901960789"/>
    <n v="0"/>
  </r>
  <r>
    <n v="229"/>
    <d v="2025-06-12T00:00:00"/>
    <x v="38"/>
    <s v="STJ/2025/06/05053"/>
    <s v="Inventory Valuation"/>
    <s v="CM/MTI/2025/01339 - [CIGGS001] GAS OXYGEN FULL CYLINDER, O2 / MRQ/2025/01834"/>
    <s v="CM/MTI/2025/01339 - [CIGGS001] GAS OXYGEN FULL CYLINDER, O2 / MRQ/2025/0183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0000"/>
    <n v="0"/>
    <n v="90000"/>
    <s v="TZS"/>
    <s v="[CIGGS001] GAS OXYGEN FULL CYLINDER, O2"/>
    <m/>
    <n v="-6"/>
    <s v="NOS"/>
    <x v="0"/>
    <x v="0"/>
    <x v="9"/>
    <x v="4"/>
    <n v="35.294117647058826"/>
    <n v="0"/>
  </r>
  <r>
    <n v="230"/>
    <d v="2025-06-12T00:00:00"/>
    <x v="38"/>
    <s v="STJ/2025/06/05002"/>
    <s v="Inventory Valuation"/>
    <s v="CM/MTI/2025/01335 - [ESSCN003] ISMC 125 / MRQ/2025/01787"/>
    <s v="CM/MTI/2025/01335 - [ESSCN003] ISMC 125 / MRQ/2025/01787"/>
    <m/>
    <m/>
    <s v="MATERIAL COST"/>
    <s v="Expenses"/>
    <s v="731002"/>
    <s v="731002 STORE SPARES &amp; CONSUMABLES - GENERAL"/>
    <s v="CWIP-CONSTRUCTION OF NEW RAW MILL FEEDING AND UPGRADATION"/>
    <s v="PROJECT"/>
    <s v="MECHANICAL"/>
    <n v="11850000"/>
    <n v="0"/>
    <n v="11850000"/>
    <s v="TZS"/>
    <s v="[ESSCN003] ISMC 125"/>
    <m/>
    <n v="-75"/>
    <s v="NOS"/>
    <x v="0"/>
    <x v="0"/>
    <x v="9"/>
    <x v="4"/>
    <n v="4647.0588235294117"/>
    <n v="0"/>
  </r>
  <r>
    <n v="231"/>
    <d v="2025-06-12T00:00:00"/>
    <x v="38"/>
    <s v="STJ/2025/06/05001"/>
    <s v="Inventory Valuation"/>
    <s v="CM/MTI/2025/01335 - [ESSBM006] ISMB 200 / MRQ/2025/01787"/>
    <s v="CM/MTI/2025/01335 - [ESSBM006] ISMB 200 / MRQ/2025/01787"/>
    <m/>
    <m/>
    <s v="MATERIAL COST"/>
    <s v="Expenses"/>
    <s v="731002"/>
    <s v="731002 STORE SPARES &amp; CONSUMABLES - GENERAL"/>
    <s v="CWIP-CONSTRUCTION OF NEW RAW MILL FEEDING AND UPGRADATION"/>
    <s v="PROJECT"/>
    <s v="MECHANICAL"/>
    <n v="1680000"/>
    <n v="0"/>
    <n v="1680000"/>
    <s v="TZS"/>
    <s v="[ESSBM006] ISMB 200"/>
    <m/>
    <n v="-6"/>
    <s v="NOS"/>
    <x v="0"/>
    <x v="0"/>
    <x v="9"/>
    <x v="4"/>
    <n v="658.82352941176475"/>
    <n v="0"/>
  </r>
  <r>
    <n v="232"/>
    <d v="2025-06-12T00:00:00"/>
    <x v="38"/>
    <s v="STJ/2025/06/05000"/>
    <s v="Inventory Valuation"/>
    <s v="CM/MTI/2025/01335 - [ESSAG010] ISA 70 X 70 X 6 / MRQ/2025/01787"/>
    <s v="CM/MTI/2025/01335 - [ESSAG010] ISA 70 X 70 X 6 / MRQ/2025/01787"/>
    <m/>
    <m/>
    <s v="MATERIAL COST"/>
    <s v="Expenses"/>
    <s v="731002"/>
    <s v="731002 STORE SPARES &amp; CONSUMABLES - GENERAL"/>
    <s v="CWIP-CONSTRUCTION OF NEW RAW MILL FEEDING AND UPGRADATION"/>
    <s v="PROJECT"/>
    <s v="MECHANICAL"/>
    <n v="1840000"/>
    <n v="0"/>
    <n v="1840000"/>
    <s v="TZS"/>
    <s v="[ESSAG010] ISA 70 X 70 X 6"/>
    <m/>
    <n v="-20"/>
    <s v="NOS"/>
    <x v="0"/>
    <x v="0"/>
    <x v="9"/>
    <x v="4"/>
    <n v="721.56862745098044"/>
    <n v="0"/>
  </r>
  <r>
    <n v="233"/>
    <d v="2025-06-12T00:00:00"/>
    <x v="38"/>
    <s v="STJ/2025/06/04999"/>
    <s v="Inventory Valuation"/>
    <s v="CM/MTI/2025/01335 - [EPSCQ004] PLATE MS CHEQUERED 2400 X 1200 X 6 MM THICK / MRQ/2025/01787"/>
    <s v="CM/MTI/2025/01335 - [EPSCQ004] PLATE MS CHEQUERED 2400 X 1200 X 6 MM THICK / MRQ/2025/01787"/>
    <m/>
    <m/>
    <s v="MATERIAL COST"/>
    <s v="Expenses"/>
    <s v="731002"/>
    <s v="731002 STORE SPARES &amp; CONSUMABLES - GENERAL"/>
    <s v="CWIP-CONSTRUCTION OF NEW RAW MILL FEEDING AND UPGRADATION"/>
    <s v="PROJECT"/>
    <s v="MECHANICAL"/>
    <n v="9360000"/>
    <n v="0"/>
    <n v="9360000"/>
    <s v="TZS"/>
    <s v="[EPSCQ004] PLATE MS CHEQUERED 2400 X 1200 X 6 MM THICK"/>
    <m/>
    <n v="-30"/>
    <s v="NOS"/>
    <x v="0"/>
    <x v="0"/>
    <x v="9"/>
    <x v="4"/>
    <n v="3670.5882352941176"/>
    <n v="0"/>
  </r>
  <r>
    <n v="234"/>
    <d v="2025-06-13T00:00:00"/>
    <x v="39"/>
    <s v="STJ/2025/06/05846"/>
    <s v="Inventory Valuation"/>
    <s v="CM/MTI/2025/01365 - [ESSCN005] ISMC 200 / MRQ/2025/01842"/>
    <s v="CM/MTI/2025/01365 - [ESSCN005] ISMC 200 / MRQ/2025/0184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000000"/>
    <n v="0"/>
    <n v="15000000"/>
    <s v="TZS"/>
    <s v="[ESSCN005] ISMC 200"/>
    <m/>
    <n v="-60"/>
    <s v="NOS"/>
    <x v="0"/>
    <x v="0"/>
    <x v="9"/>
    <x v="4"/>
    <n v="5882.3529411764703"/>
    <n v="0"/>
  </r>
  <r>
    <n v="235"/>
    <d v="2025-06-13T00:00:00"/>
    <x v="39"/>
    <s v="STJ/2025/06/05845"/>
    <s v="Inventory Valuation"/>
    <s v="CM/MTI/2025/01365 - [ESSBM008] ISMB 300 / MRQ/2025/01842"/>
    <s v="CM/MTI/2025/01365 - [ESSBM008] ISMB 300 / MRQ/2025/0184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444000"/>
    <n v="0"/>
    <n v="3444000"/>
    <s v="TZS"/>
    <s v="[ESSBM008] ISMB 300"/>
    <m/>
    <n v="-6"/>
    <s v="NOS"/>
    <x v="0"/>
    <x v="0"/>
    <x v="9"/>
    <x v="4"/>
    <n v="1350.5882352941176"/>
    <n v="0"/>
  </r>
  <r>
    <n v="236"/>
    <d v="2025-06-13T00:00:00"/>
    <x v="39"/>
    <s v="STJ/2025/06/05844"/>
    <s v="Inventory Valuation"/>
    <s v="CM/MTI/2025/01365 - [ESSAG011] ISA 75 X 75 X 6 / MRQ/2025/01842"/>
    <s v="CM/MTI/2025/01365 - [ESSAG011] ISA 75 X 75 X 6 / MRQ/2025/0184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000000"/>
    <n v="0"/>
    <n v="5000000"/>
    <s v="TZS"/>
    <s v="[ESSAG011] ISA 75 X 75 X 6"/>
    <m/>
    <n v="-50"/>
    <s v="NOS"/>
    <x v="0"/>
    <x v="0"/>
    <x v="9"/>
    <x v="4"/>
    <n v="1960.7843137254902"/>
    <n v="0"/>
  </r>
  <r>
    <n v="237"/>
    <d v="2025-06-13T00:00:00"/>
    <x v="39"/>
    <s v="STJ/2025/06/05824"/>
    <s v="Inventory Valuation"/>
    <s v="CM/MTI/2025/01355 - [EFSHB096] BOLT HT HEX HEAD M12 X 50MM FULL THREAD WITH NUT AND WASHER GRADE 8.8 / MRQ/2025/01855"/>
    <s v="CM/MTI/2025/01355 - [EFSHB096] BOLT HT HEX HEAD M12 X 50MM FULL THREAD WITH NUT AND WASHER GRADE 8.8 / MRQ/2025/0185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9162.94"/>
    <n v="0"/>
    <n v="129162.94"/>
    <s v="TZS"/>
    <s v="[EFSHB096] BOLT HT HEX HEAD M12 X 50MM FULL THREAD WITH NUT AND WASHER GRADE 8.8"/>
    <m/>
    <n v="-235"/>
    <s v="NOS"/>
    <x v="0"/>
    <x v="0"/>
    <x v="9"/>
    <x v="4"/>
    <n v="50.652133333333332"/>
    <n v="0"/>
  </r>
  <r>
    <n v="238"/>
    <d v="2025-06-13T00:00:00"/>
    <x v="39"/>
    <s v="STJ/2025/06/05823"/>
    <s v="Inventory Valuation"/>
    <s v="CM/MTI/2025/01354 - [CWCWR003] WELDING ELECTRODE MS 6013 SIZE 4 MM X 450 MM / MRQ/2025/01835"/>
    <s v="CM/MTI/2025/01354 - [CWCWR003] WELDING ELECTRODE MS 6013 SIZE 4 MM X 450 MM / MRQ/2025/018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19"/>
    <n v="0"/>
    <n v="81950.19"/>
    <s v="TZS"/>
    <s v="[CWCWR003] WELDING ELECTRODE MS 6013 SIZE 4 MM X 450 MM"/>
    <m/>
    <n v="-20"/>
    <s v="KG"/>
    <x v="0"/>
    <x v="0"/>
    <x v="9"/>
    <x v="4"/>
    <n v="32.137329411764703"/>
    <n v="0"/>
  </r>
  <r>
    <n v="239"/>
    <d v="2025-06-13T00:00:00"/>
    <x v="39"/>
    <s v="STJ/2025/06/05822"/>
    <s v="Inventory Valuation"/>
    <s v="CM/MTI/2025/01354 - [CIGGS001] GAS OXYGEN FULL CYLINDER, O2 / MRQ/2025/01835"/>
    <s v="CM/MTI/2025/01354 - [CIGGS001] GAS OXYGEN FULL CYLINDER, O2 / MRQ/2025/018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0000"/>
    <n v="0"/>
    <n v="90000"/>
    <s v="TZS"/>
    <s v="[CIGGS001] GAS OXYGEN FULL CYLINDER, O2"/>
    <m/>
    <n v="-6"/>
    <s v="NOS"/>
    <x v="0"/>
    <x v="0"/>
    <x v="9"/>
    <x v="4"/>
    <n v="35.294117647058826"/>
    <n v="0"/>
  </r>
  <r>
    <n v="240"/>
    <d v="2025-06-14T00:00:00"/>
    <x v="40"/>
    <s v="STJ/2025/06/06244"/>
    <s v="Inventory Valuation"/>
    <s v="CM/MTI/2025/01371 - [EMEGN005] STEP GRATING SIZE 250MM X 800 MM AS PER DRAWING NO. LCL/CSS/STR/03 / MRQ/2025/01881"/>
    <s v="CM/MTI/2025/01371 - [EMEGN005] STEP GRATING SIZE 250MM X 800 MM AS PER DRAWING NO. LCL/CSS/STR/03 / MRQ/2025/0188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960417.5800000001"/>
    <n v="0"/>
    <n v="9960417.5800000001"/>
    <s v="TZS"/>
    <s v="[EMEGN005] STEP GRATING SIZE 250MM X 800 MM AS PER DRAWING NO. LCL/CSS/STR/03"/>
    <m/>
    <n v="-220"/>
    <s v="NOS"/>
    <x v="0"/>
    <x v="0"/>
    <x v="9"/>
    <x v="4"/>
    <n v="3906.0461098039218"/>
    <n v="0"/>
  </r>
  <r>
    <n v="241"/>
    <d v="2025-06-14T00:00:00"/>
    <x v="40"/>
    <s v="STJ/2025/06/06243"/>
    <s v="Inventory Valuation"/>
    <s v="CM/MTI/2025/01371 - [EFSHB096] BOLT HT HEX HEAD M12 X 50MM FULL THREAD WITH NUT AND WASHER GRADE 8.8 / MRQ/2025/01881_x000a_Rounding Adjustment: -0.01 TSh"/>
    <s v="CM/MTI/2025/01371 - [EFSHB096] BOLT HT HEX HEAD M12 X 50MM FULL THREAD WITH NUT AND WASHER GRADE 8.8 / MRQ/2025/01881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1985.19"/>
    <n v="0"/>
    <n v="21985.19"/>
    <s v="TZS"/>
    <s v="[EFSHB096] BOLT HT HEX HEAD M12 X 50MM FULL THREAD WITH NUT AND WASHER GRADE 8.8"/>
    <m/>
    <n v="-40"/>
    <s v="NOS"/>
    <x v="0"/>
    <x v="0"/>
    <x v="9"/>
    <x v="4"/>
    <n v="8.6216431372549014"/>
    <n v="0"/>
  </r>
  <r>
    <n v="242"/>
    <d v="2025-06-14T00:00:00"/>
    <x v="40"/>
    <s v="STJ/2025/06/06242"/>
    <s v="Inventory Valuation"/>
    <s v="CM/MTI/2025/01371 - [CWCWR003] WELDING ELECTRODE MS 6013 SIZE 4 MM X 450 MM / MRQ/2025/01881"/>
    <s v="CM/MTI/2025/01371 - [CWCWR003] WELDING ELECTRODE MS 6013 SIZE 4 MM X 450 MM / MRQ/2025/0188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243"/>
    <d v="2025-06-14T00:00:00"/>
    <x v="40"/>
    <s v="STJ/2025/06/06241"/>
    <s v="Inventory Valuation"/>
    <s v="CM/MTI/2025/01371 - [CIGGS001] GAS OXYGEN FULL CYLINDER, O2 / MRQ/2025/01881"/>
    <s v="CM/MTI/2025/01371 - [CIGGS001] GAS OXYGEN FULL CYLINDER, O2 / MRQ/2025/0188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0000"/>
    <n v="0"/>
    <n v="60000"/>
    <s v="TZS"/>
    <s v="[CIGGS001] GAS OXYGEN FULL CYLINDER, O2"/>
    <m/>
    <n v="-4"/>
    <s v="NOS"/>
    <x v="0"/>
    <x v="0"/>
    <x v="9"/>
    <x v="4"/>
    <n v="23.529411764705884"/>
    <n v="0"/>
  </r>
  <r>
    <n v="244"/>
    <d v="2025-06-14T00:00:00"/>
    <x v="40"/>
    <s v="STJ/2025/06/06204"/>
    <s v="Inventory Valuation"/>
    <s v="CM/MTI/2025/01370 - [CIGGS001] GAS OXYGEN FULL CYLINDER, O2 / MRQ/2025/01890"/>
    <s v="CM/MTI/2025/01370 - [CIGGS001] GAS OXYGEN FULL CYLINDER, O2 / MRQ/2025/0189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245"/>
    <d v="2025-06-14T00:00:00"/>
    <x v="40"/>
    <s v="STJ/2025/06/06026"/>
    <s v="Inventory Valuation"/>
    <s v="CM/MTI/2025/01366 - [CWCGC041] CUTTING WHEEL 7'' / MRQ/2025/01883"/>
    <s v="CM/MTI/2025/01366 - [CWCGC041] CUTTING WHEEL 7'' / MRQ/2025/01883"/>
    <m/>
    <m/>
    <s v="MATERIAL COST"/>
    <s v="Expenses"/>
    <s v="731002"/>
    <s v="731002 STORE SPARES &amp; CONSUMABLES - GENERAL"/>
    <s v="CWIP-CONSTRUCTION OF NEW RAW MILL FEEDING AND UPGRADATION"/>
    <s v="PROJECT"/>
    <s v="MECHANICAL"/>
    <n v="22838.97"/>
    <n v="0"/>
    <n v="22838.97"/>
    <s v="TZS"/>
    <s v="[CWCGC041] CUTTING WHEEL 7''"/>
    <m/>
    <n v="-7"/>
    <s v="NOS"/>
    <x v="0"/>
    <x v="0"/>
    <x v="9"/>
    <x v="4"/>
    <n v="8.9564588235294114"/>
    <n v="0"/>
  </r>
  <r>
    <n v="246"/>
    <d v="2025-06-16T09:17:49"/>
    <x v="41"/>
    <s v="SERBL/2025/06/0081"/>
    <s v="Service Bills"/>
    <s v="LPORD/2025/00352: Transportation Charges"/>
    <s v="TI204999"/>
    <s v="CMLT0507"/>
    <s v="Sai Office Supplies ( TZ ) Ltd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600000"/>
    <n v="0"/>
    <n v="600000"/>
    <s v="TZS"/>
    <s v="[SER003] Transportation Charges"/>
    <s v="Transportation Charges"/>
    <n v="1"/>
    <s v="NOS"/>
    <x v="0"/>
    <x v="0"/>
    <x v="9"/>
    <x v="4"/>
    <n v="235.29411764705881"/>
    <n v="0"/>
  </r>
  <r>
    <n v="247"/>
    <d v="2025-06-16T08:25:22"/>
    <x v="41"/>
    <s v="SERBL/2025/06/0080"/>
    <s v="Service Bills"/>
    <s v="LPORD/2025/00344: Transportation Charges"/>
    <s v="DHI/103700"/>
    <s v="CMLT1534"/>
    <s v="Doshi Hardware ( T ) Ltd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400000"/>
    <n v="0"/>
    <n v="400000"/>
    <s v="TZS"/>
    <s v="[SER003] Transportation Charges"/>
    <s v="Transportation Charges"/>
    <n v="1"/>
    <s v="NOS"/>
    <x v="0"/>
    <x v="0"/>
    <x v="9"/>
    <x v="4"/>
    <n v="156.86274509803923"/>
    <n v="0"/>
  </r>
  <r>
    <n v="248"/>
    <d v="2025-06-16T06:43:01"/>
    <x v="41"/>
    <s v="SERBL/2025/06/0078"/>
    <s v="Service Bills"/>
    <s v="IPORD/2025/00023: Engineering Consultancy Services for Expansion _x000a_ of Cement Production Plant Project"/>
    <s v="1622970"/>
    <s v="CMME0708"/>
    <s v="FLSmidth A/s"/>
    <s v="CAPITAL WORK IN PROGRESS"/>
    <s v="Fixed Assets"/>
    <s v="371021"/>
    <s v="371021 CWIP-PYRO UPGRADATION"/>
    <s v="CWIP-Pyro Upgradation"/>
    <s v="PROJECT"/>
    <s v="PROJECT"/>
    <n v="159706471.5"/>
    <n v="0"/>
    <n v="159706471.5"/>
    <s v="TZS"/>
    <s v="[SER027] Job Contract-5"/>
    <s v="Misc. Income"/>
    <n v="1"/>
    <s v="Lumpsum"/>
    <x v="0"/>
    <x v="0"/>
    <x v="0"/>
    <x v="0"/>
    <n v="62629.988823529413"/>
    <n v="0"/>
  </r>
  <r>
    <n v="249"/>
    <d v="2025-06-16T06:40:44"/>
    <x v="41"/>
    <s v="SERBL/2025/06/0077"/>
    <s v="Service Bills"/>
    <s v="IPORD/2025/00026: Engineering Consultancy Services for Expansion of Cement Production Plant Project"/>
    <s v="008/924003-01"/>
    <s v="CMMU0843"/>
    <s v="Virinchi Engineering Pvt. Ltd."/>
    <s v="CAPITAL WORK IN PROGRESS"/>
    <s v="Fixed Assets"/>
    <s v="371038"/>
    <s v="371038 CWIP-CONSTRUCTION OF NEW RAW MILL FEEDING AND UPGRADATION"/>
    <s v="CWIP-CONSTRUCTION OF NEW RAW MILL FEEDING AND UPGRADATION"/>
    <s v="UTILITY"/>
    <s v="MECHANICAL"/>
    <n v="35449524"/>
    <n v="0"/>
    <n v="35449524"/>
    <s v="TZS"/>
    <s v="[SER027] Job Contract-5"/>
    <s v="Misc. Income"/>
    <n v="1"/>
    <s v="Lumpsum"/>
    <x v="0"/>
    <x v="0"/>
    <x v="9"/>
    <x v="4"/>
    <n v="13901.774117647059"/>
    <n v="0"/>
  </r>
  <r>
    <n v="250"/>
    <d v="2025-06-16T00:00:00"/>
    <x v="41"/>
    <s v="STJ/2025/06/07244"/>
    <s v="Inventory Valuation"/>
    <s v="CM/MTI/2025/01384 - [CWCWR003] WELDING ELECTRODE MS 6013 SIZE 4 MM X 450 MM / MRQ/2025/01898"/>
    <s v="CM/MTI/2025/01384 - [CWCWR003] WELDING ELECTRODE MS 6013 SIZE 4 MM X 450 MM / MRQ/2025/0189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251"/>
    <d v="2025-06-16T00:00:00"/>
    <x v="41"/>
    <s v="STJ/2025/06/07243"/>
    <s v="Inventory Valuation"/>
    <s v="CM/MTI/2025/01384 - [CWCGC041] CUTTING WHEEL 7'' / MRQ/2025/01898"/>
    <s v="CM/MTI/2025/01384 - [CWCGC041] CUTTING WHEEL 7'' / MRQ/2025/0189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252"/>
    <d v="2025-06-16T00:00:00"/>
    <x v="41"/>
    <s v="STJ/2025/06/07242"/>
    <s v="Inventory Valuation"/>
    <s v="CM/MTI/2025/01384 - [CIGGS001] GAS OXYGEN FULL CYLINDER, O2 / MRQ/2025/01898"/>
    <s v="CM/MTI/2025/01384 - [CIGGS001] GAS OXYGEN FULL CYLINDER, O2 / MRQ/2025/0189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0000"/>
    <n v="0"/>
    <n v="120000"/>
    <s v="TZS"/>
    <s v="[CIGGS001] GAS OXYGEN FULL CYLINDER, O2"/>
    <m/>
    <n v="-8"/>
    <s v="NOS"/>
    <x v="0"/>
    <x v="0"/>
    <x v="9"/>
    <x v="4"/>
    <n v="47.058823529411768"/>
    <n v="0"/>
  </r>
  <r>
    <n v="253"/>
    <d v="2025-06-16T00:00:00"/>
    <x v="41"/>
    <s v="PCVLG/2025/06/0112"/>
    <s v="PCV (PETTY CASH LOGISTIC)"/>
    <m/>
    <s v="CASH PAID FOR BENDING MS SHEET 1.5MM 12 PCS FOR FABRICATION DOORS FOR NEW TRAILERS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350000"/>
    <n v="0"/>
    <n v="350000"/>
    <s v="TZS"/>
    <m/>
    <m/>
    <n v="1"/>
    <m/>
    <x v="0"/>
    <x v="0"/>
    <x v="12"/>
    <x v="1"/>
    <n v="137.25490196078431"/>
    <n v="0"/>
  </r>
  <r>
    <n v="254"/>
    <d v="2025-06-17T00:00:00"/>
    <x v="42"/>
    <s v="STJ/2025/06/07579"/>
    <s v="Inventory Valuation"/>
    <s v="CM/MTI/2025/01415 - [CWCWR003] WELDING ELECTRODE MS 6013 SIZE 4 MM X 450 MM / MRQ/2025/01936"/>
    <s v="CM/MTI/2025/01415 - [CWCWR003] WELDING ELECTRODE MS 6013 SIZE 4 MM X 450 MM / MRQ/2025/0193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255"/>
    <d v="2025-06-17T00:00:00"/>
    <x v="42"/>
    <s v="STJ/2025/06/07578"/>
    <s v="Inventory Valuation"/>
    <s v="CM/MTI/2025/01415 - [CWCGC041] CUTTING WHEEL 7'' / MRQ/2025/01936"/>
    <s v="CM/MTI/2025/01415 - [CWCGC041] CUTTING WHEEL 7'' / MRQ/2025/0193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256"/>
    <d v="2025-06-17T00:00:00"/>
    <x v="42"/>
    <s v="STJ/2025/06/07577"/>
    <s v="Inventory Valuation"/>
    <s v="CM/MTI/2025/01415 - [CIGGS001] GAS OXYGEN FULL CYLINDER, O2 / MRQ/2025/01936"/>
    <s v="CM/MTI/2025/01415 - [CIGGS001] GAS OXYGEN FULL CYLINDER, O2 / MRQ/2025/0193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0000"/>
    <n v="0"/>
    <n v="90000"/>
    <s v="TZS"/>
    <s v="[CIGGS001] GAS OXYGEN FULL CYLINDER, O2"/>
    <m/>
    <n v="-6"/>
    <s v="NOS"/>
    <x v="0"/>
    <x v="0"/>
    <x v="9"/>
    <x v="4"/>
    <n v="35.294117647058826"/>
    <n v="0"/>
  </r>
  <r>
    <n v="257"/>
    <d v="2025-06-17T00:00:00"/>
    <x v="42"/>
    <s v="STJ/2025/06/07573"/>
    <s v="Inventory Valuation"/>
    <s v="CM/MTI/2025/01411 - [CIGGS005] GAS LIQUEFIED PETROLEUM FULL CYLINDER, LPG CAPACITY 15KG / MRQ/2025/01921"/>
    <s v="CM/MTI/2025/01411 - [CIGGS005] GAS LIQUEFIED PETROLEUM FULL CYLINDER, LPG CAPACITY 15KG / MRQ/2025/01921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8383.26"/>
    <n v="0"/>
    <n v="48383.26"/>
    <s v="TZS"/>
    <s v="[CIGGS005] GAS LIQUEFIED PETROLEUM FULL CYLINDER, LPG CAPACITY 15KG"/>
    <m/>
    <n v="-1"/>
    <s v="NOS"/>
    <x v="0"/>
    <x v="0"/>
    <x v="8"/>
    <x v="3"/>
    <n v="18.973827450980394"/>
    <n v="0"/>
  </r>
  <r>
    <n v="258"/>
    <d v="2025-06-17T00:00:00"/>
    <x v="42"/>
    <s v="STJ/2025/06/07572"/>
    <s v="Inventory Valuation"/>
    <s v="CM/MTI/2025/01411 - [CIGGS001] GAS OXYGEN FULL CYLINDER, O2 / MRQ/2025/01921"/>
    <s v="CM/MTI/2025/01411 - [CIGGS001] GAS OXYGEN FULL CYLINDER, O2 / MRQ/2025/01921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60000"/>
    <n v="0"/>
    <n v="60000"/>
    <s v="TZS"/>
    <s v="[CIGGS001] GAS OXYGEN FULL CYLINDER, O2"/>
    <m/>
    <n v="-4"/>
    <s v="NOS"/>
    <x v="0"/>
    <x v="0"/>
    <x v="8"/>
    <x v="3"/>
    <n v="23.529411764705884"/>
    <n v="0"/>
  </r>
  <r>
    <n v="259"/>
    <d v="2025-06-18T00:00:00"/>
    <x v="43"/>
    <s v="STJ/2025/06/08358"/>
    <s v="Inventory Valuation"/>
    <s v="CM/MTI/2025/01443 - [EFSSC003] SCREW 63MM FOR ROOFING SHEET / MRQ/2025/01972"/>
    <s v="CM/MTI/2025/01443 - [EFSSC003] SCREW 63MM FOR ROOFING SHEET / MRQ/2025/01972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37700"/>
    <n v="0"/>
    <n v="37700"/>
    <s v="TZS"/>
    <s v="[EFSSC003] SCREW 63MM FOR ROOFING SHEET"/>
    <m/>
    <n v="-130"/>
    <s v="NOS"/>
    <x v="0"/>
    <x v="0"/>
    <x v="8"/>
    <x v="3"/>
    <n v="14.784313725490197"/>
    <n v="0"/>
  </r>
  <r>
    <n v="260"/>
    <d v="2025-06-18T00:00:00"/>
    <x v="43"/>
    <s v="STJ/2025/06/08357"/>
    <s v="Inventory Valuation"/>
    <s v="CM/MTI/2025/01443 - [CIGGS001] GAS OXYGEN FULL CYLINDER, O2 / MRQ/2025/01972"/>
    <s v="CM/MTI/2025/01443 - [CIGGS001] GAS OXYGEN FULL CYLINDER, O2 / MRQ/2025/01972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90000"/>
    <n v="0"/>
    <n v="90000"/>
    <s v="TZS"/>
    <s v="[CIGGS001] GAS OXYGEN FULL CYLINDER, O2"/>
    <m/>
    <n v="-6"/>
    <s v="NOS"/>
    <x v="0"/>
    <x v="0"/>
    <x v="8"/>
    <x v="3"/>
    <n v="35.294117647058826"/>
    <n v="0"/>
  </r>
  <r>
    <n v="261"/>
    <d v="2025-06-18T00:00:00"/>
    <x v="43"/>
    <s v="STJ/2025/06/08356"/>
    <s v="Inventory Valuation"/>
    <s v="CM/MTI/2025/01442 - [CWCWR003] WELDING ELECTRODE MS 6013 SIZE 4 MM X 450 MM / MRQ/2025/01974"/>
    <s v="CM/MTI/2025/01442 - [CWCWR003] WELDING ELECTRODE MS 6013 SIZE 4 MM X 450 MM / MRQ/2025/0197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262"/>
    <d v="2025-06-18T00:00:00"/>
    <x v="43"/>
    <s v="STJ/2025/06/08355"/>
    <s v="Inventory Valuation"/>
    <s v="CM/MTI/2025/01442 - [CWCGC041] CUTTING WHEEL 7'' / MRQ/2025/01974"/>
    <s v="CM/MTI/2025/01442 - [CWCGC041] CUTTING WHEEL 7'' / MRQ/2025/0197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263"/>
    <d v="2025-06-18T00:00:00"/>
    <x v="43"/>
    <s v="STJ/2025/06/08354"/>
    <s v="Inventory Valuation"/>
    <s v="CM/MTI/2025/01442 - [CIGGS001] GAS OXYGEN FULL CYLINDER, O2 / MRQ/2025/01974"/>
    <s v="CM/MTI/2025/01442 - [CIGGS001] GAS OXYGEN FULL CYLINDER, O2 / MRQ/2025/0197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0000"/>
    <n v="0"/>
    <n v="120000"/>
    <s v="TZS"/>
    <s v="[CIGGS001] GAS OXYGEN FULL CYLINDER, O2"/>
    <m/>
    <n v="-8"/>
    <s v="NOS"/>
    <x v="0"/>
    <x v="0"/>
    <x v="9"/>
    <x v="4"/>
    <n v="47.058823529411768"/>
    <n v="0"/>
  </r>
  <r>
    <n v="264"/>
    <d v="2025-06-19T00:00:00"/>
    <x v="44"/>
    <s v="STJ/2025/06/09030"/>
    <s v="Inventory Valuation"/>
    <s v="CM/MTI/2025/01459 - [EFSHB115] BOLT HT HEX HEAD M16 X 50MM FULL THREAD WITH NUT AND WASHER GRADE 8.8 / MRQ/2025/02005"/>
    <s v="CM/MTI/2025/01459 - [EFSHB115] BOLT HT HEX HEAD M16 X 50MM FULL THREAD WITH NUT AND WASHER GRADE 8.8 / MRQ/2025/0200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614.69"/>
    <n v="0"/>
    <n v="15614.69"/>
    <s v="TZS"/>
    <s v="[EFSHB115] BOLT HT HEX HEAD M16 X 50MM FULL THREAD WITH NUT AND WASHER GRADE 8.8"/>
    <m/>
    <n v="-16"/>
    <s v="NOS"/>
    <x v="0"/>
    <x v="0"/>
    <x v="9"/>
    <x v="4"/>
    <n v="6.1234078431372554"/>
    <n v="0"/>
  </r>
  <r>
    <n v="265"/>
    <d v="2025-06-19T00:00:00"/>
    <x v="44"/>
    <s v="STJ/2025/06/09029"/>
    <s v="Inventory Valuation"/>
    <s v="CM/MTI/2025/01459 - [CWCWR003] WELDING ELECTRODE MS 6013 SIZE 4 MM X 450 MM / MRQ/2025/02005_x000a_Rounding Adjustment: -0.01 TSh"/>
    <s v="CM/MTI/2025/01459 - [CWCWR003] WELDING ELECTRODE MS 6013 SIZE 4 MM X 450 MM / MRQ/2025/02005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2437.75"/>
    <n v="0"/>
    <n v="102437.75"/>
    <s v="TZS"/>
    <s v="[CWCWR003] WELDING ELECTRODE MS 6013 SIZE 4 MM X 450 MM"/>
    <m/>
    <n v="-25"/>
    <s v="KG"/>
    <x v="0"/>
    <x v="0"/>
    <x v="9"/>
    <x v="4"/>
    <n v="40.171666666666667"/>
    <n v="0"/>
  </r>
  <r>
    <n v="266"/>
    <d v="2025-06-20T00:00:00"/>
    <x v="45"/>
    <s v="STJ/2025/06/09255"/>
    <s v="Inventory Valuation"/>
    <s v="CM/MTI/2025/01465 - [CAFRF014] FAN EXHAUST PVC 46 WATT 230 VAC SIZE 12 INCH WITH LOUVERS WALL MOUNT FOR WASH ROOM / MRQ/2025/02015"/>
    <s v="CM/MTI/2025/01465 - [CAFRF014] FAN EXHAUST PVC 46 WATT 230 VAC SIZE 12 INCH WITH LOUVERS WALL MOUNT FOR WASH ROOM / MRQ/2025/02015"/>
    <m/>
    <m/>
    <s v="MATERIAL COST"/>
    <s v="Expenses"/>
    <s v="731003"/>
    <s v="731003 STORE SPARES &amp; CONSUMABLES - CA"/>
    <s v="Inventory Spares Consumable"/>
    <s v="UTILITY"/>
    <s v="ELECTRICAL"/>
    <n v="73880.86"/>
    <n v="0"/>
    <n v="73880.86"/>
    <s v="TZS"/>
    <s v="[CAFRF014] FAN EXHAUST PVC 46 WATT 230 VAC SIZE 12 INCH WITH LOUVERS WALL MOUNT FOR WASH ROOM"/>
    <m/>
    <n v="-1"/>
    <s v="NOS"/>
    <x v="0"/>
    <x v="2"/>
    <x v="10"/>
    <x v="5"/>
    <n v="28.972886274509804"/>
    <n v="0"/>
  </r>
  <r>
    <n v="267"/>
    <d v="2025-06-21T00:00:00"/>
    <x v="46"/>
    <s v="STJ/2025/06/09739"/>
    <s v="Inventory Valuation"/>
    <s v="CM/MTI/2025/01471 - [EPFPI030] PIPE MS SIZE 4&quot; DIA X 6000 MM LONG CLASS C / MRQ/2025/02053"/>
    <s v="CM/MTI/2025/01471 - [EPFPI030] PIPE MS SIZE 4&quot; DIA X 6000 MM LONG CLASS C / MRQ/2025/02053"/>
    <m/>
    <m/>
    <s v="MATERIAL COST"/>
    <s v="Expenses"/>
    <s v="731002"/>
    <s v="731002 STORE SPARES &amp; CONSUMABLES - GENERAL"/>
    <s v="CWIP-CONSTRUCTION OF NEW RAW MILL FEEDING AND UPGRADATION"/>
    <s v="PROJECT"/>
    <s v="MECHANICAL"/>
    <n v="1000000"/>
    <n v="0"/>
    <n v="1000000"/>
    <s v="TZS"/>
    <s v="[EPFPI030] PIPE MS SIZE 4&quot; DIA X 6000 MM LONG CLASS C"/>
    <m/>
    <n v="-4"/>
    <s v="NOS"/>
    <x v="0"/>
    <x v="0"/>
    <x v="9"/>
    <x v="4"/>
    <n v="392.15686274509807"/>
    <n v="0"/>
  </r>
  <r>
    <n v="268"/>
    <d v="2025-06-21T00:00:00"/>
    <x v="46"/>
    <s v="STJ/2025/06/09738"/>
    <s v="Inventory Valuation"/>
    <s v="CM/MTI/2025/01471 - [CWCWR003] WELDING ELECTRODE MS 6013 SIZE 4 MM X 450 MM / MRQ/2025/02053"/>
    <s v="CM/MTI/2025/01471 - [CWCWR003] WELDING ELECTRODE MS 6013 SIZE 4 MM X 450 MM / MRQ/2025/02053"/>
    <m/>
    <m/>
    <s v="MATERIAL COST"/>
    <s v="Expenses"/>
    <s v="731002"/>
    <s v="731002 STORE SPARES &amp; CONSUMABLES - GENERAL"/>
    <s v="CWIP-CONSTRUCTION OF NEW RAW MILL FEEDING AND UPGRADATION"/>
    <s v="PROJECT"/>
    <s v="MECHANICAL"/>
    <n v="163900.38"/>
    <n v="0"/>
    <n v="163900.38"/>
    <s v="TZS"/>
    <s v="[CWCWR003] WELDING ELECTRODE MS 6013 SIZE 4 MM X 450 MM"/>
    <m/>
    <n v="-40"/>
    <s v="KG"/>
    <x v="0"/>
    <x v="0"/>
    <x v="9"/>
    <x v="4"/>
    <n v="64.274658823529407"/>
    <n v="0"/>
  </r>
  <r>
    <n v="269"/>
    <d v="2025-06-21T00:00:00"/>
    <x v="46"/>
    <s v="STJ/2025/06/09737"/>
    <s v="Inventory Valuation"/>
    <s v="CM/MTI/2025/01471 - [CWCGC041] CUTTING WHEEL 7'' / MRQ/2025/02053"/>
    <s v="CM/MTI/2025/01471 - [CWCGC041] CUTTING WHEEL 7'' / MRQ/2025/02053"/>
    <m/>
    <m/>
    <s v="MATERIAL COST"/>
    <s v="Expenses"/>
    <s v="731002"/>
    <s v="731002 STORE SPARES &amp; CONSUMABLES - GENERAL"/>
    <s v="CWIP-CONSTRUCTION OF NEW RAW MILL FEEDING AND UPGRADATION"/>
    <s v="PROJECT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270"/>
    <d v="2025-06-21T00:00:00"/>
    <x v="46"/>
    <s v="STJ/2025/06/09736"/>
    <s v="Inventory Valuation"/>
    <s v="CM/MTI/2025/01471 - [CIGGS005] GAS LIQUEFIED PETROLEUM FULL CYLINDER, LPG CAPACITY 15KG / MRQ/2025/02053_x000a_Rounding Adjustment: +0.01 TSh"/>
    <s v="CM/MTI/2025/01471 - [CIGGS005] GAS LIQUEFIED PETROLEUM FULL CYLINDER, LPG CAPACITY 15KG / MRQ/2025/02053_x000a_Rounding Adjustment: +0.01 TSh"/>
    <m/>
    <m/>
    <s v="MATERIAL COST"/>
    <s v="Expenses"/>
    <s v="731002"/>
    <s v="731002 STORE SPARES &amp; CONSUMABLES - GENERAL"/>
    <s v="CWIP-CONSTRUCTION OF NEW RAW MILL FEEDING AND UPGRADATION"/>
    <s v="PROJECT"/>
    <s v="MECHANICAL"/>
    <n v="95999.99"/>
    <n v="0"/>
    <n v="95999.99"/>
    <s v="TZS"/>
    <s v="[CIGGS005] GAS LIQUEFIED PETROLEUM FULL CYLINDER, LPG CAPACITY 15KG"/>
    <m/>
    <n v="-2"/>
    <s v="NOS"/>
    <x v="0"/>
    <x v="0"/>
    <x v="9"/>
    <x v="4"/>
    <n v="37.647054901960786"/>
    <n v="0"/>
  </r>
  <r>
    <n v="271"/>
    <d v="2025-06-21T00:00:00"/>
    <x v="46"/>
    <s v="STJ/2025/06/09735"/>
    <s v="Inventory Valuation"/>
    <s v="CM/MTI/2025/01471 - [CIGGS001] GAS OXYGEN FULL CYLINDER, O2 / MRQ/2025/02053"/>
    <s v="CM/MTI/2025/01471 - [CIGGS001] GAS OXYGEN FULL CYLINDER, O2 / MRQ/2025/02053"/>
    <m/>
    <m/>
    <s v="MATERIAL COST"/>
    <s v="Expenses"/>
    <s v="731002"/>
    <s v="731002 STORE SPARES &amp; CONSUMABLES - GENERAL"/>
    <s v="CWIP-CONSTRUCTION OF NEW RAW MILL FEEDING AND UPGRADATION"/>
    <s v="PROJECT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272"/>
    <d v="2025-06-21T00:00:00"/>
    <x v="46"/>
    <s v="STJ/2025/06/09734"/>
    <s v="Inventory Valuation"/>
    <s v="CM/MTI/2025/01470 - [EPFPI030] PIPE MS SIZE 4&quot; DIA X 6000 MM LONG CLASS C / MRQ/2025/02033"/>
    <s v="CM/MTI/2025/01470 - [EPFPI030] PIPE MS SIZE 4&quot; DIA X 6000 MM LONG CLASS C / MRQ/2025/02033"/>
    <m/>
    <m/>
    <s v="MATERIAL COST"/>
    <s v="Expenses"/>
    <s v="731002"/>
    <s v="731002 STORE SPARES &amp; CONSUMABLES - GENERAL"/>
    <s v="CWIP-CONSTRUCTION OF NEW RAW MILL FEEDING AND UPGRADATION"/>
    <s v="PROJECT"/>
    <s v="MECHANICAL"/>
    <n v="500000"/>
    <n v="0"/>
    <n v="500000"/>
    <s v="TZS"/>
    <s v="[EPFPI030] PIPE MS SIZE 4&quot; DIA X 6000 MM LONG CLASS C"/>
    <m/>
    <n v="-2"/>
    <s v="NOS"/>
    <x v="0"/>
    <x v="0"/>
    <x v="9"/>
    <x v="4"/>
    <n v="196.07843137254903"/>
    <n v="0"/>
  </r>
  <r>
    <n v="273"/>
    <d v="2025-06-21T00:00:00"/>
    <x v="46"/>
    <s v="STJ/2025/06/09733"/>
    <s v="Inventory Valuation"/>
    <s v="CM/MTI/2025/01470 - [EFSHB124] BOLT HT HEX HEAD M16 X 120MM FULL THREAD WITH NUT AND WASHER GRADE 8.8 / MRQ/2025/02033"/>
    <s v="CM/MTI/2025/01470 - [EFSHB124] BOLT HT HEX HEAD M16 X 120MM FULL THREAD WITH NUT AND WASHER GRADE 8.8 / MRQ/2025/02033"/>
    <m/>
    <m/>
    <s v="MATERIAL COST"/>
    <s v="Expenses"/>
    <s v="731002"/>
    <s v="731002 STORE SPARES &amp; CONSUMABLES - GENERAL"/>
    <s v="CWIP-CONSTRUCTION OF NEW RAW MILL FEEDING AND UPGRADATION"/>
    <s v="PROJECT"/>
    <s v="MECHANICAL"/>
    <n v="69283.960000000006"/>
    <n v="0"/>
    <n v="69283.960000000006"/>
    <s v="TZS"/>
    <s v="[EFSHB124] BOLT HT HEX HEAD M16 X 120MM FULL THREAD WITH NUT AND WASHER GRADE 8.8"/>
    <m/>
    <n v="-30"/>
    <s v="NOS"/>
    <x v="0"/>
    <x v="0"/>
    <x v="9"/>
    <x v="4"/>
    <n v="27.170180392156865"/>
    <n v="0"/>
  </r>
  <r>
    <n v="274"/>
    <d v="2025-06-21T00:00:00"/>
    <x v="46"/>
    <s v="STJ/2025/06/09732"/>
    <s v="Inventory Valuation"/>
    <s v="CM/MTI/2025/01470 - [EFSHB082] BOLT HT HEX HEAD M10 X 50MM HALF THREAD WITH NUT AND WASHER GRADE 8.8 / MRQ/2025/02033"/>
    <s v="CM/MTI/2025/01470 - [EFSHB082] BOLT HT HEX HEAD M10 X 50MM HALF THREAD WITH NUT AND WASHER GRADE 8.8 / MRQ/2025/02033"/>
    <m/>
    <m/>
    <s v="MATERIAL COST"/>
    <s v="Expenses"/>
    <s v="731002"/>
    <s v="731002 STORE SPARES &amp; CONSUMABLES - GENERAL"/>
    <s v="CWIP-CONSTRUCTION OF NEW RAW MILL FEEDING AND UPGRADATION"/>
    <s v="PROJECT"/>
    <s v="MECHANICAL"/>
    <n v="7970.28"/>
    <n v="0"/>
    <n v="7970.28"/>
    <s v="TZS"/>
    <s v="[EFSHB082] BOLT HT HEX HEAD M10 X 50MM HALF THREAD WITH NUT AND WASHER GRADE 8.8"/>
    <m/>
    <n v="-20"/>
    <s v="NOS"/>
    <x v="0"/>
    <x v="0"/>
    <x v="9"/>
    <x v="4"/>
    <n v="3.1255999999999999"/>
    <n v="0"/>
  </r>
  <r>
    <n v="275"/>
    <d v="2025-06-21T00:00:00"/>
    <x v="46"/>
    <s v="STJ/2025/06/09731"/>
    <s v="Inventory Valuation"/>
    <s v="CM/MTI/2025/01470 - [CWCWR003] WELDING ELECTRODE MS 6013 SIZE 4 MM X 450 MM / MRQ/2025/02033_x000a_Rounding Adjustment: +0.01 TSh"/>
    <s v="CM/MTI/2025/01470 - [CWCWR003] WELDING ELECTRODE MS 6013 SIZE 4 MM X 450 MM / MRQ/2025/02033_x000a_Rounding Adjustment: +0.01 TSh"/>
    <m/>
    <m/>
    <s v="MATERIAL COST"/>
    <s v="Expenses"/>
    <s v="731002"/>
    <s v="731002 STORE SPARES &amp; CONSUMABLES - GENERAL"/>
    <s v="CWIP-CONSTRUCTION OF NEW RAW MILL FEEDING AND UPGRADATION"/>
    <s v="PROJECT"/>
    <s v="MECHANICAL"/>
    <n v="122925.27"/>
    <n v="0"/>
    <n v="122925.27"/>
    <s v="TZS"/>
    <s v="[CWCWR003] WELDING ELECTRODE MS 6013 SIZE 4 MM X 450 MM"/>
    <m/>
    <n v="-30"/>
    <s v="KG"/>
    <x v="0"/>
    <x v="0"/>
    <x v="9"/>
    <x v="4"/>
    <n v="48.205988235294122"/>
    <n v="0"/>
  </r>
  <r>
    <n v="276"/>
    <d v="2025-06-21T00:00:00"/>
    <x v="46"/>
    <s v="STJ/2025/06/09730"/>
    <s v="Inventory Valuation"/>
    <s v="CM/MTI/2025/01470 - [CWCGC041] CUTTING WHEEL 7'' / MRQ/2025/02033"/>
    <s v="CM/MTI/2025/01470 - [CWCGC041] CUTTING WHEEL 7'' / MRQ/2025/02033"/>
    <m/>
    <m/>
    <s v="MATERIAL COST"/>
    <s v="Expenses"/>
    <s v="731002"/>
    <s v="731002 STORE SPARES &amp; CONSUMABLES - GENERAL"/>
    <s v="CWIP-CONSTRUCTION OF NEW RAW MILL FEEDING AND UPGRADATION"/>
    <s v="PROJECT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277"/>
    <d v="2025-06-21T00:00:00"/>
    <x v="46"/>
    <s v="STJ/2025/06/09729"/>
    <s v="Inventory Valuation"/>
    <s v="CM/MTI/2025/01470 - [CIGGS001] GAS OXYGEN FULL CYLINDER, O2 / MRQ/2025/02033"/>
    <s v="CM/MTI/2025/01470 - [CIGGS001] GAS OXYGEN FULL CYLINDER, O2 / MRQ/2025/02033"/>
    <m/>
    <m/>
    <s v="MATERIAL COST"/>
    <s v="Expenses"/>
    <s v="731002"/>
    <s v="731002 STORE SPARES &amp; CONSUMABLES - GENERAL"/>
    <s v="CWIP-CONSTRUCTION OF NEW RAW MILL FEEDING AND UPGRADATION"/>
    <s v="PROJECT"/>
    <s v="MECHANICAL"/>
    <n v="120000"/>
    <n v="0"/>
    <n v="120000"/>
    <s v="TZS"/>
    <s v="[CIGGS001] GAS OXYGEN FULL CYLINDER, O2"/>
    <m/>
    <n v="-8"/>
    <s v="NOS"/>
    <x v="0"/>
    <x v="0"/>
    <x v="9"/>
    <x v="4"/>
    <n v="47.058823529411768"/>
    <n v="0"/>
  </r>
  <r>
    <n v="278"/>
    <d v="2025-06-21T00:00:00"/>
    <x v="46"/>
    <s v="PCVLG/2025/06/0135"/>
    <s v="PCV (PETTY CASH LOGISTIC)"/>
    <m/>
    <s v="CASH PAID FOR FABRICATION OF DOOR HINGES 75 PCS @8000 FOR NEW TRAILERS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600000"/>
    <n v="0"/>
    <n v="600000"/>
    <s v="TZS"/>
    <m/>
    <m/>
    <n v="1"/>
    <m/>
    <x v="0"/>
    <x v="0"/>
    <x v="12"/>
    <x v="1"/>
    <n v="235.29411764705881"/>
    <n v="0"/>
  </r>
  <r>
    <n v="279"/>
    <d v="2025-06-23T08:13:28"/>
    <x v="47"/>
    <s v="SERBL/2025/06/0099"/>
    <s v="Service Bills"/>
    <s v="LPORD/2024/00485: Testing and commissioning of Electrical &amp; Instrumentation works for your Phase II Expansion Project – as per BOQ (Scope of work is attached in Annexure – (B&amp;C) (Retention 5% amount &amp; Less advance paid 30%)"/>
    <s v="VPSTL/I006/2025"/>
    <s v="CMLT1955"/>
    <s v="VOLTECH PRODUCT AND SERVICES (TANZANIA) LIMITED"/>
    <s v="CAPITAL WORK IN PROGRESS"/>
    <s v="Fixed Assets"/>
    <s v="371021"/>
    <s v="371021 CWIP-PYRO UPGRADATION"/>
    <s v="CWIP-Pyro Upgradation"/>
    <s v="PROJECT"/>
    <s v="PROJECT"/>
    <n v="4779937.5"/>
    <n v="0"/>
    <n v="4779937.5"/>
    <s v="TZS"/>
    <s v="[SER027] Job Contract-5"/>
    <s v="Misc. Income"/>
    <n v="1"/>
    <s v="Lumpsum"/>
    <x v="0"/>
    <x v="0"/>
    <x v="0"/>
    <x v="0"/>
    <n v="1874.4852941176471"/>
    <n v="0"/>
  </r>
  <r>
    <n v="280"/>
    <d v="2025-06-23T08:13:28"/>
    <x v="47"/>
    <s v="SERBL/2025/06/0099"/>
    <s v="Service Bills"/>
    <s v="LPORD/2024/00485: Installation of Electrical &amp; Instrumentation works for your Phase II Expansion Project– as per BOQ (Scope of work is attached in Annexure – (A) (Retention 5% amount &amp; Less advance paid 30%)"/>
    <s v="VPSTL/I006/2025"/>
    <s v="CMLT1955"/>
    <s v="VOLTECH PRODUCT AND SERVICES (TANZANIA) LIMITED"/>
    <s v="CAPITAL WORK IN PROGRESS"/>
    <s v="Fixed Assets"/>
    <s v="371021"/>
    <s v="371021 CWIP-PYRO UPGRADATION"/>
    <s v="CWIP-Pyro Upgradation"/>
    <s v="PROJECT"/>
    <s v="PROJECT"/>
    <n v="7985510"/>
    <n v="0"/>
    <n v="7985510"/>
    <s v="TZS"/>
    <s v="[SER027] Job Contract-5"/>
    <s v="Misc. Income"/>
    <n v="1"/>
    <s v="Lumpsum"/>
    <x v="0"/>
    <x v="0"/>
    <x v="0"/>
    <x v="0"/>
    <n v="3131.5725490196078"/>
    <n v="0"/>
  </r>
  <r>
    <n v="281"/>
    <d v="2025-06-23T08:12:47"/>
    <x v="47"/>
    <s v="SERBL/2025/06/0098"/>
    <s v="Service Bills"/>
    <s v="LPORD/2024/00064: Installation, of Electrical, Instrumentation of E&amp;I work for_x000a_OPC Project .Refer Annexures A ,A 01,B,C &amp; D (Retention 5% amount )"/>
    <s v="VPSTL/I005/2025"/>
    <s v="CMLT1955"/>
    <s v="VOLTECH PRODUCT AND SERVICES (TANZANIA) LIMITED"/>
    <s v="CAPITAL WORK IN PROGRESS"/>
    <s v="Fixed Assets"/>
    <s v="371021"/>
    <s v="371021 CWIP-PYRO UPGRADATION"/>
    <s v="CWIP-Pyro Upgradation"/>
    <s v="PROJECT"/>
    <s v="PROJECT"/>
    <n v="7309137.5"/>
    <n v="0"/>
    <n v="7309137.5"/>
    <s v="TZS"/>
    <s v="[SER027] Job Contract-5"/>
    <s v="Misc. Income"/>
    <n v="1"/>
    <s v="Lumpsum"/>
    <x v="0"/>
    <x v="0"/>
    <x v="0"/>
    <x v="0"/>
    <n v="2866.3284313725489"/>
    <n v="0"/>
  </r>
  <r>
    <n v="282"/>
    <d v="2025-06-23T08:12:47"/>
    <x v="47"/>
    <s v="SERBL/2025/06/0098"/>
    <s v="Service Bills"/>
    <s v="LPORD/2024/00064: &quot;Testing and commissioning of Electrical and_x000a_Instrumentation equipment’s for OPC Project .Refer Annexures A ,A 01,B,C &amp; D (Retention 5% amount)"/>
    <s v="VPSTL/I005/2025"/>
    <s v="CMLT1955"/>
    <s v="VOLTECH PRODUCT AND SERVICES (TANZANIA) LIMITED"/>
    <s v="CAPITAL WORK IN PROGRESS"/>
    <s v="Fixed Assets"/>
    <s v="371021"/>
    <s v="371021 CWIP-PYRO UPGRADATION"/>
    <s v="CWIP-Pyro Upgradation"/>
    <s v="PROJECT"/>
    <s v="PROJECT"/>
    <n v="4644656.25"/>
    <n v="0"/>
    <n v="4644656.25"/>
    <s v="TZS"/>
    <s v="[SER027] Job Contract-5"/>
    <s v="Misc. Income"/>
    <n v="1"/>
    <s v="Lumpsum"/>
    <x v="0"/>
    <x v="0"/>
    <x v="0"/>
    <x v="0"/>
    <n v="1821.4338235294117"/>
    <n v="0"/>
  </r>
  <r>
    <n v="283"/>
    <d v="2025-06-23T07:33:29"/>
    <x v="47"/>
    <s v="SERBL/2025/06/0095"/>
    <s v="Service Bills"/>
    <s v="LPORD/2025/00374: Charges for Making 80mm Anchors (SS 309) from Material Provided by LCL"/>
    <s v="28897"/>
    <s v="CMLT1217"/>
    <s v="Gibs Developers Company"/>
    <s v="CAPITAL WORK IN PROGRESS"/>
    <s v="Fixed Assets"/>
    <s v="371021"/>
    <s v="371021 CWIP-PYRO UPGRADATION"/>
    <s v="CWIP-Pyro Upgradation"/>
    <s v="PROJECT"/>
    <s v="PROJECT"/>
    <n v="5000000"/>
    <n v="0"/>
    <n v="5000000"/>
    <s v="TZS"/>
    <s v="[SER006] Job Contract"/>
    <s v="Misc. Income"/>
    <n v="900"/>
    <s v="NOS"/>
    <x v="0"/>
    <x v="0"/>
    <x v="0"/>
    <x v="0"/>
    <n v="1960.7843137254902"/>
    <n v="0"/>
  </r>
  <r>
    <n v="284"/>
    <d v="2025-06-23T07:30:16"/>
    <x v="47"/>
    <s v="SERBL/2025/06/0094"/>
    <s v="Service Bills"/>
    <s v="LPORD/2025/00364: WELDERS/FITTERS FOR NEW MINING WEIGHBRIDGE"/>
    <s v="28990"/>
    <s v="CMLT1217"/>
    <s v="Gibs Developers Company"/>
    <s v="CAPITAL WORK IN PROGRESS"/>
    <s v="Fixed Assets"/>
    <s v="371057"/>
    <s v="371057 CWIP-INSTALLATION OF NEW WEIGHBRIDGE AT QUARRY(2NOS)"/>
    <s v="CWIP-INSTALLATION OF NEW WEIGHBRIDGE AT QUARRY(2NOS)"/>
    <s v="QUARRY"/>
    <s v="INSTRUMENTATION"/>
    <n v="2800000"/>
    <n v="0"/>
    <n v="2800000"/>
    <s v="TZS"/>
    <s v="[SER037] Job Contract-15"/>
    <s v="Misc. Income"/>
    <n v="40"/>
    <s v="MANDAY"/>
    <x v="0"/>
    <x v="0"/>
    <x v="14"/>
    <x v="3"/>
    <n v="1098.0392156862745"/>
    <n v="0"/>
  </r>
  <r>
    <n v="285"/>
    <d v="2025-06-23T07:30:16"/>
    <x v="47"/>
    <s v="SERBL/2025/06/0094"/>
    <s v="Service Bills"/>
    <s v="LPORD/2025/00364: HELPERS FOR NEW MINING WEIGHBRIDGE"/>
    <s v="28990"/>
    <s v="CMLT1217"/>
    <s v="Gibs Developers Company"/>
    <s v="CAPITAL WORK IN PROGRESS"/>
    <s v="Fixed Assets"/>
    <s v="371057"/>
    <s v="371057 CWIP-INSTALLATION OF NEW WEIGHBRIDGE AT QUARRY(2NOS)"/>
    <s v="CWIP-INSTALLATION OF NEW WEIGHBRIDGE AT QUARRY(2NOS)"/>
    <s v="QUARRY"/>
    <s v="INSTRUMENTATION"/>
    <n v="2353000"/>
    <n v="0"/>
    <n v="2353000"/>
    <s v="TZS"/>
    <s v="[SER037] Job Contract-15"/>
    <s v="Misc. Income"/>
    <n v="181"/>
    <s v="MANDAY"/>
    <x v="0"/>
    <x v="0"/>
    <x v="14"/>
    <x v="3"/>
    <n v="922.74509803921569"/>
    <n v="0"/>
  </r>
  <r>
    <n v="286"/>
    <d v="2025-06-23T07:30:16"/>
    <x v="47"/>
    <s v="SERBL/2025/06/0094"/>
    <s v="Service Bills"/>
    <s v="LPORD/2025/00364: WELDERS/FITTERS FOR NEW MINING WEIGHBRIDGE"/>
    <s v="28990"/>
    <s v="CMLT1217"/>
    <s v="Gibs Developers Company"/>
    <s v="CAPITAL WORK IN PROGRESS"/>
    <s v="Fixed Assets"/>
    <s v="371057"/>
    <s v="371057 CWIP-INSTALLATION OF NEW WEIGHBRIDGE AT QUARRY(2NOS)"/>
    <s v="CWIP-INSTALLATION OF NEW WEIGHBRIDGE AT QUARRY(2NOS)"/>
    <s v="QUARRY"/>
    <s v="INSTRUMENTATION"/>
    <n v="1400000"/>
    <n v="0"/>
    <n v="1400000"/>
    <s v="TZS"/>
    <s v="[SER037] Job Contract-15"/>
    <s v="Misc. Income"/>
    <n v="20"/>
    <s v="MANDAY"/>
    <x v="0"/>
    <x v="0"/>
    <x v="14"/>
    <x v="3"/>
    <n v="549.01960784313724"/>
    <n v="0"/>
  </r>
  <r>
    <n v="287"/>
    <d v="2025-06-23T12:39:23"/>
    <x v="47"/>
    <s v="DBN/2025/06/0006"/>
    <s v="Service Bills"/>
    <m/>
    <s v="VPSTL/CN001/2025"/>
    <s v="CMLT1955"/>
    <s v="VOLTECH PRODUCT AND SERVICES (TANZANIA) LIMITED"/>
    <s v="CAPITAL WORK IN PROGRESS"/>
    <s v="Fixed Assets"/>
    <s v="371021"/>
    <s v="371021 CWIP-PYRO UPGRADATION"/>
    <s v="CWIP-Pyro Upgradation"/>
    <s v="PROJECT"/>
    <s v="PROJECT"/>
    <n v="0"/>
    <n v="5114717.22"/>
    <n v="-5114717.22"/>
    <s v="TZS"/>
    <m/>
    <m/>
    <n v="1"/>
    <m/>
    <x v="0"/>
    <x v="0"/>
    <x v="0"/>
    <x v="0"/>
    <n v="-2005.7714588235292"/>
    <n v="0"/>
  </r>
  <r>
    <n v="288"/>
    <d v="2025-06-23T00:00:00"/>
    <x v="47"/>
    <s v="STJ/2025/06/11150"/>
    <s v="Inventory Valuation"/>
    <s v="CM/MTI/2025/01506 - [CWCWR003] WELDING ELECTRODE MS 6013 SIZE 4 MM X 450 MM / MRQ/2025/02027"/>
    <s v="CM/MTI/2025/01506 - [CWCWR003] WELDING ELECTRODE MS 6013 SIZE 4 MM X 450 MM / MRQ/2025/02027"/>
    <m/>
    <m/>
    <s v="MATERIAL COST"/>
    <s v="Expenses"/>
    <s v="731002"/>
    <s v="731002 STORE SPARES &amp; CONSUMABLES - GENERAL"/>
    <s v="CWIP-INSTALLATION OF NEW WEIGHBRIDGE AT QUARRY(2NOS)"/>
    <s v="QUARRY"/>
    <s v="MECHANICAL"/>
    <n v="20487.55"/>
    <n v="0"/>
    <n v="20487.55"/>
    <s v="TZS"/>
    <s v="[CWCWR003] WELDING ELECTRODE MS 6013 SIZE 4 MM X 450 MM"/>
    <m/>
    <n v="-5"/>
    <s v="KG"/>
    <x v="0"/>
    <x v="0"/>
    <x v="14"/>
    <x v="3"/>
    <n v="8.0343333333333327"/>
    <n v="0"/>
  </r>
  <r>
    <n v="289"/>
    <d v="2025-06-23T00:00:00"/>
    <x v="47"/>
    <s v="STJ/2025/06/11149"/>
    <s v="Inventory Valuation"/>
    <s v="CM/MTI/2025/01506 - [CCLGC329] TMT BAR SIZE 12 MM GRADE FY500. / MRQ/2025/02027"/>
    <s v="CM/MTI/2025/01506 - [CCLGC329] TMT BAR SIZE 12 MM GRADE FY500. / MRQ/2025/02027"/>
    <m/>
    <m/>
    <s v="MATERIAL COST"/>
    <s v="Expenses"/>
    <s v="731002"/>
    <s v="731002 STORE SPARES &amp; CONSUMABLES - GENERAL"/>
    <s v="CWIP-INSTALLATION OF NEW WEIGHBRIDGE AT QUARRY(2NOS)"/>
    <s v="QUARRY"/>
    <s v="MECHANICAL"/>
    <n v="164927.35999999999"/>
    <n v="0"/>
    <n v="164927.35999999999"/>
    <s v="TZS"/>
    <s v="[CCLGC329] TMT BAR SIZE 12 MM GRADE FY500."/>
    <m/>
    <n v="-8"/>
    <s v="PCS"/>
    <x v="0"/>
    <x v="0"/>
    <x v="14"/>
    <x v="3"/>
    <n v="64.677396078431372"/>
    <n v="0"/>
  </r>
  <r>
    <n v="290"/>
    <d v="2025-06-23T00:00:00"/>
    <x v="47"/>
    <s v="STJ/2025/06/11148"/>
    <s v="Inventory Valuation"/>
    <s v="CM/MTI/2025/01506 - [CCLGC028] NAILS CONCRETE SIZE 4'' / MRQ/2025/02027"/>
    <s v="CM/MTI/2025/01506 - [CCLGC028] NAILS CONCRETE SIZE 4'' / MRQ/2025/02027"/>
    <m/>
    <m/>
    <s v="MATERIAL COST"/>
    <s v="Expenses"/>
    <s v="731002"/>
    <s v="731002 STORE SPARES &amp; CONSUMABLES - GENERAL"/>
    <s v="CWIP-INSTALLATION OF NEW WEIGHBRIDGE AT QUARRY(2NOS)"/>
    <s v="QUARRY"/>
    <s v="MECHANICAL"/>
    <n v="19902.54"/>
    <n v="0"/>
    <n v="19902.54"/>
    <s v="TZS"/>
    <s v="[CCLGC028] NAILS CONCRETE SIZE 4''"/>
    <m/>
    <n v="-2"/>
    <s v="KG"/>
    <x v="0"/>
    <x v="0"/>
    <x v="14"/>
    <x v="3"/>
    <n v="7.804917647058824"/>
    <n v="0"/>
  </r>
  <r>
    <n v="291"/>
    <d v="2025-06-23T00:00:00"/>
    <x v="47"/>
    <s v="STJ/2025/06/11147"/>
    <s v="Inventory Valuation"/>
    <s v="CM/MTI/2025/01506 - [CCLGC023] NAILS SIZE 4'' / MRQ/2025/02027"/>
    <s v="CM/MTI/2025/01506 - [CCLGC023] NAILS SIZE 4'' / MRQ/2025/02027"/>
    <m/>
    <m/>
    <s v="MATERIAL COST"/>
    <s v="Expenses"/>
    <s v="731002"/>
    <s v="731002 STORE SPARES &amp; CONSUMABLES - GENERAL"/>
    <s v="CWIP-INSTALLATION OF NEW WEIGHBRIDGE AT QUARRY(2NOS)"/>
    <s v="QUARRY"/>
    <s v="MECHANICAL"/>
    <n v="22800"/>
    <n v="0"/>
    <n v="22800"/>
    <s v="TZS"/>
    <s v="[CCLGC023] NAILS SIZE 4''"/>
    <m/>
    <n v="-4"/>
    <s v="KG"/>
    <x v="0"/>
    <x v="0"/>
    <x v="14"/>
    <x v="3"/>
    <n v="8.9411764705882355"/>
    <n v="0"/>
  </r>
  <r>
    <n v="292"/>
    <d v="2025-06-23T00:00:00"/>
    <x v="47"/>
    <s v="STJ/2025/06/11146"/>
    <s v="Inventory Valuation"/>
    <s v="CM/MTI/2025/01506 - [CCLGC022] NAILS SIZE 3'' / MRQ/2025/02027"/>
    <s v="CM/MTI/2025/01506 - [CCLGC022] NAILS SIZE 3'' / MRQ/2025/02027"/>
    <m/>
    <m/>
    <s v="MATERIAL COST"/>
    <s v="Expenses"/>
    <s v="731002"/>
    <s v="731002 STORE SPARES &amp; CONSUMABLES - GENERAL"/>
    <s v="CWIP-INSTALLATION OF NEW WEIGHBRIDGE AT QUARRY(2NOS)"/>
    <s v="QUARRY"/>
    <s v="MECHANICAL"/>
    <n v="22800"/>
    <n v="0"/>
    <n v="22800"/>
    <s v="TZS"/>
    <s v="[CCLGC022] NAILS SIZE 3''"/>
    <m/>
    <n v="-4"/>
    <s v="KG"/>
    <x v="0"/>
    <x v="0"/>
    <x v="14"/>
    <x v="3"/>
    <n v="8.9411764705882355"/>
    <n v="0"/>
  </r>
  <r>
    <n v="293"/>
    <d v="2025-06-23T00:00:00"/>
    <x v="47"/>
    <s v="STJ/2025/06/11120"/>
    <s v="Inventory Valuation"/>
    <s v="CM/MTI/2025/01501 - [CWCWR003] WELDING ELECTRODE MS 6013 SIZE 4 MM X 450 MM / MRQ/2025/02061_x000a_Rounding Adjustment: -0.01 TSh"/>
    <s v="CM/MTI/2025/01501 - [CWCWR003] WELDING ELECTRODE MS 6013 SIZE 4 MM X 450 MM / MRQ/2025/02061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2"/>
    <n v="0"/>
    <n v="81950.2"/>
    <s v="TZS"/>
    <s v="[CWCWR003] WELDING ELECTRODE MS 6013 SIZE 4 MM X 450 MM"/>
    <m/>
    <n v="-20"/>
    <s v="KG"/>
    <x v="0"/>
    <x v="0"/>
    <x v="9"/>
    <x v="4"/>
    <n v="32.137333333333331"/>
    <n v="0"/>
  </r>
  <r>
    <n v="294"/>
    <d v="2025-06-23T00:00:00"/>
    <x v="47"/>
    <s v="STJ/2025/06/11119"/>
    <s v="Inventory Valuation"/>
    <s v="CM/MTI/2025/01501 - [CIGGS005] GAS LIQUEFIED PETROLEUM FULL CYLINDER, LPG CAPACITY 15KG / MRQ/2025/02061"/>
    <s v="CM/MTI/2025/01501 - [CIGGS005] GAS LIQUEFIED PETROLEUM FULL CYLINDER, LPG CAPACITY 15KG / MRQ/2025/0206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000"/>
    <n v="0"/>
    <n v="96000"/>
    <s v="TZS"/>
    <s v="[CIGGS005] GAS LIQUEFIED PETROLEUM FULL CYLINDER, LPG CAPACITY 15KG"/>
    <m/>
    <n v="-2"/>
    <s v="NOS"/>
    <x v="0"/>
    <x v="0"/>
    <x v="9"/>
    <x v="4"/>
    <n v="37.647058823529413"/>
    <n v="0"/>
  </r>
  <r>
    <n v="295"/>
    <d v="2025-06-23T00:00:00"/>
    <x v="47"/>
    <s v="STJ/2025/06/11118"/>
    <s v="Inventory Valuation"/>
    <s v="CM/MTI/2025/01501 - [CIGGS001] GAS OXYGEN FULL CYLINDER, O2 / MRQ/2025/02061"/>
    <s v="CM/MTI/2025/01501 - [CIGGS001] GAS OXYGEN FULL CYLINDER, O2 / MRQ/2025/0206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5000"/>
    <n v="0"/>
    <n v="45000"/>
    <s v="TZS"/>
    <s v="[CIGGS001] GAS OXYGEN FULL CYLINDER, O2"/>
    <m/>
    <n v="-3"/>
    <s v="NOS"/>
    <x v="0"/>
    <x v="0"/>
    <x v="9"/>
    <x v="4"/>
    <n v="17.647058823529413"/>
    <n v="0"/>
  </r>
  <r>
    <n v="296"/>
    <d v="2025-06-23T00:00:00"/>
    <x v="47"/>
    <s v="STJ/2025/06/11104"/>
    <s v="Inventory Valuation"/>
    <s v="CM/MTI/2025/01496 - [EFSHB113] BOLT HT HEX HEAD M16 X 40MM FULL THREAD WITH NUT AND WASHER GRADE 8.8 / MRQ/2025/02069"/>
    <s v="CM/MTI/2025/01496 - [EFSHB113] BOLT HT HEX HEAD M16 X 40MM FULL THREAD WITH NUT AND WASHER GRADE 8.8 / MRQ/2025/0206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19098.69"/>
    <n v="0"/>
    <n v="219098.69"/>
    <s v="TZS"/>
    <s v="[EFSHB113] BOLT HT HEX HEAD M16 X 40MM FULL THREAD WITH NUT AND WASHER GRADE 8.8"/>
    <m/>
    <n v="-250"/>
    <s v="NOS"/>
    <x v="0"/>
    <x v="0"/>
    <x v="9"/>
    <x v="4"/>
    <n v="85.921054901960787"/>
    <n v="0"/>
  </r>
  <r>
    <n v="297"/>
    <d v="2025-06-23T00:00:00"/>
    <x v="47"/>
    <s v="STJ/2025/06/11103"/>
    <s v="Inventory Valuation"/>
    <s v="CM/MTI/2025/01496 - [EFSHB096] BOLT HT HEX HEAD M12 X 50MM FULL THREAD WITH NUT AND WASHER GRADE 8.8 / MRQ/2025/02069"/>
    <s v="CM/MTI/2025/01496 - [EFSHB096] BOLT HT HEX HEAD M12 X 50MM FULL THREAD WITH NUT AND WASHER GRADE 8.8 / MRQ/2025/0206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2764.44"/>
    <n v="0"/>
    <n v="52764.44"/>
    <s v="TZS"/>
    <s v="[EFSHB096] BOLT HT HEX HEAD M12 X 50MM FULL THREAD WITH NUT AND WASHER GRADE 8.8"/>
    <m/>
    <n v="-96"/>
    <s v="NOS"/>
    <x v="0"/>
    <x v="0"/>
    <x v="9"/>
    <x v="4"/>
    <n v="20.691937254901962"/>
    <n v="0"/>
  </r>
  <r>
    <n v="298"/>
    <d v="2025-06-23T00:00:00"/>
    <x v="47"/>
    <s v="STJ/2025/06/11102"/>
    <s v="Inventory Valuation"/>
    <s v="CM/MTI/2025/01496 - [CWCWR003] WELDING ELECTRODE MS 6013 SIZE 4 MM X 450 MM / MRQ/2025/02069"/>
    <s v="CM/MTI/2025/01496 - [CWCWR003] WELDING ELECTRODE MS 6013 SIZE 4 MM X 450 MM / MRQ/2025/0206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299"/>
    <d v="2025-06-23T00:00:00"/>
    <x v="47"/>
    <s v="STJ/2025/06/11101"/>
    <s v="Inventory Valuation"/>
    <s v="CM/MTI/2025/01496 - [CWCGC041] CUTTING WHEEL 7'' / MRQ/2025/02069"/>
    <s v="CM/MTI/2025/01496 - [CWCGC041] CUTTING WHEEL 7'' / MRQ/2025/0206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300"/>
    <d v="2025-06-23T00:00:00"/>
    <x v="47"/>
    <s v="STJ/2025/06/11100"/>
    <s v="Inventory Valuation"/>
    <s v="CM/MTI/2025/01496 - [CIGGS001] GAS OXYGEN FULL CYLINDER, O2 / MRQ/2025/02069"/>
    <s v="CM/MTI/2025/01496 - [CIGGS001] GAS OXYGEN FULL CYLINDER, O2 / MRQ/2025/0206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0000"/>
    <n v="0"/>
    <n v="120000"/>
    <s v="TZS"/>
    <s v="[CIGGS001] GAS OXYGEN FULL CYLINDER, O2"/>
    <m/>
    <n v="-8"/>
    <s v="NOS"/>
    <x v="0"/>
    <x v="0"/>
    <x v="9"/>
    <x v="4"/>
    <n v="47.058823529411768"/>
    <n v="0"/>
  </r>
  <r>
    <n v="301"/>
    <d v="2025-06-23T00:00:00"/>
    <x v="47"/>
    <s v="STJ/2025/06/11099"/>
    <s v="Inventory Valuation"/>
    <s v="CM/MTI/2025/01495 - [CPAPT037] THINNER SOLVENT / MRQ/2025/02082_x000a_Rounding Adjustment: +0.01 TSh"/>
    <s v="CM/MTI/2025/01495 - [CPAPT037] THINNER SOLVENT / MRQ/2025/02082_x000a_Rounding Adjustment: +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0183.86"/>
    <n v="0"/>
    <n v="20183.86"/>
    <s v="TZS"/>
    <s v="[CPAPT037] THINNER SOLVENT"/>
    <m/>
    <n v="-5"/>
    <s v="LTR"/>
    <x v="0"/>
    <x v="0"/>
    <x v="8"/>
    <x v="3"/>
    <n v="7.9152392156862748"/>
    <n v="0"/>
  </r>
  <r>
    <n v="302"/>
    <d v="2025-06-23T00:00:00"/>
    <x v="47"/>
    <s v="STJ/2025/06/11098"/>
    <s v="Inventory Valuation"/>
    <s v="CM/MTI/2025/01495 - [CPAPT007] PAINT RED OXIDE / MRQ/2025/02082"/>
    <s v="CM/MTI/2025/01495 - [CPAPT007] PAINT RED OXIDE / MRQ/2025/02082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7690"/>
    <n v="0"/>
    <n v="17690"/>
    <s v="TZS"/>
    <s v="[CPAPT007] PAINT RED OXIDE"/>
    <m/>
    <n v="-4"/>
    <s v="LTR"/>
    <x v="0"/>
    <x v="0"/>
    <x v="8"/>
    <x v="3"/>
    <n v="6.9372549019607845"/>
    <n v="0"/>
  </r>
  <r>
    <n v="303"/>
    <d v="2025-06-23T00:00:00"/>
    <x v="47"/>
    <s v="STJ/2025/06/11097"/>
    <s v="Inventory Valuation"/>
    <s v="CM/MTI/2025/01495 - [CCLGC184] PAINT BRUSH 1'' / MRQ/2025/02082"/>
    <s v="CM/MTI/2025/01495 - [CCLGC184] PAINT BRUSH 1'' / MRQ/2025/02082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045.85"/>
    <n v="0"/>
    <n v="4045.85"/>
    <s v="TZS"/>
    <s v="[CCLGC184] PAINT BRUSH 1''"/>
    <m/>
    <n v="-4"/>
    <s v="NOS"/>
    <x v="0"/>
    <x v="0"/>
    <x v="8"/>
    <x v="3"/>
    <n v="1.5866078431372548"/>
    <n v="0"/>
  </r>
  <r>
    <n v="304"/>
    <d v="2025-06-23T00:00:00"/>
    <x v="47"/>
    <s v="STJ/2025/06/10079"/>
    <s v="Inventory Valuation"/>
    <s v="CM/MTI/2025/01486 - [CWCWR003] WELDING ELECTRODE MS 6013 SIZE 4 MM X 450 MM / MRQ/2025/02048"/>
    <s v="CM/MTI/2025/01486 - [CWCWR003] WELDING ELECTRODE MS 6013 SIZE 4 MM X 450 MM / MRQ/2025/0204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305"/>
    <d v="2025-06-23T00:00:00"/>
    <x v="47"/>
    <s v="STJ/2025/06/10077"/>
    <s v="Inventory Valuation"/>
    <s v="CM/MTI/2025/01484 - [CWCWR003] WELDING ELECTRODE MS 6013 SIZE 4 MM X 450 MM / MRQ/2025/02035"/>
    <s v="CM/MTI/2025/01484 - [CWCWR003] WELDING ELECTRODE MS 6013 SIZE 4 MM X 450 MM / MRQ/2025/020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19"/>
    <n v="0"/>
    <n v="81950.19"/>
    <s v="TZS"/>
    <s v="[CWCWR003] WELDING ELECTRODE MS 6013 SIZE 4 MM X 450 MM"/>
    <m/>
    <n v="-20"/>
    <s v="KG"/>
    <x v="0"/>
    <x v="0"/>
    <x v="9"/>
    <x v="4"/>
    <n v="32.137329411764703"/>
    <n v="0"/>
  </r>
  <r>
    <n v="306"/>
    <d v="2025-06-23T00:00:00"/>
    <x v="47"/>
    <s v="STJ/2025/06/10076"/>
    <s v="Inventory Valuation"/>
    <s v="CM/MTI/2025/01483 - [EFSSC003] SCREW 63MM FOR ROOFING SHEET / MRQ/2025/02026"/>
    <s v="CM/MTI/2025/01483 - [EFSSC003] SCREW 63MM FOR ROOFING SHEET / MRQ/2025/02026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58000"/>
    <n v="0"/>
    <n v="58000"/>
    <s v="TZS"/>
    <s v="[EFSSC003] SCREW 63MM FOR ROOFING SHEET"/>
    <m/>
    <n v="-200"/>
    <s v="NOS"/>
    <x v="0"/>
    <x v="0"/>
    <x v="8"/>
    <x v="3"/>
    <n v="22.745098039215687"/>
    <n v="0"/>
  </r>
  <r>
    <n v="307"/>
    <d v="2025-06-23T00:00:00"/>
    <x v="47"/>
    <s v="STJ/2025/06/10075"/>
    <s v="Inventory Valuation"/>
    <s v="CM/MTI/2025/01483 - [CWCGC041] CUTTING WHEEL 7'' / MRQ/2025/02026"/>
    <s v="CM/MTI/2025/01483 - [CWCGC041] CUTTING WHEEL 7'' / MRQ/2025/02026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6313.55"/>
    <n v="0"/>
    <n v="16313.55"/>
    <s v="TZS"/>
    <s v="[CWCGC041] CUTTING WHEEL 7''"/>
    <m/>
    <n v="-5"/>
    <s v="NOS"/>
    <x v="0"/>
    <x v="0"/>
    <x v="8"/>
    <x v="3"/>
    <n v="6.3974705882352936"/>
    <n v="0"/>
  </r>
  <r>
    <n v="308"/>
    <d v="2025-06-23T00:00:00"/>
    <x v="47"/>
    <s v="STJ/2025/06/10074"/>
    <s v="Inventory Valuation"/>
    <s v="CM/MTI/2025/01483 - [CIGGS001] GAS OXYGEN FULL CYLINDER, O2 / MRQ/2025/02026"/>
    <s v="CM/MTI/2025/01483 - [CIGGS001] GAS OXYGEN FULL CYLINDER, O2 / MRQ/2025/02026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60000"/>
    <n v="0"/>
    <n v="60000"/>
    <s v="TZS"/>
    <s v="[CIGGS001] GAS OXYGEN FULL CYLINDER, O2"/>
    <m/>
    <n v="-4"/>
    <s v="NOS"/>
    <x v="0"/>
    <x v="0"/>
    <x v="8"/>
    <x v="3"/>
    <n v="23.529411764705884"/>
    <n v="0"/>
  </r>
  <r>
    <n v="309"/>
    <d v="2025-06-24T13:35:51"/>
    <x v="48"/>
    <s v="SERBL/2025/06/0111"/>
    <s v="Service Bills"/>
    <s v="LPORD/2025/00373: Charges for Total Station Machine Hiring and Surveyor (1 No = 1 Day)"/>
    <s v="28869"/>
    <s v="CMLT1217"/>
    <s v="Gibs Developers Company"/>
    <s v="CAPITAL WORK IN PROGRESS"/>
    <s v="Fixed Assets"/>
    <s v="371021"/>
    <s v="371021 CWIP-PYRO UPGRADATION"/>
    <s v="CWIP-Pyro Upgradation"/>
    <s v="PROJECT"/>
    <s v="PROJECT"/>
    <n v="7000000"/>
    <n v="0"/>
    <n v="7000000"/>
    <s v="TZS"/>
    <s v="[SER028] Job Contract-6"/>
    <s v="Misc. Income"/>
    <n v="15"/>
    <s v="NOS"/>
    <x v="0"/>
    <x v="0"/>
    <x v="0"/>
    <x v="0"/>
    <n v="2745.0980392156862"/>
    <n v="0"/>
  </r>
  <r>
    <n v="310"/>
    <d v="2025-06-24T11:49:22"/>
    <x v="48"/>
    <s v="SERBL/2025/06/0109"/>
    <s v="Service Bills"/>
    <s v="LPORD/2025/00392: Supply of Helpers"/>
    <s v="28974"/>
    <s v="CMLT1217"/>
    <s v="Gibs Developers Company"/>
    <s v="CAPITAL WORK IN PROGRESS"/>
    <s v="Fixed Assets"/>
    <s v="371021"/>
    <s v="371021 CWIP-PYRO UPGRADATION"/>
    <s v="CWIP-Pyro Upgradation"/>
    <s v="PROJECT"/>
    <s v="PROJECT"/>
    <n v="2431000"/>
    <n v="0"/>
    <n v="2431000"/>
    <s v="TZS"/>
    <s v="[SER037] Job Contract-15"/>
    <s v="Misc. Income"/>
    <n v="187"/>
    <s v="MANDAY"/>
    <x v="0"/>
    <x v="0"/>
    <x v="0"/>
    <x v="0"/>
    <n v="953.33333333333337"/>
    <n v="0"/>
  </r>
  <r>
    <n v="311"/>
    <d v="2025-06-24T11:48:35"/>
    <x v="48"/>
    <s v="SERBL/2025/06/0108"/>
    <s v="Service Bills"/>
    <s v="LPORD/2025/00389: Supply of Civil Helpers"/>
    <s v="28899"/>
    <s v="CMLT1217"/>
    <s v="Gibs Developers Company"/>
    <s v="CAPITAL WORK IN PROGRESS"/>
    <s v="Fixed Assets"/>
    <s v="371021"/>
    <s v="371021 CWIP-PYRO UPGRADATION"/>
    <s v="CWIP-Pyro Upgradation"/>
    <s v="PROJECT"/>
    <s v="PROJECT"/>
    <n v="1391000"/>
    <n v="0"/>
    <n v="1391000"/>
    <s v="TZS"/>
    <s v="[SER037] Job Contract-15"/>
    <s v="Misc. Income"/>
    <n v="107"/>
    <s v="MANDAY"/>
    <x v="0"/>
    <x v="0"/>
    <x v="0"/>
    <x v="0"/>
    <n v="545.49019607843138"/>
    <n v="0"/>
  </r>
  <r>
    <n v="312"/>
    <d v="2025-06-24T11:19:23"/>
    <x v="48"/>
    <s v="SERBL/2025/06/0106"/>
    <s v="Service Bills"/>
    <s v="LPORD/2025/00399: Supply of Helpers For RCC dismantling finishing work "/>
    <s v="28986"/>
    <s v="CMLT1217"/>
    <s v="Gibs Developers Company"/>
    <s v="CAPITAL WORK IN PROGRESS"/>
    <s v="Fixed Assets"/>
    <s v="371021"/>
    <s v="371021 CWIP-PYRO UPGRADATION"/>
    <s v="CWIP-Pyro Upgradation"/>
    <s v="PROJECT"/>
    <s v="MECHANICAL"/>
    <n v="1560000"/>
    <n v="0"/>
    <n v="1560000"/>
    <s v="TZS"/>
    <s v="[SER037] Job Contract-15"/>
    <s v="Misc. Income"/>
    <n v="120"/>
    <s v="MANDAY"/>
    <x v="0"/>
    <x v="0"/>
    <x v="0"/>
    <x v="0"/>
    <n v="611.76470588235293"/>
    <n v="0"/>
  </r>
  <r>
    <n v="313"/>
    <d v="2025-06-24T11:19:23"/>
    <x v="48"/>
    <s v="SERBL/2025/06/0106"/>
    <s v="Service Bills"/>
    <s v="LPORD/2025/00399: Supply of Mason for RCC dismantling finishing work"/>
    <s v="28986"/>
    <s v="CMLT1217"/>
    <s v="Gibs Developers Company"/>
    <s v="CAPITAL WORK IN PROGRESS"/>
    <s v="Fixed Assets"/>
    <s v="371021"/>
    <s v="371021 CWIP-PYRO UPGRADATION"/>
    <s v="CWIP-Pyro Upgradation"/>
    <s v="PROJECT"/>
    <s v="MECHANICAL"/>
    <n v="5600000"/>
    <n v="0"/>
    <n v="5600000"/>
    <s v="TZS"/>
    <s v="[SER037] Job Contract-15"/>
    <s v="Misc. Income"/>
    <n v="80"/>
    <s v="MANDAY"/>
    <x v="0"/>
    <x v="0"/>
    <x v="0"/>
    <x v="0"/>
    <n v="2196.0784313725489"/>
    <n v="0"/>
  </r>
  <r>
    <n v="314"/>
    <d v="2025-06-24T11:14:33"/>
    <x v="48"/>
    <s v="SERBL/2025/06/0105"/>
    <s v="Service Bills"/>
    <s v="LPORD/2025/00390: Supply of Civil Helpers"/>
    <s v="28900"/>
    <s v="CMLT1217"/>
    <s v="Gibs Developers Company"/>
    <s v="CAPITAL WORK IN PROGRESS"/>
    <s v="Fixed Assets"/>
    <s v="371021"/>
    <s v="371021 CWIP-PYRO UPGRADATION"/>
    <s v="CWIP-Pyro Upgradation"/>
    <s v="PROJECT"/>
    <s v="PROJECT"/>
    <n v="2366000"/>
    <n v="0"/>
    <n v="2366000"/>
    <s v="TZS"/>
    <s v="[SER037] Job Contract-15"/>
    <s v="Misc. Income"/>
    <n v="182"/>
    <s v="MANDAY"/>
    <x v="0"/>
    <x v="0"/>
    <x v="0"/>
    <x v="0"/>
    <n v="927.84313725490199"/>
    <n v="0"/>
  </r>
  <r>
    <n v="315"/>
    <d v="2025-06-24T10:00:05"/>
    <x v="48"/>
    <s v="SERBL/2025/06/0103"/>
    <s v="Service Bills"/>
    <s v="LPORD/2025/00391: Supply of Civil Helpers"/>
    <s v="28901"/>
    <s v="CMLT1217"/>
    <s v="Gibs Developers Company"/>
    <s v="CAPITAL WORK IN PROGRESS"/>
    <s v="Fixed Assets"/>
    <s v="371021"/>
    <s v="371021 CWIP-PYRO UPGRADATION"/>
    <s v="CWIP-Pyro Upgradation"/>
    <s v="PROJECT"/>
    <s v="PROJECT"/>
    <n v="3120000"/>
    <n v="0"/>
    <n v="3120000"/>
    <s v="TZS"/>
    <s v="[SER037] Job Contract-15"/>
    <s v="Misc. Income"/>
    <n v="240"/>
    <s v="MANDAY"/>
    <x v="0"/>
    <x v="0"/>
    <x v="0"/>
    <x v="0"/>
    <n v="1223.5294117647059"/>
    <n v="0"/>
  </r>
  <r>
    <n v="316"/>
    <d v="2025-06-24T00:00:00"/>
    <x v="48"/>
    <s v="STJ/2025/06/11819"/>
    <s v="Inventory Valuation"/>
    <s v="CM/MTI/2025/01528 - [CWCGC041] CUTTING WHEEL 7'' / MRQ/2025/02114"/>
    <s v="CM/MTI/2025/01528 - [CWCGC041] CUTTING WHEEL 7'' / MRQ/2025/02114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32627.1"/>
    <n v="0"/>
    <n v="32627.1"/>
    <s v="TZS"/>
    <s v="[CWCGC041] CUTTING WHEEL 7''"/>
    <m/>
    <n v="-10"/>
    <s v="NOS"/>
    <x v="0"/>
    <x v="0"/>
    <x v="8"/>
    <x v="3"/>
    <n v="12.794941176470587"/>
    <n v="0"/>
  </r>
  <r>
    <n v="317"/>
    <d v="2025-06-24T00:00:00"/>
    <x v="48"/>
    <s v="STJ/2025/06/11817"/>
    <s v="Inventory Valuation"/>
    <s v="CM/MTI/2025/01526 - [CWCWR003] WELDING ELECTRODE MS 6013 SIZE 4 MM X 450 MM / MRQ/2025/02105"/>
    <s v="CM/MTI/2025/01526 - [CWCWR003] WELDING ELECTRODE MS 6013 SIZE 4 MM X 450 MM / MRQ/2025/0210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318"/>
    <d v="2025-06-24T00:00:00"/>
    <x v="48"/>
    <s v="STJ/2025/06/11816"/>
    <s v="Inventory Valuation"/>
    <s v="CM/MTI/2025/01526 - [CWCGC041] CUTTING WHEEL 7'' / MRQ/2025/02105"/>
    <s v="CM/MTI/2025/01526 - [CWCGC041] CUTTING WHEEL 7'' / MRQ/2025/0210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576.259999999998"/>
    <n v="0"/>
    <n v="19576.259999999998"/>
    <s v="TZS"/>
    <s v="[CWCGC041] CUTTING WHEEL 7''"/>
    <m/>
    <n v="-6"/>
    <s v="NOS"/>
    <x v="0"/>
    <x v="0"/>
    <x v="9"/>
    <x v="4"/>
    <n v="7.6769647058823525"/>
    <n v="0"/>
  </r>
  <r>
    <n v="319"/>
    <d v="2025-06-24T00:00:00"/>
    <x v="48"/>
    <s v="STJ/2025/06/11815"/>
    <s v="Inventory Valuation"/>
    <s v="CM/MTI/2025/01526 - [CPAPT037] THINNER SOLVENT / MRQ/2025/02105"/>
    <s v="CM/MTI/2025/01526 - [CPAPT037] THINNER SOLVENT / MRQ/2025/0210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0183.87"/>
    <n v="0"/>
    <n v="20183.87"/>
    <s v="TZS"/>
    <s v="[CPAPT037] THINNER SOLVENT"/>
    <m/>
    <n v="-5"/>
    <s v="LTR"/>
    <x v="0"/>
    <x v="0"/>
    <x v="9"/>
    <x v="4"/>
    <n v="7.9152431372549019"/>
    <n v="0"/>
  </r>
  <r>
    <n v="320"/>
    <d v="2025-06-24T00:00:00"/>
    <x v="48"/>
    <s v="STJ/2025/06/11814"/>
    <s v="Inventory Valuation"/>
    <s v="CM/MTI/2025/01526 - [CPAPT007] PAINT RED OXIDE / MRQ/2025/02105"/>
    <s v="CM/MTI/2025/01526 - [CPAPT007] PAINT RED OXIDE / MRQ/2025/0210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0760"/>
    <n v="0"/>
    <n v="70760"/>
    <s v="TZS"/>
    <s v="[CPAPT007] PAINT RED OXIDE"/>
    <m/>
    <n v="-16"/>
    <s v="LTR"/>
    <x v="0"/>
    <x v="0"/>
    <x v="9"/>
    <x v="4"/>
    <n v="27.749019607843138"/>
    <n v="0"/>
  </r>
  <r>
    <n v="321"/>
    <d v="2025-06-24T00:00:00"/>
    <x v="48"/>
    <s v="STJ/2025/06/11793"/>
    <s v="Inventory Valuation"/>
    <s v="CM/MTI/2025/01516 - [EFSHB124] BOLT HT HEX HEAD M16 X 120MM FULL THREAD WITH NUT AND WASHER GRADE 8.8 / MRQ/2025/02100"/>
    <s v="CM/MTI/2025/01516 - [EFSHB124] BOLT HT HEX HEAD M16 X 120MM FULL THREAD WITH NUT AND WASHER GRADE 8.8 / MRQ/2025/0210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3902.89"/>
    <n v="0"/>
    <n v="73902.89"/>
    <s v="TZS"/>
    <s v="[EFSHB124] BOLT HT HEX HEAD M16 X 120MM FULL THREAD WITH NUT AND WASHER GRADE 8.8"/>
    <m/>
    <n v="-32"/>
    <s v="NOS"/>
    <x v="0"/>
    <x v="0"/>
    <x v="9"/>
    <x v="4"/>
    <n v="28.981525490196077"/>
    <n v="0"/>
  </r>
  <r>
    <n v="322"/>
    <d v="2025-06-24T00:00:00"/>
    <x v="48"/>
    <s v="SERBL/2025/06/0100"/>
    <s v="Service Bills"/>
    <s v="INSURANCE CHARGES "/>
    <s v="DNP100-20259980"/>
    <s v="CMLT1108"/>
    <s v="ALLIANCE INSURANCE CORPORATION LTD"/>
    <s v="ADMINISTRATIVE EXPENSES"/>
    <s v="Expenses"/>
    <s v="791008"/>
    <s v="791008 GENERAL INSURANCE"/>
    <s v="CWIP-PRE OPERATIVE EXPENSE"/>
    <s v="PROJECT"/>
    <s v="PROJECT"/>
    <n v="5100000"/>
    <n v="0"/>
    <n v="5100000"/>
    <s v="TZS"/>
    <m/>
    <m/>
    <n v="1"/>
    <m/>
    <x v="0"/>
    <x v="0"/>
    <x v="3"/>
    <x v="0"/>
    <n v="2000"/>
    <n v="0"/>
  </r>
  <r>
    <n v="323"/>
    <d v="2025-06-25T00:00:00"/>
    <x v="49"/>
    <s v="STJ/2025/06/12350"/>
    <s v="Inventory Valuation"/>
    <s v="CM/MTI/2025/01548 - [CWCWR003] WELDING ELECTRODE MS 6013 SIZE 4 MM X 450 MM / MRQ/2025/02135"/>
    <s v="CM/MTI/2025/01548 - [CWCWR003] WELDING ELECTRODE MS 6013 SIZE 4 MM X 450 MM / MRQ/2025/021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324"/>
    <d v="2025-06-25T00:00:00"/>
    <x v="49"/>
    <s v="STJ/2025/06/12349"/>
    <s v="Inventory Valuation"/>
    <s v="CM/MTI/2025/01548 - [CWCGC041] CUTTING WHEEL 7'' / MRQ/2025/02135"/>
    <s v="CM/MTI/2025/01548 - [CWCGC041] CUTTING WHEEL 7'' / MRQ/2025/021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325"/>
    <d v="2025-06-25T00:00:00"/>
    <x v="49"/>
    <s v="STJ/2025/06/12348"/>
    <s v="Inventory Valuation"/>
    <s v="CM/MTI/2025/01548 - [CIGGS001] GAS OXYGEN FULL CYLINDER, O2 / MRQ/2025/02135"/>
    <s v="CM/MTI/2025/01548 - [CIGGS001] GAS OXYGEN FULL CYLINDER, O2 / MRQ/2025/021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0000"/>
    <n v="0"/>
    <n v="120000"/>
    <s v="TZS"/>
    <s v="[CIGGS001] GAS OXYGEN FULL CYLINDER, O2"/>
    <m/>
    <n v="-8"/>
    <s v="NOS"/>
    <x v="0"/>
    <x v="0"/>
    <x v="9"/>
    <x v="4"/>
    <n v="47.058823529411768"/>
    <n v="0"/>
  </r>
  <r>
    <n v="326"/>
    <d v="2025-06-25T00:00:00"/>
    <x v="49"/>
    <s v="STJ/2025/06/12333"/>
    <s v="Inventory Valuation"/>
    <s v="CM/MTI/2025/01544 - [CWCWR003] WELDING ELECTRODE MS 6013 SIZE 4 MM X 450 MM / MRQ/2025/02130"/>
    <s v="CM/MTI/2025/01544 - [CWCWR003] WELDING ELECTRODE MS 6013 SIZE 4 MM X 450 MM / MRQ/2025/0213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81950.19"/>
    <n v="0"/>
    <n v="81950.19"/>
    <s v="TZS"/>
    <s v="[CWCWR003] WELDING ELECTRODE MS 6013 SIZE 4 MM X 450 MM"/>
    <m/>
    <n v="-20"/>
    <s v="KG"/>
    <x v="0"/>
    <x v="0"/>
    <x v="8"/>
    <x v="3"/>
    <n v="32.137329411764703"/>
    <n v="0"/>
  </r>
  <r>
    <n v="327"/>
    <d v="2025-06-25T00:00:00"/>
    <x v="49"/>
    <s v="STJ/2025/06/12322"/>
    <s v="Inventory Valuation"/>
    <s v="CM/MTI/2025/01537 - [CPMBG002] BAG EMPTY FOR CEMENT PACKING GRADE 42.5R MATERIAL WOVEN POLYPROPYLENE CAPACITY 50KG COLOR ORANGE / MRQ/2025/02109"/>
    <s v="CM/MTI/2025/01537 - [CPMBG002] BAG EMPTY FOR CEMENT PACKING GRADE 42.5R MATERIAL WOVEN POLYPROPYLENE CAPACITY 50KG COLOR ORANGE / MRQ/2025/02109"/>
    <m/>
    <m/>
    <s v="MATERIAL COST"/>
    <s v="Expenses"/>
    <s v="731006"/>
    <s v="731006 PACKING BAGS CONSUMED"/>
    <s v="CWIP-INSTALLATION OF NEW WEIGHBRIDGE AT QUARRY(2NOS)"/>
    <s v="QUARRY"/>
    <s v="MECHANICAL"/>
    <n v="10500.48"/>
    <n v="0"/>
    <n v="10500.48"/>
    <s v="TZS"/>
    <s v="[CPMBG002] BAG EMPTY FOR CEMENT PACKING GRADE 42.5R MATERIAL WOVEN POLYPROPYLENE CAPACITY 50KG COLOR ORANGE"/>
    <m/>
    <n v="-25"/>
    <s v="NOS"/>
    <x v="0"/>
    <x v="0"/>
    <x v="14"/>
    <x v="3"/>
    <n v="4.117835294117647"/>
    <n v="0"/>
  </r>
  <r>
    <n v="328"/>
    <d v="2025-06-26T11:48:52"/>
    <x v="50"/>
    <s v="SERBL/2025/06/0120"/>
    <s v="Service Bills"/>
    <s v="LPORD/2025/00395: Supply of skilled Fitters and Welders"/>
    <s v="CN-0313"/>
    <s v="CMLT1838"/>
    <s v="Caneth Engineering Company Limited"/>
    <s v="CAPITAL WORK IN PROGRESS"/>
    <s v="Fixed Assets"/>
    <s v="371021"/>
    <s v="371021 CWIP-PYRO UPGRADATION"/>
    <s v="CWIP-Pyro Upgradation"/>
    <s v="PROJECT"/>
    <s v="PROJECT"/>
    <n v="2040000"/>
    <n v="0"/>
    <n v="2040000"/>
    <s v="TZS"/>
    <s v="[SER037] Job Contract-15"/>
    <s v="Misc. Income"/>
    <n v="34"/>
    <s v="MANDAY"/>
    <x v="0"/>
    <x v="0"/>
    <x v="0"/>
    <x v="0"/>
    <n v="800"/>
    <n v="0"/>
  </r>
  <r>
    <n v="329"/>
    <d v="2025-06-26T11:48:52"/>
    <x v="50"/>
    <s v="SERBL/2025/06/0120"/>
    <s v="Service Bills"/>
    <s v="LPORD/2025/00395: Supply of casual helpers"/>
    <s v="CN-0313"/>
    <s v="CMLT1838"/>
    <s v="Caneth Engineering Company Limited"/>
    <s v="CAPITAL WORK IN PROGRESS"/>
    <s v="Fixed Assets"/>
    <s v="371021"/>
    <s v="371021 CWIP-PYRO UPGRADATION"/>
    <s v="CWIP-Pyro Upgradation"/>
    <s v="PROJECT"/>
    <s v="PROJECT"/>
    <n v="342000"/>
    <n v="0"/>
    <n v="342000"/>
    <s v="TZS"/>
    <s v="[SER037] Job Contract-15"/>
    <s v="Misc. Income"/>
    <n v="36"/>
    <s v="MANDAY"/>
    <x v="0"/>
    <x v="0"/>
    <x v="0"/>
    <x v="0"/>
    <n v="134.11764705882354"/>
    <n v="0"/>
  </r>
  <r>
    <n v="330"/>
    <d v="2025-06-26T11:48:17"/>
    <x v="50"/>
    <s v="SERBL/2025/06/0119"/>
    <s v="Service Bills"/>
    <s v="LPORD/2025/00396: Supply of skilled Fitters and Welders"/>
    <s v="CN-0315"/>
    <s v="CMLT1838"/>
    <s v="Caneth Engineering Company Limited"/>
    <s v="CAPITAL WORK IN PROGRESS"/>
    <s v="Fixed Assets"/>
    <s v="371021"/>
    <s v="371021 CWIP-PYRO UPGRADATION"/>
    <s v="CWIP-Pyro Upgradation"/>
    <s v="PROJECT"/>
    <s v="PROJECT"/>
    <n v="1980000"/>
    <n v="0"/>
    <n v="1980000"/>
    <s v="TZS"/>
    <s v="[SER037] Job Contract-15"/>
    <s v="Misc. Income"/>
    <n v="33"/>
    <s v="MANDAY"/>
    <x v="0"/>
    <x v="0"/>
    <x v="0"/>
    <x v="0"/>
    <n v="776.47058823529414"/>
    <n v="0"/>
  </r>
  <r>
    <n v="331"/>
    <d v="2025-06-26T11:48:17"/>
    <x v="50"/>
    <s v="SERBL/2025/06/0119"/>
    <s v="Service Bills"/>
    <s v="LPORD/2025/00396: Supply of Casual helpers"/>
    <s v="CN-0315"/>
    <s v="CMLT1838"/>
    <s v="Caneth Engineering Company Limited"/>
    <s v="CAPITAL WORK IN PROGRESS"/>
    <s v="Fixed Assets"/>
    <s v="371021"/>
    <s v="371021 CWIP-PYRO UPGRADATION"/>
    <s v="CWIP-Pyro Upgradation"/>
    <s v="PROJECT"/>
    <s v="PROJECT"/>
    <n v="351500"/>
    <n v="0"/>
    <n v="351500"/>
    <s v="TZS"/>
    <s v="[SER037] Job Contract-15"/>
    <s v="Misc. Income"/>
    <n v="37"/>
    <s v="MANDAY"/>
    <x v="0"/>
    <x v="0"/>
    <x v="0"/>
    <x v="0"/>
    <n v="137.84313725490196"/>
    <n v="0"/>
  </r>
  <r>
    <n v="332"/>
    <d v="2025-06-26T11:47:35"/>
    <x v="50"/>
    <s v="SERBL/2025/06/0118"/>
    <s v="Service Bills"/>
    <s v="LPORD/2025/00394: Supply of casual helpers"/>
    <s v="CN-0310"/>
    <s v="CMLT1838"/>
    <s v="Caneth Engineering Company Limited"/>
    <s v="CAPITAL WORK IN PROGRESS"/>
    <s v="Fixed Assets"/>
    <s v="371021"/>
    <s v="371021 CWIP-PYRO UPGRADATION"/>
    <s v="CWIP-Pyro Upgradation"/>
    <s v="PROJECT"/>
    <s v="PROJECT"/>
    <n v="1522500"/>
    <n v="0"/>
    <n v="1522500"/>
    <s v="TZS"/>
    <s v="[SER037] Job Contract-15"/>
    <s v="Misc. Income"/>
    <n v="145"/>
    <s v="MANDAY"/>
    <x v="0"/>
    <x v="0"/>
    <x v="0"/>
    <x v="0"/>
    <n v="597.05882352941171"/>
    <n v="0"/>
  </r>
  <r>
    <n v="333"/>
    <d v="2025-06-26T11:44:43"/>
    <x v="50"/>
    <s v="SERBL/2025/06/0117"/>
    <s v="Service Bills"/>
    <s v="LPORD/2025/00393: Supply of casual helpers"/>
    <s v="CN-0314"/>
    <s v="CMLT1838"/>
    <s v="Caneth Engineering Company Limited"/>
    <s v="CAPITAL WORK IN PROGRESS"/>
    <s v="Fixed Assets"/>
    <s v="371021"/>
    <s v="371021 CWIP-PYRO UPGRADATION"/>
    <s v="CWIP-Pyro Upgradation"/>
    <s v="PROJECT"/>
    <s v="PROJECT"/>
    <n v="47500"/>
    <n v="0"/>
    <n v="47500"/>
    <s v="TZS"/>
    <s v="[SER037] Job Contract-15"/>
    <s v="Misc. Income"/>
    <n v="5"/>
    <s v="MANDAY"/>
    <x v="0"/>
    <x v="0"/>
    <x v="0"/>
    <x v="0"/>
    <n v="18.627450980392158"/>
    <n v="0"/>
  </r>
  <r>
    <n v="334"/>
    <d v="2025-06-26T11:44:43"/>
    <x v="50"/>
    <s v="SERBL/2025/06/0117"/>
    <s v="Service Bills"/>
    <s v="LPORD/2025/00393: Supply of skilled Fitters and Welders"/>
    <s v="CN-0314"/>
    <s v="CMLT1838"/>
    <s v="Caneth Engineering Company Limited"/>
    <s v="CAPITAL WORK IN PROGRESS"/>
    <s v="Fixed Assets"/>
    <s v="371021"/>
    <s v="371021 CWIP-PYRO UPGRADATION"/>
    <s v="CWIP-Pyro Upgradation"/>
    <s v="PROJECT"/>
    <s v="PROJECT"/>
    <n v="360000"/>
    <n v="0"/>
    <n v="360000"/>
    <s v="TZS"/>
    <s v="[SER037] Job Contract-15"/>
    <s v="Misc. Income"/>
    <n v="6"/>
    <s v="MANDAY"/>
    <x v="0"/>
    <x v="0"/>
    <x v="0"/>
    <x v="0"/>
    <n v="141.1764705882353"/>
    <n v="0"/>
  </r>
  <r>
    <n v="335"/>
    <d v="2025-06-26T00:00:00"/>
    <x v="50"/>
    <s v="STJ/2025/06/12944"/>
    <s v="Inventory Valuation"/>
    <s v="CM/MTI/2025/01568 - [CWCGC041] CUTTING WHEEL 7'' / MRQ/2025/02163"/>
    <s v="CM/MTI/2025/01568 - [CWCGC041] CUTTING WHEEL 7'' / MRQ/2025/02163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2838.97"/>
    <n v="0"/>
    <n v="22838.97"/>
    <s v="TZS"/>
    <s v="[CWCGC041] CUTTING WHEEL 7''"/>
    <m/>
    <n v="-7"/>
    <s v="NOS"/>
    <x v="0"/>
    <x v="0"/>
    <x v="8"/>
    <x v="3"/>
    <n v="8.9564588235294114"/>
    <n v="0"/>
  </r>
  <r>
    <n v="336"/>
    <d v="2025-06-26T00:00:00"/>
    <x v="50"/>
    <s v="STJ/2025/06/12943"/>
    <s v="Inventory Valuation"/>
    <s v="CM/MTI/2025/01568 - [CIGGS001] GAS OXYGEN FULL CYLINDER, O2 / MRQ/2025/02163"/>
    <s v="CM/MTI/2025/01568 - [CIGGS001] GAS OXYGEN FULL CYLINDER, O2 / MRQ/2025/02163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60000"/>
    <n v="0"/>
    <n v="60000"/>
    <s v="TZS"/>
    <s v="[CIGGS001] GAS OXYGEN FULL CYLINDER, O2"/>
    <m/>
    <n v="-4"/>
    <s v="NOS"/>
    <x v="0"/>
    <x v="0"/>
    <x v="8"/>
    <x v="3"/>
    <n v="23.529411764705884"/>
    <n v="0"/>
  </r>
  <r>
    <n v="337"/>
    <d v="2025-06-26T00:00:00"/>
    <x v="50"/>
    <s v="STJ/2025/06/12931"/>
    <s v="Inventory Valuation"/>
    <s v="CM/MTI/2025/01563 - [CPASL003] SOLUTION COLD JOINT FOR HEAT RESISTANT BELT / MRQ/2025/02152"/>
    <s v="CM/MTI/2025/01563 - [CPASL003] SOLUTION COLD JOINT FOR HEAT RESISTANT BELT / MRQ/2025/02152"/>
    <m/>
    <m/>
    <s v="MATERIAL COST"/>
    <s v="Expenses"/>
    <s v="731002"/>
    <s v="731002 STORE SPARES &amp; CONSUMABLES - GENERAL"/>
    <s v="CWIP-CONSTRUCTION OF NEW RAW MILL FEEDING AND UPGRADATION"/>
    <s v="PROJECT"/>
    <s v="MECHANICAL"/>
    <n v="501020.21"/>
    <n v="0"/>
    <n v="501020.21"/>
    <s v="TZS"/>
    <s v="[CPASL003] SOLUTION COLD JOINT FOR HEAT RESISTANT BELT"/>
    <m/>
    <n v="-5"/>
    <s v="LTR"/>
    <x v="0"/>
    <x v="0"/>
    <x v="9"/>
    <x v="4"/>
    <n v="196.47851372549022"/>
    <n v="0"/>
  </r>
  <r>
    <n v="338"/>
    <d v="2025-06-26T00:00:00"/>
    <x v="50"/>
    <s v="STJ/2025/06/12925"/>
    <s v="Inventory Valuation"/>
    <s v="CM/MTI/2025/01559 - [CWCGC041] CUTTING WHEEL 7'' / MRQ/2025/02089"/>
    <s v="CM/MTI/2025/01559 - [CWCGC041] CUTTING WHEEL 7'' / MRQ/2025/02089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6313.55"/>
    <n v="0"/>
    <n v="16313.55"/>
    <s v="TZS"/>
    <s v="[CWCGC041] CUTTING WHEEL 7''"/>
    <m/>
    <n v="-5"/>
    <s v="NOS"/>
    <x v="0"/>
    <x v="0"/>
    <x v="8"/>
    <x v="3"/>
    <n v="6.3974705882352936"/>
    <n v="0"/>
  </r>
  <r>
    <n v="339"/>
    <d v="2025-06-26T00:00:00"/>
    <x v="50"/>
    <s v="STJ/2025/06/12924"/>
    <s v="Inventory Valuation"/>
    <s v="CM/MTI/2025/01559 - [CPAPT007] PAINT RED OXIDE / MRQ/2025/02089"/>
    <s v="CM/MTI/2025/01559 - [CPAPT007] PAINT RED OXIDE / MRQ/2025/02089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35380"/>
    <n v="0"/>
    <n v="35380"/>
    <s v="TZS"/>
    <s v="[CPAPT007] PAINT RED OXIDE"/>
    <m/>
    <n v="-8"/>
    <s v="LTR"/>
    <x v="0"/>
    <x v="0"/>
    <x v="8"/>
    <x v="3"/>
    <n v="13.874509803921569"/>
    <n v="0"/>
  </r>
  <r>
    <n v="340"/>
    <d v="2025-06-27T00:00:00"/>
    <x v="51"/>
    <s v="STJ/2025/06/13517"/>
    <s v="Inventory Valuation"/>
    <s v="CM/MTI/2025/01594 - [CWCGC040] CUTTING WHEEL 4'' / MRQ/2025/02207"/>
    <s v="CM/MTI/2025/01594 - [CWCGC040] CUTTING WHEEL 4'' / MRQ/2025/02207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9489.58"/>
    <n v="0"/>
    <n v="9489.58"/>
    <s v="TZS"/>
    <s v="[CWCGC040] CUTTING WHEEL 4''"/>
    <m/>
    <n v="-5"/>
    <s v="NOS"/>
    <x v="0"/>
    <x v="0"/>
    <x v="8"/>
    <x v="3"/>
    <n v="3.7214039215686272"/>
    <n v="0"/>
  </r>
  <r>
    <n v="341"/>
    <d v="2025-06-27T00:00:00"/>
    <x v="51"/>
    <s v="STJ/2025/06/13516"/>
    <s v="Inventory Valuation"/>
    <s v="CM/MTI/2025/01594 - [CWCGC038] GRINDING WHEEL 4'' / MRQ/2025/02207_x000a_Rounding Adjustment: -0.01 TSh"/>
    <s v="CM/MTI/2025/01594 - [CWCGC038] GRINDING WHEEL 4'' / MRQ/2025/02207_x000a_Rounding Adjustment: -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5685.16"/>
    <n v="0"/>
    <n v="15685.16"/>
    <s v="TZS"/>
    <s v="[CWCGC038] GRINDING WHEEL 4''"/>
    <m/>
    <n v="-5"/>
    <s v="NOS"/>
    <x v="0"/>
    <x v="0"/>
    <x v="8"/>
    <x v="3"/>
    <n v="6.1510431372549021"/>
    <n v="0"/>
  </r>
  <r>
    <n v="342"/>
    <d v="2025-06-27T00:00:00"/>
    <x v="51"/>
    <s v="STJ/2025/06/13513"/>
    <s v="Inventory Valuation"/>
    <s v="CM/MTI/2025/01593 - [EFSHB098] BOLT HT HEX HEAD M12 X 70MM FULL THREAD WITH NUT AND WASHER GRADE 8.8 / MRQ/2025/02199"/>
    <s v="CM/MTI/2025/01593 - [EFSHB098] BOLT HT HEX HEAD M12 X 70MM FULL THREAD WITH NUT AND WASHER GRADE 8.8 / MRQ/2025/0219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1237.75"/>
    <n v="0"/>
    <n v="21237.75"/>
    <s v="TZS"/>
    <s v="[EFSHB098] BOLT HT HEX HEAD M12 X 70MM FULL THREAD WITH NUT AND WASHER GRADE 8.8"/>
    <m/>
    <n v="-30"/>
    <s v="NOS"/>
    <x v="0"/>
    <x v="0"/>
    <x v="9"/>
    <x v="4"/>
    <n v="8.3285294117647055"/>
    <n v="0"/>
  </r>
  <r>
    <n v="343"/>
    <d v="2025-06-27T00:00:00"/>
    <x v="51"/>
    <s v="STJ/2025/06/13512"/>
    <s v="Inventory Valuation"/>
    <s v="CM/MTI/2025/01593 - [CWCWR003] WELDING ELECTRODE MS 6013 SIZE 4 MM X 450 MM / MRQ/2025/02199_x000a_Rounding Adjustment: +0.01 TSh"/>
    <s v="CM/MTI/2025/01593 - [CWCWR003] WELDING ELECTRODE MS 6013 SIZE 4 MM X 450 MM / MRQ/2025/02199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900.37"/>
    <n v="0"/>
    <n v="163900.37"/>
    <s v="TZS"/>
    <s v="[CWCWR003] WELDING ELECTRODE MS 6013 SIZE 4 MM X 450 MM"/>
    <m/>
    <n v="-40"/>
    <s v="KG"/>
    <x v="0"/>
    <x v="0"/>
    <x v="9"/>
    <x v="4"/>
    <n v="64.274654901960787"/>
    <n v="0"/>
  </r>
  <r>
    <n v="344"/>
    <d v="2025-06-27T00:00:00"/>
    <x v="51"/>
    <s v="STJ/2025/06/13511"/>
    <s v="Inventory Valuation"/>
    <s v="CM/MTI/2025/01593 - [CWCGC041] CUTTING WHEEL 7'' / MRQ/2025/02199"/>
    <s v="CM/MTI/2025/01593 - [CWCGC041] CUTTING WHEEL 7'' / MRQ/2025/0219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627.1"/>
    <n v="0"/>
    <n v="32627.1"/>
    <s v="TZS"/>
    <s v="[CWCGC041] CUTTING WHEEL 7''"/>
    <m/>
    <n v="-10"/>
    <s v="NOS"/>
    <x v="0"/>
    <x v="0"/>
    <x v="9"/>
    <x v="4"/>
    <n v="12.794941176470587"/>
    <n v="0"/>
  </r>
  <r>
    <n v="345"/>
    <d v="2025-06-27T00:00:00"/>
    <x v="51"/>
    <s v="STJ/2025/06/13510"/>
    <s v="Inventory Valuation"/>
    <s v="CM/MTI/2025/01593 - [CIGGS001] GAS OXYGEN FULL CYLINDER, O2 / MRQ/2025/02199"/>
    <s v="CM/MTI/2025/01593 - [CIGGS001] GAS OXYGEN FULL CYLINDER, O2 / MRQ/2025/0219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346"/>
    <d v="2025-06-27T00:00:00"/>
    <x v="51"/>
    <s v="STJ/2025/06/13502"/>
    <s v="Inventory Valuation"/>
    <s v="CM/MTI/2025/01590 - [CCLGC329] TMT BAR SIZE 12 MM GRADE FY500. / MRQ/2025/02195"/>
    <s v="CM/MTI/2025/01590 - [CCLGC329] TMT BAR SIZE 12 MM GRADE FY500. / MRQ/2025/02195"/>
    <m/>
    <m/>
    <s v="MATERIAL COST"/>
    <s v="Expenses"/>
    <s v="731002"/>
    <s v="731002 STORE SPARES &amp; CONSUMABLES - GENERAL"/>
    <s v="CWIP-INSTALLATION OF NEW WEIGHBRIDGE AT QUARRY(2NOS)"/>
    <s v="QUARRY"/>
    <s v="MECHANICAL"/>
    <n v="123695.52"/>
    <n v="0"/>
    <n v="123695.52"/>
    <s v="TZS"/>
    <s v="[CCLGC329] TMT BAR SIZE 12 MM GRADE FY500."/>
    <m/>
    <n v="-6"/>
    <s v="PCS"/>
    <x v="0"/>
    <x v="0"/>
    <x v="14"/>
    <x v="3"/>
    <n v="48.508047058823529"/>
    <n v="0"/>
  </r>
  <r>
    <n v="347"/>
    <d v="2025-06-27T00:00:00"/>
    <x v="51"/>
    <s v="STJ/2025/06/13501"/>
    <s v="Inventory Valuation"/>
    <s v="CM/MTI/2025/01590 - [CCLGC028] NAILS CONCRETE SIZE 4'' / MRQ/2025/02195"/>
    <s v="CM/MTI/2025/01590 - [CCLGC028] NAILS CONCRETE SIZE 4'' / MRQ/2025/02195"/>
    <m/>
    <m/>
    <s v="MATERIAL COST"/>
    <s v="Expenses"/>
    <s v="731002"/>
    <s v="731002 STORE SPARES &amp; CONSUMABLES - GENERAL"/>
    <s v="CWIP-INSTALLATION OF NEW WEIGHBRIDGE AT QUARRY(2NOS)"/>
    <s v="QUARRY"/>
    <s v="MECHANICAL"/>
    <n v="9951.27"/>
    <n v="0"/>
    <n v="9951.27"/>
    <s v="TZS"/>
    <s v="[CCLGC028] NAILS CONCRETE SIZE 4''"/>
    <m/>
    <n v="-1"/>
    <s v="KG"/>
    <x v="0"/>
    <x v="0"/>
    <x v="14"/>
    <x v="3"/>
    <n v="3.902458823529412"/>
    <n v="0"/>
  </r>
  <r>
    <n v="348"/>
    <d v="2025-06-27T00:00:00"/>
    <x v="51"/>
    <s v="STJ/2025/06/13500"/>
    <s v="Inventory Valuation"/>
    <s v="CM/MTI/2025/01590 - [CCLGC023] NAILS SIZE 4'' / MRQ/2025/02195"/>
    <s v="CM/MTI/2025/01590 - [CCLGC023] NAILS SIZE 4'' / MRQ/2025/02195"/>
    <m/>
    <m/>
    <s v="MATERIAL COST"/>
    <s v="Expenses"/>
    <s v="731002"/>
    <s v="731002 STORE SPARES &amp; CONSUMABLES - GENERAL"/>
    <s v="CWIP-INSTALLATION OF NEW WEIGHBRIDGE AT QUARRY(2NOS)"/>
    <s v="QUARRY"/>
    <s v="MECHANICAL"/>
    <n v="17100"/>
    <n v="0"/>
    <n v="17100"/>
    <s v="TZS"/>
    <s v="[CCLGC023] NAILS SIZE 4''"/>
    <m/>
    <n v="-3"/>
    <s v="KG"/>
    <x v="0"/>
    <x v="0"/>
    <x v="14"/>
    <x v="3"/>
    <n v="6.7058823529411766"/>
    <n v="0"/>
  </r>
  <r>
    <n v="349"/>
    <d v="2025-06-27T00:00:00"/>
    <x v="51"/>
    <s v="STJ/2025/06/13487"/>
    <s v="Inventory Valuation"/>
    <s v="CM/MTI/2025/01583 - [CWCWR003] WELDING ELECTRODE MS 6013 SIZE 4 MM X 450 MM / MRQ/2025/02187"/>
    <s v="CM/MTI/2025/01583 - [CWCWR003] WELDING ELECTRODE MS 6013 SIZE 4 MM X 450 MM / MRQ/2025/0218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350"/>
    <d v="2025-06-27T00:00:00"/>
    <x v="51"/>
    <s v="STJ/2025/06/13120"/>
    <s v="Inventory Valuation"/>
    <s v="LOG/MTI/2025/00480 - [LTS0018] LANDING LEG ASSY - TRAILER / MRQ/2025/02160"/>
    <s v="LOG/MTI/2025/00480 - [LTS0018] LANDING LEG ASSY - TRAILER / MRQ/2025/02160"/>
    <m/>
    <m/>
    <s v="MATERIAL COST"/>
    <s v="Expenses"/>
    <s v="731002"/>
    <s v="731002 STORE SPARES &amp; CONSUMABLES - GENERAL"/>
    <s v="CWIP-FABRICATION OF INHOUSE TRAILOR"/>
    <s v="LOGISTIC DIVISION"/>
    <s v="LOGISTIC DIVISION"/>
    <n v="1860000"/>
    <n v="0"/>
    <n v="1860000"/>
    <s v="TZS"/>
    <s v="[LTS0018] LANDING LEG ASSY - TRAILER"/>
    <m/>
    <n v="-3"/>
    <s v="NOS"/>
    <x v="0"/>
    <x v="0"/>
    <x v="12"/>
    <x v="1"/>
    <n v="729.41176470588232"/>
    <n v="0"/>
  </r>
  <r>
    <n v="351"/>
    <d v="2025-06-27T00:00:00"/>
    <x v="51"/>
    <s v="PCVLG/2025/06/0177"/>
    <s v="PCV (PETTY CASH LOGISTIC)"/>
    <m/>
    <s v="CASH PAID FOR 1PC JOST PIN FOR FABRICATION OF TRAILERS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120000"/>
    <n v="0"/>
    <n v="120000"/>
    <s v="TZS"/>
    <m/>
    <m/>
    <n v="1"/>
    <m/>
    <x v="0"/>
    <x v="0"/>
    <x v="12"/>
    <x v="1"/>
    <n v="47.058823529411768"/>
    <n v="0"/>
  </r>
  <r>
    <n v="352"/>
    <d v="2025-06-27T00:00:00"/>
    <x v="51"/>
    <s v="PCVLG/2025/06/0174"/>
    <s v="PCV (PETTY CASH LOGISTIC)"/>
    <m/>
    <s v="CASH PAID FOR JOST PIN PLATE FOR NEW TRAILER FABRICATION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150000"/>
    <n v="0"/>
    <n v="150000"/>
    <s v="TZS"/>
    <m/>
    <m/>
    <n v="1"/>
    <m/>
    <x v="0"/>
    <x v="0"/>
    <x v="12"/>
    <x v="1"/>
    <n v="58.823529411764703"/>
    <n v="0"/>
  </r>
  <r>
    <n v="353"/>
    <d v="2025-06-28T12:41:45"/>
    <x v="52"/>
    <s v="PCVLG/2025/06/0186"/>
    <s v="PCV (PETTY CASH LOGISTIC)"/>
    <m/>
    <s v="CASH PAID FOR TRANSPORT CHARGES FOR SENDING MS PLATE 1.5MM 60PCS FOR BENDING PURPOUSE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120000"/>
    <n v="0"/>
    <n v="120000"/>
    <s v="TZS"/>
    <m/>
    <m/>
    <n v="1"/>
    <m/>
    <x v="0"/>
    <x v="0"/>
    <x v="12"/>
    <x v="1"/>
    <n v="47.058823529411768"/>
    <n v="0"/>
  </r>
  <r>
    <n v="354"/>
    <d v="2025-06-28T00:00:00"/>
    <x v="52"/>
    <s v="STJ/2025/06/13841"/>
    <s v="Inventory Valuation"/>
    <s v="CM/MTI/2025/01597 - [EFSHB115] BOLT HT HEX HEAD M16 X 50MM FULL THREAD WITH NUT AND WASHER GRADE 8.8 / MRQ/2025/02225"/>
    <s v="CM/MTI/2025/01597 - [EFSHB115] BOLT HT HEX HEAD M16 X 50MM FULL THREAD WITH NUT AND WASHER GRADE 8.8 / MRQ/2025/0222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518.37"/>
    <n v="0"/>
    <n v="19518.37"/>
    <s v="TZS"/>
    <s v="[EFSHB115] BOLT HT HEX HEAD M16 X 50MM FULL THREAD WITH NUT AND WASHER GRADE 8.8"/>
    <m/>
    <n v="-20"/>
    <s v="NOS"/>
    <x v="0"/>
    <x v="0"/>
    <x v="9"/>
    <x v="4"/>
    <n v="7.6542627450980385"/>
    <n v="0"/>
  </r>
  <r>
    <n v="355"/>
    <d v="2025-06-28T00:00:00"/>
    <x v="52"/>
    <s v="STJ/2025/06/13840"/>
    <s v="Inventory Valuation"/>
    <s v="CM/MTI/2025/01597 - [EFSHB096] BOLT HT HEX HEAD M12 X 50MM FULL THREAD WITH NUT AND WASHER GRADE 8.8 / MRQ/2025/02225_x000a_Rounding Adjustment: +0.01 TSh"/>
    <s v="CM/MTI/2025/01597 - [EFSHB096] BOLT HT HEX HEAD M12 X 50MM FULL THREAD WITH NUT AND WASHER GRADE 8.8 / MRQ/2025/02225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5955.539999999994"/>
    <n v="0"/>
    <n v="65955.539999999994"/>
    <s v="TZS"/>
    <s v="[EFSHB096] BOLT HT HEX HEAD M12 X 50MM FULL THREAD WITH NUT AND WASHER GRADE 8.8"/>
    <m/>
    <n v="-120"/>
    <s v="NOS"/>
    <x v="0"/>
    <x v="0"/>
    <x v="9"/>
    <x v="4"/>
    <n v="25.864917647058821"/>
    <n v="0"/>
  </r>
  <r>
    <n v="356"/>
    <d v="2025-06-28T00:00:00"/>
    <x v="52"/>
    <s v="STJ/2025/06/13837"/>
    <s v="Inventory Valuation"/>
    <s v="CM/MTI/2025/01595 - [CWCWR003] WELDING ELECTRODE MS 6013 SIZE 4 MM X 450 MM / MRQ/2025/02229"/>
    <s v="CM/MTI/2025/01595 - [CWCWR003] WELDING ELECTRODE MS 6013 SIZE 4 MM X 450 MM / MRQ/2025/0222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357"/>
    <d v="2025-07-01T11:07:15"/>
    <x v="53"/>
    <s v="SERBL/2025/06/0134"/>
    <s v="Service Bills"/>
    <s v="LPORD/2024/02693: Report Submission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5000000"/>
    <n v="0"/>
    <n v="5000000"/>
    <s v="TZS"/>
    <s v="[SER006] Job Contract"/>
    <s v="Misc. Income"/>
    <n v="1"/>
    <s v="NOS"/>
    <x v="0"/>
    <x v="0"/>
    <x v="1"/>
    <x v="1"/>
    <n v="1960.7843137254902"/>
    <n v="0"/>
  </r>
  <r>
    <n v="358"/>
    <d v="2025-07-01T11:07:15"/>
    <x v="53"/>
    <s v="SERBL/2025/06/0134"/>
    <s v="Service Bills"/>
    <s v="LPORD/2024/02693: Bulk density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800000"/>
    <n v="0"/>
    <n v="800000"/>
    <s v="TZS"/>
    <s v="[SER006] Job Contract"/>
    <s v="Misc. Income"/>
    <n v="40"/>
    <s v="NOS"/>
    <x v="0"/>
    <x v="0"/>
    <x v="1"/>
    <x v="1"/>
    <n v="313.72549019607845"/>
    <n v="0"/>
  </r>
  <r>
    <n v="359"/>
    <d v="2025-07-01T11:07:15"/>
    <x v="53"/>
    <s v="SERBL/2025/06/0134"/>
    <s v="Service Bills"/>
    <s v="LPORD/2024/02693: Setting up, shifting and dismantling of rig in Land (Drilling)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1000000"/>
    <n v="0"/>
    <n v="1000000"/>
    <s v="TZS"/>
    <s v="[SER006] Job Contract"/>
    <s v="Misc. Income"/>
    <n v="10"/>
    <s v="NOS"/>
    <x v="0"/>
    <x v="0"/>
    <x v="1"/>
    <x v="1"/>
    <n v="392.15686274509807"/>
    <n v="0"/>
  </r>
  <r>
    <n v="360"/>
    <d v="2025-07-01T11:07:15"/>
    <x v="53"/>
    <s v="SERBL/2025/06/0134"/>
    <s v="Service Bills"/>
    <s v="LPORD/2024/02693: Movement of Rig from one point location to the other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2400000"/>
    <n v="0"/>
    <n v="2400000"/>
    <s v="TZS"/>
    <s v="[SER006] Job Contract"/>
    <s v="Misc. Income"/>
    <n v="8"/>
    <s v="NOS"/>
    <x v="0"/>
    <x v="0"/>
    <x v="1"/>
    <x v="1"/>
    <n v="941.17647058823525"/>
    <n v="0"/>
  </r>
  <r>
    <n v="361"/>
    <d v="2025-07-01T11:07:15"/>
    <x v="53"/>
    <s v="SERBL/2025/06/0134"/>
    <s v="Service Bills"/>
    <s v="LPORD/2024/02693: Drilling through soft to stiff soil/sand/rock from 0-20m maximum depth--BHs-diameter of 86mm to 125 mm(including inserting casing OR using PQ core barrel) in Land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35452500"/>
    <n v="0"/>
    <n v="35452500"/>
    <s v="TZS"/>
    <s v="[SER006] Job Contract"/>
    <s v="Misc. Income"/>
    <n v="244.5"/>
    <s v="NOS"/>
    <x v="0"/>
    <x v="0"/>
    <x v="1"/>
    <x v="1"/>
    <n v="13902.941176470587"/>
    <n v="0"/>
  </r>
  <r>
    <n v="362"/>
    <d v="2025-07-01T11:07:15"/>
    <x v="53"/>
    <s v="SERBL/2025/06/0134"/>
    <s v="Service Bills"/>
    <s v="LPORD/2024/02693: Carrying out SPT Test from 0-20m @1.5m intervals in each borehole in Land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4240000"/>
    <n v="0"/>
    <n v="4240000"/>
    <s v="TZS"/>
    <s v="[SER006] Job Contract"/>
    <s v="Misc. Income"/>
    <n v="106"/>
    <s v="NOS"/>
    <x v="0"/>
    <x v="0"/>
    <x v="1"/>
    <x v="1"/>
    <n v="1662.7450980392157"/>
    <n v="0"/>
  </r>
  <r>
    <n v="363"/>
    <d v="2025-07-01T11:07:15"/>
    <x v="53"/>
    <s v="SERBL/2025/06/0134"/>
    <s v="Service Bills"/>
    <s v="LPORD/2024/02693: Collection of Undisturbed Samples (U 100 samples per bore holes) in Land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1200000"/>
    <n v="0"/>
    <n v="1200000"/>
    <s v="TZS"/>
    <s v="[SER006] Job Contract"/>
    <s v="Misc. Income"/>
    <n v="40"/>
    <s v="NOS"/>
    <x v="0"/>
    <x v="0"/>
    <x v="1"/>
    <x v="1"/>
    <n v="470.58823529411762"/>
    <n v="0"/>
  </r>
  <r>
    <n v="364"/>
    <d v="2025-07-01T11:07:15"/>
    <x v="53"/>
    <s v="SERBL/2025/06/0134"/>
    <s v="Service Bills"/>
    <s v="LPORD/2024/02693: Grain Size Distribution (Sieve analysis/Hydrometer)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1200000"/>
    <n v="0"/>
    <n v="1200000"/>
    <s v="TZS"/>
    <s v="[SER006] Job Contract"/>
    <s v="Misc. Income"/>
    <n v="20"/>
    <s v="NOS"/>
    <x v="0"/>
    <x v="0"/>
    <x v="1"/>
    <x v="1"/>
    <n v="470.58823529411762"/>
    <n v="0"/>
  </r>
  <r>
    <n v="365"/>
    <d v="2025-07-01T11:07:15"/>
    <x v="53"/>
    <s v="SERBL/2025/06/0134"/>
    <s v="Service Bills"/>
    <s v="LPORD/2024/02693: Consolidated drained triaxial compression test/Direct shear test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1600000"/>
    <n v="0"/>
    <n v="1600000"/>
    <s v="TZS"/>
    <s v="[SER006] Job Contract"/>
    <s v="Misc. Income"/>
    <n v="16"/>
    <s v="NOS"/>
    <x v="0"/>
    <x v="0"/>
    <x v="1"/>
    <x v="1"/>
    <n v="627.45098039215691"/>
    <n v="0"/>
  </r>
  <r>
    <n v="366"/>
    <d v="2025-07-01T11:07:15"/>
    <x v="53"/>
    <s v="SERBL/2025/06/0134"/>
    <s v="Service Bills"/>
    <s v="LPORD/2024/02693: Provisional of Core boxes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1800000"/>
    <n v="0"/>
    <n v="1800000"/>
    <s v="TZS"/>
    <s v="[SER006] Job Contract"/>
    <s v="Misc. Income"/>
    <n v="60"/>
    <s v="NOS"/>
    <x v="0"/>
    <x v="0"/>
    <x v="1"/>
    <x v="1"/>
    <n v="705.88235294117646"/>
    <n v="0"/>
  </r>
  <r>
    <n v="367"/>
    <d v="2025-07-01T11:07:15"/>
    <x v="53"/>
    <s v="SERBL/2025/06/0134"/>
    <s v="Service Bills"/>
    <s v="LPORD/2024/02693: Water content (MC)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600000"/>
    <n v="0"/>
    <n v="600000"/>
    <s v="TZS"/>
    <s v="[SER006] Job Contract"/>
    <s v="Misc. Income"/>
    <n v="40"/>
    <s v="NOS"/>
    <x v="0"/>
    <x v="0"/>
    <x v="1"/>
    <x v="1"/>
    <n v="235.29411764705881"/>
    <n v="0"/>
  </r>
  <r>
    <n v="368"/>
    <d v="2025-07-01T11:07:15"/>
    <x v="53"/>
    <s v="SERBL/2025/06/0134"/>
    <s v="Service Bills"/>
    <s v="LPORD/2024/02693: Atterberg limit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1800000"/>
    <n v="0"/>
    <n v="1800000"/>
    <s v="TZS"/>
    <s v="[SER006] Job Contract"/>
    <s v="Misc. Income"/>
    <n v="40"/>
    <s v="NOS"/>
    <x v="0"/>
    <x v="0"/>
    <x v="1"/>
    <x v="1"/>
    <n v="705.88235294117646"/>
    <n v="0"/>
  </r>
  <r>
    <n v="369"/>
    <d v="2025-07-01T11:07:15"/>
    <x v="53"/>
    <s v="SERBL/2025/06/0134"/>
    <s v="Service Bills"/>
    <s v="LPORD/2024/02693: Specific weight test (Gs)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640000"/>
    <n v="0"/>
    <n v="640000"/>
    <s v="TZS"/>
    <s v="[SER006] Job Contract"/>
    <s v="Misc. Income"/>
    <n v="16"/>
    <s v="NOS"/>
    <x v="0"/>
    <x v="0"/>
    <x v="1"/>
    <x v="1"/>
    <n v="250.98039215686273"/>
    <n v="0"/>
  </r>
  <r>
    <n v="370"/>
    <d v="2025-07-01T11:07:15"/>
    <x v="53"/>
    <s v="SERBL/2025/06/0134"/>
    <s v="Service Bills"/>
    <s v="LPORD/2024/02693: Bulk density of rock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30000"/>
    <n v="0"/>
    <n v="30000"/>
    <s v="TZS"/>
    <s v="[SER006] Job Contract"/>
    <s v="Misc. Income"/>
    <n v="1"/>
    <s v="NOS"/>
    <x v="0"/>
    <x v="0"/>
    <x v="1"/>
    <x v="1"/>
    <n v="11.764705882352942"/>
    <n v="0"/>
  </r>
  <r>
    <n v="371"/>
    <d v="2025-07-01T11:07:15"/>
    <x v="53"/>
    <s v="SERBL/2025/06/0134"/>
    <s v="Service Bills"/>
    <s v="LPORD/2024/02693: Point load test (axial and diametric)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120000"/>
    <n v="0"/>
    <n v="120000"/>
    <s v="TZS"/>
    <s v="[SER006] Job Contract"/>
    <s v="Misc. Income"/>
    <n v="1"/>
    <s v="NOS"/>
    <x v="0"/>
    <x v="0"/>
    <x v="1"/>
    <x v="1"/>
    <n v="47.058823529411768"/>
    <n v="0"/>
  </r>
  <r>
    <n v="372"/>
    <d v="2025-07-01T11:07:15"/>
    <x v="53"/>
    <s v="SERBL/2025/06/0134"/>
    <s v="Service Bills"/>
    <s v="LPORD/2024/02693: Unconfined compression test for rock samples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100000"/>
    <n v="0"/>
    <n v="100000"/>
    <s v="TZS"/>
    <s v="[SER006] Job Contract"/>
    <s v="Misc. Income"/>
    <n v="1"/>
    <s v="NOS"/>
    <x v="0"/>
    <x v="0"/>
    <x v="1"/>
    <x v="1"/>
    <n v="39.215686274509807"/>
    <n v="0"/>
  </r>
  <r>
    <n v="373"/>
    <d v="2025-07-01T11:07:15"/>
    <x v="53"/>
    <s v="SERBL/2025/06/0134"/>
    <s v="Service Bills"/>
    <s v="LPORD/2024/02693: Mobilization and demobilization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3000000"/>
    <n v="0"/>
    <n v="3000000"/>
    <s v="TZS"/>
    <s v="[SER006] Job Contract"/>
    <s v="Misc. Income"/>
    <n v="1"/>
    <s v="NOS"/>
    <x v="0"/>
    <x v="0"/>
    <x v="1"/>
    <x v="1"/>
    <n v="1176.4705882352941"/>
    <n v="0"/>
  </r>
  <r>
    <n v="374"/>
    <d v="2025-07-01T11:07:15"/>
    <x v="53"/>
    <s v="SERBL/2025/06/0134"/>
    <s v="Service Bills"/>
    <s v="LPORD/2024/02693: Charges for Core Splitting for additional holes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2366000"/>
    <n v="0"/>
    <n v="2366000"/>
    <s v="TZS"/>
    <s v="[SER006] Job Contract"/>
    <s v="Misc. Income"/>
    <n v="84.5"/>
    <s v="NOS"/>
    <x v="0"/>
    <x v="0"/>
    <x v="1"/>
    <x v="1"/>
    <n v="927.84313725490199"/>
    <n v="0"/>
  </r>
  <r>
    <n v="375"/>
    <d v="2025-07-01T11:07:15"/>
    <x v="53"/>
    <s v="SERBL/2025/06/0134"/>
    <s v="Service Bills"/>
    <s v="LPORD/2024/02693: Cost for Core Transportation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700000"/>
    <n v="0"/>
    <n v="700000"/>
    <s v="TZS"/>
    <s v="[SER006] Job Contract"/>
    <s v="Misc. Income"/>
    <n v="1"/>
    <s v="NOS"/>
    <x v="0"/>
    <x v="0"/>
    <x v="1"/>
    <x v="1"/>
    <n v="274.50980392156862"/>
    <n v="0"/>
  </r>
  <r>
    <n v="376"/>
    <d v="2025-07-01T11:07:15"/>
    <x v="53"/>
    <s v="SERBL/2025/06/0134"/>
    <s v="Service Bills"/>
    <s v="LPORD/2024/02693: Odo meter test (One dimension Consolidationtest-time settlement curve and load settlement curve)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1760000"/>
    <n v="0"/>
    <n v="1760000"/>
    <s v="TZS"/>
    <s v="[SER006] Job Contract"/>
    <s v="Misc. Income"/>
    <n v="16"/>
    <s v="NOS"/>
    <x v="0"/>
    <x v="0"/>
    <x v="1"/>
    <x v="1"/>
    <n v="690.1960784313726"/>
    <n v="0"/>
  </r>
  <r>
    <n v="377"/>
    <d v="2025-07-01T11:07:15"/>
    <x v="53"/>
    <s v="SERBL/2025/06/0134"/>
    <s v="Service Bills"/>
    <s v="LPORD/2024/02693: Grain Size Distribution (Wet Sieve analysis)_x000a_"/>
    <s v="0386"/>
    <s v="CMLT1563"/>
    <s v="Geoprimosi Engineering Limited"/>
    <s v="CAPITAL WORK IN PROGRESS"/>
    <s v="Fixed Assets"/>
    <s v="371056"/>
    <s v="371056 MINERAL EXPLORATION &amp; DEVELOPMENT-TARAWANDA"/>
    <s v="TARAWANDA EXPENSE"/>
    <s v="QUARRY"/>
    <s v="QUARRYING"/>
    <n v="700000"/>
    <n v="0"/>
    <n v="700000"/>
    <s v="TZS"/>
    <s v="[SER006] Job Contract"/>
    <s v="Misc. Income"/>
    <n v="20"/>
    <s v="NOS"/>
    <x v="0"/>
    <x v="0"/>
    <x v="1"/>
    <x v="1"/>
    <n v="274.50980392156862"/>
    <n v="0"/>
  </r>
  <r>
    <n v="378"/>
    <d v="2025-07-01T10:06:41"/>
    <x v="53"/>
    <s v="SERBL/2025/06/0133"/>
    <s v="Service Bills"/>
    <s v="LPORD/2025/00398: MANPOWER SUPPLY CRANE OPERATOR 2 FOR APRIL 2025 "/>
    <s v="28979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600000"/>
    <n v="0"/>
    <n v="600000"/>
    <s v="TZS"/>
    <s v="[SER006] Job Contract"/>
    <s v="Misc. Income"/>
    <n v="1"/>
    <s v="NOS"/>
    <x v="0"/>
    <x v="0"/>
    <x v="9"/>
    <x v="4"/>
    <n v="235.29411764705881"/>
    <n v="0"/>
  </r>
  <r>
    <n v="379"/>
    <d v="2025-07-01T10:06:41"/>
    <x v="53"/>
    <s v="SERBL/2025/06/0133"/>
    <s v="Service Bills"/>
    <s v="LPORD/2025/00398: MANPOWER SUPPLY BACKHOE OPERATOR APRIL 2025"/>
    <s v="28979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1200000"/>
    <n v="0"/>
    <n v="1200000"/>
    <s v="TZS"/>
    <s v="[SER006] Job Contract"/>
    <s v="Misc. Income"/>
    <n v="1"/>
    <s v="NOS"/>
    <x v="0"/>
    <x v="0"/>
    <x v="9"/>
    <x v="4"/>
    <n v="470.58823529411762"/>
    <n v="0"/>
  </r>
  <r>
    <n v="380"/>
    <d v="2025-07-01T10:06:41"/>
    <x v="53"/>
    <s v="SERBL/2025/06/0133"/>
    <s v="Service Bills"/>
    <s v="LPORD/2025/00398: MANPOWER SUPPLY TRUCK DRIVER FOR APRIL 2025"/>
    <s v="28979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200000"/>
    <n v="0"/>
    <n v="200000"/>
    <s v="TZS"/>
    <s v="[SER006] Job Contract"/>
    <s v="Misc. Income"/>
    <n v="1"/>
    <s v="NOS"/>
    <x v="0"/>
    <x v="0"/>
    <x v="9"/>
    <x v="4"/>
    <n v="78.431372549019613"/>
    <n v="0"/>
  </r>
  <r>
    <n v="381"/>
    <d v="2025-07-01T10:06:41"/>
    <x v="53"/>
    <s v="SERBL/2025/06/0133"/>
    <s v="Service Bills"/>
    <s v="LPORD/2025/00398: MANPOWER SUPPLY CRANE OPERATOR 1 FOR APRIL 2025"/>
    <s v="28979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1800000"/>
    <n v="0"/>
    <n v="1800000"/>
    <s v="TZS"/>
    <s v="[SER006] Job Contract"/>
    <s v="Misc. Income"/>
    <n v="1"/>
    <s v="NOS"/>
    <x v="0"/>
    <x v="0"/>
    <x v="9"/>
    <x v="4"/>
    <n v="705.88235294117646"/>
    <n v="0"/>
  </r>
  <r>
    <n v="382"/>
    <d v="2025-07-01T10:06:41"/>
    <x v="53"/>
    <s v="SERBL/2025/06/0133"/>
    <s v="Service Bills"/>
    <s v="LPORD/2025/00398: MANPOWER SUPPLY HYDRA OPERATOR FOR APRIL 2025 "/>
    <s v="28979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2400000"/>
    <n v="0"/>
    <n v="2400000"/>
    <s v="TZS"/>
    <s v="[SER006] Job Contract"/>
    <s v="Misc. Income"/>
    <n v="2"/>
    <s v="NOS"/>
    <x v="0"/>
    <x v="0"/>
    <x v="9"/>
    <x v="4"/>
    <n v="941.17647058823525"/>
    <n v="0"/>
  </r>
  <r>
    <n v="383"/>
    <d v="2025-07-01T10:01:10"/>
    <x v="53"/>
    <s v="SERBL/2025/06/0132"/>
    <s v="Service Bills"/>
    <s v="LPORD/2025/00348: BRICK WORK FOR FOUNDATION(SQM)"/>
    <s v="85"/>
    <s v="CMLT1940"/>
    <s v="Bajrangi Construction Limited"/>
    <s v="CAPITAL WORK IN PROGRESS"/>
    <s v="Fixed Assets"/>
    <s v="371039"/>
    <s v="371039 CWIP-CONSTRUCTION OF LIME STONE AND GYPSUM FEEDING SYSTEM IN CEMENT MILL"/>
    <s v="CWIP-CONSTRUCTION OF LIME STONE AND GYPSUM FEEDING SYSTEM IN CEMENT MILL"/>
    <s v="PROJECT"/>
    <s v="PROJECT"/>
    <n v="1264200"/>
    <n v="0"/>
    <n v="1264200"/>
    <s v="TZS"/>
    <s v="[SER006] Job Contract"/>
    <s v="Misc. Income"/>
    <n v="90.3"/>
    <s v="NOS"/>
    <x v="0"/>
    <x v="0"/>
    <x v="8"/>
    <x v="3"/>
    <n v="495.76470588235293"/>
    <n v="0"/>
  </r>
  <r>
    <n v="384"/>
    <d v="2025-07-01T10:01:10"/>
    <x v="53"/>
    <s v="SERBL/2025/06/0132"/>
    <s v="Service Bills"/>
    <s v="LPORD/2025/00348: CONCRETE WORK (CUM)"/>
    <s v="85"/>
    <s v="CMLT1940"/>
    <s v="Bajrangi Construction Limited"/>
    <s v="CAPITAL WORK IN PROGRESS"/>
    <s v="Fixed Assets"/>
    <s v="371039"/>
    <s v="371039 CWIP-CONSTRUCTION OF LIME STONE AND GYPSUM FEEDING SYSTEM IN CEMENT MILL"/>
    <s v="CWIP-CONSTRUCTION OF LIME STONE AND GYPSUM FEEDING SYSTEM IN CEMENT MILL"/>
    <s v="PROJECT"/>
    <s v="PROJECT"/>
    <n v="784000"/>
    <n v="0"/>
    <n v="784000"/>
    <s v="TZS"/>
    <s v="[SER006] Job Contract"/>
    <s v="Misc. Income"/>
    <n v="11.2"/>
    <s v="NOS"/>
    <x v="0"/>
    <x v="0"/>
    <x v="8"/>
    <x v="3"/>
    <n v="307.45098039215685"/>
    <n v="0"/>
  </r>
  <r>
    <n v="385"/>
    <d v="2025-07-01T10:01:10"/>
    <x v="53"/>
    <s v="SERBL/2025/06/0132"/>
    <s v="Service Bills"/>
    <s v="LPORD/2025/00348: REINFORCEMENT WORK(KG)"/>
    <s v="85"/>
    <s v="CMLT1940"/>
    <s v="Bajrangi Construction Limited"/>
    <s v="CAPITAL WORK IN PROGRESS"/>
    <s v="Fixed Assets"/>
    <s v="371039"/>
    <s v="371039 CWIP-CONSTRUCTION OF LIME STONE AND GYPSUM FEEDING SYSTEM IN CEMENT MILL"/>
    <s v="CWIP-CONSTRUCTION OF LIME STONE AND GYPSUM FEEDING SYSTEM IN CEMENT MILL"/>
    <s v="PROJECT"/>
    <s v="PROJECT"/>
    <n v="366520"/>
    <n v="0"/>
    <n v="366520"/>
    <s v="TZS"/>
    <s v="[SER006] Job Contract"/>
    <s v="Misc. Income"/>
    <n v="733.04"/>
    <s v="NOS"/>
    <x v="0"/>
    <x v="0"/>
    <x v="8"/>
    <x v="3"/>
    <n v="143.73333333333332"/>
    <n v="0"/>
  </r>
  <r>
    <n v="386"/>
    <d v="2025-07-01T10:01:10"/>
    <x v="53"/>
    <s v="SERBL/2025/06/0132"/>
    <s v="Service Bills"/>
    <s v="LPORD/2025/00348: BRICK WORK FOR WALL(SQM)"/>
    <s v="85"/>
    <s v="CMLT1940"/>
    <s v="Bajrangi Construction Limited"/>
    <s v="CAPITAL WORK IN PROGRESS"/>
    <s v="Fixed Assets"/>
    <s v="371039"/>
    <s v="371039 CWIP-CONSTRUCTION OF LIME STONE AND GYPSUM FEEDING SYSTEM IN CEMENT MILL"/>
    <s v="CWIP-CONSTRUCTION OF LIME STONE AND GYPSUM FEEDING SYSTEM IN CEMENT MILL"/>
    <s v="PROJECT"/>
    <s v="PROJECT"/>
    <n v="1790600"/>
    <n v="0"/>
    <n v="1790600"/>
    <s v="TZS"/>
    <s v="[SER006] Job Contract"/>
    <s v="Misc. Income"/>
    <n v="127.9"/>
    <s v="NOS"/>
    <x v="0"/>
    <x v="0"/>
    <x v="8"/>
    <x v="3"/>
    <n v="702.1960784313726"/>
    <n v="0"/>
  </r>
  <r>
    <n v="387"/>
    <d v="2025-07-01T10:01:10"/>
    <x v="53"/>
    <s v="SERBL/2025/06/0132"/>
    <s v="Service Bills"/>
    <s v="LPORD/2025/00348: PLASTERING WORK(SQM)"/>
    <s v="85"/>
    <s v="CMLT1940"/>
    <s v="Bajrangi Construction Limited"/>
    <s v="CAPITAL WORK IN PROGRESS"/>
    <s v="Fixed Assets"/>
    <s v="371039"/>
    <s v="371039 CWIP-CONSTRUCTION OF LIME STONE AND GYPSUM FEEDING SYSTEM IN CEMENT MILL"/>
    <s v="CWIP-CONSTRUCTION OF LIME STONE AND GYPSUM FEEDING SYSTEM IN CEMENT MILL"/>
    <s v="PROJECT"/>
    <s v="PROJECT"/>
    <n v="2640400"/>
    <n v="0"/>
    <n v="2640400"/>
    <s v="TZS"/>
    <s v="[SER006] Job Contract"/>
    <s v="Misc. Income"/>
    <n v="377.2"/>
    <s v="NOS"/>
    <x v="0"/>
    <x v="0"/>
    <x v="8"/>
    <x v="3"/>
    <n v="1035.4509803921569"/>
    <n v="0"/>
  </r>
  <r>
    <n v="388"/>
    <d v="2025-07-01T10:01:10"/>
    <x v="53"/>
    <s v="SERBL/2025/06/0132"/>
    <s v="Service Bills"/>
    <s v="LPORD/2025/00348: BLINDING (CUM)"/>
    <s v="85"/>
    <s v="CMLT1940"/>
    <s v="Bajrangi Construction Limited"/>
    <s v="CAPITAL WORK IN PROGRESS"/>
    <s v="Fixed Assets"/>
    <s v="371039"/>
    <s v="371039 CWIP-CONSTRUCTION OF LIME STONE AND GYPSUM FEEDING SYSTEM IN CEMENT MILL"/>
    <s v="CWIP-CONSTRUCTION OF LIME STONE AND GYPSUM FEEDING SYSTEM IN CEMENT MILL"/>
    <s v="PROJECT"/>
    <s v="PROJECT"/>
    <n v="344400"/>
    <n v="0"/>
    <n v="344400"/>
    <s v="TZS"/>
    <s v="[SER006] Job Contract"/>
    <s v="Misc. Income"/>
    <n v="4.92"/>
    <s v="NOS"/>
    <x v="0"/>
    <x v="0"/>
    <x v="8"/>
    <x v="3"/>
    <n v="135.05882352941177"/>
    <n v="0"/>
  </r>
  <r>
    <n v="389"/>
    <d v="2025-07-01T10:01:10"/>
    <x v="53"/>
    <s v="SERBL/2025/06/0132"/>
    <s v="Service Bills"/>
    <s v="LPORD/2025/00348: SHUTTRING WORK (SQM)"/>
    <s v="85"/>
    <s v="CMLT1940"/>
    <s v="Bajrangi Construction Limited"/>
    <s v="CAPITAL WORK IN PROGRESS"/>
    <s v="Fixed Assets"/>
    <s v="371039"/>
    <s v="371039 CWIP-CONSTRUCTION OF LIME STONE AND GYPSUM FEEDING SYSTEM IN CEMENT MILL"/>
    <s v="CWIP-CONSTRUCTION OF LIME STONE AND GYPSUM FEEDING SYSTEM IN CEMENT MILL"/>
    <s v="PROJECT"/>
    <s v="PROJECT"/>
    <n v="2221400"/>
    <n v="0"/>
    <n v="2221400"/>
    <s v="TZS"/>
    <s v="[SER006] Job Contract"/>
    <s v="Misc. Income"/>
    <n v="111.07"/>
    <s v="NOS"/>
    <x v="0"/>
    <x v="0"/>
    <x v="8"/>
    <x v="3"/>
    <n v="871.13725490196077"/>
    <n v="0"/>
  </r>
  <r>
    <n v="390"/>
    <d v="2025-07-02T09:50:54"/>
    <x v="53"/>
    <s v="DBN/2025/06/0013"/>
    <s v="Service Bills"/>
    <m/>
    <s v="1071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0"/>
    <n v="120000"/>
    <n v="-120000"/>
    <s v="TZS"/>
    <m/>
    <m/>
    <n v="1"/>
    <m/>
    <x v="0"/>
    <x v="0"/>
    <x v="9"/>
    <x v="4"/>
    <n v="-47.058823529411768"/>
    <n v="0"/>
  </r>
  <r>
    <n v="391"/>
    <d v="2025-06-30T00:00:00"/>
    <x v="53"/>
    <s v="STJ/2025/06/14811"/>
    <s v="Inventory Valuation"/>
    <s v="CM/MTI/2025/01616 - [CAOFE005] AIR CONDITION UNIT 24000 BTU SPLIT TYPE  / MRQ/2025/02265"/>
    <s v="CM/MTI/2025/01616 - [CAOFE005] AIR CONDITION UNIT 24000 BTU SPLIT TYPE  / MRQ/2025/02265"/>
    <m/>
    <m/>
    <s v="MATERIAL COST"/>
    <s v="Expenses"/>
    <s v="731003"/>
    <s v="731003 STORE SPARES &amp; CONSUMABLES - CA"/>
    <s v="Fixed Asset"/>
    <s v="PHYSICAL LABORATORY"/>
    <s v="ELECTRICAL"/>
    <n v="1290900"/>
    <n v="0"/>
    <n v="1290900"/>
    <s v="TZS"/>
    <s v="[CAOFE005] AIR CONDITION UNIT 24000 BTU SPLIT TYPE "/>
    <m/>
    <n v="-1"/>
    <s v="NOS"/>
    <x v="0"/>
    <x v="2"/>
    <x v="16"/>
    <x v="1"/>
    <n v="506.23529411764707"/>
    <n v="0"/>
  </r>
  <r>
    <n v="392"/>
    <d v="2025-06-30T00:00:00"/>
    <x v="53"/>
    <s v="STJ/2025/04/04151"/>
    <s v="Inventory Valuation"/>
    <s v="LOG/MTI/2025/00046 - [LGS0070] JOST KING PIN - 2.5 INCH / MRQ/2025/00291"/>
    <s v="LOG/MTI/2025/00046 - [LGS0070] JOST KING PIN - 2.5 INCH / MRQ/2025/00291"/>
    <m/>
    <m/>
    <s v="MATERIAL COST"/>
    <s v="Expenses"/>
    <s v="731002"/>
    <s v="731002 STORE SPARES &amp; CONSUMABLE-GENERAL"/>
    <s v="CWIP-FABRICATION OF INHOUSE TRAILOR"/>
    <s v="LOGISTIC DIVISION"/>
    <s v="LOGISTIC DIVISION"/>
    <n v="82500"/>
    <n v="0"/>
    <n v="82500"/>
    <s v="TZS"/>
    <s v="[LGS0070] JOST KING PIN - 2.5 INCH"/>
    <m/>
    <n v="-1"/>
    <s v="NOS"/>
    <x v="0"/>
    <x v="0"/>
    <x v="12"/>
    <x v="1"/>
    <n v="32.352941176470587"/>
    <n v="0"/>
  </r>
  <r>
    <n v="393"/>
    <d v="2025-06-30T00:00:00"/>
    <x v="53"/>
    <s v="STJ/2025/04/00812"/>
    <s v="Inventory Valuation"/>
    <s v="LOG/MTI/2025/00014 - [EPSCQ001] PLATE MS CHEQUERED 2400 X 1200 X 3 MM THICK / MRQ/2025/00041"/>
    <s v="LOG/MTI/2025/00014 - [EPSCQ001] PLATE MS CHEQUERED 2400 X 1200 X 3 MM THICK / MRQ/2025/00041"/>
    <m/>
    <m/>
    <s v="MATERIAL COST"/>
    <s v="Expenses"/>
    <s v="731002"/>
    <s v="731002 STORE SPARES &amp; CONSUMABLE-GENERAL"/>
    <s v="CWIP-FABRICATION OF INHOUSE TRAILOR"/>
    <s v="LOGISTIC DIVISION"/>
    <s v="LOGISTIC DIVISION"/>
    <n v="1457627.1"/>
    <n v="0"/>
    <n v="1457627.1"/>
    <s v="TZS"/>
    <s v="[EPSCQ001] PLATE MS CHEQUERED 2400 X 1200 X 3 MM THICK"/>
    <m/>
    <n v="-10"/>
    <s v="NOS"/>
    <x v="0"/>
    <x v="0"/>
    <x v="12"/>
    <x v="1"/>
    <n v="571.61847058823537"/>
    <n v="0"/>
  </r>
  <r>
    <n v="394"/>
    <d v="2025-06-30T00:00:00"/>
    <x v="53"/>
    <s v="STJ/2025/04/00813"/>
    <s v="Inventory Valuation"/>
    <s v="LOG/MTI/2025/00014 - [EPSSP003] PLATE MS 2400 X 1200 X 3 MM THICK / MRQ/2025/00041"/>
    <s v="LOG/MTI/2025/00014 - [EPSSP003] PLATE MS 2400 X 1200 X 3 MM THICK / MRQ/2025/00041"/>
    <m/>
    <m/>
    <s v="MATERIAL COST"/>
    <s v="Expenses"/>
    <s v="731002"/>
    <s v="731002 STORE SPARES &amp; CONSUMABLE-GENERAL"/>
    <s v="CWIP-FABRICATION OF INHOUSE TRAILOR"/>
    <s v="LOGISTIC DIVISION"/>
    <s v="LOGISTIC DIVISION"/>
    <n v="137000"/>
    <n v="0"/>
    <n v="137000"/>
    <s v="TZS"/>
    <s v="[EPSSP003] PLATE MS 2400 X 1200 X 3 MM THICK"/>
    <m/>
    <n v="-1"/>
    <s v="NOS"/>
    <x v="0"/>
    <x v="0"/>
    <x v="12"/>
    <x v="1"/>
    <n v="53.725490196078432"/>
    <n v="0"/>
  </r>
  <r>
    <n v="395"/>
    <d v="2025-06-30T00:00:00"/>
    <x v="53"/>
    <s v="STJ/2025/04/00814"/>
    <s v="Inventory Valuation"/>
    <s v="LOG/MTI/2025/00014 - [EPSSP007] PLATE MS 2400 X 1200 X 8 MM THICK / MRQ/2025/00041"/>
    <s v="LOG/MTI/2025/00014 - [EPSSP007] PLATE MS 2400 X 1200 X 8 MM THICK / MRQ/2025/00041"/>
    <m/>
    <m/>
    <s v="MATERIAL COST"/>
    <s v="Expenses"/>
    <s v="731002"/>
    <s v="731002 STORE SPARES &amp; CONSUMABLE-GENERAL"/>
    <s v="CWIP-FABRICATION OF INHOUSE TRAILOR"/>
    <s v="LOGISTIC DIVISION"/>
    <s v="LOGISTIC DIVISION"/>
    <n v="381355.93"/>
    <n v="0"/>
    <n v="381355.93"/>
    <s v="TZS"/>
    <s v="[EPSSP007] PLATE MS 2400 X 1200 X 8 MM THICK"/>
    <m/>
    <n v="-1"/>
    <s v="NOS"/>
    <x v="0"/>
    <x v="0"/>
    <x v="12"/>
    <x v="1"/>
    <n v="149.55134509803921"/>
    <n v="0"/>
  </r>
  <r>
    <n v="396"/>
    <d v="2025-06-30T00:00:00"/>
    <x v="53"/>
    <s v="STJ/2025/04/00815"/>
    <s v="Inventory Valuation"/>
    <s v="LOG/MTI/2025/00014 - [EPSSP009] PLATE MS 2400 X 1200 X 12 MM THICK / MRQ/2025/00041"/>
    <s v="LOG/MTI/2025/00014 - [EPSSP009] PLATE MS 2400 X 1200 X 12 MM THICK / MRQ/2025/00041"/>
    <m/>
    <m/>
    <s v="MATERIAL COST"/>
    <s v="Expenses"/>
    <s v="731002"/>
    <s v="731002 STORE SPARES &amp; CONSUMABLE-GENERAL"/>
    <s v="CWIP-FABRICATION OF INHOUSE TRAILOR"/>
    <s v="LOGISTIC DIVISION"/>
    <s v="LOGISTIC DIVISION"/>
    <n v="580508.47"/>
    <n v="0"/>
    <n v="580508.47"/>
    <s v="TZS"/>
    <s v="[EPSSP009] PLATE MS 2400 X 1200 X 12 MM THICK"/>
    <m/>
    <n v="-1"/>
    <s v="NOS"/>
    <x v="0"/>
    <x v="0"/>
    <x v="12"/>
    <x v="1"/>
    <n v="227.65038039215685"/>
    <n v="0"/>
  </r>
  <r>
    <n v="397"/>
    <d v="2025-06-30T00:00:00"/>
    <x v="53"/>
    <s v="STJ/2025/04/00816"/>
    <s v="Inventory Valuation"/>
    <s v="LOG/MTI/2025/00014 - [ESSCN001] ISMC 75 / MRQ/2025/00041"/>
    <s v="LOG/MTI/2025/00014 - [ESSCN001] ISMC 75 / MRQ/2025/00041"/>
    <m/>
    <m/>
    <s v="MATERIAL COST"/>
    <s v="Expenses"/>
    <s v="731002"/>
    <s v="731002 STORE SPARES &amp; CONSUMABLE-GENERAL"/>
    <s v="CWIP-FABRICATION OF INHOUSE TRAILOR"/>
    <s v="LOGISTIC DIVISION"/>
    <s v="LOGISTIC DIVISION"/>
    <n v="677966.1"/>
    <n v="0"/>
    <n v="677966.1"/>
    <s v="TZS"/>
    <s v="[ESSCN001] ISMC 75"/>
    <m/>
    <n v="-10"/>
    <s v="NOS"/>
    <x v="0"/>
    <x v="0"/>
    <x v="12"/>
    <x v="1"/>
    <n v="265.86905882352943"/>
    <n v="0"/>
  </r>
  <r>
    <n v="398"/>
    <d v="2025-06-30T00:00:00"/>
    <x v="53"/>
    <s v="STJ/2025/04/00817"/>
    <s v="Inventory Valuation"/>
    <s v="LOG/MTI/2025/00014 - [ESSCN002] ISMC 100 / MRQ/2025/00041"/>
    <s v="LOG/MTI/2025/00014 - [ESSCN002] ISMC 100 / MRQ/2025/00041"/>
    <m/>
    <m/>
    <s v="MATERIAL COST"/>
    <s v="Expenses"/>
    <s v="731002"/>
    <s v="731002 STORE SPARES &amp; CONSUMABLE-GENERAL"/>
    <s v="CWIP-FABRICATION OF INHOUSE TRAILOR"/>
    <s v="LOGISTIC DIVISION"/>
    <s v="LOGISTIC DIVISION"/>
    <n v="360000"/>
    <n v="0"/>
    <n v="360000"/>
    <s v="TZS"/>
    <s v="[ESSCN002] ISMC 100"/>
    <m/>
    <n v="-4"/>
    <s v="NOS"/>
    <x v="0"/>
    <x v="0"/>
    <x v="12"/>
    <x v="1"/>
    <n v="141.1764705882353"/>
    <n v="0"/>
  </r>
  <r>
    <n v="399"/>
    <d v="2025-06-30T00:00:00"/>
    <x v="53"/>
    <s v="STJ/2025/04/00818"/>
    <s v="Inventory Valuation"/>
    <s v="LOG/MTI/2025/00014 - [ESSCN004] ISMC 150 / MRQ/2025/00041"/>
    <s v="LOG/MTI/2025/00014 - [ESSCN004] ISMC 150 / MRQ/2025/00041"/>
    <m/>
    <m/>
    <s v="MATERIAL COST"/>
    <s v="Expenses"/>
    <s v="731002"/>
    <s v="731002 STORE SPARES &amp; CONSUMABLE-GENERAL"/>
    <s v="CWIP-FABRICATION OF INHOUSE TRAILOR"/>
    <s v="LOGISTIC DIVISION"/>
    <s v="LOGISTIC DIVISION"/>
    <n v="1080000"/>
    <n v="0"/>
    <n v="1080000"/>
    <s v="TZS"/>
    <s v="[ESSCN004] ISMC 150"/>
    <m/>
    <n v="-6"/>
    <s v="NOS"/>
    <x v="0"/>
    <x v="0"/>
    <x v="12"/>
    <x v="1"/>
    <n v="423.52941176470586"/>
    <n v="0"/>
  </r>
  <r>
    <n v="400"/>
    <d v="2025-06-30T00:00:00"/>
    <x v="53"/>
    <s v="STJ/2025/04/00832"/>
    <s v="Inventory Valuation"/>
    <s v="LOG/MTI/2025/00010 - [LGS0079] CUTTING WHEEL - 9'' / MRQ/2025/00040"/>
    <s v="LOG/MTI/2025/00010 - [LGS0079] CUTTING WHEEL - 9'' / MRQ/2025/00040"/>
    <m/>
    <m/>
    <s v="MATERIAL COST"/>
    <s v="Expenses"/>
    <s v="731002"/>
    <s v="731002 STORE SPARES &amp; CONSUMABLE-GENERAL"/>
    <s v="CWIP-FABRICATION OF INHOUSE TRAILOR"/>
    <s v="LOGISTIC DIVISION"/>
    <s v="LOGISTIC DIVISION"/>
    <n v="22900.6"/>
    <n v="0"/>
    <n v="22900.6"/>
    <s v="TZS"/>
    <s v="[LGS0079] CUTTING WHEEL - 9''"/>
    <m/>
    <n v="-6"/>
    <s v="NOS"/>
    <x v="0"/>
    <x v="0"/>
    <x v="12"/>
    <x v="1"/>
    <n v="8.9806274509803909"/>
    <n v="0"/>
  </r>
  <r>
    <n v="401"/>
    <d v="2025-06-30T00:00:00"/>
    <x v="53"/>
    <s v="STJ/2025/04/05771"/>
    <s v="Inventory Valuation"/>
    <s v="CM/MTI/2025/00288 - [CPAPT007] PAINT RED OXIDE / MRQ/2025/00382"/>
    <s v="CM/MTI/2025/00288 - [CPAPT007] PAINT RED OXIDE / MRQ/2025/00382"/>
    <m/>
    <m/>
    <s v="MATERIAL COST"/>
    <s v="Expenses"/>
    <s v="731002"/>
    <s v="731002 STORE SPARES &amp; CONSUMABLE-GENERAL"/>
    <s v="CWIP-INSTALLATION OF NEW WEIGHBRIDGE AT QUARRY(2NOS)"/>
    <s v="UTILITY"/>
    <s v="CIVIL"/>
    <n v="35380"/>
    <n v="0"/>
    <n v="35380"/>
    <s v="TZS"/>
    <s v="[CPAPT007] PAINT RED OXIDE"/>
    <m/>
    <n v="-8"/>
    <s v="LTR"/>
    <x v="0"/>
    <x v="0"/>
    <x v="14"/>
    <x v="3"/>
    <n v="13.874509803921569"/>
    <n v="0"/>
  </r>
  <r>
    <n v="402"/>
    <d v="2025-06-30T00:00:00"/>
    <x v="53"/>
    <s v="STJ/2025/04/05772"/>
    <s v="Inventory Valuation"/>
    <s v="CM/MTI/2025/00288 - [CPAPT037] THINNER SOLVENT / MRQ/2025/00382"/>
    <s v="CM/MTI/2025/00288 - [CPAPT037] THINNER SOLVENT / MRQ/2025/00382"/>
    <m/>
    <m/>
    <s v="MATERIAL COST"/>
    <s v="Expenses"/>
    <s v="731002"/>
    <s v="731002 STORE SPARES &amp; CONSUMABLE-GENERAL"/>
    <s v="CWIP-INSTALLATION OF NEW WEIGHBRIDGE AT QUARRY(2NOS)"/>
    <s v="UTILITY"/>
    <s v="CIVIL"/>
    <n v="20183.87"/>
    <n v="0"/>
    <n v="20183.87"/>
    <s v="TZS"/>
    <s v="[CPAPT037] THINNER SOLVENT"/>
    <m/>
    <n v="-5"/>
    <s v="LTR"/>
    <x v="0"/>
    <x v="0"/>
    <x v="14"/>
    <x v="3"/>
    <n v="7.9152431372549019"/>
    <n v="0"/>
  </r>
  <r>
    <n v="403"/>
    <d v="2025-06-30T00:00:00"/>
    <x v="53"/>
    <s v="STJ/2025/04/05773"/>
    <s v="Inventory Valuation"/>
    <s v="CM/MTI/2025/00288 - [EFSHB118] BOLT HT HEX HEAD M16 X 75MM FULL THREAD WITH NUT AND WASHER GRADE 8.8 / MRQ/2025/00382"/>
    <s v="CM/MTI/2025/00288 - [EFSHB118] BOLT HT HEX HEAD M16 X 75MM FULL THREAD WITH NUT AND WASHER GRADE 8.8 / MRQ/2025/00382"/>
    <m/>
    <m/>
    <s v="MATERIAL COST"/>
    <s v="Expenses"/>
    <s v="731002"/>
    <s v="731002 STORE SPARES &amp; CONSUMABLE-GENERAL"/>
    <s v="CWIP-INSTALLATION OF NEW WEIGHBRIDGE AT QUARRY(2NOS)"/>
    <s v="UTILITY"/>
    <s v="CIVIL"/>
    <n v="134344.81"/>
    <n v="0"/>
    <n v="134344.81"/>
    <s v="TZS"/>
    <s v="[EFSHB118] BOLT HT HEX HEAD M16 X 75MM FULL THREAD WITH NUT AND WASHER GRADE 8.8"/>
    <m/>
    <n v="-100"/>
    <s v="NOS"/>
    <x v="0"/>
    <x v="0"/>
    <x v="14"/>
    <x v="3"/>
    <n v="52.684239215686276"/>
    <n v="0"/>
  </r>
  <r>
    <n v="404"/>
    <d v="2025-06-30T00:00:00"/>
    <x v="53"/>
    <s v="STJ/2025/04/02596"/>
    <s v="Inventory Valuation"/>
    <s v="CM/MTI/2025/00141 - [CWCWR001] WELDING ELECTRODE MS 6013 SIZE 2.5 MM X 350 MM / MRQ/2025/00167"/>
    <s v="CM/MTI/2025/00141 - [CWCWR001] WELDING ELECTRODE MS 6013 SIZE 2.5 MM X 350 MM / MRQ/2025/00167"/>
    <m/>
    <m/>
    <s v="MATERIAL COST"/>
    <s v="Expenses"/>
    <s v="731002"/>
    <s v="731002 STORE SPARES &amp; CONSUMABLE-GENERAL"/>
    <s v="CWIP-INSTALLATION OF NEW WEIGHBRIDGE AT QUARRY(2NOS)"/>
    <s v="UTILITY"/>
    <s v="CIVIL"/>
    <n v="43846.32"/>
    <n v="0"/>
    <n v="43846.32"/>
    <s v="TZS"/>
    <s v="[CWCWR001] WELDING ELECTRODE MS 6013 SIZE 2.5 MM X 350 MM"/>
    <m/>
    <n v="-10"/>
    <s v="KG"/>
    <x v="0"/>
    <x v="0"/>
    <x v="14"/>
    <x v="3"/>
    <n v="17.194635294117646"/>
    <n v="0"/>
  </r>
  <r>
    <n v="405"/>
    <d v="2025-06-30T00:00:00"/>
    <x v="53"/>
    <s v="STJ/2025/04/02552"/>
    <s v="Inventory Valuation"/>
    <s v="CM/MTI/2025/00126 - [CCLGC328] TMT BAR SIZE 10 MM GRADE FY500. / MRQ/2025/00124"/>
    <s v="CM/MTI/2025/00126 - [CCLGC328] TMT BAR SIZE 10 MM GRADE FY500. / MRQ/2025/00124"/>
    <m/>
    <m/>
    <s v="MATERIAL COST"/>
    <s v="Expenses"/>
    <s v="731002"/>
    <s v="731002 STORE SPARES &amp; CONSUMABLE-GENERAL"/>
    <s v="CWIP-ROAD PHASE 07"/>
    <s v="DISPATCH"/>
    <s v="CIVIL"/>
    <n v="2213136"/>
    <n v="0"/>
    <n v="2213136"/>
    <s v="TZS"/>
    <s v="[CCLGC328] TMT BAR SIZE 10 MM GRADE FY500."/>
    <m/>
    <n v="-150"/>
    <s v="PCS"/>
    <x v="0"/>
    <x v="0"/>
    <x v="17"/>
    <x v="6"/>
    <n v="867.89647058823527"/>
    <n v="35000"/>
  </r>
  <r>
    <n v="406"/>
    <d v="2025-06-30T00:00:00"/>
    <x v="53"/>
    <s v="STJ/2025/04/05213"/>
    <s v="Inventory Valuation"/>
    <s v="CM/MTI/2025/00232 - [CPMBG002] BAG EMPTY FOR CEMENT PACKING GRADE 42.5R MATERIAL WOVEN POLYPROPYLENE CAPACITY 50KG COLOR ORANGE / MRQ/2024/11959"/>
    <s v="CM/MTI/2025/00232 - [CPMBG002] BAG EMPTY FOR CEMENT PACKING GRADE 42.5R MATERIAL WOVEN POLYPROPYLENE CAPACITY 50KG COLOR ORANGE / MRQ/2024/11959"/>
    <m/>
    <m/>
    <s v="MATERIAL COST"/>
    <s v="Expenses"/>
    <s v="731006"/>
    <s v="731006 PACKING BAG CONSUMED"/>
    <s v="CWIP-INSTALLATION OF NEW WEIGHBRIDGE AT QUARRY(2NOS)"/>
    <s v="UTILITY"/>
    <s v="CIVIL"/>
    <n v="52523.76"/>
    <n v="0"/>
    <n v="52523.76"/>
    <s v="TZS"/>
    <s v="[CPMBG002] BAG EMPTY FOR CEMENT PACKING GRADE 42.5R MATERIAL WOVEN POLYPROPYLENE CAPACITY 50KG COLOR ORANGE"/>
    <m/>
    <n v="-125"/>
    <s v="NOS"/>
    <x v="0"/>
    <x v="0"/>
    <x v="14"/>
    <x v="3"/>
    <n v="20.59755294117647"/>
    <n v="0"/>
  </r>
  <r>
    <n v="407"/>
    <d v="2025-06-30T00:00:00"/>
    <x v="53"/>
    <s v="STJ/2025/04/05185"/>
    <s v="Inventory Valuation"/>
    <s v="CM/MTI/2025/00219 - [CPMBG005] BAG EMPTY FOR CEMENT PACKING GRADE 42.5R MATERIAL WOVEN POLYPROPYLENE CAPACITY 1MT COLOR BLUE / MRQ/2025/00125"/>
    <s v="CM/MTI/2025/00219 - [CPMBG005] BAG EMPTY FOR CEMENT PACKING GRADE 42.5R MATERIAL WOVEN POLYPROPYLENE CAPACITY 1MT COLOR BLUE / MRQ/2025/00125"/>
    <m/>
    <m/>
    <s v="MATERIAL COST"/>
    <s v="Expenses"/>
    <s v="731006"/>
    <s v="731006 PACKING BAG CONSUMED"/>
    <s v="CWIP-ROAD PHASE 07"/>
    <s v="DISPATCH"/>
    <s v="CIVIL"/>
    <n v="126267.7"/>
    <n v="0"/>
    <n v="126267.7"/>
    <s v="TZS"/>
    <s v="[CPMBG005] BAG EMPTY FOR CEMENT PACKING GRADE 42.5R MATERIAL WOVEN POLYPROPYLENE CAPACITY 1MT COLOR BLUE"/>
    <m/>
    <n v="-6"/>
    <s v="NOS"/>
    <x v="0"/>
    <x v="0"/>
    <x v="17"/>
    <x v="6"/>
    <n v="49.516745098039216"/>
    <n v="0"/>
  </r>
  <r>
    <n v="408"/>
    <d v="2025-06-30T00:00:00"/>
    <x v="53"/>
    <s v="PCVLG/2025/04/0094"/>
    <s v="PCV (PETTY CASH LOGISTIC)"/>
    <m/>
    <s v="CASH PAID FOR PURCHASING OF JOST PIN 2 PCS FOR NEW TRAILERS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300000"/>
    <n v="0"/>
    <n v="300000"/>
    <s v="TZS"/>
    <m/>
    <m/>
    <n v="1"/>
    <m/>
    <x v="0"/>
    <x v="0"/>
    <x v="12"/>
    <x v="1"/>
    <n v="117.64705882352941"/>
    <n v="0"/>
  </r>
  <r>
    <n v="409"/>
    <d v="2025-06-30T00:00:00"/>
    <x v="53"/>
    <s v="PCVLG/2025/04/0076"/>
    <s v="PCV (PETTY CASH LOGISTIC)"/>
    <m/>
    <s v="CASH PAID FOR  REMOVING AND SERVING OF 6AXIL FROM OLD BULKERS AND SHIFTING OF BOTTEM TOP PLATED FOR Z SPRING 12SETS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200000"/>
    <n v="0"/>
    <n v="200000"/>
    <s v="TZS"/>
    <m/>
    <m/>
    <n v="1"/>
    <m/>
    <x v="0"/>
    <x v="0"/>
    <x v="12"/>
    <x v="1"/>
    <n v="78.431372549019613"/>
    <n v="0"/>
  </r>
  <r>
    <n v="410"/>
    <d v="2025-06-30T00:00:00"/>
    <x v="53"/>
    <s v="PCVLG/2025/04/0076"/>
    <s v="PCV (PETTY CASH LOGISTIC)"/>
    <m/>
    <s v="CASH PAID FOR  REMOVING AND SERVING OF 6AXIL FROM OLD BULKERS AND SHIFTING OF BOTTEM TOP PLATED FOR Z SPRING 12SETS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300000"/>
    <n v="0"/>
    <n v="300000"/>
    <s v="TZS"/>
    <m/>
    <m/>
    <n v="1"/>
    <m/>
    <x v="0"/>
    <x v="0"/>
    <x v="12"/>
    <x v="1"/>
    <n v="117.64705882352941"/>
    <n v="0"/>
  </r>
  <r>
    <n v="411"/>
    <d v="2025-06-30T00:00:00"/>
    <x v="53"/>
    <s v="PCVLG/2025/04/0041"/>
    <s v="PCV (PETTY CASH LOGISTIC)"/>
    <m/>
    <s v="CASH PAID FOR FABRICATION OF NEW TRAILERS IN HOUSE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1500000"/>
    <n v="0"/>
    <n v="1500000"/>
    <s v="TZS"/>
    <m/>
    <m/>
    <n v="1"/>
    <m/>
    <x v="0"/>
    <x v="0"/>
    <x v="12"/>
    <x v="1"/>
    <n v="588.23529411764707"/>
    <n v="0"/>
  </r>
  <r>
    <n v="412"/>
    <d v="2025-06-30T00:00:00"/>
    <x v="53"/>
    <s v="PCVLG/2025/04/0121"/>
    <s v="PCV (PETTY CASH LOGISTIC)"/>
    <m/>
    <s v="CASH PAID FOR REMOVING AND SERVICING  AND RELOCATION OF PLATE AND FITTING OF ALL AXILL FOR NEW TRAILER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500000"/>
    <n v="0"/>
    <n v="500000"/>
    <s v="TZS"/>
    <m/>
    <m/>
    <n v="1"/>
    <m/>
    <x v="0"/>
    <x v="0"/>
    <x v="12"/>
    <x v="1"/>
    <n v="196.07843137254903"/>
    <n v="0"/>
  </r>
  <r>
    <n v="413"/>
    <d v="2025-06-30T00:00:00"/>
    <x v="53"/>
    <s v="PCVLG/2025/04/0117"/>
    <s v="PCV (PETTY CASH LOGISTIC)"/>
    <m/>
    <s v="CASH PAID FOR FABRICATION OF NEW TRAILERS IN HOUSE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1500000"/>
    <n v="0"/>
    <n v="1500000"/>
    <s v="TZS"/>
    <m/>
    <m/>
    <n v="1"/>
    <m/>
    <x v="0"/>
    <x v="0"/>
    <x v="12"/>
    <x v="1"/>
    <n v="588.23529411764707"/>
    <n v="0"/>
  </r>
  <r>
    <n v="414"/>
    <d v="2025-06-30T00:00:00"/>
    <x v="53"/>
    <s v="PCVLG/2025/04/0118"/>
    <s v="PCV (PETTY CASH LOGISTIC)"/>
    <m/>
    <s v="CASH PAID FOR FABRICATION OF NEW TRAILERS IN HOUSE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1500000"/>
    <n v="0"/>
    <n v="1500000"/>
    <s v="TZS"/>
    <m/>
    <m/>
    <n v="1"/>
    <m/>
    <x v="0"/>
    <x v="0"/>
    <x v="12"/>
    <x v="1"/>
    <n v="588.23529411764707"/>
    <n v="0"/>
  </r>
  <r>
    <n v="415"/>
    <d v="2025-06-30T00:00:00"/>
    <x v="53"/>
    <s v="PCVLG/2025/04/0056"/>
    <s v="PCV (PETTY CASH LOGISTIC)"/>
    <m/>
    <s v="CASH PAID FOR FABRICATION OF NEW TRAILERS IN HOUSE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1500000"/>
    <n v="0"/>
    <n v="1500000"/>
    <s v="TZS"/>
    <m/>
    <m/>
    <n v="1"/>
    <m/>
    <x v="0"/>
    <x v="0"/>
    <x v="12"/>
    <x v="1"/>
    <n v="588.23529411764707"/>
    <n v="0"/>
  </r>
  <r>
    <n v="416"/>
    <d v="2025-06-30T00:00:00"/>
    <x v="53"/>
    <s v="PCVLG/2025/04/0059"/>
    <s v="PCV (PETTY CASH LOGISTIC)"/>
    <m/>
    <s v="CASH PAID FOR BENDING OF REAR BUMPER 3 SETS  AND MUDGUARDS 12 PCS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217000"/>
    <n v="0"/>
    <n v="217000"/>
    <s v="TZS"/>
    <m/>
    <m/>
    <n v="1"/>
    <m/>
    <x v="0"/>
    <x v="0"/>
    <x v="12"/>
    <x v="1"/>
    <n v="85.098039215686271"/>
    <n v="0"/>
  </r>
  <r>
    <n v="417"/>
    <d v="2025-06-30T00:00:00"/>
    <x v="53"/>
    <s v="PCVLG/2025/04/0060"/>
    <s v="PCV (PETTY CASH LOGISTIC)"/>
    <m/>
    <s v="CASH PAID FOR MECHNNG AND DRILLING OF 128 HOLES FOR BOOSTER SUPPORT PLATE FOR NEW TRAILERS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217000"/>
    <n v="0"/>
    <n v="217000"/>
    <s v="TZS"/>
    <m/>
    <m/>
    <n v="1"/>
    <m/>
    <x v="0"/>
    <x v="0"/>
    <x v="12"/>
    <x v="1"/>
    <n v="85.098039215686271"/>
    <n v="0"/>
  </r>
  <r>
    <n v="418"/>
    <d v="2025-06-30T00:00:00"/>
    <x v="53"/>
    <s v="PCVLG/2025/04/0061"/>
    <s v="PCV (PETTY CASH LOGISTIC)"/>
    <m/>
    <s v="CASH PAID FOR TRASPORT CHARGES FOR SEDING METERIAL FOR MACHING AT TEMEKE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35000"/>
    <n v="0"/>
    <n v="35000"/>
    <s v="TZS"/>
    <m/>
    <m/>
    <n v="1"/>
    <m/>
    <x v="0"/>
    <x v="0"/>
    <x v="12"/>
    <x v="1"/>
    <n v="13.725490196078431"/>
    <n v="0"/>
  </r>
  <r>
    <n v="419"/>
    <d v="2025-06-30T00:00:00"/>
    <x v="53"/>
    <s v="STJ/2025/06/15317"/>
    <s v="Inventory Valuation"/>
    <s v="CM/MTI/2025/01627 - [EFSHB115] BOLT HT HEX HEAD M16 X 50MM FULL THREAD WITH NUT AND WASHER GRADE 8.8 / MRQ/2025/02228"/>
    <s v="CM/MTI/2025/01627 - [EFSHB115] BOLT HT HEX HEAD M16 X 50MM FULL THREAD WITH NUT AND WASHER GRADE 8.8 / MRQ/2025/02228"/>
    <m/>
    <m/>
    <s v="MATERIAL COST"/>
    <s v="Expenses"/>
    <s v="731002"/>
    <s v="731002 STORE SPARES &amp; CONSUMABLES - GENERAL"/>
    <s v="CWIP-INSTALLATION OF NEW WEIGHBRIDGE AT QUARRY(2NOS)"/>
    <s v="UTILITY"/>
    <s v="MECHANICAL"/>
    <n v="292775.53000000003"/>
    <n v="0"/>
    <n v="292775.53000000003"/>
    <s v="TZS"/>
    <s v="[EFSHB115] BOLT HT HEX HEAD M16 X 50MM FULL THREAD WITH NUT AND WASHER GRADE 8.8"/>
    <m/>
    <n v="-300"/>
    <s v="NOS"/>
    <x v="0"/>
    <x v="0"/>
    <x v="14"/>
    <x v="3"/>
    <n v="114.81393333333334"/>
    <n v="0"/>
  </r>
  <r>
    <n v="420"/>
    <d v="2025-06-30T00:00:00"/>
    <x v="53"/>
    <s v="STJ/2025/06/15316"/>
    <s v="Inventory Valuation"/>
    <s v="CM/MTI/2025/01627 - [CPAPT037] THINNER SOLVENT / MRQ/2025/02228_x000a_Rounding Adjustment: +0.01 TSh"/>
    <s v="CM/MTI/2025/01627 - [CPAPT037] THINNER SOLVENT / MRQ/2025/02228_x000a_Rounding Adjustment: +0.01 TSh"/>
    <m/>
    <m/>
    <s v="MATERIAL COST"/>
    <s v="Expenses"/>
    <s v="731002"/>
    <s v="731002 STORE SPARES &amp; CONSUMABLES - GENERAL"/>
    <s v="CWIP-INSTALLATION OF NEW WEIGHBRIDGE AT QUARRY(2NOS)"/>
    <s v="UTILITY"/>
    <s v="MECHANICAL"/>
    <n v="40367.72"/>
    <n v="0"/>
    <n v="40367.72"/>
    <s v="TZS"/>
    <s v="[CPAPT037] THINNER SOLVENT"/>
    <m/>
    <n v="-10"/>
    <s v="LTR"/>
    <x v="0"/>
    <x v="0"/>
    <x v="14"/>
    <x v="3"/>
    <n v="15.83047843137255"/>
    <n v="0"/>
  </r>
  <r>
    <n v="421"/>
    <d v="2025-06-30T00:00:00"/>
    <x v="53"/>
    <s v="STJ/2025/06/15315"/>
    <s v="Inventory Valuation"/>
    <s v="CM/MTI/2025/01627 - [CPAPT009] PAINT OIL BLACK / MRQ/2025/02228"/>
    <s v="CM/MTI/2025/01627 - [CPAPT009] PAINT OIL BLACK / MRQ/2025/02228"/>
    <m/>
    <m/>
    <s v="MATERIAL COST"/>
    <s v="Expenses"/>
    <s v="731002"/>
    <s v="731002 STORE SPARES &amp; CONSUMABLES - GENERAL"/>
    <s v="CWIP-INSTALLATION OF NEW WEIGHBRIDGE AT QUARRY(2NOS)"/>
    <s v="UTILITY"/>
    <s v="MECHANICAL"/>
    <n v="71251.5"/>
    <n v="0"/>
    <n v="71251.5"/>
    <s v="TZS"/>
    <s v="[CPAPT009] PAINT OIL BLACK"/>
    <m/>
    <n v="-16"/>
    <s v="LTR"/>
    <x v="0"/>
    <x v="0"/>
    <x v="14"/>
    <x v="3"/>
    <n v="27.941764705882353"/>
    <n v="0"/>
  </r>
  <r>
    <n v="422"/>
    <d v="2025-06-30T00:00:00"/>
    <x v="53"/>
    <s v="STJ/2025/06/15314"/>
    <s v="Inventory Valuation"/>
    <s v="CM/MTI/2025/01627 - [CPAPT007] PAINT RED OXIDE / MRQ/2025/02228"/>
    <s v="CM/MTI/2025/01627 - [CPAPT007] PAINT RED OXIDE / MRQ/2025/02228"/>
    <m/>
    <m/>
    <s v="MATERIAL COST"/>
    <s v="Expenses"/>
    <s v="731002"/>
    <s v="731002 STORE SPARES &amp; CONSUMABLES - GENERAL"/>
    <s v="CWIP-INSTALLATION OF NEW WEIGHBRIDGE AT QUARRY(2NOS)"/>
    <s v="UTILITY"/>
    <s v="MECHANICAL"/>
    <n v="70760"/>
    <n v="0"/>
    <n v="70760"/>
    <s v="TZS"/>
    <s v="[CPAPT007] PAINT RED OXIDE"/>
    <m/>
    <n v="-16"/>
    <s v="LTR"/>
    <x v="0"/>
    <x v="0"/>
    <x v="14"/>
    <x v="3"/>
    <n v="27.749019607843138"/>
    <n v="0"/>
  </r>
  <r>
    <n v="423"/>
    <d v="2025-06-30T00:00:00"/>
    <x v="53"/>
    <s v="STJ/2025/06/15222"/>
    <s v="Inventory Valuation"/>
    <s v="CM/MTI/2025/01626 - [CWCWR003] WELDING ELECTRODE MS 6013 SIZE 4 MM X 450 MM / MRQ/2025/02253"/>
    <s v="CM/MTI/2025/01626 - [CWCWR003] WELDING ELECTRODE MS 6013 SIZE 4 MM X 450 MM / MRQ/2025/0225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424"/>
    <d v="2025-06-30T00:00:00"/>
    <x v="53"/>
    <s v="STJ/2025/06/15221"/>
    <s v="Inventory Valuation"/>
    <s v="CM/MTI/2025/01626 - [CWCGC041] CUTTING WHEEL 7'' / MRQ/2025/02253"/>
    <s v="CM/MTI/2025/01626 - [CWCGC041] CUTTING WHEEL 7'' / MRQ/2025/0225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425"/>
    <d v="2025-06-30T00:00:00"/>
    <x v="53"/>
    <s v="STJ/2025/06/15220"/>
    <s v="Inventory Valuation"/>
    <s v="CM/MTI/2025/01626 - [CIGGS005] GAS LIQUEFIED PETROLEUM FULL CYLINDER, LPG CAPACITY 15KG / MRQ/2025/02253"/>
    <s v="CM/MTI/2025/01626 - [CIGGS005] GAS LIQUEFIED PETROLEUM FULL CYLINDER, LPG CAPACITY 15KG / MRQ/2025/0225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000"/>
    <n v="0"/>
    <n v="96000"/>
    <s v="TZS"/>
    <s v="[CIGGS005] GAS LIQUEFIED PETROLEUM FULL CYLINDER, LPG CAPACITY 15KG"/>
    <m/>
    <n v="-2"/>
    <s v="NOS"/>
    <x v="0"/>
    <x v="0"/>
    <x v="9"/>
    <x v="4"/>
    <n v="37.647058823529413"/>
    <n v="0"/>
  </r>
  <r>
    <n v="426"/>
    <d v="2025-06-30T00:00:00"/>
    <x v="53"/>
    <s v="STJ/2025/06/15219"/>
    <s v="Inventory Valuation"/>
    <s v="CM/MTI/2025/01626 - [CIGGS001] GAS OXYGEN FULL CYLINDER, O2 / MRQ/2025/02253"/>
    <s v="CM/MTI/2025/01626 - [CIGGS001] GAS OXYGEN FULL CYLINDER, O2 / MRQ/2025/0225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427"/>
    <d v="2025-06-30T00:00:00"/>
    <x v="53"/>
    <s v="STJ/2025/06/15034"/>
    <s v="Inventory Valuation"/>
    <s v="CM/MTI/2025/01625 - [CWCWR003] WELDING ELECTRODE MS 6013 SIZE 4 MM X 450 MM / MRQ/2025/02237"/>
    <s v="CM/MTI/2025/01625 - [CWCWR003] WELDING ELECTRODE MS 6013 SIZE 4 MM X 450 MM / MRQ/2025/0223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428"/>
    <d v="2025-06-30T00:00:00"/>
    <x v="53"/>
    <s v="STJ/2025/06/15033"/>
    <s v="Inventory Valuation"/>
    <s v="CM/MTI/2025/01625 - [CIGGS001] GAS OXYGEN FULL CYLINDER, O2 / MRQ/2025/02237"/>
    <s v="CM/MTI/2025/01625 - [CIGGS001] GAS OXYGEN FULL CYLINDER, O2 / MRQ/2025/0223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0000"/>
    <n v="0"/>
    <n v="60000"/>
    <s v="TZS"/>
    <s v="[CIGGS001] GAS OXYGEN FULL CYLINDER, O2"/>
    <m/>
    <n v="-4"/>
    <s v="NOS"/>
    <x v="0"/>
    <x v="0"/>
    <x v="9"/>
    <x v="4"/>
    <n v="23.529411764705884"/>
    <n v="0"/>
  </r>
  <r>
    <n v="429"/>
    <d v="2025-06-30T00:00:00"/>
    <x v="53"/>
    <s v="STJ/2025/06/14795"/>
    <s v="Inventory Valuation"/>
    <s v="CM/MTI/2025/01613 - [EVLBV012] VALVE BALL TYPE SIZE 1'' / MRQ/2025/02230"/>
    <s v="CM/MTI/2025/01613 - [EVLBV012] VALVE BALL TYPE SIZE 1'' / MRQ/2025/0223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6000"/>
    <n v="0"/>
    <n v="36000"/>
    <s v="TZS"/>
    <s v="[EVLBV012] VALVE BALL TYPE SIZE 1''"/>
    <m/>
    <n v="-2"/>
    <s v="NOS"/>
    <x v="0"/>
    <x v="0"/>
    <x v="9"/>
    <x v="4"/>
    <n v="14.117647058823529"/>
    <n v="0"/>
  </r>
  <r>
    <n v="430"/>
    <d v="2025-06-30T00:00:00"/>
    <x v="53"/>
    <s v="STJ/2025/06/14794"/>
    <s v="Inventory Valuation"/>
    <s v="CM/MTI/2025/01613 - [EPFPI024] PIPE MS SIZE 1&quot; DIA X 6000 MM LONG CLASS C / MRQ/2025/02230"/>
    <s v="CM/MTI/2025/01613 - [EPFPI024] PIPE MS SIZE 1&quot; DIA X 6000 MM LONG CLASS C / MRQ/2025/0223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10037.66"/>
    <n v="0"/>
    <n v="110037.66"/>
    <s v="TZS"/>
    <s v="[EPFPI024] PIPE MS SIZE 1&quot; DIA X 6000 MM LONG CLASS C"/>
    <m/>
    <n v="-2"/>
    <s v="NOS"/>
    <x v="0"/>
    <x v="0"/>
    <x v="9"/>
    <x v="4"/>
    <n v="43.152023529411764"/>
    <n v="0"/>
  </r>
  <r>
    <n v="431"/>
    <d v="2025-06-30T00:00:00"/>
    <x v="53"/>
    <s v="STJ/2025/06/14793"/>
    <s v="Inventory Valuation"/>
    <s v="CM/MTI/2025/01613 - [EPFBN004] BEND MS SIZE 1'' / MRQ/2025/02230"/>
    <s v="CM/MTI/2025/01613 - [EPFBN004] BEND MS SIZE 1'' / MRQ/2025/0223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215.78"/>
    <n v="0"/>
    <n v="5215.78"/>
    <s v="TZS"/>
    <s v="[EPFBN004] BEND MS SIZE 1''"/>
    <m/>
    <n v="-3"/>
    <s v="NOS"/>
    <x v="0"/>
    <x v="0"/>
    <x v="9"/>
    <x v="4"/>
    <n v="2.0454039215686275"/>
    <n v="0"/>
  </r>
  <r>
    <n v="432"/>
    <d v="2025-06-30T00:00:00"/>
    <x v="53"/>
    <s v="STJ/2025/06/14771"/>
    <s v="Inventory Valuation"/>
    <s v="LOG/MTI/2025/00513 - [EFSHB219] BOLT HT HEX HEAD M16 X 70MM HALF THREAD WITH NUT AND WASHER GRADE 10.9 / MRQ/2025/02257"/>
    <s v="LOG/MTI/2025/00513 - [EFSHB219] BOLT HT HEX HEAD M16 X 70MM HALF THREAD WITH NUT AND WASHER GRADE 10.9 / MRQ/2025/02257"/>
    <m/>
    <m/>
    <s v="MATERIAL COST"/>
    <s v="Expenses"/>
    <s v="731002"/>
    <s v="731002 STORE SPARES &amp; CONSUMABLES - GENERAL"/>
    <s v="CWIP-FABRICATION OF INHOUSE TRAILOR"/>
    <s v="LOGISTIC DIVISION"/>
    <s v="LOGISTIC DIVISION"/>
    <n v="47711.69"/>
    <n v="0"/>
    <n v="47711.69"/>
    <s v="TZS"/>
    <s v="[EFSHB219] BOLT HT HEX HEAD M16 X 70MM HALF THREAD WITH NUT AND WASHER GRADE 10.9"/>
    <m/>
    <n v="-24"/>
    <s v="NOS"/>
    <x v="0"/>
    <x v="0"/>
    <x v="12"/>
    <x v="1"/>
    <n v="18.710466666666669"/>
    <n v="0"/>
  </r>
  <r>
    <n v="433"/>
    <d v="2025-06-30T00:00:00"/>
    <x v="53"/>
    <s v="PCVLG/2025/06/0190"/>
    <s v="PCV (PETTY CASH LOGISTIC)"/>
    <m/>
    <s v="CASH PAID FOR BENDING OF MS PLATE 1.5 MM 30 PCS @20000EACH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600000"/>
    <n v="0"/>
    <n v="600000"/>
    <s v="TZS"/>
    <m/>
    <m/>
    <n v="1"/>
    <m/>
    <x v="0"/>
    <x v="0"/>
    <x v="12"/>
    <x v="1"/>
    <n v="235.29411764705881"/>
    <n v="0"/>
  </r>
  <r>
    <n v="434"/>
    <d v="2025-06-30T00:00:00"/>
    <x v="53"/>
    <s v="STJ/2025/05/05235"/>
    <s v="Inventory Valuation"/>
    <s v="CM/MTI/2025/00887 - [EMECB065] BELT CONVEYOR SIZE 650MM WIDTH TENSILE STRENGTH 400/3PLY TOP RUBBER 5MM THICK, BOTTOM RUBBER 2MM THICK GRADE FR GRADE FOR RAW COAL TRANSPORT APPLICATION / MRQ/2025/01155"/>
    <s v="CM/MTI/2025/00887 - [EMECB065] BELT CONVEYOR SIZE 650MM WIDTH TENSILE STRENGTH 400/3PLY TOP RUBBER 5MM THICK, BOTTOM RUBBER 2MM THICK GRADE FR GRADE FOR RAW COAL TRANSPORT APPLICATION / MRQ/2025/01155"/>
    <m/>
    <m/>
    <s v="MATERIAL COST"/>
    <s v="Expenses"/>
    <s v="731002"/>
    <s v="731002 STORE SPARES &amp; CONSUMABLE-GENERAL"/>
    <s v="CWIP-CONSTRUCTION OF LIME STONE AND GYPSUM FEEDING SYSTEM IN CEMENT MILL"/>
    <s v="CEMENT MILL -1"/>
    <s v="MECHANICAL"/>
    <n v="10017829.1"/>
    <n v="0"/>
    <n v="10017829.1"/>
    <s v="TZS"/>
    <s v="[EMECB065] BELT CONVEYOR SIZE 650MM WIDTH TENSILE STRENGTH 400/3PLY TOP RUBBER 5MM THICK, BOTTOM RUBBER 2MM THICK GRADE FR GRADE FOR RAW COAL TRANSPORT APPLICATION"/>
    <m/>
    <n v="-159"/>
    <s v="MTR"/>
    <x v="0"/>
    <x v="0"/>
    <x v="8"/>
    <x v="3"/>
    <n v="3928.5604313725489"/>
    <n v="0"/>
  </r>
  <r>
    <n v="435"/>
    <d v="2025-06-30T00:00:00"/>
    <x v="53"/>
    <s v="STJ/2025/05/05236"/>
    <s v="Inventory Valuation"/>
    <s v="CM/MTI/2025/00887 - [ETLGN130] BLADE FOR UTILITY KNIFE KING TONY / MRQ/2025/01155"/>
    <s v="CM/MTI/2025/00887 - [ETLGN130] BLADE FOR UTILITY KNIFE KING TONY / MRQ/2025/01155"/>
    <m/>
    <m/>
    <s v="MATERIAL COST"/>
    <s v="Expenses"/>
    <s v="731002"/>
    <s v="731002 STORE SPARES &amp; CONSUMABLE-GENERAL"/>
    <s v="CWIP-CONSTRUCTION OF LIME STONE AND GYPSUM FEEDING SYSTEM IN CEMENT MILL"/>
    <s v="CEMENT MILL -1"/>
    <s v="MECHANICAL"/>
    <n v="5736.38"/>
    <n v="0"/>
    <n v="5736.38"/>
    <s v="TZS"/>
    <s v="[ETLGN130] BLADE FOR UTILITY KNIFE KING TONY"/>
    <m/>
    <n v="-10"/>
    <s v="NOS"/>
    <x v="0"/>
    <x v="0"/>
    <x v="8"/>
    <x v="3"/>
    <n v="2.2495607843137257"/>
    <n v="0"/>
  </r>
  <r>
    <n v="436"/>
    <d v="2025-06-30T00:00:00"/>
    <x v="53"/>
    <s v="STJ/2025/05/05070"/>
    <s v="Inventory Valuation"/>
    <s v="CM/MTI/2025/00866 - [EFSHB019] BOLT MS HEX HEAD M10 X 50MM FULL THREAD WITH NUT AND WASHER GRADE 4.6 / MRQ/2025/01124_x000a_Rounding Adjustment: -0.01 TSh"/>
    <s v="CM/MTI/2025/00866 - [EFSHB019] BOLT MS HEX HEAD M10 X 50MM FULL THREAD WITH NUT AND WASHER GRADE 4.6 / MRQ/2025/01124_x000a_Rounding Adjustment: -0.01 TSh"/>
    <m/>
    <m/>
    <s v="MATERIAL COST"/>
    <s v="Expenses"/>
    <s v="731002"/>
    <s v="731002 STORE SPARES &amp; CONSUMABLE-GENERAL"/>
    <s v="CWIP-CONSTRUCTION OF LIME STONE AND GYPSUM FEEDING SYSTEM IN CEMENT MILL"/>
    <s v="UTILITY"/>
    <s v="MECHANICAL"/>
    <n v="43903.25"/>
    <n v="0"/>
    <n v="43903.25"/>
    <s v="TZS"/>
    <s v="[EFSHB019] BOLT MS HEX HEAD M10 X 50MM FULL THREAD WITH NUT AND WASHER GRADE 4.6"/>
    <m/>
    <n v="-110"/>
    <s v="NOS"/>
    <x v="0"/>
    <x v="0"/>
    <x v="8"/>
    <x v="3"/>
    <n v="17.216960784313727"/>
    <n v="0"/>
  </r>
  <r>
    <n v="437"/>
    <d v="2025-06-30T00:00:00"/>
    <x v="53"/>
    <s v="STJ/2025/05/05071"/>
    <s v="Inventory Valuation"/>
    <s v="CM/MTI/2025/00866 - [EFSHB122] BOLT HT HEX HEAD M16 X 100MM FULL THREAD WITH NUT AND WASHER GRADE 8.8 / MRQ/2025/01124"/>
    <s v="CM/MTI/2025/00866 - [EFSHB122] BOLT HT HEX HEAD M16 X 100MM FULL THREAD WITH NUT AND WASHER GRADE 8.8 / MRQ/2025/01124"/>
    <m/>
    <m/>
    <s v="MATERIAL COST"/>
    <s v="Expenses"/>
    <s v="731002"/>
    <s v="731002 STORE SPARES &amp; CONSUMABLE-GENERAL"/>
    <s v="CWIP-CONSTRUCTION OF LIME STONE AND GYPSUM FEEDING SYSTEM IN CEMENT MILL"/>
    <s v="UTILITY"/>
    <s v="MECHANICAL"/>
    <n v="6389.02"/>
    <n v="0"/>
    <n v="6389.02"/>
    <s v="TZS"/>
    <s v="[EFSHB122] BOLT HT HEX HEAD M16 X 100MM FULL THREAD WITH NUT AND WASHER GRADE 8.8"/>
    <m/>
    <n v="-4"/>
    <s v="NOS"/>
    <x v="0"/>
    <x v="0"/>
    <x v="8"/>
    <x v="3"/>
    <n v="2.5054980392156865"/>
    <n v="0"/>
  </r>
  <r>
    <n v="438"/>
    <d v="2025-06-30T00:00:00"/>
    <x v="53"/>
    <s v="STJ/2025/05/05072"/>
    <s v="Inventory Valuation"/>
    <s v="CM/MTI/2025/00866 - [EFSHB165] BOLT HT HEX HEAD M30 X 125MM HALF THREAD WITH NUT AND WASHER GRADE 8.8 / MRQ/2025/01124"/>
    <s v="CM/MTI/2025/00866 - [EFSHB165] BOLT HT HEX HEAD M30 X 125MM HALF THREAD WITH NUT AND WASHER GRADE 8.8 / MRQ/2025/01124"/>
    <m/>
    <m/>
    <s v="MATERIAL COST"/>
    <s v="Expenses"/>
    <s v="731002"/>
    <s v="731002 STORE SPARES &amp; CONSUMABLE-GENERAL"/>
    <s v="CWIP-CONSTRUCTION OF LIME STONE AND GYPSUM FEEDING SYSTEM IN CEMENT MILL"/>
    <s v="UTILITY"/>
    <s v="MECHANICAL"/>
    <n v="52977.15"/>
    <n v="0"/>
    <n v="52977.15"/>
    <s v="TZS"/>
    <s v="[EFSHB165] BOLT HT HEX HEAD M30 X 125MM HALF THREAD WITH NUT AND WASHER GRADE 8.8"/>
    <m/>
    <n v="-4"/>
    <s v="NOS"/>
    <x v="0"/>
    <x v="0"/>
    <x v="8"/>
    <x v="3"/>
    <n v="20.775352941176472"/>
    <n v="0"/>
  </r>
  <r>
    <n v="439"/>
    <d v="2025-06-30T00:00:00"/>
    <x v="53"/>
    <s v="STJ/2025/05/05073"/>
    <s v="Inventory Valuation"/>
    <s v="CM/MTI/2025/00866 - [EMERO001] ROPE ASBESTOS DIA 6 MM TEMPERATURE 900 TO 1200 DEG C  / MRQ/2025/01124"/>
    <s v="CM/MTI/2025/00866 - [EMERO001] ROPE ASBESTOS DIA 6 MM TEMPERATURE 900 TO 1200 DEG C  / MRQ/2025/01124"/>
    <m/>
    <m/>
    <s v="MATERIAL COST"/>
    <s v="Expenses"/>
    <s v="731002"/>
    <s v="731002 STORE SPARES &amp; CONSUMABLE-GENERAL"/>
    <s v="CWIP-CONSTRUCTION OF LIME STONE AND GYPSUM FEEDING SYSTEM IN CEMENT MILL"/>
    <s v="UTILITY"/>
    <s v="MECHANICAL"/>
    <n v="45000"/>
    <n v="0"/>
    <n v="45000"/>
    <s v="TZS"/>
    <s v="[EMERO001] ROPE ASBESTOS DIA 6 MM TEMPERATURE 900 TO 1200 DEG C "/>
    <m/>
    <n v="-1.5"/>
    <s v="KG"/>
    <x v="0"/>
    <x v="0"/>
    <x v="8"/>
    <x v="3"/>
    <n v="17.647058823529413"/>
    <n v="0"/>
  </r>
  <r>
    <n v="440"/>
    <d v="2025-06-30T00:00:00"/>
    <x v="53"/>
    <s v="STJ/2025/05/11273"/>
    <s v="Inventory Valuation"/>
    <s v="CM/MTI/2025/01150 - [CWCGC041] CUTTING WHEEL 7'' / MRQ/2025/01548"/>
    <s v="CM/MTI/2025/01150 - [CWCGC041] CUTTING WHEEL 7'' / MRQ/2025/01548"/>
    <m/>
    <m/>
    <s v="MATERIAL COST"/>
    <s v="Expenses"/>
    <s v="731002"/>
    <s v="731002 STORE SPARES &amp; CONSUMABLE-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441"/>
    <d v="2025-06-30T00:00:00"/>
    <x v="53"/>
    <s v="STJ/2025/05/11274"/>
    <s v="Inventory Valuation"/>
    <s v="CM/MTI/2025/01150 - [EFSAB010] ANCHOR FASTENER HILTI M20 X 240MM LONG / MRQ/2025/01548"/>
    <s v="CM/MTI/2025/01150 - [EFSAB010] ANCHOR FASTENER HILTI M20 X 240MM LONG / MRQ/2025/01548"/>
    <m/>
    <m/>
    <s v="MATERIAL COST"/>
    <s v="Expenses"/>
    <s v="731002"/>
    <s v="731002 STORE SPARES &amp; CONSUMABLE-GENERAL"/>
    <s v="CWIP-CONSTRUCTION OF NEW RAW MILL FEEDING AND UPGRADATION"/>
    <s v="RAW MILL-2"/>
    <s v="MECHANICAL"/>
    <n v="1728813.6"/>
    <n v="0"/>
    <n v="1728813.6"/>
    <s v="TZS"/>
    <s v="[EFSAB010] ANCHOR FASTENER HILTI M20 X 240MM LONG"/>
    <m/>
    <n v="-20"/>
    <s v="NOS"/>
    <x v="0"/>
    <x v="0"/>
    <x v="9"/>
    <x v="4"/>
    <n v="677.96611764705881"/>
    <n v="0"/>
  </r>
  <r>
    <n v="442"/>
    <d v="2025-06-30T00:00:00"/>
    <x v="53"/>
    <s v="STJ/2025/05/11275"/>
    <s v="Inventory Valuation"/>
    <s v="CM/MTI/2025/01150 - [EFSAB012] ANCHOR FASTENER  HAS-E M24 X 210/54, 290MM HILTI / MRQ/2025/01548"/>
    <s v="CM/MTI/2025/01150 - [EFSAB012] ANCHOR FASTENER  HAS-E M24 X 210/54, 290MM HILTI / MRQ/2025/01548"/>
    <m/>
    <m/>
    <s v="MATERIAL COST"/>
    <s v="Expenses"/>
    <s v="731002"/>
    <s v="731002 STORE SPARES &amp; CONSUMABLE-GENERAL"/>
    <s v="CWIP-CONSTRUCTION OF NEW RAW MILL FEEDING AND UPGRADATION"/>
    <s v="RAW MILL-2"/>
    <s v="MECHANICAL"/>
    <n v="2220339"/>
    <n v="0"/>
    <n v="2220339"/>
    <s v="TZS"/>
    <s v="[EFSAB012] ANCHOR FASTENER  HAS-E M24 X 210/54, 290MM HILTI"/>
    <m/>
    <n v="-20"/>
    <s v="NOS"/>
    <x v="0"/>
    <x v="0"/>
    <x v="9"/>
    <x v="4"/>
    <n v="870.72117647058826"/>
    <n v="0"/>
  </r>
  <r>
    <n v="443"/>
    <d v="2025-06-30T00:00:00"/>
    <x v="53"/>
    <s v="STJ/2025/05/11007"/>
    <s v="Inventory Valuation"/>
    <s v="CM/MTI/2025/01129 - [CIGGS001] GAS OXYGEN FULL CYLINDER, O2 / MRQ/2025/01517"/>
    <s v="CM/MTI/2025/01129 - [CIGGS001] GAS OXYGEN FULL CYLINDER, O2 / MRQ/2025/01517"/>
    <m/>
    <m/>
    <s v="MATERIAL COST"/>
    <s v="Expenses"/>
    <s v="731002"/>
    <s v="731002 STORE SPARES &amp; CONSUMABLE-GENERAL"/>
    <s v="CWIP-CONSTRUCTION OF NEW RAW MILL FEEDING AND UPGRADATION"/>
    <s v="RAW MILL-2"/>
    <s v="MECHANICAL"/>
    <n v="75000"/>
    <n v="0"/>
    <n v="75000"/>
    <s v="TZS"/>
    <s v="[CIGGS001] GAS OXYGEN FULL CYLINDER, O2"/>
    <m/>
    <n v="-5"/>
    <s v="NOS"/>
    <x v="0"/>
    <x v="0"/>
    <x v="9"/>
    <x v="4"/>
    <n v="29.411764705882351"/>
    <n v="0"/>
  </r>
  <r>
    <n v="444"/>
    <d v="2025-06-30T00:00:00"/>
    <x v="53"/>
    <s v="STJ/2025/05/11008"/>
    <s v="Inventory Valuation"/>
    <s v="CM/MTI/2025/01129 - [CWCWR003] WELDING ELECTRODE MS 6013 SIZE 4 MM X 450 MM / MRQ/2025/01517"/>
    <s v="CM/MTI/2025/01129 - [CWCWR003] WELDING ELECTRODE MS 6013 SIZE 4 MM X 450 MM / MRQ/2025/01517"/>
    <m/>
    <m/>
    <s v="MATERIAL COST"/>
    <s v="Expenses"/>
    <s v="731002"/>
    <s v="731002 STORE SPARES &amp; CONSUMABLE-GENERAL"/>
    <s v="CWIP-CONSTRUCTION OF NEW RAW MILL FEEDING AND UPGRADATION"/>
    <s v="RAW MILL-2"/>
    <s v="MECHANICAL"/>
    <n v="61462.64"/>
    <n v="0"/>
    <n v="61462.64"/>
    <s v="TZS"/>
    <s v="[CWCWR003] WELDING ELECTRODE MS 6013 SIZE 4 MM X 450 MM"/>
    <m/>
    <n v="-15"/>
    <s v="KG"/>
    <x v="0"/>
    <x v="0"/>
    <x v="9"/>
    <x v="4"/>
    <n v="24.102996078431371"/>
    <n v="0"/>
  </r>
  <r>
    <n v="445"/>
    <d v="2025-06-30T00:00:00"/>
    <x v="53"/>
    <s v="STJ/2025/05/11009"/>
    <s v="Inventory Valuation"/>
    <s v="CM/MTI/2025/01129 - [EFSHB122] BOLT HT HEX HEAD M16 X 100MM FULL THREAD WITH NUT AND WASHER GRADE 8.8 / MRQ/2025/01517"/>
    <s v="CM/MTI/2025/01129 - [EFSHB122] BOLT HT HEX HEAD M16 X 100MM FULL THREAD WITH NUT AND WASHER GRADE 8.8 / MRQ/2025/01517"/>
    <m/>
    <m/>
    <s v="MATERIAL COST"/>
    <s v="Expenses"/>
    <s v="731002"/>
    <s v="731002 STORE SPARES &amp; CONSUMABLE-GENERAL"/>
    <s v="CWIP-CONSTRUCTION OF NEW RAW MILL FEEDING AND UPGRADATION"/>
    <s v="RAW MILL-2"/>
    <s v="MECHANICAL"/>
    <n v="63890.18"/>
    <n v="0"/>
    <n v="63890.18"/>
    <s v="TZS"/>
    <s v="[EFSHB122] BOLT HT HEX HEAD M16 X 100MM FULL THREAD WITH NUT AND WASHER GRADE 8.8"/>
    <m/>
    <n v="-40"/>
    <s v="NOS"/>
    <x v="0"/>
    <x v="0"/>
    <x v="9"/>
    <x v="4"/>
    <n v="25.05497254901961"/>
    <n v="0"/>
  </r>
  <r>
    <n v="446"/>
    <d v="2025-06-30T00:00:00"/>
    <x v="53"/>
    <s v="STJ/2025/05/11010"/>
    <s v="Inventory Valuation"/>
    <s v="CM/MTI/2025/01129 - [EMEGN005] STEP GRATING SIZE 250MM X 800 MM AS PER DRAWING NO. LCL/CSS/STR/03 / MRQ/2025/01517"/>
    <s v="CM/MTI/2025/01129 - [EMEGN005] STEP GRATING SIZE 250MM X 800 MM AS PER DRAWING NO. LCL/CSS/STR/03 / MRQ/2025/01517"/>
    <m/>
    <m/>
    <s v="MATERIAL COST"/>
    <s v="Expenses"/>
    <s v="731002"/>
    <s v="731002 STORE SPARES &amp; CONSUMABLE-GENERAL"/>
    <s v="CWIP-CONSTRUCTION OF NEW RAW MILL FEEDING AND UPGRADATION"/>
    <s v="RAW MILL-2"/>
    <s v="MECHANICAL"/>
    <n v="679119.38"/>
    <n v="0"/>
    <n v="679119.38"/>
    <s v="TZS"/>
    <s v="[EMEGN005] STEP GRATING SIZE 250MM X 800 MM AS PER DRAWING NO. LCL/CSS/STR/03"/>
    <m/>
    <n v="-15"/>
    <s v="NOS"/>
    <x v="0"/>
    <x v="0"/>
    <x v="9"/>
    <x v="4"/>
    <n v="266.3213254901961"/>
    <n v="0"/>
  </r>
  <r>
    <n v="447"/>
    <d v="2025-06-30T00:00:00"/>
    <x v="53"/>
    <s v="STJ/2025/05/09828"/>
    <s v="Inventory Valuation"/>
    <s v="CM/MTI/2025/01081 - [CIGGS001] GAS OXYGEN FULL CYLINDER, O2 / MRQ/2025/01467"/>
    <s v="CM/MTI/2025/01081 - [CIGGS001] GAS OXYGEN FULL CYLINDER, O2 / MRQ/2025/01467"/>
    <m/>
    <m/>
    <s v="MATERIAL COST"/>
    <s v="Expenses"/>
    <s v="731002"/>
    <s v="731002 STORE SPARES &amp; CONSUMABLE-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448"/>
    <d v="2025-06-30T00:00:00"/>
    <x v="53"/>
    <s v="STJ/2025/05/09829"/>
    <s v="Inventory Valuation"/>
    <s v="CM/MTI/2025/01081 - [CIGGS005] GAS LIQUEFIED PETROLEUM FULL CYLINDER, LPG CAPACITY 15KG / MRQ/2025/01467_x000a_Rounding Adjustment: +0.01 TSh"/>
    <s v="CM/MTI/2025/01081 - [CIGGS005] GAS LIQUEFIED PETROLEUM FULL CYLINDER, LPG CAPACITY 15KG / MRQ/2025/01467_x000a_Rounding Adjustment: +0.01 TSh"/>
    <m/>
    <m/>
    <s v="MATERIAL COST"/>
    <s v="Expenses"/>
    <s v="731002"/>
    <s v="731002 STORE SPARES &amp; CONSUMABLE-GENERAL"/>
    <s v="CWIP-CONSTRUCTION OF NEW RAW MILL FEEDING AND UPGRADATION"/>
    <s v="RAW MILL-2"/>
    <s v="MECHANICAL"/>
    <n v="96766.51"/>
    <n v="0"/>
    <n v="96766.51"/>
    <s v="TZS"/>
    <s v="[CIGGS005] GAS LIQUEFIED PETROLEUM FULL CYLINDER, LPG CAPACITY 15KG"/>
    <m/>
    <n v="-2"/>
    <s v="NOS"/>
    <x v="0"/>
    <x v="0"/>
    <x v="9"/>
    <x v="4"/>
    <n v="37.947650980392154"/>
    <n v="0"/>
  </r>
  <r>
    <n v="449"/>
    <d v="2025-06-30T00:00:00"/>
    <x v="53"/>
    <s v="STJ/2025/05/09830"/>
    <s v="Inventory Valuation"/>
    <s v="CM/MTI/2025/01081 - [CWCWR003] WELDING ELECTRODE MS 6013 SIZE 4 MM X 450 MM / MRQ/2025/01467_x000a_Rounding Adjustment: -0.01 TSh"/>
    <s v="CM/MTI/2025/01081 - [CWCWR003] WELDING ELECTRODE MS 6013 SIZE 4 MM X 450 MM / MRQ/2025/01467_x000a_Rounding Adjustment: -0.01 TSh"/>
    <m/>
    <m/>
    <s v="MATERIAL COST"/>
    <s v="Expenses"/>
    <s v="731002"/>
    <s v="731002 STORE SPARES &amp; CONSUMABLE-GENERAL"/>
    <s v="CWIP-CONSTRUCTION OF NEW RAW MILL FEEDING AND UPGRADATION"/>
    <s v="RAW MILL-2"/>
    <s v="MECHANICAL"/>
    <n v="102437.75"/>
    <n v="0"/>
    <n v="102437.75"/>
    <s v="TZS"/>
    <s v="[CWCWR003] WELDING ELECTRODE MS 6013 SIZE 4 MM X 450 MM"/>
    <m/>
    <n v="-25"/>
    <s v="KG"/>
    <x v="0"/>
    <x v="0"/>
    <x v="9"/>
    <x v="4"/>
    <n v="40.171666666666667"/>
    <n v="0"/>
  </r>
  <r>
    <n v="450"/>
    <d v="2025-06-30T00:00:00"/>
    <x v="53"/>
    <s v="STJ/2025/05/07077"/>
    <s v="Inventory Valuation"/>
    <s v="CM/MTI/2025/00937 - [CIGGS001] GAS OXYGEN FULL CYLINDER, O2 / MRQ/2025/01206"/>
    <s v="CM/MTI/2025/00937 - [CIGGS001] GAS OXYGEN FULL CYLINDER, O2 / MRQ/2025/01206"/>
    <m/>
    <m/>
    <s v="MATERIAL COST"/>
    <s v="Expenses"/>
    <s v="731002"/>
    <s v="731002 STORE SPARES &amp; CONSUMABLE-GENERAL"/>
    <s v="CWIP-CONSTRUCTION OF NEW RAW MILL FEEDING AND UPGRADATION"/>
    <s v="RAW MILL-2"/>
    <s v="MECHANICAL"/>
    <n v="75000"/>
    <n v="0"/>
    <n v="75000"/>
    <s v="TZS"/>
    <s v="[CIGGS001] GAS OXYGEN FULL CYLINDER, O2"/>
    <m/>
    <n v="-5"/>
    <s v="NOS"/>
    <x v="0"/>
    <x v="0"/>
    <x v="9"/>
    <x v="4"/>
    <n v="29.411764705882351"/>
    <n v="0"/>
  </r>
  <r>
    <n v="451"/>
    <d v="2025-06-30T00:00:00"/>
    <x v="53"/>
    <s v="STJ/2025/05/07078"/>
    <s v="Inventory Valuation"/>
    <s v="CM/MTI/2025/00937 - [CWCWR003] WELDING ELECTRODE MS 6013 SIZE 4 MM X 450 MM / MRQ/2025/01206"/>
    <s v="CM/MTI/2025/00937 - [CWCWR003] WELDING ELECTRODE MS 6013 SIZE 4 MM X 450 MM / MRQ/2025/01206"/>
    <m/>
    <m/>
    <s v="MATERIAL COST"/>
    <s v="Expenses"/>
    <s v="731002"/>
    <s v="731002 STORE SPARES &amp; CONSUMABLE-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452"/>
    <d v="2025-06-30T00:00:00"/>
    <x v="53"/>
    <s v="STJ/2025/05/07079"/>
    <s v="Inventory Valuation"/>
    <s v="CM/MTI/2025/00937 - [EFSHB118] BOLT HT HEX HEAD M16 X 75MM FULL THREAD WITH NUT AND WASHER GRADE 8.8 / MRQ/2025/01206"/>
    <s v="CM/MTI/2025/00937 - [EFSHB118] BOLT HT HEX HEAD M16 X 75MM FULL THREAD WITH NUT AND WASHER GRADE 8.8 / MRQ/2025/01206"/>
    <m/>
    <m/>
    <s v="MATERIAL COST"/>
    <s v="Expenses"/>
    <s v="731002"/>
    <s v="731002 STORE SPARES &amp; CONSUMABLE-GENERAL"/>
    <s v="CWIP-CONSTRUCTION OF NEW RAW MILL FEEDING AND UPGRADATION"/>
    <s v="RAW MILL-2"/>
    <s v="MECHANICAL"/>
    <n v="107475.85"/>
    <n v="0"/>
    <n v="107475.85"/>
    <s v="TZS"/>
    <s v="[EFSHB118] BOLT HT HEX HEAD M16 X 75MM FULL THREAD WITH NUT AND WASHER GRADE 8.8"/>
    <m/>
    <n v="-80"/>
    <s v="NOS"/>
    <x v="0"/>
    <x v="0"/>
    <x v="9"/>
    <x v="4"/>
    <n v="42.14739215686275"/>
    <n v="0"/>
  </r>
  <r>
    <n v="453"/>
    <d v="2025-06-30T00:00:00"/>
    <x v="53"/>
    <s v="STJ/2025/05/07194"/>
    <s v="Inventory Valuation"/>
    <s v="CM/MTI/2025/00951 - [EMECL030] RUBBER ELEMENT FOR COUPLING LOVEJOY L075 / MRQ/2025/01294"/>
    <s v="CM/MTI/2025/00951 - [EMECL030] RUBBER ELEMENT FOR COUPLING LOVEJOY L075 / MRQ/2025/01294"/>
    <m/>
    <m/>
    <s v="MATERIAL COST"/>
    <s v="Expenses"/>
    <s v="731002"/>
    <s v="731002 STORE SPARES &amp; CONSUMABLE-GENERAL"/>
    <s v="CWIP-CONSTRUCTION OF NEW RAW MILL FEEDING AND UPGRADATION"/>
    <s v="RAW MILL-2"/>
    <s v="MECHANICAL"/>
    <n v="24000"/>
    <n v="0"/>
    <n v="24000"/>
    <s v="TZS"/>
    <s v="[EMECL030] RUBBER ELEMENT FOR COUPLING LOVEJOY L075"/>
    <m/>
    <n v="-3"/>
    <s v="NOS"/>
    <x v="0"/>
    <x v="0"/>
    <x v="9"/>
    <x v="4"/>
    <n v="9.4117647058823533"/>
    <n v="0"/>
  </r>
  <r>
    <n v="454"/>
    <d v="2025-06-30T00:00:00"/>
    <x v="53"/>
    <s v="STJ/2025/05/05231"/>
    <s v="Inventory Valuation"/>
    <s v="CM/MTI/2025/00885 - [CIGGS001] GAS OXYGEN FULL CYLINDER, O2 / MRQ/2025/01146"/>
    <s v="CM/MTI/2025/00885 - [CIGGS001] GAS OXYGEN FULL CYLINDER, O2 / MRQ/2025/01146"/>
    <m/>
    <m/>
    <s v="MATERIAL COST"/>
    <s v="Expenses"/>
    <s v="731002"/>
    <s v="731002 STORE SPARES &amp; CONSUMABLE-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455"/>
    <d v="2025-06-30T00:00:00"/>
    <x v="53"/>
    <s v="STJ/2025/05/05232"/>
    <s v="Inventory Valuation"/>
    <s v="CM/MTI/2025/00885 - [EMEGN004] GRATING AS PER DRAWING NO. LCL/MECH/GEN/02- R-0 / MRQ/2025/01146_x000a_Rounding Adjustment: +0.01 TSh"/>
    <s v="CM/MTI/2025/00885 - [EMEGN004] GRATING AS PER DRAWING NO. LCL/MECH/GEN/02- R-0 / MRQ/2025/01146_x000a_Rounding Adjustment: +0.01 TSh"/>
    <m/>
    <m/>
    <s v="MATERIAL COST"/>
    <s v="Expenses"/>
    <s v="731002"/>
    <s v="731002 STORE SPARES &amp; CONSUMABLE-GENERAL"/>
    <s v="CWIP-CONSTRUCTION OF NEW RAW MILL FEEDING AND UPGRADATION"/>
    <s v="RAW MILL-2"/>
    <s v="MECHANICAL"/>
    <n v="6512442.9400000004"/>
    <n v="0"/>
    <n v="6512442.9400000004"/>
    <s v="TZS"/>
    <s v="[EMEGN004] GRATING AS PER DRAWING NO. LCL/MECH/GEN/02- R-0"/>
    <m/>
    <n v="-110"/>
    <s v="NOS"/>
    <x v="0"/>
    <x v="0"/>
    <x v="9"/>
    <x v="4"/>
    <n v="2553.8991921568627"/>
    <n v="0"/>
  </r>
  <r>
    <n v="456"/>
    <d v="2025-06-30T00:00:00"/>
    <x v="53"/>
    <s v="STJ/2025/05/05237"/>
    <s v="Inventory Valuation"/>
    <s v="CM/MTI/2025/00888 - [CWCWR003] WELDING ELECTRODE MS 6013 SIZE 4 MM X 450 MM / MRQ/2025/01157"/>
    <s v="CM/MTI/2025/00888 - [CWCWR003] WELDING ELECTRODE MS 6013 SIZE 4 MM X 450 MM / MRQ/2025/01157"/>
    <m/>
    <m/>
    <s v="MATERIAL COST"/>
    <s v="Expenses"/>
    <s v="731002"/>
    <s v="731002 STORE SPARES &amp; CONSUMABLE-GENERAL"/>
    <s v="CWIP-CONSTRUCTION OF NEW RAW MILL FEEDING AND UPGRADATION"/>
    <s v="RAW MILL-2"/>
    <s v="MECHANICAL"/>
    <n v="81950.19"/>
    <n v="0"/>
    <n v="81950.19"/>
    <s v="TZS"/>
    <s v="[CWCWR003] WELDING ELECTRODE MS 6013 SIZE 4 MM X 450 MM"/>
    <m/>
    <n v="-20"/>
    <s v="KG"/>
    <x v="0"/>
    <x v="0"/>
    <x v="9"/>
    <x v="4"/>
    <n v="32.137329411764703"/>
    <n v="0"/>
  </r>
  <r>
    <n v="457"/>
    <d v="2025-06-30T00:00:00"/>
    <x v="53"/>
    <s v="STJ/2025/05/05238"/>
    <s v="Inventory Valuation"/>
    <s v="CM/MTI/2025/00889 - [EFSSB025] STUD WITH WASHER AND NUT AS PER DWAWING  FOR COOLER  / MRQ/2025/01169"/>
    <s v="CM/MTI/2025/00889 - [EFSSB025] STUD WITH WASHER AND NUT AS PER DWAWING  FOR COOLER  / MRQ/2025/01169"/>
    <m/>
    <m/>
    <s v="MATERIAL COST"/>
    <s v="Expenses"/>
    <s v="731002"/>
    <s v="731002 STORE SPARES &amp; CONSUMABLE-GENERAL"/>
    <s v="CWIP-CONSTRUCTION OF NEW RAW MILL FEEDING AND UPGRADATION"/>
    <s v="RAW MILL-2"/>
    <s v="MECHANICAL"/>
    <n v="768000"/>
    <n v="0"/>
    <n v="768000"/>
    <s v="TZS"/>
    <s v="[EFSSB025] STUD WITH WASHER AND NUT AS PER DWAWING  FOR COOLER "/>
    <m/>
    <n v="-24"/>
    <s v="NOS"/>
    <x v="0"/>
    <x v="0"/>
    <x v="9"/>
    <x v="4"/>
    <n v="301.1764705882353"/>
    <n v="0"/>
  </r>
  <r>
    <n v="458"/>
    <d v="2025-06-30T00:00:00"/>
    <x v="53"/>
    <s v="STJ/2025/05/03792"/>
    <s v="Inventory Valuation"/>
    <s v="CM/MTI/2025/00838 - [CIGGS001] GAS OXYGEN FULL CYLINDER, O2 / MRQ/2025/01099"/>
    <s v="CM/MTI/2025/00838 - [CIGGS001] GAS OXYGEN FULL CYLINDER, O2 / MRQ/2025/01099"/>
    <m/>
    <m/>
    <s v="MATERIAL COST"/>
    <s v="Expenses"/>
    <s v="731002"/>
    <s v="731002 STORE SPARES &amp; CONSUMABLE-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459"/>
    <d v="2025-06-30T00:00:00"/>
    <x v="53"/>
    <s v="STJ/2025/05/03793"/>
    <s v="Inventory Valuation"/>
    <s v="CM/MTI/2025/00838 - [CWCWR003] WELDING ELECTRODE MS 6013 SIZE 4 MM X 450 MM / MRQ/2025/01099"/>
    <s v="CM/MTI/2025/00838 - [CWCWR003] WELDING ELECTRODE MS 6013 SIZE 4 MM X 450 MM / MRQ/2025/01099"/>
    <m/>
    <m/>
    <s v="MATERIAL COST"/>
    <s v="Expenses"/>
    <s v="731002"/>
    <s v="731002 STORE SPARES &amp; CONSUMABLE-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460"/>
    <d v="2025-06-30T00:00:00"/>
    <x v="53"/>
    <s v="STJ/2025/05/03149"/>
    <s v="Inventory Valuation"/>
    <s v="CM/MTI/2025/00798 - [CWCWR003] WELDING ELECTRODE MS 6013 SIZE 4 MM X 450 MM / MRQ/2025/01029"/>
    <s v="CM/MTI/2025/00798 - [CWCWR003] WELDING ELECTRODE MS 6013 SIZE 4 MM X 450 MM / MRQ/2025/01029"/>
    <m/>
    <m/>
    <s v="MATERIAL COST"/>
    <s v="Expenses"/>
    <s v="731002"/>
    <s v="731002 STORE SPARES &amp; CONSUMABLE-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461"/>
    <d v="2025-06-30T00:00:00"/>
    <x v="53"/>
    <s v="STJ/2025/05/02639"/>
    <s v="Inventory Valuation"/>
    <s v="CM/MTI/2025/00768 - [CCLGC307] EPOXY MORTAR FOR REBAR CONNECTIONS HILT HIT-RE 500 V3 / MRQ/2025/00997"/>
    <s v="CM/MTI/2025/00768 - [CCLGC307] EPOXY MORTAR FOR REBAR CONNECTIONS HILT HIT-RE 500 V3 / MRQ/2025/00997"/>
    <m/>
    <m/>
    <s v="MATERIAL COST"/>
    <s v="Expenses"/>
    <s v="731002"/>
    <s v="731002 STORE SPARES &amp; CONSUMABLE-GENERAL"/>
    <s v="CWIP-CONSTRUCTION OF NEW RAW MILL FEEDING AND UPGRADATION"/>
    <s v="RAW MILL-2"/>
    <s v="MECHANICAL"/>
    <n v="634449.16"/>
    <n v="0"/>
    <n v="634449.16"/>
    <s v="TZS"/>
    <s v="[CCLGC307] EPOXY MORTAR FOR REBAR CONNECTIONS HILT HIT-RE 500 V3"/>
    <m/>
    <n v="-5"/>
    <s v="NOS"/>
    <x v="0"/>
    <x v="0"/>
    <x v="9"/>
    <x v="4"/>
    <n v="248.80359215686275"/>
    <n v="0"/>
  </r>
  <r>
    <n v="462"/>
    <d v="2025-06-30T00:00:00"/>
    <x v="53"/>
    <s v="STJ/2025/05/02640"/>
    <s v="Inventory Valuation"/>
    <s v="CM/MTI/2025/00768 - [CIGGS001] GAS OXYGEN FULL CYLINDER, O2 / MRQ/2025/00997"/>
    <s v="CM/MTI/2025/00768 - [CIGGS001] GAS OXYGEN FULL CYLINDER, O2 / MRQ/2025/00997"/>
    <m/>
    <m/>
    <s v="MATERIAL COST"/>
    <s v="Expenses"/>
    <s v="731002"/>
    <s v="731002 STORE SPARES &amp; CONSUMABLE-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463"/>
    <d v="2025-06-30T00:00:00"/>
    <x v="53"/>
    <s v="STJ/2025/05/02641"/>
    <s v="Inventory Valuation"/>
    <s v="CM/MTI/2025/00768 - [EFSAB010] ANCHOR FASTENER HILTI M20 X 240MM LONG / MRQ/2025/00997"/>
    <s v="CM/MTI/2025/00768 - [EFSAB010] ANCHOR FASTENER HILTI M20 X 240MM LONG / MRQ/2025/00997"/>
    <m/>
    <m/>
    <s v="MATERIAL COST"/>
    <s v="Expenses"/>
    <s v="731002"/>
    <s v="731002 STORE SPARES &amp; CONSUMABLE-GENERAL"/>
    <s v="CWIP-CONSTRUCTION OF NEW RAW MILL FEEDING AND UPGRADATION"/>
    <s v="RAW MILL-2"/>
    <s v="MECHANICAL"/>
    <n v="1728813.6"/>
    <n v="0"/>
    <n v="1728813.6"/>
    <s v="TZS"/>
    <s v="[EFSAB010] ANCHOR FASTENER HILTI M20 X 240MM LONG"/>
    <m/>
    <n v="-20"/>
    <s v="NOS"/>
    <x v="0"/>
    <x v="0"/>
    <x v="9"/>
    <x v="4"/>
    <n v="677.96611764705881"/>
    <n v="0"/>
  </r>
  <r>
    <n v="464"/>
    <d v="2025-06-30T00:00:00"/>
    <x v="53"/>
    <s v="STJ/2025/05/02643"/>
    <s v="Inventory Valuation"/>
    <s v="CM/MTI/2025/00768 - [EFSHB105] BOLT HT HEX HEAD M12 X 125MM FULL THREAD WITH NUT AND WASHER GRADE 8.8 / MRQ/2025/00997"/>
    <s v="CM/MTI/2025/00768 - [EFSHB105] BOLT HT HEX HEAD M12 X 125MM FULL THREAD WITH NUT AND WASHER GRADE 8.8 / MRQ/2025/00997"/>
    <m/>
    <m/>
    <s v="MATERIAL COST"/>
    <s v="Expenses"/>
    <s v="731002"/>
    <s v="731002 STORE SPARES &amp; CONSUMABLE-GENERAL"/>
    <s v="CWIP-CONSTRUCTION OF NEW RAW MILL FEEDING AND UPGRADATION"/>
    <s v="RAW MILL-2"/>
    <s v="MECHANICAL"/>
    <n v="54166.720000000001"/>
    <n v="0"/>
    <n v="54166.720000000001"/>
    <s v="TZS"/>
    <s v="[EFSHB105] BOLT HT HEX HEAD M12 X 125MM FULL THREAD WITH NUT AND WASHER GRADE 8.8"/>
    <m/>
    <n v="-50"/>
    <s v="NOS"/>
    <x v="0"/>
    <x v="0"/>
    <x v="9"/>
    <x v="4"/>
    <n v="21.241850980392158"/>
    <n v="0"/>
  </r>
  <r>
    <n v="465"/>
    <d v="2025-06-30T00:00:00"/>
    <x v="53"/>
    <s v="STJ/2025/05/02644"/>
    <s v="Inventory Valuation"/>
    <s v="CM/MTI/2025/00768 - [EPSSH013] SHEET FOR ROOFING 920 X 6.0 X 0.4 MM GREEN COLOR / MRQ/2025/00997"/>
    <s v="CM/MTI/2025/00768 - [EPSSH013] SHEET FOR ROOFING 920 X 6.0 X 0.4 MM GREEN COLOR / MRQ/2025/00997"/>
    <m/>
    <m/>
    <s v="MATERIAL COST"/>
    <s v="Expenses"/>
    <s v="731002"/>
    <s v="731002 STORE SPARES &amp; CONSUMABLE-GENERAL"/>
    <s v="CWIP-CONSTRUCTION OF NEW RAW MILL FEEDING AND UPGRADATION"/>
    <s v="RAW MILL-2"/>
    <s v="MECHANICAL"/>
    <n v="3564960"/>
    <n v="0"/>
    <n v="3564960"/>
    <s v="TZS"/>
    <s v="[EPSSH013] SHEET FOR ROOFING 920 X 6.0 X 0.4 MM GREEN COLOR"/>
    <m/>
    <n v="-40"/>
    <s v="NOS"/>
    <x v="0"/>
    <x v="0"/>
    <x v="9"/>
    <x v="4"/>
    <n v="1398.0235294117647"/>
    <n v="0"/>
  </r>
  <r>
    <n v="466"/>
    <d v="2025-06-30T00:00:00"/>
    <x v="53"/>
    <s v="STJ/2025/05/01819"/>
    <s v="Inventory Valuation"/>
    <s v="CM/MTI/2025/00726 - [CIGGS001] GAS OXYGEN FULL CYLINDER, O2 / MRQ/2025/00951"/>
    <s v="CM/MTI/2025/00726 - [CIGGS001] GAS OXYGEN FULL CYLINDER, O2 / MRQ/2025/00951"/>
    <m/>
    <m/>
    <s v="MATERIAL COST"/>
    <s v="Expenses"/>
    <s v="731002"/>
    <s v="731002 STORE SPARES &amp; CONSUMABLE-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467"/>
    <d v="2025-06-30T00:00:00"/>
    <x v="53"/>
    <s v="STJ/2025/05/08320"/>
    <s v="Inventory Valuation"/>
    <s v="LOG/MTI/2025/00280 - [EFSHB219] BOLT HT HEX HEAD M16 X 70MM HALF THREAD WITH NUT AND WASHER GRADE 10.9 / MRQ/2025/01368_x000a_Rounding Adjustment: +0.01 TSh"/>
    <s v="LOG/MTI/2025/00280 - [EFSHB219] BOLT HT HEX HEAD M16 X 70MM HALF THREAD WITH NUT AND WASHER GRADE 10.9 / MRQ/2025/01368_x000a_Rounding Adjustment: +0.01 TSh"/>
    <m/>
    <m/>
    <s v="MATERIAL COST"/>
    <s v="Expenses"/>
    <s v="731002"/>
    <s v="731002 STORE SPARES &amp; CONSUMABLE-GENERAL"/>
    <s v="CWIP-FABRICATION OF INHOUSE TRAILOR"/>
    <s v="LOGISTIC DIVISION"/>
    <s v="LOGISTIC DIVISION"/>
    <n v="3577.93"/>
    <n v="0"/>
    <n v="3577.93"/>
    <s v="TZS"/>
    <s v="[EFSHB219] BOLT HT HEX HEAD M16 X 70MM HALF THREAD WITH NUT AND WASHER GRADE 10.9"/>
    <m/>
    <n v="-2"/>
    <s v="NOS"/>
    <x v="0"/>
    <x v="0"/>
    <x v="12"/>
    <x v="1"/>
    <n v="1.4031098039215686"/>
    <n v="0"/>
  </r>
  <r>
    <n v="468"/>
    <d v="2025-06-30T00:00:00"/>
    <x v="53"/>
    <s v="STJ/2025/05/08353"/>
    <s v="Inventory Valuation"/>
    <s v="LOG/MTI/2025/00287 - [EFSHB079] BOLT HT HEX HEAD M10 X 40MM FULL THREAD WITH NUT AND WASHER GRADE 8.8 / MRQ/2025/01340"/>
    <s v="LOG/MTI/2025/00287 - [EFSHB079] BOLT HT HEX HEAD M10 X 40MM FULL THREAD WITH NUT AND WASHER GRADE 8.8 / MRQ/2025/01340"/>
    <m/>
    <m/>
    <s v="MATERIAL COST"/>
    <s v="Expenses"/>
    <s v="731002"/>
    <s v="731002 STORE SPARES &amp; CONSUMABLE-GENERAL"/>
    <s v="CWIP-FABRICATION OF INHOUSE TRAILOR"/>
    <s v="LOGISTIC DIVISION"/>
    <s v="LOGISTIC DIVISION"/>
    <n v="650"/>
    <n v="0"/>
    <n v="650"/>
    <s v="TZS"/>
    <s v="[EFSHB079] BOLT HT HEX HEAD M10 X 40MM FULL THREAD WITH NUT AND WASHER GRADE 8.8"/>
    <m/>
    <n v="-1"/>
    <s v="NOS"/>
    <x v="0"/>
    <x v="0"/>
    <x v="12"/>
    <x v="1"/>
    <n v="0.25490196078431371"/>
    <n v="0"/>
  </r>
  <r>
    <n v="469"/>
    <d v="2025-06-30T00:00:00"/>
    <x v="53"/>
    <s v="STJ/2025/05/08358"/>
    <s v="Inventory Valuation"/>
    <s v="LOG/MTI/2025/00288 - [LGS0014] CENTER BOLT &amp; NUT - M16 X 12&quot; / MRQ/2025/01337"/>
    <s v="LOG/MTI/2025/00288 - [LGS0014] CENTER BOLT &amp; NUT - M16 X 12&quot; / MRQ/2025/01337"/>
    <m/>
    <m/>
    <s v="MATERIAL COST"/>
    <s v="Expenses"/>
    <s v="731002"/>
    <s v="731002 STORE SPARES &amp; CONSUMABLE-GENERAL"/>
    <s v="CWIP-FABRICATION OF INHOUSE TRAILOR"/>
    <s v="LOGISTIC DIVISION"/>
    <s v="LOGISTIC DIVISION"/>
    <n v="42630.68"/>
    <n v="0"/>
    <n v="42630.68"/>
    <s v="TZS"/>
    <s v="[LGS0014] CENTER BOLT &amp; NUT - M16 X 12&quot;"/>
    <m/>
    <n v="-4"/>
    <s v="NOS"/>
    <x v="0"/>
    <x v="0"/>
    <x v="12"/>
    <x v="1"/>
    <n v="16.717913725490195"/>
    <n v="0"/>
  </r>
  <r>
    <n v="470"/>
    <d v="2025-06-30T00:00:00"/>
    <x v="53"/>
    <s v="STJ/2025/05/08365"/>
    <s v="Inventory Valuation"/>
    <s v="LOG/MTI/2025/00288 - [LTS0026] TRAILER BUSH - BPW - 203169000 / MRQ/2025/01337"/>
    <s v="LOG/MTI/2025/00288 - [LTS0026] TRAILER BUSH - BPW - 203169000 / MRQ/2025/01337"/>
    <m/>
    <m/>
    <s v="MATERIAL COST"/>
    <s v="Expenses"/>
    <s v="731002"/>
    <s v="731002 STORE SPARES &amp; CONSUMABLE-GENERAL"/>
    <s v="CWIP-FABRICATION OF INHOUSE TRAILOR"/>
    <s v="LOGISTIC DIVISION"/>
    <s v="LOGISTIC DIVISION"/>
    <n v="106458.25"/>
    <n v="0"/>
    <n v="106458.25"/>
    <s v="TZS"/>
    <s v="[LTS0026] TRAILER BUSH - BPW - 203169000"/>
    <m/>
    <n v="-6"/>
    <s v="NOS"/>
    <x v="0"/>
    <x v="0"/>
    <x v="12"/>
    <x v="1"/>
    <n v="41.748333333333335"/>
    <n v="0"/>
  </r>
  <r>
    <n v="471"/>
    <d v="2025-06-30T00:00:00"/>
    <x v="53"/>
    <s v="STJ/2025/05/08366"/>
    <s v="Inventory Valuation"/>
    <s v="LOG/MTI/2025/00288 - [LTS060] SPRING PIN TRAILER WITH ROUND HEAD M30 X 3.5 X 205MM / MRQ/2025/01337_x000a_Rounding Adjustment: -0.01 TSh"/>
    <s v="LOG/MTI/2025/00288 - [LTS060] SPRING PIN TRAILER WITH ROUND HEAD M30 X 3.5 X 205MM / MRQ/2025/01337_x000a_Rounding Adjustment: -0.01 TSh"/>
    <m/>
    <m/>
    <s v="MATERIAL COST"/>
    <s v="Expenses"/>
    <s v="731002"/>
    <s v="731002 STORE SPARES &amp; CONSUMABLE-GENERAL"/>
    <s v="CWIP-FABRICATION OF INHOUSE TRAILOR"/>
    <s v="LOGISTIC DIVISION"/>
    <s v="LOGISTIC DIVISION"/>
    <n v="186180.77"/>
    <n v="0"/>
    <n v="186180.77"/>
    <s v="TZS"/>
    <s v="[LTS060] SPRING PIN TRAILER WITH ROUND HEAD M30 X 3.5 X 205MM"/>
    <m/>
    <n v="-5"/>
    <s v="NOS"/>
    <x v="0"/>
    <x v="0"/>
    <x v="12"/>
    <x v="1"/>
    <n v="73.012066666666669"/>
    <n v="0"/>
  </r>
  <r>
    <n v="472"/>
    <d v="2025-06-30T00:00:00"/>
    <x v="53"/>
    <s v="STJ/2025/05/08429"/>
    <s v="Inventory Valuation"/>
    <s v="LOG/MTI/2025/00290 - [EFSHB079] BOLT HT HEX HEAD M10 X 40MM FULL THREAD WITH NUT AND WASHER GRADE 8.8 / MRQ/2025/01405"/>
    <s v="LOG/MTI/2025/00290 - [EFSHB079] BOLT HT HEX HEAD M10 X 40MM FULL THREAD WITH NUT AND WASHER GRADE 8.8 / MRQ/2025/01405"/>
    <m/>
    <m/>
    <s v="MATERIAL COST"/>
    <s v="Expenses"/>
    <s v="731002"/>
    <s v="731002 STORE SPARES &amp; CONSUMABLE-GENERAL"/>
    <s v="CWIP-FABRICATION OF INHOUSE TRAILOR"/>
    <s v="LOGISTIC DIVISION"/>
    <s v="LOGISTIC DIVISION"/>
    <n v="650"/>
    <n v="0"/>
    <n v="650"/>
    <s v="TZS"/>
    <s v="[EFSHB079] BOLT HT HEX HEAD M10 X 40MM FULL THREAD WITH NUT AND WASHER GRADE 8.8"/>
    <m/>
    <n v="-1"/>
    <s v="NOS"/>
    <x v="0"/>
    <x v="0"/>
    <x v="12"/>
    <x v="1"/>
    <n v="0.25490196078431371"/>
    <n v="0"/>
  </r>
  <r>
    <n v="473"/>
    <d v="2025-06-30T00:00:00"/>
    <x v="53"/>
    <s v="STJ/2025/05/08431"/>
    <s v="Inventory Valuation"/>
    <s v="LOG/MTI/2025/00290 - [EFSHB104] BOLT HT HEX HEAD M12 X 120MM HALF THREAD WITH NUT AND WASHER GRADE 8.8 / MRQ/2025/01405"/>
    <s v="LOG/MTI/2025/00290 - [EFSHB104] BOLT HT HEX HEAD M12 X 120MM HALF THREAD WITH NUT AND WASHER GRADE 8.8 / MRQ/2025/01405"/>
    <m/>
    <m/>
    <s v="MATERIAL COST"/>
    <s v="Expenses"/>
    <s v="731002"/>
    <s v="731002 STORE SPARES &amp; CONSUMABLE-GENERAL"/>
    <s v="CWIP-FABRICATION OF INHOUSE TRAILOR"/>
    <s v="LOGISTIC DIVISION"/>
    <s v="LOGISTIC DIVISION"/>
    <n v="6720.34"/>
    <n v="0"/>
    <n v="6720.34"/>
    <s v="TZS"/>
    <s v="[EFSHB104] BOLT HT HEX HEAD M12 X 120MM HALF THREAD WITH NUT AND WASHER GRADE 8.8"/>
    <m/>
    <n v="-4"/>
    <s v="NOS"/>
    <x v="0"/>
    <x v="0"/>
    <x v="12"/>
    <x v="1"/>
    <n v="2.6354274509803921"/>
    <n v="0"/>
  </r>
  <r>
    <n v="474"/>
    <d v="2025-06-30T00:00:00"/>
    <x v="53"/>
    <s v="STJ/2025/05/08432"/>
    <s v="Inventory Valuation"/>
    <s v="LOG/MTI/2025/00290 - [EFSHB221] BOLT HT HEX HEAD M10 X 80MM FULL THREAD WITH NUT AND WASHER GRADE 8.8 / MRQ/2025/01405"/>
    <s v="LOG/MTI/2025/00290 - [EFSHB221] BOLT HT HEX HEAD M10 X 80MM FULL THREAD WITH NUT AND WASHER GRADE 8.8 / MRQ/2025/01405"/>
    <m/>
    <m/>
    <s v="MATERIAL COST"/>
    <s v="Expenses"/>
    <s v="731002"/>
    <s v="731002 STORE SPARES &amp; CONSUMABLE-GENERAL"/>
    <s v="CWIP-FABRICATION OF INHOUSE TRAILOR"/>
    <s v="LOGISTIC DIVISION"/>
    <s v="LOGISTIC DIVISION"/>
    <n v="680.74"/>
    <n v="0"/>
    <n v="680.74"/>
    <s v="TZS"/>
    <s v="[EFSHB221] BOLT HT HEX HEAD M10 X 80MM FULL THREAD WITH NUT AND WASHER GRADE 8.8"/>
    <m/>
    <n v="-1"/>
    <s v="NOS"/>
    <x v="0"/>
    <x v="0"/>
    <x v="12"/>
    <x v="1"/>
    <n v="0.26695686274509806"/>
    <n v="0"/>
  </r>
  <r>
    <n v="475"/>
    <d v="2025-06-30T00:00:00"/>
    <x v="53"/>
    <s v="STJ/2025/05/06258"/>
    <s v="Inventory Valuation"/>
    <s v="LOG/MTI/2025/00230 - [EPSCQ001] PLATE MS CHEQUERED 2400 X 1200 X 3 MM THICK / MRQ/2025/01182"/>
    <s v="LOG/MTI/2025/00230 - [EPSCQ001] PLATE MS CHEQUERED 2400 X 1200 X 3 MM THICK / MRQ/2025/01182"/>
    <m/>
    <m/>
    <s v="MATERIAL COST"/>
    <s v="Expenses"/>
    <s v="731002"/>
    <s v="731002 STORE SPARES &amp; CONSUMABLE-GENERAL"/>
    <s v="CWIP-FABRICATION OF INHOUSE TRAILOR"/>
    <s v="LOGISTIC DIVISION"/>
    <s v="LOGISTIC DIVISION"/>
    <n v="1457627.1"/>
    <n v="0"/>
    <n v="1457627.1"/>
    <s v="TZS"/>
    <s v="[EPSCQ001] PLATE MS CHEQUERED 2400 X 1200 X 3 MM THICK"/>
    <m/>
    <n v="-10"/>
    <s v="NOS"/>
    <x v="0"/>
    <x v="0"/>
    <x v="12"/>
    <x v="1"/>
    <n v="571.61847058823537"/>
    <n v="0"/>
  </r>
  <r>
    <n v="476"/>
    <d v="2025-06-30T00:00:00"/>
    <x v="53"/>
    <s v="STJ/2025/05/06259"/>
    <s v="Inventory Valuation"/>
    <s v="LOG/MTI/2025/00230 - [ESSCN001] ISMC 75 / MRQ/2025/01182"/>
    <s v="LOG/MTI/2025/00230 - [ESSCN001] ISMC 75 / MRQ/2025/01182"/>
    <m/>
    <m/>
    <s v="MATERIAL COST"/>
    <s v="Expenses"/>
    <s v="731002"/>
    <s v="731002 STORE SPARES &amp; CONSUMABLE-GENERAL"/>
    <s v="CWIP-FABRICATION OF INHOUSE TRAILOR"/>
    <s v="LOGISTIC DIVISION"/>
    <s v="LOGISTIC DIVISION"/>
    <n v="677966.1"/>
    <n v="0"/>
    <n v="677966.1"/>
    <s v="TZS"/>
    <s v="[ESSCN001] ISMC 75"/>
    <m/>
    <n v="-10"/>
    <s v="NOS"/>
    <x v="0"/>
    <x v="0"/>
    <x v="12"/>
    <x v="1"/>
    <n v="265.86905882352943"/>
    <n v="0"/>
  </r>
  <r>
    <n v="477"/>
    <d v="2025-06-30T00:00:00"/>
    <x v="53"/>
    <s v="STJ/2025/05/06305"/>
    <s v="Inventory Valuation"/>
    <s v="LOG/MTI/2025/00237 - [EPSCQ001] PLATE MS CHEQUERED 2400 X 1200 X 3 MM THICK / MRQ/2025/01156"/>
    <s v="LOG/MTI/2025/00237 - [EPSCQ001] PLATE MS CHEQUERED 2400 X 1200 X 3 MM THICK / MRQ/2025/01156"/>
    <m/>
    <m/>
    <s v="MATERIAL COST"/>
    <s v="Expenses"/>
    <s v="731002"/>
    <s v="731002 STORE SPARES &amp; CONSUMABLE-GENERAL"/>
    <s v="CWIP-FABRICATION OF INHOUSE TRAILOR"/>
    <s v="LOGISTIC DIVISION"/>
    <s v="LOGISTIC DIVISION"/>
    <n v="1457627.1"/>
    <n v="0"/>
    <n v="1457627.1"/>
    <s v="TZS"/>
    <s v="[EPSCQ001] PLATE MS CHEQUERED 2400 X 1200 X 3 MM THICK"/>
    <m/>
    <n v="-10"/>
    <s v="NOS"/>
    <x v="0"/>
    <x v="0"/>
    <x v="12"/>
    <x v="1"/>
    <n v="571.61847058823537"/>
    <n v="0"/>
  </r>
  <r>
    <n v="478"/>
    <d v="2025-06-30T00:00:00"/>
    <x v="53"/>
    <s v="STJ/2025/05/06306"/>
    <s v="Inventory Valuation"/>
    <s v="LOG/MTI/2025/00237 - [ESSCN001] ISMC 75 / MRQ/2025/01156"/>
    <s v="LOG/MTI/2025/00237 - [ESSCN001] ISMC 75 / MRQ/2025/01156"/>
    <m/>
    <m/>
    <s v="MATERIAL COST"/>
    <s v="Expenses"/>
    <s v="731002"/>
    <s v="731002 STORE SPARES &amp; CONSUMABLE-GENERAL"/>
    <s v="CWIP-FABRICATION OF INHOUSE TRAILOR"/>
    <s v="LOGISTIC DIVISION"/>
    <s v="LOGISTIC DIVISION"/>
    <n v="677966.1"/>
    <n v="0"/>
    <n v="677966.1"/>
    <s v="TZS"/>
    <s v="[ESSCN001] ISMC 75"/>
    <m/>
    <n v="-10"/>
    <s v="NOS"/>
    <x v="0"/>
    <x v="0"/>
    <x v="12"/>
    <x v="1"/>
    <n v="265.86905882352943"/>
    <n v="0"/>
  </r>
  <r>
    <n v="479"/>
    <d v="2025-06-30T00:00:00"/>
    <x v="53"/>
    <s v="STJ/2025/05/06307"/>
    <s v="Inventory Valuation"/>
    <s v="LOG/MTI/2025/00237 - [ESSCN002] ISMC 100 / MRQ/2025/01156"/>
    <s v="LOG/MTI/2025/00237 - [ESSCN002] ISMC 100 / MRQ/2025/01156"/>
    <m/>
    <m/>
    <s v="MATERIAL COST"/>
    <s v="Expenses"/>
    <s v="731002"/>
    <s v="731002 STORE SPARES &amp; CONSUMABLE-GENERAL"/>
    <s v="CWIP-FABRICATION OF INHOUSE TRAILOR"/>
    <s v="LOGISTIC DIVISION"/>
    <s v="LOGISTIC DIVISION"/>
    <n v="360000"/>
    <n v="0"/>
    <n v="360000"/>
    <s v="TZS"/>
    <s v="[ESSCN002] ISMC 100"/>
    <m/>
    <n v="-4"/>
    <s v="NOS"/>
    <x v="0"/>
    <x v="0"/>
    <x v="12"/>
    <x v="1"/>
    <n v="141.1764705882353"/>
    <n v="0"/>
  </r>
  <r>
    <n v="480"/>
    <d v="2025-06-30T00:00:00"/>
    <x v="53"/>
    <s v="STJ/2025/05/06308"/>
    <s v="Inventory Valuation"/>
    <s v="LOG/MTI/2025/00237 - [ESSCN004] ISMC 150 / MRQ/2025/01156"/>
    <s v="LOG/MTI/2025/00237 - [ESSCN004] ISMC 150 / MRQ/2025/01156"/>
    <m/>
    <m/>
    <s v="MATERIAL COST"/>
    <s v="Expenses"/>
    <s v="731002"/>
    <s v="731002 STORE SPARES &amp; CONSUMABLE-GENERAL"/>
    <s v="CWIP-FABRICATION OF INHOUSE TRAILOR"/>
    <s v="LOGISTIC DIVISION"/>
    <s v="LOGISTIC DIVISION"/>
    <n v="1080000"/>
    <n v="0"/>
    <n v="1080000"/>
    <s v="TZS"/>
    <s v="[ESSCN004] ISMC 150"/>
    <m/>
    <n v="-6"/>
    <s v="NOS"/>
    <x v="0"/>
    <x v="0"/>
    <x v="12"/>
    <x v="1"/>
    <n v="423.52941176470586"/>
    <n v="0"/>
  </r>
  <r>
    <n v="481"/>
    <d v="2025-06-30T00:00:00"/>
    <x v="53"/>
    <s v="STJ/2025/05/06773"/>
    <s v="Inventory Valuation"/>
    <s v="LOG/MTI/2025/00244 - [EPSCQ001] PLATE MS CHEQUERED 2400 X 1200 X 3 MM THICK / MRQ/2025/01137"/>
    <s v="LOG/MTI/2025/00244 - [EPSCQ001] PLATE MS CHEQUERED 2400 X 1200 X 3 MM THICK / MRQ/2025/01137"/>
    <m/>
    <m/>
    <s v="MATERIAL COST"/>
    <s v="Expenses"/>
    <s v="731002"/>
    <s v="731002 STORE SPARES &amp; CONSUMABLE-GENERAL"/>
    <s v="CWIP-FABRICATION OF INHOUSE TRAILOR"/>
    <s v="LOGISTIC DIVISION"/>
    <s v="LOGISTIC DIVISION"/>
    <n v="1457627.1"/>
    <n v="0"/>
    <n v="1457627.1"/>
    <s v="TZS"/>
    <s v="[EPSCQ001] PLATE MS CHEQUERED 2400 X 1200 X 3 MM THICK"/>
    <m/>
    <n v="-10"/>
    <s v="NOS"/>
    <x v="0"/>
    <x v="0"/>
    <x v="12"/>
    <x v="1"/>
    <n v="571.61847058823537"/>
    <n v="0"/>
  </r>
  <r>
    <n v="482"/>
    <d v="2025-06-30T00:00:00"/>
    <x v="53"/>
    <s v="STJ/2025/05/06774"/>
    <s v="Inventory Valuation"/>
    <s v="LOG/MTI/2025/00244 - [EPSSP003] PLATE MS 2400 X 1200 X 3 MM THICK / MRQ/2025/01137"/>
    <s v="LOG/MTI/2025/00244 - [EPSSP003] PLATE MS 2400 X 1200 X 3 MM THICK / MRQ/2025/01137"/>
    <m/>
    <m/>
    <s v="MATERIAL COST"/>
    <s v="Expenses"/>
    <s v="731002"/>
    <s v="731002 STORE SPARES &amp; CONSUMABLE-GENERAL"/>
    <s v="CWIP-FABRICATION OF INHOUSE TRAILOR"/>
    <s v="LOGISTIC DIVISION"/>
    <s v="LOGISTIC DIVISION"/>
    <n v="411000"/>
    <n v="0"/>
    <n v="411000"/>
    <s v="TZS"/>
    <s v="[EPSSP003] PLATE MS 2400 X 1200 X 3 MM THICK"/>
    <m/>
    <n v="-3"/>
    <s v="NOS"/>
    <x v="0"/>
    <x v="0"/>
    <x v="12"/>
    <x v="1"/>
    <n v="161.1764705882353"/>
    <n v="0"/>
  </r>
  <r>
    <n v="483"/>
    <d v="2025-06-30T00:00:00"/>
    <x v="53"/>
    <s v="STJ/2025/05/06775"/>
    <s v="Inventory Valuation"/>
    <s v="LOG/MTI/2025/00244 - [EPSSP007] PLATE MS 2400 X 1200 X 8 MM THICK / MRQ/2025/01137"/>
    <s v="LOG/MTI/2025/00244 - [EPSSP007] PLATE MS 2400 X 1200 X 8 MM THICK / MRQ/2025/01137"/>
    <m/>
    <m/>
    <s v="MATERIAL COST"/>
    <s v="Expenses"/>
    <s v="731002"/>
    <s v="731002 STORE SPARES &amp; CONSUMABLE-GENERAL"/>
    <s v="CWIP-FABRICATION OF INHOUSE TRAILOR"/>
    <s v="LOGISTIC DIVISION"/>
    <s v="LOGISTIC DIVISION"/>
    <n v="381355.93"/>
    <n v="0"/>
    <n v="381355.93"/>
    <s v="TZS"/>
    <s v="[EPSSP007] PLATE MS 2400 X 1200 X 8 MM THICK"/>
    <m/>
    <n v="-1"/>
    <s v="NOS"/>
    <x v="0"/>
    <x v="0"/>
    <x v="12"/>
    <x v="1"/>
    <n v="149.55134509803921"/>
    <n v="0"/>
  </r>
  <r>
    <n v="484"/>
    <d v="2025-06-30T00:00:00"/>
    <x v="53"/>
    <s v="STJ/2025/05/06776"/>
    <s v="Inventory Valuation"/>
    <s v="LOG/MTI/2025/00244 - [EPSSP009] PLATE MS 2400 X 1200 X 12 MM THICK / MRQ/2025/01137"/>
    <s v="LOG/MTI/2025/00244 - [EPSSP009] PLATE MS 2400 X 1200 X 12 MM THICK / MRQ/2025/01137"/>
    <m/>
    <m/>
    <s v="MATERIAL COST"/>
    <s v="Expenses"/>
    <s v="731002"/>
    <s v="731002 STORE SPARES &amp; CONSUMABLE-GENERAL"/>
    <s v="CWIP-FABRICATION OF INHOUSE TRAILOR"/>
    <s v="LOGISTIC DIVISION"/>
    <s v="LOGISTIC DIVISION"/>
    <n v="580508.47"/>
    <n v="0"/>
    <n v="580508.47"/>
    <s v="TZS"/>
    <s v="[EPSSP009] PLATE MS 2400 X 1200 X 12 MM THICK"/>
    <m/>
    <n v="-1"/>
    <s v="NOS"/>
    <x v="0"/>
    <x v="0"/>
    <x v="12"/>
    <x v="1"/>
    <n v="227.65038039215685"/>
    <n v="0"/>
  </r>
  <r>
    <n v="485"/>
    <d v="2025-06-30T00:00:00"/>
    <x v="53"/>
    <s v="STJ/2025/05/06777"/>
    <s v="Inventory Valuation"/>
    <s v="LOG/MTI/2025/00244 - [ESSCN001] ISMC 75 / MRQ/2025/01137"/>
    <s v="LOG/MTI/2025/00244 - [ESSCN001] ISMC 75 / MRQ/2025/01137"/>
    <m/>
    <m/>
    <s v="MATERIAL COST"/>
    <s v="Expenses"/>
    <s v="731002"/>
    <s v="731002 STORE SPARES &amp; CONSUMABLE-GENERAL"/>
    <s v="CWIP-FABRICATION OF INHOUSE TRAILOR"/>
    <s v="LOGISTIC DIVISION"/>
    <s v="LOGISTIC DIVISION"/>
    <n v="677966.1"/>
    <n v="0"/>
    <n v="677966.1"/>
    <s v="TZS"/>
    <s v="[ESSCN001] ISMC 75"/>
    <m/>
    <n v="-10"/>
    <s v="NOS"/>
    <x v="0"/>
    <x v="0"/>
    <x v="12"/>
    <x v="1"/>
    <n v="265.86905882352943"/>
    <n v="0"/>
  </r>
  <r>
    <n v="486"/>
    <d v="2025-06-30T00:00:00"/>
    <x v="53"/>
    <s v="STJ/2025/05/06778"/>
    <s v="Inventory Valuation"/>
    <s v="LOG/MTI/2025/00244 - [ESSCN002] ISMC 100 / MRQ/2025/01137"/>
    <s v="LOG/MTI/2025/00244 - [ESSCN002] ISMC 100 / MRQ/2025/01137"/>
    <m/>
    <m/>
    <s v="MATERIAL COST"/>
    <s v="Expenses"/>
    <s v="731002"/>
    <s v="731002 STORE SPARES &amp; CONSUMABLE-GENERAL"/>
    <s v="CWIP-FABRICATION OF INHOUSE TRAILOR"/>
    <s v="LOGISTIC DIVISION"/>
    <s v="LOGISTIC DIVISION"/>
    <n v="360000"/>
    <n v="0"/>
    <n v="360000"/>
    <s v="TZS"/>
    <s v="[ESSCN002] ISMC 100"/>
    <m/>
    <n v="-4"/>
    <s v="NOS"/>
    <x v="0"/>
    <x v="0"/>
    <x v="12"/>
    <x v="1"/>
    <n v="141.1764705882353"/>
    <n v="0"/>
  </r>
  <r>
    <n v="487"/>
    <d v="2025-06-30T00:00:00"/>
    <x v="53"/>
    <s v="STJ/2025/05/06779"/>
    <s v="Inventory Valuation"/>
    <s v="LOG/MTI/2025/00244 - [ESSCN004] ISMC 150 / MRQ/2025/01137"/>
    <s v="LOG/MTI/2025/00244 - [ESSCN004] ISMC 150 / MRQ/2025/01137"/>
    <m/>
    <m/>
    <s v="MATERIAL COST"/>
    <s v="Expenses"/>
    <s v="731002"/>
    <s v="731002 STORE SPARES &amp; CONSUMABLE-GENERAL"/>
    <s v="CWIP-FABRICATION OF INHOUSE TRAILOR"/>
    <s v="LOGISTIC DIVISION"/>
    <s v="LOGISTIC DIVISION"/>
    <n v="1800000"/>
    <n v="0"/>
    <n v="1800000"/>
    <s v="TZS"/>
    <s v="[ESSCN004] ISMC 150"/>
    <m/>
    <n v="-10"/>
    <s v="NOS"/>
    <x v="0"/>
    <x v="0"/>
    <x v="12"/>
    <x v="1"/>
    <n v="705.88235294117646"/>
    <n v="0"/>
  </r>
  <r>
    <n v="488"/>
    <d v="2025-06-30T00:00:00"/>
    <x v="53"/>
    <s v="STJ/2025/05/04061"/>
    <s v="Inventory Valuation"/>
    <s v="LOG/MTI/2025/00220 - [LTS053] TRAILER SUSPENSION HANGER (HJ AXEL) / MRQ/2025/01096_x000a_Rounding Adjustment: -0.01 TSh"/>
    <s v="LOG/MTI/2025/00220 - [LTS053] TRAILER SUSPENSION HANGER (HJ AXEL) / MRQ/2025/01096_x000a_Rounding Adjustment: -0.01 TSh"/>
    <m/>
    <m/>
    <s v="MATERIAL COST"/>
    <s v="Expenses"/>
    <s v="731002"/>
    <s v="731002 STORE SPARES &amp; CONSUMABLE-GENERAL"/>
    <s v="CWIP-FABRICATION OF INHOUSE TRAILOR"/>
    <s v="LOGISTIC DIVISION"/>
    <s v="LOGISTIC DIVISION"/>
    <n v="4282470.88"/>
    <n v="0"/>
    <n v="4282470.88"/>
    <s v="TZS"/>
    <s v="[LTS053] TRAILER SUSPENSION HANGER (HJ AXEL)"/>
    <m/>
    <n v="-8"/>
    <s v="NOS"/>
    <x v="0"/>
    <x v="0"/>
    <x v="12"/>
    <x v="1"/>
    <n v="1679.4003450980392"/>
    <n v="0"/>
  </r>
  <r>
    <n v="489"/>
    <d v="2025-06-30T00:00:00"/>
    <x v="53"/>
    <s v="STJ/2025/05/03678"/>
    <s v="Inventory Valuation"/>
    <s v="LOG/MTI/2025/00207 - [LTS0031] TRAILER SHOCK UP BOLT/PIN M24 X 280MM  / MRQ/2025/01018"/>
    <s v="LOG/MTI/2025/00207 - [LTS0031] TRAILER SHOCK UP BOLT/PIN M24 X 280MM  / MRQ/2025/01018"/>
    <m/>
    <m/>
    <s v="MATERIAL COST"/>
    <s v="Expenses"/>
    <s v="731002"/>
    <s v="731002 STORE SPARES &amp; CONSUMABLE-GENERAL"/>
    <s v="CWIP-FABRICATION OF INHOUSE TRAILOR"/>
    <s v="LOGISTIC DIVISION"/>
    <s v="LOGISTIC DIVISION"/>
    <n v="125000"/>
    <n v="0"/>
    <n v="125000"/>
    <s v="TZS"/>
    <s v="[LTS0031] TRAILER SHOCK UP BOLT/PIN M24 X 280MM "/>
    <m/>
    <n v="-5"/>
    <s v="NOS"/>
    <x v="0"/>
    <x v="0"/>
    <x v="12"/>
    <x v="1"/>
    <n v="49.019607843137258"/>
    <n v="0"/>
  </r>
  <r>
    <n v="490"/>
    <d v="2025-06-30T00:00:00"/>
    <x v="53"/>
    <s v="STJ/2025/05/02501"/>
    <s v="Inventory Valuation"/>
    <s v="LOG/MTI/2025/00193 - [LGS0079] CUTTING WHEEL - 9'' / MRQ/2025/00986"/>
    <s v="LOG/MTI/2025/00193 - [LGS0079] CUTTING WHEEL - 9'' / MRQ/2025/00986"/>
    <m/>
    <m/>
    <s v="MATERIAL COST"/>
    <s v="Expenses"/>
    <s v="731002"/>
    <s v="731002 STORE SPARES &amp; CONSUMABLE-GENERAL"/>
    <s v="CWIP-FABRICATION OF INHOUSE TRAILOR"/>
    <s v="LOGISTIC DIVISION"/>
    <s v="LOGISTIC DIVISION"/>
    <n v="19083.830000000002"/>
    <n v="0"/>
    <n v="19083.830000000002"/>
    <s v="TZS"/>
    <s v="[LGS0079] CUTTING WHEEL - 9''"/>
    <m/>
    <n v="-5"/>
    <s v="NOS"/>
    <x v="0"/>
    <x v="0"/>
    <x v="12"/>
    <x v="1"/>
    <n v="7.4838549019607852"/>
    <n v="0"/>
  </r>
  <r>
    <n v="491"/>
    <d v="2025-06-30T00:00:00"/>
    <x v="53"/>
    <s v="STJ/2025/05/02629"/>
    <s v="Inventory Valuation"/>
    <s v="CM/MTI/2025/00761 - [CPAPT007] PAINT RED OXIDE / MRQ/2025/00934"/>
    <s v="CM/MTI/2025/00761 - [CPAPT007] PAINT RED OXIDE / MRQ/2025/00934"/>
    <m/>
    <m/>
    <s v="MATERIAL COST"/>
    <s v="Expenses"/>
    <s v="731002"/>
    <s v="731002 STORE SPARES &amp; CONSUMABLE-GENERAL"/>
    <s v="CWIP-FABRICATION OF INHOUSE TRAILOR"/>
    <s v="LOGISTIC DIVISION"/>
    <s v="LOGISTIC DIVISION"/>
    <n v="53070"/>
    <n v="0"/>
    <n v="53070"/>
    <s v="TZS"/>
    <s v="[CPAPT007] PAINT RED OXIDE"/>
    <m/>
    <n v="-12"/>
    <s v="LTR"/>
    <x v="0"/>
    <x v="0"/>
    <x v="12"/>
    <x v="1"/>
    <n v="20.811764705882354"/>
    <n v="0"/>
  </r>
  <r>
    <n v="492"/>
    <d v="2025-06-30T00:00:00"/>
    <x v="53"/>
    <s v="STJ/2025/05/02630"/>
    <s v="Inventory Valuation"/>
    <s v="CM/MTI/2025/00761 - [CWCWR003] WELDING ELECTRODE MS 6013 SIZE 4 MM X 450 MM / MRQ/2025/00934_x000a_Rounding Adjustment: +0.01 TSh"/>
    <s v="CM/MTI/2025/00761 - [CWCWR003] WELDING ELECTRODE MS 6013 SIZE 4 MM X 450 MM / MRQ/2025/00934_x000a_Rounding Adjustment: +0.01 TSh"/>
    <m/>
    <m/>
    <s v="MATERIAL COST"/>
    <s v="Expenses"/>
    <s v="731002"/>
    <s v="731002 STORE SPARES &amp; CONSUMABLE-GENERAL"/>
    <s v="CWIP-FABRICATION OF INHOUSE TRAILOR"/>
    <s v="LOGISTIC DIVISION"/>
    <s v="LOGISTIC DIVISION"/>
    <n v="409750.93"/>
    <n v="0"/>
    <n v="409750.93"/>
    <s v="TZS"/>
    <s v="[CWCWR003] WELDING ELECTRODE MS 6013 SIZE 4 MM X 450 MM"/>
    <m/>
    <n v="-100"/>
    <s v="KG"/>
    <x v="0"/>
    <x v="0"/>
    <x v="12"/>
    <x v="1"/>
    <n v="160.68663921568628"/>
    <n v="0"/>
  </r>
  <r>
    <n v="493"/>
    <d v="2025-06-30T00:00:00"/>
    <x v="53"/>
    <s v="STJ/2025/05/01889"/>
    <s v="Inventory Valuation"/>
    <s v="LOG/MTI/2025/00153 - [LGS0079] CUTTING WHEEL - 9'' / MRQ/2025/00935"/>
    <s v="LOG/MTI/2025/00153 - [LGS0079] CUTTING WHEEL - 9'' / MRQ/2025/00935"/>
    <m/>
    <m/>
    <s v="MATERIAL COST"/>
    <s v="Expenses"/>
    <s v="731002"/>
    <s v="731002 STORE SPARES &amp; CONSUMABLE-GENERAL"/>
    <s v="CWIP-FABRICATION OF INHOUSE TRAILOR"/>
    <s v="LOGISTIC DIVISION"/>
    <s v="LOGISTIC DIVISION"/>
    <n v="19083.830000000002"/>
    <n v="0"/>
    <n v="19083.830000000002"/>
    <s v="TZS"/>
    <s v="[LGS0079] CUTTING WHEEL - 9''"/>
    <m/>
    <n v="-5"/>
    <s v="NOS"/>
    <x v="0"/>
    <x v="0"/>
    <x v="12"/>
    <x v="1"/>
    <n v="7.4838549019607852"/>
    <n v="0"/>
  </r>
  <r>
    <n v="494"/>
    <d v="2025-06-30T00:00:00"/>
    <x v="53"/>
    <s v="STJ/2025/05/08684"/>
    <s v="Inventory Valuation"/>
    <s v="CM/MTI/2025/01010 - [CCLGC023] NAILS SIZE 4'' / MRQ/2025/01389"/>
    <s v="CM/MTI/2025/01010 - [CCLGC023] NAILS SIZE 4'' / MRQ/2025/01389"/>
    <m/>
    <m/>
    <s v="MATERIAL COST"/>
    <s v="Expenses"/>
    <s v="731002"/>
    <s v="731002 STORE SPARES &amp; CONSUMABLE-GENERAL"/>
    <s v="CWIP-INSTALLATION OF NEW WEIGHBRIDGE AT QUARRY(2NOS)"/>
    <s v="UTILITY"/>
    <s v="CIVIL"/>
    <n v="28500"/>
    <n v="0"/>
    <n v="28500"/>
    <s v="TZS"/>
    <s v="[CCLGC023] NAILS SIZE 4''"/>
    <m/>
    <n v="-5"/>
    <s v="KG"/>
    <x v="0"/>
    <x v="0"/>
    <x v="14"/>
    <x v="3"/>
    <n v="11.176470588235293"/>
    <n v="0"/>
  </r>
  <r>
    <n v="495"/>
    <d v="2025-06-30T00:00:00"/>
    <x v="53"/>
    <s v="STJ/2025/05/08685"/>
    <s v="Inventory Valuation"/>
    <s v="CM/MTI/2025/01010 - [CCLGC028] NAILS CONCRETE SIZE 4'' / MRQ/2025/01389"/>
    <s v="CM/MTI/2025/01010 - [CCLGC028] NAILS CONCRETE SIZE 4'' / MRQ/2025/01389"/>
    <m/>
    <m/>
    <s v="MATERIAL COST"/>
    <s v="Expenses"/>
    <s v="731002"/>
    <s v="731002 STORE SPARES &amp; CONSUMABLE-GENERAL"/>
    <s v="CWIP-INSTALLATION OF NEW WEIGHBRIDGE AT QUARRY(2NOS)"/>
    <s v="UTILITY"/>
    <s v="CIVIL"/>
    <n v="29853.81"/>
    <n v="0"/>
    <n v="29853.81"/>
    <s v="TZS"/>
    <s v="[CCLGC028] NAILS CONCRETE SIZE 4''"/>
    <m/>
    <n v="-3"/>
    <s v="KG"/>
    <x v="0"/>
    <x v="0"/>
    <x v="14"/>
    <x v="3"/>
    <n v="11.707376470588235"/>
    <n v="0"/>
  </r>
  <r>
    <n v="496"/>
    <d v="2025-06-30T00:00:00"/>
    <x v="53"/>
    <s v="STJ/2025/05/07067"/>
    <s v="Inventory Valuation"/>
    <s v="CM/MTI/2025/00932 - [CCLGC023] NAILS SIZE 4'' / MRQ/2025/01285"/>
    <s v="CM/MTI/2025/00932 - [CCLGC023] NAILS SIZE 4'' / MRQ/2025/01285"/>
    <m/>
    <m/>
    <s v="MATERIAL COST"/>
    <s v="Expenses"/>
    <s v="731002"/>
    <s v="731002 STORE SPARES &amp; CONSUMABLE-GENERAL"/>
    <s v="CWIP-INSTALLATION OF NEW WEIGHBRIDGE AT QUARRY(2NOS)"/>
    <s v="UTILITY"/>
    <s v="CIVIL"/>
    <n v="28500"/>
    <n v="0"/>
    <n v="28500"/>
    <s v="TZS"/>
    <s v="[CCLGC023] NAILS SIZE 4''"/>
    <m/>
    <n v="-5"/>
    <s v="KG"/>
    <x v="0"/>
    <x v="0"/>
    <x v="14"/>
    <x v="3"/>
    <n v="11.176470588235293"/>
    <n v="0"/>
  </r>
  <r>
    <n v="497"/>
    <d v="2025-06-30T00:00:00"/>
    <x v="53"/>
    <s v="STJ/2025/05/07068"/>
    <s v="Inventory Valuation"/>
    <s v="CM/MTI/2025/00932 - [CCLGC028] NAILS CONCRETE SIZE 4'' / MRQ/2025/01285_x000a_Rounding Adjustment: -0.01 TSh"/>
    <s v="CM/MTI/2025/00932 - [CCLGC028] NAILS CONCRETE SIZE 4'' / MRQ/2025/01285_x000a_Rounding Adjustment: -0.01 TSh"/>
    <m/>
    <m/>
    <s v="MATERIAL COST"/>
    <s v="Expenses"/>
    <s v="731002"/>
    <s v="731002 STORE SPARES &amp; CONSUMABLE-GENERAL"/>
    <s v="CWIP-INSTALLATION OF NEW WEIGHBRIDGE AT QUARRY(2NOS)"/>
    <s v="UTILITY"/>
    <s v="CIVIL"/>
    <n v="19902.55"/>
    <n v="0"/>
    <n v="19902.55"/>
    <s v="TZS"/>
    <s v="[CCLGC028] NAILS CONCRETE SIZE 4''"/>
    <m/>
    <n v="-2"/>
    <s v="KG"/>
    <x v="0"/>
    <x v="0"/>
    <x v="14"/>
    <x v="3"/>
    <n v="7.8049215686274511"/>
    <n v="0"/>
  </r>
  <r>
    <n v="498"/>
    <d v="2025-06-30T00:00:00"/>
    <x v="53"/>
    <s v="STJ/2025/05/07069"/>
    <s v="Inventory Valuation"/>
    <s v="CM/MTI/2025/00932 - [CWCGC041] CUTTING WHEEL 7'' / MRQ/2025/01285"/>
    <s v="CM/MTI/2025/00932 - [CWCGC041] CUTTING WHEEL 7'' / MRQ/2025/01285"/>
    <m/>
    <m/>
    <s v="MATERIAL COST"/>
    <s v="Expenses"/>
    <s v="731002"/>
    <s v="731002 STORE SPARES &amp; CONSUMABLE-GENERAL"/>
    <s v="CWIP-INSTALLATION OF NEW WEIGHBRIDGE AT QUARRY(2NOS)"/>
    <s v="UTILITY"/>
    <s v="CIVIL"/>
    <n v="32627.1"/>
    <n v="0"/>
    <n v="32627.1"/>
    <s v="TZS"/>
    <s v="[CWCGC041] CUTTING WHEEL 7''"/>
    <m/>
    <n v="-10"/>
    <s v="NOS"/>
    <x v="0"/>
    <x v="0"/>
    <x v="14"/>
    <x v="3"/>
    <n v="12.794941176470587"/>
    <n v="0"/>
  </r>
  <r>
    <n v="499"/>
    <d v="2025-06-30T00:00:00"/>
    <x v="53"/>
    <s v="STJ/2025/05/11005"/>
    <s v="Inventory Valuation"/>
    <s v="CM/MTI/2025/01128 - [CCLGC032] WIRE FOR BINDING / MRQ/2025/01515"/>
    <s v="CM/MTI/2025/01128 - [CCLGC032] WIRE FOR BINDING / MRQ/2025/01515"/>
    <m/>
    <m/>
    <s v="MATERIAL COST"/>
    <s v="Expenses"/>
    <s v="731002"/>
    <s v="731002 STORE SPARES &amp; CONSUMABLE-GENERAL"/>
    <s v="CWIP-ROAD PHASE 07"/>
    <s v="UTILITY"/>
    <s v="CIVIL"/>
    <n v="75000"/>
    <n v="0"/>
    <n v="75000"/>
    <s v="TZS"/>
    <s v="[CCLGC032] WIRE FOR BINDING"/>
    <m/>
    <n v="-15"/>
    <s v="KG"/>
    <x v="0"/>
    <x v="0"/>
    <x v="17"/>
    <x v="6"/>
    <n v="29.411764705882351"/>
    <n v="0"/>
  </r>
  <r>
    <n v="500"/>
    <d v="2025-06-30T00:00:00"/>
    <x v="53"/>
    <s v="STJ/2025/05/11006"/>
    <s v="Inventory Valuation"/>
    <s v="CM/MTI/2025/01128 - [CCLGC328] TMT BAR SIZE 10 MM GRADE FY500. / MRQ/2025/01515"/>
    <s v="CM/MTI/2025/01128 - [CCLGC328] TMT BAR SIZE 10 MM GRADE FY500. / MRQ/2025/01515"/>
    <m/>
    <m/>
    <s v="MATERIAL COST"/>
    <s v="Expenses"/>
    <s v="731002"/>
    <s v="731002 STORE SPARES &amp; CONSUMABLE-GENERAL"/>
    <s v="CWIP-ROAD PHASE 07"/>
    <s v="UTILITY"/>
    <s v="CIVIL"/>
    <n v="441611.65"/>
    <n v="0"/>
    <n v="441611.65"/>
    <s v="TZS"/>
    <s v="[CCLGC328] TMT BAR SIZE 10 MM GRADE FY500."/>
    <m/>
    <n v="-30"/>
    <s v="PCS"/>
    <x v="0"/>
    <x v="0"/>
    <x v="17"/>
    <x v="6"/>
    <n v="173.1810392156863"/>
    <n v="0"/>
  </r>
  <r>
    <n v="501"/>
    <d v="2025-06-30T00:00:00"/>
    <x v="53"/>
    <s v="STJ/2025/05/07070"/>
    <s v="Inventory Valuation"/>
    <s v="CM/MTI/2025/00933 - [CCLGC032] WIRE FOR BINDING / MRQ/2025/01289"/>
    <s v="CM/MTI/2025/00933 - [CCLGC032] WIRE FOR BINDING / MRQ/2025/01289"/>
    <m/>
    <m/>
    <s v="MATERIAL COST"/>
    <s v="Expenses"/>
    <s v="731002"/>
    <s v="731002 STORE SPARES &amp; CONSUMABLE-GENERAL"/>
    <s v="CWIP-ROAD PHASE 07"/>
    <s v="UTILITY"/>
    <s v="CIVIL"/>
    <n v="72250"/>
    <n v="0"/>
    <n v="72250"/>
    <s v="TZS"/>
    <s v="[CCLGC032] WIRE FOR BINDING"/>
    <m/>
    <n v="-14.45"/>
    <s v="KG"/>
    <x v="0"/>
    <x v="0"/>
    <x v="17"/>
    <x v="6"/>
    <n v="28.333333333333332"/>
    <n v="0"/>
  </r>
  <r>
    <n v="502"/>
    <d v="2025-06-30T00:00:00"/>
    <x v="53"/>
    <s v="STJ/2025/05/07071"/>
    <s v="Inventory Valuation"/>
    <s v="CM/MTI/2025/00933 - [CCLGC328] TMT BAR SIZE 10 MM GRADE FY500. / MRQ/2025/01289"/>
    <s v="CM/MTI/2025/00933 - [CCLGC328] TMT BAR SIZE 10 MM GRADE FY500. / MRQ/2025/01289"/>
    <m/>
    <m/>
    <s v="MATERIAL COST"/>
    <s v="Expenses"/>
    <s v="731002"/>
    <s v="731002 STORE SPARES &amp; CONSUMABLE-GENERAL"/>
    <s v="CWIP-ROAD PHASE 07"/>
    <s v="UTILITY"/>
    <s v="CIVIL"/>
    <n v="1177631.06"/>
    <n v="0"/>
    <n v="1177631.06"/>
    <s v="TZS"/>
    <s v="[CCLGC328] TMT BAR SIZE 10 MM GRADE FY500."/>
    <m/>
    <n v="-80"/>
    <s v="PCS"/>
    <x v="0"/>
    <x v="0"/>
    <x v="17"/>
    <x v="6"/>
    <n v="461.81610196078435"/>
    <n v="0"/>
  </r>
  <r>
    <n v="503"/>
    <d v="2025-06-30T00:00:00"/>
    <x v="53"/>
    <s v="STJ/2025/05/11270"/>
    <s v="Inventory Valuation"/>
    <s v="CM/MTI/2025/01148 - [CPMBG002] BAG EMPTY FOR CEMENT PACKING GRADE 42.5R MATERIAL WOVEN POLYPROPYLENE CAPACITY 50KG COLOR ORANGE / MRQ/2025/01449"/>
    <s v="CM/MTI/2025/01148 - [CPMBG002] BAG EMPTY FOR CEMENT PACKING GRADE 42.5R MATERIAL WOVEN POLYPROPYLENE CAPACITY 50KG COLOR ORANGE / MRQ/2025/01449"/>
    <m/>
    <m/>
    <s v="MATERIAL COST"/>
    <s v="Expenses"/>
    <s v="731006"/>
    <s v="731006 PACKING BAG CONSUMED"/>
    <s v="CWIP-INSTALLATION OF NEW WEIGHBRIDGE AT QUARRY(2NOS)"/>
    <s v="UTILITY"/>
    <s v="CIVIL"/>
    <n v="42004.7"/>
    <n v="0"/>
    <n v="42004.7"/>
    <s v="TZS"/>
    <s v="[CPMBG002] BAG EMPTY FOR CEMENT PACKING GRADE 42.5R MATERIAL WOVEN POLYPROPYLENE CAPACITY 50KG COLOR ORANGE"/>
    <m/>
    <n v="-100"/>
    <s v="NOS"/>
    <x v="0"/>
    <x v="0"/>
    <x v="14"/>
    <x v="3"/>
    <n v="16.472431372549018"/>
    <n v="0"/>
  </r>
  <r>
    <n v="504"/>
    <d v="2025-06-30T00:00:00"/>
    <x v="53"/>
    <s v="STJ/2025/05/11704"/>
    <s v="Inventory Valuation"/>
    <s v="CM/MTI/2025/01152 - [CPMBG005] BAG EMPTY FOR CEMENT PACKING GRADE 42.5R MATERIAL WOVEN POLYPROPYLENE CAPACITY 1MT COLOR BLUE / MRQ/2025/01409_x000a_Rounding Adjustment: -0.01 TSh"/>
    <s v="CM/MTI/2025/01152 - [CPMBG005] BAG EMPTY FOR CEMENT PACKING GRADE 42.5R MATERIAL WOVEN POLYPROPYLENE CAPACITY 1MT COLOR BLUE / MRQ/2025/01409_x000a_Rounding Adjustment: -0.01 TSh"/>
    <m/>
    <m/>
    <s v="MATERIAL COST"/>
    <s v="Expenses"/>
    <s v="731006"/>
    <s v="731006 PACKING BAG CONSUMED"/>
    <s v="CWIP-ROAD PHASE 07"/>
    <s v="UTILITY"/>
    <s v="CIVIL"/>
    <n v="252535.42"/>
    <n v="0"/>
    <n v="252535.42"/>
    <s v="TZS"/>
    <s v="[CPMBG005] BAG EMPTY FOR CEMENT PACKING GRADE 42.5R MATERIAL WOVEN POLYPROPYLENE CAPACITY 1MT COLOR BLUE"/>
    <m/>
    <n v="-12"/>
    <s v="NOS"/>
    <x v="0"/>
    <x v="0"/>
    <x v="17"/>
    <x v="6"/>
    <n v="99.033498039215687"/>
    <n v="0"/>
  </r>
  <r>
    <n v="505"/>
    <d v="2025-06-30T00:00:00"/>
    <x v="53"/>
    <s v="PCVLG/2025/05/0142"/>
    <s v="PCV (PETTY CASH LOGISTIC)"/>
    <m/>
    <s v="CASH PAID FOR  FABRICATION OF NEW TRAILERS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1000000"/>
    <n v="0"/>
    <n v="1000000"/>
    <s v="TZS"/>
    <m/>
    <m/>
    <n v="1"/>
    <m/>
    <x v="0"/>
    <x v="0"/>
    <x v="12"/>
    <x v="1"/>
    <n v="392.15686274509807"/>
    <n v="0"/>
  </r>
  <r>
    <n v="506"/>
    <d v="2025-06-30T00:00:00"/>
    <x v="53"/>
    <s v="PCVLG/2025/05/0116"/>
    <s v="PCV (PETTY CASH LOGISTIC)"/>
    <m/>
    <s v="CASH PAID FOR FABRICATION OF HINGES 100PCS @5000 FOR NEW TRAILERS"/>
    <m/>
    <m/>
    <s v="INHOUSE LOGISTICS"/>
    <s v="Expenses"/>
    <s v="851004"/>
    <s v="851004 REPAIRS, MAINTENANCE &amp; SPARES - LOGISTICS"/>
    <s v="CWIP-FABRICATION OF INHOUSE TRAILOR"/>
    <s v="LOGISTIC DIVISION"/>
    <s v="LOGISTIC DIVISION"/>
    <n v="500000"/>
    <n v="0"/>
    <n v="500000"/>
    <s v="TZS"/>
    <m/>
    <m/>
    <n v="1"/>
    <m/>
    <x v="0"/>
    <x v="0"/>
    <x v="12"/>
    <x v="1"/>
    <n v="196.07843137254903"/>
    <n v="0"/>
  </r>
  <r>
    <n v="507"/>
    <d v="2025-06-30T00:00:00"/>
    <x v="53"/>
    <s v="PCVLG/2025/05/0117"/>
    <s v="PCV (PETTY CASH LOGISTIC)"/>
    <m/>
    <s v="CASH PAID FOR REMOVING ,SHIFTING OF Z SPRING MOUNTING PLATES ,SERVICE OF AXILS AND FITTING IN NEW TRAILER  REMOBING FROM OLG BULKER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500000"/>
    <n v="0"/>
    <n v="500000"/>
    <s v="TZS"/>
    <m/>
    <m/>
    <n v="1"/>
    <m/>
    <x v="0"/>
    <x v="0"/>
    <x v="12"/>
    <x v="1"/>
    <n v="196.07843137254903"/>
    <n v="0"/>
  </r>
  <r>
    <n v="508"/>
    <d v="2025-06-30T00:00:00"/>
    <x v="53"/>
    <s v="PCVLG/2025/05/0065"/>
    <s v="PCV (PETTY CASH LOGISTIC)"/>
    <m/>
    <s v="CASH PAID FOR FABRICATION OF NEW TRAILERS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900000"/>
    <n v="0"/>
    <n v="900000"/>
    <s v="TZS"/>
    <m/>
    <m/>
    <n v="1"/>
    <m/>
    <x v="0"/>
    <x v="0"/>
    <x v="12"/>
    <x v="1"/>
    <n v="352.94117647058823"/>
    <n v="0"/>
  </r>
  <r>
    <n v="509"/>
    <d v="2025-06-30T00:00:00"/>
    <x v="53"/>
    <s v="PCVLG/2025/05/0029"/>
    <s v="PCV (PETTY CASH LOGISTIC)"/>
    <m/>
    <s v="CASH PAID FOR BENDING OF MS PLATE FOR REAR BUMPER AND MUDGUARD FOR NEW TRAILER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300000"/>
    <n v="0"/>
    <n v="300000"/>
    <s v="TZS"/>
    <m/>
    <m/>
    <n v="1"/>
    <m/>
    <x v="0"/>
    <x v="0"/>
    <x v="12"/>
    <x v="1"/>
    <n v="117.64705882352941"/>
    <n v="0"/>
  </r>
  <r>
    <n v="510"/>
    <d v="2025-06-30T00:00:00"/>
    <x v="53"/>
    <s v="PCVLG/2025/05/0037"/>
    <s v="PCV (PETTY CASH LOGISTIC)"/>
    <m/>
    <s v="CASH PAID FOR FABRICATION OF NEW TRAILERS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700000"/>
    <n v="0"/>
    <n v="700000"/>
    <s v="TZS"/>
    <m/>
    <m/>
    <n v="1"/>
    <m/>
    <x v="0"/>
    <x v="0"/>
    <x v="12"/>
    <x v="1"/>
    <n v="274.50980392156862"/>
    <n v="0"/>
  </r>
  <r>
    <n v="511"/>
    <d v="2025-06-30T00:00:00"/>
    <x v="53"/>
    <s v="PCVLG/2025/05/0018"/>
    <s v="PCV (PETTY CASH LOGISTIC)"/>
    <m/>
    <s v="CASH PAID FOR REMOVING OF AXILS FROM OLD BULKER AND SERVICING ,RELOCATING PLATES FOR Z SPRING AND FITING IS NEW TRAILER"/>
    <m/>
    <m/>
    <s v="INHOUSE LOGISTICS"/>
    <s v="Expenses"/>
    <s v="851005"/>
    <s v="851005 REPAIRS, MAINTENANCE &amp; SPARES - WORKSHOP"/>
    <s v="CWIP-FABRICATION OF INHOUSE TRAILOR"/>
    <s v="LOGISTIC DIVISION"/>
    <s v="LOGISTIC DIVISION"/>
    <n v="500000"/>
    <n v="0"/>
    <n v="500000"/>
    <s v="TZS"/>
    <m/>
    <m/>
    <n v="1"/>
    <m/>
    <x v="0"/>
    <x v="0"/>
    <x v="12"/>
    <x v="1"/>
    <n v="196.07843137254903"/>
    <n v="0"/>
  </r>
  <r>
    <n v="512"/>
    <d v="2025-07-01T15:33:02"/>
    <x v="54"/>
    <s v="PCVLG/2025/07/0006"/>
    <s v="PCV (PETTY CASH LOGISTIC)"/>
    <m/>
    <s v="CASH PAID FOR FABRICATION HINGES 75 PCS @8000 INCLUING MATERIL FOR NEW TRAILER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600000"/>
    <n v="0"/>
    <n v="600000"/>
    <s v="TZS"/>
    <m/>
    <m/>
    <n v="1"/>
    <m/>
    <x v="0"/>
    <x v="0"/>
    <x v="12"/>
    <x v="1"/>
    <n v="235.29411764705881"/>
    <n v="0"/>
  </r>
  <r>
    <n v="513"/>
    <d v="2025-07-01T12:25:22"/>
    <x v="54"/>
    <s v="PCVHO/2025/07/0010"/>
    <s v="PCV (PETTY CASH HO)"/>
    <s v="LAND PURCHASE "/>
    <s v="Being payment for purchase of Land at Kimbiji Plot No. LC/KIM /25-622 for 0.11 Acres - Ricky Pascal"/>
    <m/>
    <m/>
    <s v="LAND &amp; SITE DEVELOPMENT"/>
    <s v="Fixed Assets"/>
    <s v="301003"/>
    <s v="301003 LAND COST"/>
    <s v="Kimbiji Factory"/>
    <s v="QUARRY"/>
    <s v="QUARRYING"/>
    <n v="1000000"/>
    <n v="0"/>
    <n v="1000000"/>
    <s v="TZS"/>
    <m/>
    <m/>
    <n v="1"/>
    <m/>
    <x v="0"/>
    <x v="1"/>
    <x v="4"/>
    <x v="2"/>
    <n v="392.15686274509807"/>
    <n v="0"/>
  </r>
  <r>
    <n v="514"/>
    <d v="2025-07-01T12:21:45"/>
    <x v="54"/>
    <s v="PCVHO/2025/07/0009"/>
    <s v="PCV (PETTY CASH HO)"/>
    <s v="LAND PURCHASE "/>
    <s v="Being payment for purchase of Land at Kimbiji Plot No. LC/KIM /25-625 for 4.0 Acres - Doreen Kellya"/>
    <m/>
    <m/>
    <s v="LAND &amp; SITE DEVELOPMENT"/>
    <s v="Fixed Assets"/>
    <s v="301003"/>
    <s v="301003 LAND COST"/>
    <s v="Kimbiji Factory"/>
    <s v="QUARRY"/>
    <s v="QUARRYING"/>
    <n v="5000000"/>
    <n v="0"/>
    <n v="5000000"/>
    <s v="TZS"/>
    <m/>
    <m/>
    <n v="1"/>
    <m/>
    <x v="0"/>
    <x v="1"/>
    <x v="4"/>
    <x v="2"/>
    <n v="1960.7843137254902"/>
    <n v="0"/>
  </r>
  <r>
    <n v="515"/>
    <d v="2025-07-01T12:18:10"/>
    <x v="54"/>
    <s v="PCVHO/2025/07/0008"/>
    <s v="PCV (PETTY CASH HO)"/>
    <s v="LAND PURCHASE "/>
    <s v="Being payment for purchase of Land at Kimbiji Plot No. LC/KIM /25-623 for 0.1 Acres - Ricky Pascal"/>
    <m/>
    <m/>
    <s v="LAND &amp; SITE DEVELOPMENT"/>
    <s v="Fixed Assets"/>
    <s v="301003"/>
    <s v="301003 LAND COST"/>
    <s v="Kimbiji Factory"/>
    <s v="QUARRY"/>
    <s v="QUARRYING"/>
    <n v="1000000"/>
    <n v="0"/>
    <n v="1000000"/>
    <s v="TZS"/>
    <m/>
    <m/>
    <n v="1"/>
    <m/>
    <x v="0"/>
    <x v="1"/>
    <x v="4"/>
    <x v="2"/>
    <n v="392.15686274509807"/>
    <n v="0"/>
  </r>
  <r>
    <n v="516"/>
    <d v="2025-07-01T08:55:49"/>
    <x v="54"/>
    <s v="MISC/2025/07/0009"/>
    <s v="Miscellaneous Operations"/>
    <s v="LAND PURCHASE"/>
    <s v="ABSA TZS CHQ NO.106161 PAID FOR LAND PURCHASE OF CODE NO.LC/KM/25-625 AREA 4.00 ACRES -DOREEN SIMON KELLYA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17"/>
    <d v="2025-07-01T08:54:11"/>
    <x v="54"/>
    <s v="MISC/2025/07/0008"/>
    <s v="Miscellaneous Operations"/>
    <s v="LAND PURCHASE"/>
    <s v="ABSA TZS CHQ NO.106160 PAID FOR LAND PURCHASE OF CODE NO.LC/KM/25-625 AREA 4.00 ACRES -DOREEN SIMON KELLYA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18"/>
    <d v="2025-07-01T08:52:23"/>
    <x v="54"/>
    <s v="MISC/2025/07/0007"/>
    <s v="Miscellaneous Operations"/>
    <s v="LAND PURCHASE"/>
    <s v="ABSA TZS CHQ NO.106159 PAID FOR LAND PURCHASE OF CODE NO.LC/KM/25-625 AREA 4.00 ACRES -DOREEN SIMON KELLYA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19"/>
    <d v="2025-07-01T08:50:54"/>
    <x v="54"/>
    <s v="MISC/2025/07/0006"/>
    <s v="Miscellaneous Operations"/>
    <s v="LAND PURCHASE"/>
    <s v="ABSA TZS CHQ NO.106158 PAID FOR LAND PURCHASE OF CODE NO.LC/KM/25-625 AREA 4.00 ACRES -DOREEN SIMON KELLYA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520"/>
    <d v="2025-07-01T08:49:01"/>
    <x v="54"/>
    <s v="MISC/2025/07/0005"/>
    <s v="Miscellaneous Operations"/>
    <s v="LAND PURCHASE"/>
    <s v="ABSA TZS CHQ NO.106157 PAID FOR LAND PURCHASE OF CODE NO.LC/KM/25-625  AREA 4.00 ACRES -DOREEN SIMON KELLYA"/>
    <m/>
    <m/>
    <s v="LAND &amp; SITE DEVELOPMENT"/>
    <s v="Fixed Assets"/>
    <s v="301003"/>
    <s v="301003 LAND COST"/>
    <s v="Kimbiji Factory"/>
    <s v="QUARRY"/>
    <s v="QUARRYING"/>
    <n v="7062800"/>
    <n v="0"/>
    <n v="7062800"/>
    <s v="TZS"/>
    <m/>
    <m/>
    <n v="1"/>
    <m/>
    <x v="0"/>
    <x v="1"/>
    <x v="4"/>
    <x v="2"/>
    <n v="2769.7254901960782"/>
    <n v="0"/>
  </r>
  <r>
    <n v="521"/>
    <d v="2025-07-01T08:45:51"/>
    <x v="54"/>
    <s v="MISC/2025/07/0004"/>
    <s v="Miscellaneous Operations"/>
    <s v="LAND PURCHASE"/>
    <s v="ABSA TZS CHQ NO.106156 PAID FOR LAND PURCHASE OF CODE NO.LC/KM/25-624, AREA 0.39 ACRES -SILVERY INYASI KALIKISHA"/>
    <m/>
    <m/>
    <s v="LAND &amp; SITE DEVELOPMENT"/>
    <s v="Fixed Assets"/>
    <s v="301003"/>
    <s v="301003 LAND COST"/>
    <s v="Kimbiji Factory"/>
    <s v="QUARRY"/>
    <s v="QUARRYING"/>
    <n v="5190000"/>
    <n v="0"/>
    <n v="5190000"/>
    <s v="TZS"/>
    <m/>
    <m/>
    <n v="1"/>
    <m/>
    <x v="0"/>
    <x v="1"/>
    <x v="4"/>
    <x v="2"/>
    <n v="2035.2941176470588"/>
    <n v="0"/>
  </r>
  <r>
    <n v="522"/>
    <d v="2025-07-01T08:43:00"/>
    <x v="54"/>
    <s v="MISC/2025/07/0003"/>
    <s v="Miscellaneous Operations"/>
    <s v="LAND PURCHASE"/>
    <s v="ABSA TZS CHQ NO.106155 PAID FOR LAND PURCHASE OF CODE NO.LC/KM/25-622, LC/KM/25-623,  AREA 0.11, 0.1 ACRES -RICKY OPTATI PASCAL"/>
    <m/>
    <m/>
    <s v="LAND &amp; SITE DEVELOPMENT"/>
    <s v="Fixed Assets"/>
    <s v="301003"/>
    <s v="301003 LAND COST"/>
    <s v="Kimbiji Factory"/>
    <s v="QUARRY"/>
    <s v="QUARRYING"/>
    <n v="4000000"/>
    <n v="0"/>
    <n v="4000000"/>
    <s v="TZS"/>
    <m/>
    <m/>
    <n v="1"/>
    <m/>
    <x v="0"/>
    <x v="1"/>
    <x v="4"/>
    <x v="2"/>
    <n v="1568.6274509803923"/>
    <n v="0"/>
  </r>
  <r>
    <n v="523"/>
    <d v="2025-07-01T08:40:22"/>
    <x v="54"/>
    <s v="MISC/2025/07/0002"/>
    <s v="Miscellaneous Operations"/>
    <s v="LAND PURCHASE"/>
    <s v="ABSA TZS CHQ NO.106154 PAID FOR LAND PURCHASE OF CODE NO.LC/KM/24-603 AREA 0.1 ACRES , 23.217 B.H -SHIJA N SHIJA-"/>
    <m/>
    <m/>
    <s v="LAND &amp; SITE DEVELOPMENT"/>
    <s v="Fixed Assets"/>
    <s v="301003"/>
    <s v="301003 LAND COST"/>
    <s v="Kimbiji Factory"/>
    <s v="QUARRY"/>
    <s v="QUARRYING"/>
    <n v="7000000"/>
    <n v="0"/>
    <n v="7000000"/>
    <s v="TZS"/>
    <m/>
    <m/>
    <n v="1"/>
    <m/>
    <x v="0"/>
    <x v="1"/>
    <x v="4"/>
    <x v="2"/>
    <n v="2745.0980392156862"/>
    <n v="0"/>
  </r>
  <r>
    <n v="524"/>
    <d v="2025-07-01T00:00:00"/>
    <x v="54"/>
    <s v="STJ/2025/07/00147"/>
    <s v="Inventory Valuation"/>
    <s v="CM/MTI/2025/01656 - [CAOFE005] AIR CONDITION UNIT 24000 BTU SPLIT TYPE  / MRQ/2025/02287"/>
    <s v="CM/MTI/2025/01656 - [CAOFE005] AIR CONDITION UNIT 24000 BTU SPLIT TYPE  / MRQ/2025/02287"/>
    <m/>
    <m/>
    <s v="MATERIAL COST"/>
    <s v="Expenses"/>
    <s v="731003"/>
    <s v="731003 STORE SPARES &amp; CONSUMABLES - CA"/>
    <s v="Fixed Asset"/>
    <s v="RAW MILL-1"/>
    <s v="ELECTRICAL"/>
    <n v="1290900"/>
    <n v="0"/>
    <n v="1290900"/>
    <s v="TZS"/>
    <s v="[CAOFE005] AIR CONDITION UNIT 24000 BTU SPLIT TYPE "/>
    <m/>
    <n v="-1"/>
    <s v="NOS"/>
    <x v="0"/>
    <x v="2"/>
    <x v="16"/>
    <x v="1"/>
    <n v="506.23529411764707"/>
    <n v="0"/>
  </r>
  <r>
    <n v="525"/>
    <d v="2025-07-01T00:00:00"/>
    <x v="54"/>
    <s v="STJ/2025/07/00114"/>
    <s v="Inventory Valuation"/>
    <s v="CM/MTI/2025/01641 - [CWCGC041] CUTTING WHEEL 7'' / MRQ/2025/02266"/>
    <s v="CM/MTI/2025/01641 - [CWCGC041] CUTTING WHEEL 7'' / MRQ/2025/02266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9788.1299999999992"/>
    <n v="0"/>
    <n v="9788.1299999999992"/>
    <s v="TZS"/>
    <s v="[CWCGC041] CUTTING WHEEL 7''"/>
    <m/>
    <n v="-3"/>
    <s v="NOS"/>
    <x v="0"/>
    <x v="0"/>
    <x v="8"/>
    <x v="3"/>
    <n v="3.8384823529411762"/>
    <n v="0"/>
  </r>
  <r>
    <n v="526"/>
    <d v="2025-07-01T00:00:00"/>
    <x v="54"/>
    <s v="STJ/2025/07/00143"/>
    <s v="Inventory Valuation"/>
    <s v="CM/MTI/2025/01654 - [EPFNP013] NIPPLE SIZE 3/4&quot; MATERIAL MS / MRQ/2025/02284"/>
    <s v="CM/MTI/2025/01654 - [EPFNP013] NIPPLE SIZE 3/4&quot; MATERIAL MS / MRQ/2025/0228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730.9"/>
    <n v="0"/>
    <n v="8730.9"/>
    <s v="TZS"/>
    <s v="[EPFNP013] NIPPLE SIZE 3/4&quot; MATERIAL MS"/>
    <m/>
    <n v="-4"/>
    <s v="NOS"/>
    <x v="0"/>
    <x v="0"/>
    <x v="9"/>
    <x v="4"/>
    <n v="3.4238823529411762"/>
    <n v="0"/>
  </r>
  <r>
    <n v="527"/>
    <d v="2025-07-01T00:00:00"/>
    <x v="54"/>
    <s v="STJ/2025/07/00142"/>
    <s v="Inventory Valuation"/>
    <s v="CM/MTI/2025/01654 - [EPFBN003] BEND MS SIZE 3/4''  / MRQ/2025/02284"/>
    <s v="CM/MTI/2025/01654 - [EPFBN003] BEND MS SIZE 3/4''  / MRQ/2025/0228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390.06"/>
    <n v="0"/>
    <n v="2390.06"/>
    <s v="TZS"/>
    <s v="[EPFBN003] BEND MS SIZE 3/4'' "/>
    <m/>
    <n v="-2"/>
    <s v="NOS"/>
    <x v="0"/>
    <x v="0"/>
    <x v="9"/>
    <x v="4"/>
    <n v="0.93727843137254896"/>
    <n v="0"/>
  </r>
  <r>
    <n v="528"/>
    <d v="2025-07-01T00:00:00"/>
    <x v="54"/>
    <s v="STJ/2025/07/00141"/>
    <s v="Inventory Valuation"/>
    <s v="CM/MTI/2025/01654 - [CWCGC041] CUTTING WHEEL 7'' / MRQ/2025/02284"/>
    <s v="CM/MTI/2025/01654 - [CWCGC041] CUTTING WHEEL 7'' / MRQ/2025/0228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529"/>
    <d v="2025-07-01T00:00:00"/>
    <x v="54"/>
    <s v="STJ/2025/07/00140"/>
    <s v="Inventory Valuation"/>
    <s v="CM/MTI/2025/01654 - [CIGGS005] GAS LIQUEFIED PETROLEUM FULL CYLINDER, LPG CAPACITY 15KG / MRQ/2025/02284"/>
    <s v="CM/MTI/2025/01654 - [CIGGS005] GAS LIQUEFIED PETROLEUM FULL CYLINDER, LPG CAPACITY 15KG / MRQ/2025/0228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8000"/>
    <n v="0"/>
    <n v="48000"/>
    <s v="TZS"/>
    <s v="[CIGGS005] GAS LIQUEFIED PETROLEUM FULL CYLINDER, LPG CAPACITY 15KG"/>
    <m/>
    <n v="-1"/>
    <s v="NOS"/>
    <x v="0"/>
    <x v="0"/>
    <x v="9"/>
    <x v="4"/>
    <n v="18.823529411764707"/>
    <n v="0"/>
  </r>
  <r>
    <n v="530"/>
    <d v="2025-07-01T00:00:00"/>
    <x v="54"/>
    <s v="STJ/2025/07/00139"/>
    <s v="Inventory Valuation"/>
    <s v="CM/MTI/2025/01654 - [CIGGS001] GAS OXYGEN FULL CYLINDER, O2 / MRQ/2025/02284"/>
    <s v="CM/MTI/2025/01654 - [CIGGS001] GAS OXYGEN FULL CYLINDER, O2 / MRQ/2025/0228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35000"/>
    <n v="0"/>
    <n v="135000"/>
    <s v="TZS"/>
    <s v="[CIGGS001] GAS OXYGEN FULL CYLINDER, O2"/>
    <m/>
    <n v="-9"/>
    <s v="NOS"/>
    <x v="0"/>
    <x v="0"/>
    <x v="9"/>
    <x v="4"/>
    <n v="52.941176470588232"/>
    <n v="0"/>
  </r>
  <r>
    <n v="531"/>
    <d v="2025-07-02T09:09:44"/>
    <x v="55"/>
    <s v="PCVLG/2025/07/0013"/>
    <s v="PCV (PETTY CASH LOGISTIC)"/>
    <m/>
    <s v="CASH PAID FOR FABRICATION OF SIDE DOORS FOR NEW TRAILERS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900000"/>
    <n v="0"/>
    <n v="900000"/>
    <s v="TZS"/>
    <m/>
    <m/>
    <n v="1"/>
    <m/>
    <x v="0"/>
    <x v="0"/>
    <x v="12"/>
    <x v="1"/>
    <n v="352.94117647058823"/>
    <n v="0"/>
  </r>
  <r>
    <n v="532"/>
    <d v="2025-07-02T12:08:34"/>
    <x v="55"/>
    <s v="PCVFY/2025/07/0016"/>
    <s v="PCV (PETTY CASH FACTORY)"/>
    <m/>
    <s v="BEING AMOUNT OF COMMUNICATION ALLOWANCE PAID TO PANDEY"/>
    <s v="LCL/KIMB/1090"/>
    <s v="BRIJ K. PANDEY"/>
    <s v="OFFICE &amp; MISC EQUIPEMENTS"/>
    <s v="Fixed Assets"/>
    <s v="341004"/>
    <s v="341004 COMMUNICATION EQUIPMENT"/>
    <s v="MANPOWER COST"/>
    <s v="CAPTIVE POWER PLANT"/>
    <s v="CAPTIVE POWER PLANT"/>
    <n v="10000"/>
    <n v="0"/>
    <n v="10000"/>
    <s v="TZS"/>
    <m/>
    <m/>
    <n v="1"/>
    <m/>
    <x v="0"/>
    <x v="2"/>
    <x v="13"/>
    <x v="5"/>
    <n v="3.9215686274509802"/>
    <n v="0"/>
  </r>
  <r>
    <n v="533"/>
    <d v="2025-07-02T00:00:00"/>
    <x v="55"/>
    <s v="STJ/2025/07/00360"/>
    <s v="Inventory Valuation"/>
    <s v="CM/MTI/2025/01671 - [CWCGC041] CUTTING WHEEL 7'' / MRQ/2025/02309"/>
    <s v="CM/MTI/2025/01671 - [CWCGC041] CUTTING WHEEL 7'' / MRQ/2025/02309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6313.55"/>
    <n v="0"/>
    <n v="16313.55"/>
    <s v="TZS"/>
    <s v="[CWCGC041] CUTTING WHEEL 7''"/>
    <m/>
    <n v="-5"/>
    <s v="NOS"/>
    <x v="0"/>
    <x v="0"/>
    <x v="8"/>
    <x v="3"/>
    <n v="6.3974705882352936"/>
    <n v="0"/>
  </r>
  <r>
    <n v="534"/>
    <d v="2025-07-02T00:00:00"/>
    <x v="55"/>
    <s v="STJ/2025/07/00361"/>
    <s v="Inventory Valuation"/>
    <s v="CM/MTI/2025/01671 - [EFSSC003] SCREW 63MM FOR ROOFING SHEET / MRQ/2025/02309"/>
    <s v="CM/MTI/2025/01671 - [EFSSC003] SCREW 63MM FOR ROOFING SHEET / MRQ/2025/02309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58000"/>
    <n v="0"/>
    <n v="58000"/>
    <s v="TZS"/>
    <s v="[EFSSC003] SCREW 63MM FOR ROOFING SHEET"/>
    <m/>
    <n v="-200"/>
    <s v="NOS"/>
    <x v="0"/>
    <x v="0"/>
    <x v="8"/>
    <x v="3"/>
    <n v="22.745098039215687"/>
    <n v="0"/>
  </r>
  <r>
    <n v="535"/>
    <d v="2025-07-02T00:00:00"/>
    <x v="55"/>
    <s v="STJ/2025/07/00352"/>
    <s v="Inventory Valuation"/>
    <s v="CM/MTI/2025/01665 - [CWCWR003] WELDING ELECTRODE MS 6013 SIZE 4 MM X 450 MM / MRQ/2025/02299"/>
    <s v="CM/MTI/2025/01665 - [CWCWR003] WELDING ELECTRODE MS 6013 SIZE 4 MM X 450 MM / MRQ/2025/02299"/>
    <m/>
    <m/>
    <s v="MATERIAL COST"/>
    <s v="Expenses"/>
    <s v="731002"/>
    <s v="731002 STORE SPARES &amp; CONSUMABLES - GENERAL"/>
    <s v="CWIP-CONSTRUCTION OF NEW RAW MILL FEEDING AND UPGRADATION"/>
    <s v="PROJECT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536"/>
    <d v="2025-07-03T00:00:00"/>
    <x v="56"/>
    <s v="STJ/2025/07/00911"/>
    <s v="Inventory Valuation"/>
    <s v="CM/MTI/2025/01700 - [CWCGC041] CUTTING WHEEL 7'' / MRQ/2025/02341"/>
    <s v="CM/MTI/2025/01700 - [CWCGC041] CUTTING WHEEL 7'' / MRQ/2025/0234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13.55"/>
    <n v="0"/>
    <n v="16313.55"/>
    <s v="TZS"/>
    <s v="[CWCGC041] CUTTING WHEEL 7''"/>
    <m/>
    <n v="-5"/>
    <s v="NOS"/>
    <x v="0"/>
    <x v="0"/>
    <x v="9"/>
    <x v="4"/>
    <n v="6.3974705882352936"/>
    <n v="0"/>
  </r>
  <r>
    <n v="537"/>
    <d v="2025-07-03T00:00:00"/>
    <x v="56"/>
    <s v="STJ/2025/07/00912"/>
    <s v="Inventory Valuation"/>
    <s v="CM/MTI/2025/01700 - [CWCWR003] WELDING ELECTRODE MS 6013 SIZE 4 MM X 450 MM / MRQ/2025/02341"/>
    <s v="CM/MTI/2025/01700 - [CWCWR003] WELDING ELECTRODE MS 6013 SIZE 4 MM X 450 MM / MRQ/2025/0234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538"/>
    <d v="2025-07-03T00:00:00"/>
    <x v="56"/>
    <s v="STJ/2025/07/00913"/>
    <s v="Inventory Valuation"/>
    <s v="CM/MTI/2025/01700 - [EFSHB082] BOLT HT HEX HEAD M10 X 50MM HALF THREAD WITH NUT AND WASHER GRADE 8.8 / MRQ/2025/02341"/>
    <s v="CM/MTI/2025/01700 - [EFSHB082] BOLT HT HEX HEAD M10 X 50MM HALF THREAD WITH NUT AND WASHER GRADE 8.8 / MRQ/2025/0234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985.14"/>
    <n v="0"/>
    <n v="3985.14"/>
    <s v="TZS"/>
    <s v="[EFSHB082] BOLT HT HEX HEAD M10 X 50MM HALF THREAD WITH NUT AND WASHER GRADE 8.8"/>
    <m/>
    <n v="-10"/>
    <s v="NOS"/>
    <x v="0"/>
    <x v="0"/>
    <x v="9"/>
    <x v="4"/>
    <n v="1.5628"/>
    <n v="0"/>
  </r>
  <r>
    <n v="539"/>
    <d v="2025-07-03T00:00:00"/>
    <x v="56"/>
    <s v="STJ/2025/07/00914"/>
    <s v="Inventory Valuation"/>
    <s v="CM/MTI/2025/01700 - [EFSHB096] BOLT HT HEX HEAD M12 X 50MM FULL THREAD WITH NUT AND WASHER GRADE 8.8 / MRQ/2025/02341_x000a_Rounding Adjustment: -0.01 TSh"/>
    <s v="CM/MTI/2025/01700 - [EFSHB096] BOLT HT HEX HEAD M12 X 50MM FULL THREAD WITH NUT AND WASHER GRADE 8.8 / MRQ/2025/02341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977.78"/>
    <n v="0"/>
    <n v="32977.78"/>
    <s v="TZS"/>
    <s v="[EFSHB096] BOLT HT HEX HEAD M12 X 50MM FULL THREAD WITH NUT AND WASHER GRADE 8.8"/>
    <m/>
    <n v="-60"/>
    <s v="NOS"/>
    <x v="0"/>
    <x v="0"/>
    <x v="9"/>
    <x v="4"/>
    <n v="12.932462745098039"/>
    <n v="0"/>
  </r>
  <r>
    <n v="540"/>
    <d v="2025-07-03T00:00:00"/>
    <x v="56"/>
    <s v="STJ/2025/07/00896"/>
    <s v="Inventory Valuation"/>
    <s v="CM/MTI/2025/01695 - [CPAPT007] PAINT RED OXIDE / MRQ/2025/02336"/>
    <s v="CM/MTI/2025/01695 - [CPAPT007] PAINT RED OXIDE / MRQ/2025/02336"/>
    <m/>
    <m/>
    <s v="MATERIAL COST"/>
    <s v="Expenses"/>
    <s v="731002"/>
    <s v="731002 STORE SPARES &amp; CONSUMABLES - GENERAL"/>
    <s v="CWIP-INSTALLATION OF NEW WEIGHBRIDGE AT QUARRY(2NOS)"/>
    <s v="QUARRY"/>
    <s v="MECHANICAL"/>
    <n v="35380"/>
    <n v="0"/>
    <n v="35380"/>
    <s v="TZS"/>
    <s v="[CPAPT007] PAINT RED OXIDE"/>
    <m/>
    <n v="-8"/>
    <s v="LTR"/>
    <x v="0"/>
    <x v="0"/>
    <x v="14"/>
    <x v="3"/>
    <n v="13.874509803921569"/>
    <n v="0"/>
  </r>
  <r>
    <n v="541"/>
    <d v="2025-07-03T00:00:00"/>
    <x v="56"/>
    <s v="STJ/2025/07/00897"/>
    <s v="Inventory Valuation"/>
    <s v="CM/MTI/2025/01695 - [CPAPT009] PAINT OIL BLACK / MRQ/2025/02336_x000a_Rounding Adjustment: -0.01 TSh"/>
    <s v="CM/MTI/2025/01695 - [CPAPT009] PAINT OIL BLACK / MRQ/2025/02336_x000a_Rounding Adjustment: -0.01 TSh"/>
    <m/>
    <m/>
    <s v="MATERIAL COST"/>
    <s v="Expenses"/>
    <s v="731002"/>
    <s v="731002 STORE SPARES &amp; CONSUMABLES - GENERAL"/>
    <s v="CWIP-INSTALLATION OF NEW WEIGHBRIDGE AT QUARRY(2NOS)"/>
    <s v="QUARRY"/>
    <s v="MECHANICAL"/>
    <n v="71251.509999999995"/>
    <n v="0"/>
    <n v="71251.509999999995"/>
    <s v="TZS"/>
    <s v="[CPAPT009] PAINT OIL BLACK"/>
    <m/>
    <n v="-16"/>
    <s v="LTR"/>
    <x v="0"/>
    <x v="0"/>
    <x v="14"/>
    <x v="3"/>
    <n v="27.94176862745098"/>
    <n v="0"/>
  </r>
  <r>
    <n v="542"/>
    <d v="2025-07-03T00:00:00"/>
    <x v="56"/>
    <s v="STJ/2025/07/00898"/>
    <s v="Inventory Valuation"/>
    <s v="CM/MTI/2025/01695 - [CPAPT037] THINNER SOLVENT / MRQ/2025/02336"/>
    <s v="CM/MTI/2025/01695 - [CPAPT037] THINNER SOLVENT / MRQ/2025/02336"/>
    <m/>
    <m/>
    <s v="MATERIAL COST"/>
    <s v="Expenses"/>
    <s v="731002"/>
    <s v="731002 STORE SPARES &amp; CONSUMABLES - GENERAL"/>
    <s v="CWIP-INSTALLATION OF NEW WEIGHBRIDGE AT QUARRY(2NOS)"/>
    <s v="QUARRY"/>
    <s v="MECHANICAL"/>
    <n v="40367.730000000003"/>
    <n v="0"/>
    <n v="40367.730000000003"/>
    <s v="TZS"/>
    <s v="[CPAPT037] THINNER SOLVENT"/>
    <m/>
    <n v="-10"/>
    <s v="LTR"/>
    <x v="0"/>
    <x v="0"/>
    <x v="14"/>
    <x v="3"/>
    <n v="15.830482352941178"/>
    <n v="0"/>
  </r>
  <r>
    <n v="543"/>
    <d v="2025-07-04T14:57:12"/>
    <x v="57"/>
    <s v="PCVLG/2025/07/0023"/>
    <s v="PCV (PETTY CASH LOGISTIC)"/>
    <m/>
    <s v="CASH PAID FOR FABRICATION OF HINGES 63 PCS @8000 FOR FABRICATION NEW TRAILERS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500000"/>
    <n v="0"/>
    <n v="500000"/>
    <s v="TZS"/>
    <m/>
    <m/>
    <n v="1"/>
    <m/>
    <x v="0"/>
    <x v="0"/>
    <x v="12"/>
    <x v="1"/>
    <n v="196.07843137254903"/>
    <n v="0"/>
  </r>
  <r>
    <n v="544"/>
    <d v="2025-07-04T00:00:00"/>
    <x v="57"/>
    <s v="STJ/2025/07/01423"/>
    <s v="Inventory Valuation"/>
    <s v="CM/MTI/2025/01719 - [CWCGC041] CUTTING WHEEL 7'' / MRQ/2025/02366"/>
    <s v="CM/MTI/2025/01719 - [CWCGC041] CUTTING WHEEL 7'' / MRQ/2025/02366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9357.86"/>
    <n v="0"/>
    <n v="19357.86"/>
    <s v="TZS"/>
    <s v="[CWCGC041] CUTTING WHEEL 7''"/>
    <m/>
    <n v="-6"/>
    <s v="NOS"/>
    <x v="0"/>
    <x v="0"/>
    <x v="8"/>
    <x v="3"/>
    <n v="7.5913176470588235"/>
    <n v="0"/>
  </r>
  <r>
    <n v="545"/>
    <d v="2025-07-04T00:00:00"/>
    <x v="57"/>
    <s v="STJ/2025/07/01424"/>
    <s v="Inventory Valuation"/>
    <s v="CM/MTI/2025/01719 - [CWCWR003] WELDING ELECTRODE MS 6013 SIZE 4 MM X 450 MM / MRQ/2025/02366"/>
    <s v="CM/MTI/2025/01719 - [CWCWR003] WELDING ELECTRODE MS 6013 SIZE 4 MM X 450 MM / MRQ/2025/02366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61462.64"/>
    <n v="0"/>
    <n v="61462.64"/>
    <s v="TZS"/>
    <s v="[CWCWR003] WELDING ELECTRODE MS 6013 SIZE 4 MM X 450 MM"/>
    <m/>
    <n v="-15"/>
    <s v="KG"/>
    <x v="0"/>
    <x v="0"/>
    <x v="8"/>
    <x v="3"/>
    <n v="24.102996078431371"/>
    <n v="0"/>
  </r>
  <r>
    <n v="546"/>
    <d v="2025-07-04T00:00:00"/>
    <x v="57"/>
    <s v="STJ/2025/07/01416"/>
    <s v="Inventory Valuation"/>
    <s v="CM/MTI/2025/01717 - [EFSHB096] BOLT HT HEX HEAD M12 X 50MM FULL THREAD WITH NUT AND WASHER GRADE 8.8 / MRQ/2025/02353"/>
    <s v="CM/MTI/2025/01717 - [EFSHB096] BOLT HT HEX HEAD M12 X 50MM FULL THREAD WITH NUT AND WASHER GRADE 8.8 / MRQ/2025/0235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5955.55"/>
    <n v="0"/>
    <n v="65955.55"/>
    <s v="TZS"/>
    <s v="[EFSHB096] BOLT HT HEX HEAD M12 X 50MM FULL THREAD WITH NUT AND WASHER GRADE 8.8"/>
    <m/>
    <n v="-120"/>
    <s v="NOS"/>
    <x v="0"/>
    <x v="0"/>
    <x v="9"/>
    <x v="4"/>
    <n v="25.864921568627452"/>
    <n v="0"/>
  </r>
  <r>
    <n v="547"/>
    <d v="2025-07-04T00:00:00"/>
    <x v="57"/>
    <s v="STJ/2025/07/01417"/>
    <s v="Inventory Valuation"/>
    <s v="CM/MTI/2025/01717 - [EFSHB117] BOLT HT HEX HEAD M16 X 65MM HALF THREAD GRADE 8.8  / MRQ/2025/02353_x000a_Rounding Adjustment: -0.01 TSh"/>
    <s v="CM/MTI/2025/01717 - [EFSHB117] BOLT HT HEX HEAD M16 X 65MM HALF THREAD GRADE 8.8  / MRQ/2025/02353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0030.18"/>
    <n v="0"/>
    <n v="50030.18"/>
    <s v="TZS"/>
    <s v="[EFSHB117] BOLT HT HEX HEAD M16 X 65MM HALF THREAD GRADE 8.8 "/>
    <m/>
    <n v="-60"/>
    <s v="NOS"/>
    <x v="0"/>
    <x v="0"/>
    <x v="9"/>
    <x v="4"/>
    <n v="19.619678431372549"/>
    <n v="0"/>
  </r>
  <r>
    <n v="548"/>
    <d v="2025-07-04T00:00:00"/>
    <x v="57"/>
    <s v="STJ/2025/07/01420"/>
    <s v="Inventory Valuation"/>
    <s v="CM/MTI/2025/01718 - [CPAPT037] THINNER SOLVENT / MRQ/2025/02363_x000a_Rounding Adjustment: -0.01 TSh"/>
    <s v="CM/MTI/2025/01718 - [CPAPT037] THINNER SOLVENT / MRQ/2025/02363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0183.88"/>
    <n v="0"/>
    <n v="20183.88"/>
    <s v="TZS"/>
    <s v="[CPAPT037] THINNER SOLVENT"/>
    <m/>
    <n v="-5"/>
    <s v="LTR"/>
    <x v="0"/>
    <x v="0"/>
    <x v="9"/>
    <x v="4"/>
    <n v="7.91524705882353"/>
    <n v="0"/>
  </r>
  <r>
    <n v="549"/>
    <d v="2025-07-04T00:00:00"/>
    <x v="57"/>
    <s v="STJ/2025/07/01421"/>
    <s v="Inventory Valuation"/>
    <s v="CM/MTI/2025/01718 - [CWCGC041] CUTTING WHEEL 7'' / MRQ/2025/02363"/>
    <s v="CM/MTI/2025/01718 - [CWCGC041] CUTTING WHEEL 7'' / MRQ/2025/0236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263.1"/>
    <n v="0"/>
    <n v="32263.1"/>
    <s v="TZS"/>
    <s v="[CWCGC041] CUTTING WHEEL 7''"/>
    <m/>
    <n v="-10"/>
    <s v="NOS"/>
    <x v="0"/>
    <x v="0"/>
    <x v="9"/>
    <x v="4"/>
    <n v="12.652196078431372"/>
    <n v="0"/>
  </r>
  <r>
    <n v="550"/>
    <d v="2025-07-04T00:00:00"/>
    <x v="57"/>
    <s v="STJ/2025/07/01422"/>
    <s v="Inventory Valuation"/>
    <s v="CM/MTI/2025/01718 - [CWCWR003] WELDING ELECTRODE MS 6013 SIZE 4 MM X 450 MM / MRQ/2025/02363_x000a_Rounding Adjustment: +0.01 TSh"/>
    <s v="CM/MTI/2025/01718 - [CWCWR003] WELDING ELECTRODE MS 6013 SIZE 4 MM X 450 MM / MRQ/2025/02363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900.37"/>
    <n v="0"/>
    <n v="163900.37"/>
    <s v="TZS"/>
    <s v="[CWCWR003] WELDING ELECTRODE MS 6013 SIZE 4 MM X 450 MM"/>
    <m/>
    <n v="-40"/>
    <s v="KG"/>
    <x v="0"/>
    <x v="0"/>
    <x v="9"/>
    <x v="4"/>
    <n v="64.274654901960787"/>
    <n v="0"/>
  </r>
  <r>
    <n v="551"/>
    <d v="2025-07-05T00:00:00"/>
    <x v="58"/>
    <s v="STJ/2025/07/01908"/>
    <s v="Inventory Valuation"/>
    <s v="CM/MTI/2025/01732 - [CWCGC041] CUTTING WHEEL 7'' / MRQ/2025/02402"/>
    <s v="CM/MTI/2025/01732 - [CWCGC041] CUTTING WHEEL 7'' / MRQ/2025/02402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5810.48"/>
    <n v="0"/>
    <n v="25810.48"/>
    <s v="TZS"/>
    <s v="[CWCGC041] CUTTING WHEEL 7''"/>
    <m/>
    <n v="-8"/>
    <s v="NOS"/>
    <x v="0"/>
    <x v="0"/>
    <x v="8"/>
    <x v="3"/>
    <n v="10.121756862745098"/>
    <n v="0"/>
  </r>
  <r>
    <n v="552"/>
    <d v="2025-07-05T00:00:00"/>
    <x v="58"/>
    <s v="STJ/2025/07/01891"/>
    <s v="Inventory Valuation"/>
    <s v="CM/MTI/2025/01727 - [EVLBY009] VALVE BUTTERFLY TYPE SIZE 100NB / MRQ/2025/02401"/>
    <s v="CM/MTI/2025/01727 - [EVLBY009] VALVE BUTTERFLY TYPE SIZE 100NB / MRQ/2025/0240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73210.08"/>
    <n v="0"/>
    <n v="173210.08"/>
    <s v="TZS"/>
    <s v="[EVLBY009] VALVE BUTTERFLY TYPE SIZE 100NB"/>
    <m/>
    <n v="-1"/>
    <s v="NOS"/>
    <x v="0"/>
    <x v="0"/>
    <x v="9"/>
    <x v="4"/>
    <n v="67.925521568627445"/>
    <n v="0"/>
  </r>
  <r>
    <n v="553"/>
    <d v="2025-07-05T00:00:00"/>
    <x v="58"/>
    <s v="STJ/2025/07/01893"/>
    <s v="Inventory Valuation"/>
    <s v="CM/MTI/2025/01729 - [CWCGC041] CUTTING WHEEL 7'' / MRQ/2025/02395"/>
    <s v="CM/MTI/2025/01729 - [CWCGC041] CUTTING WHEEL 7'' / MRQ/2025/0239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263.1"/>
    <n v="0"/>
    <n v="32263.1"/>
    <s v="TZS"/>
    <s v="[CWCGC041] CUTTING WHEEL 7''"/>
    <m/>
    <n v="-10"/>
    <s v="NOS"/>
    <x v="0"/>
    <x v="0"/>
    <x v="9"/>
    <x v="4"/>
    <n v="12.652196078431372"/>
    <n v="0"/>
  </r>
  <r>
    <n v="554"/>
    <d v="2025-07-05T00:00:00"/>
    <x v="58"/>
    <s v="STJ/2025/07/01894"/>
    <s v="Inventory Valuation"/>
    <s v="CM/MTI/2025/01729 - [CWCWR003] WELDING ELECTRODE MS 6013 SIZE 4 MM X 450 MM / MRQ/2025/02395"/>
    <s v="CM/MTI/2025/01729 - [CWCWR003] WELDING ELECTRODE MS 6013 SIZE 4 MM X 450 MM / MRQ/2025/0239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45850.56"/>
    <n v="0"/>
    <n v="245850.56"/>
    <s v="TZS"/>
    <s v="[CWCWR003] WELDING ELECTRODE MS 6013 SIZE 4 MM X 450 MM"/>
    <m/>
    <n v="-60"/>
    <s v="KG"/>
    <x v="0"/>
    <x v="0"/>
    <x v="9"/>
    <x v="4"/>
    <n v="96.411984313725483"/>
    <n v="0"/>
  </r>
  <r>
    <n v="555"/>
    <d v="2025-07-08T13:36:54"/>
    <x v="59"/>
    <s v="PCVHO/2025/07/0043"/>
    <s v="PCV (PETTY CASH HO)"/>
    <s v="MINING LICENSE "/>
    <s v="Being payment for application fee for prospecting license for industrial minerals PL/31929/2025 - Marina"/>
    <m/>
    <m/>
    <s v="CAPITAL WORK IN PROGRESS"/>
    <s v="Fixed Assets"/>
    <s v="371056"/>
    <s v="371056 MINERAL EXPLORATION &amp; DEVELOPMENT-TARAWANDA"/>
    <s v="Corporate"/>
    <s v="QUARRY"/>
    <s v="QUARRYING"/>
    <n v="538000"/>
    <n v="0"/>
    <n v="538000"/>
    <s v="TZS"/>
    <m/>
    <m/>
    <n v="1"/>
    <m/>
    <x v="0"/>
    <x v="0"/>
    <x v="1"/>
    <x v="1"/>
    <n v="210.98039215686273"/>
    <n v="0"/>
  </r>
  <r>
    <n v="556"/>
    <d v="2025-07-08T00:00:00"/>
    <x v="59"/>
    <s v="STJ/2025/07/03480"/>
    <s v="Inventory Valuation"/>
    <s v="CM/MTI/2025/01756 - [CIGGS001] GAS OXYGEN FULL CYLINDER, O2 / MRQ/2025/02420"/>
    <s v="CM/MTI/2025/01756 - [CIGGS001] GAS OXYGEN FULL CYLINDER, O2 / MRQ/2025/0242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60000"/>
    <n v="0"/>
    <n v="60000"/>
    <s v="TZS"/>
    <s v="[CIGGS001] GAS OXYGEN FULL CYLINDER, O2"/>
    <m/>
    <n v="-4"/>
    <s v="NOS"/>
    <x v="0"/>
    <x v="0"/>
    <x v="8"/>
    <x v="3"/>
    <n v="23.529411764705884"/>
    <n v="0"/>
  </r>
  <r>
    <n v="557"/>
    <d v="2025-07-08T00:00:00"/>
    <x v="59"/>
    <s v="STJ/2025/07/03481"/>
    <s v="Inventory Valuation"/>
    <s v="CM/MTI/2025/01756 - [CIGGS005] GAS LIQUEFIED PETROLEUM FULL CYLINDER, LPG CAPACITY 15KG / MRQ/2025/02420"/>
    <s v="CM/MTI/2025/01756 - [CIGGS005] GAS LIQUEFIED PETROLEUM FULL CYLINDER, LPG CAPACITY 15KG / MRQ/2025/0242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8000"/>
    <n v="0"/>
    <n v="48000"/>
    <s v="TZS"/>
    <s v="[CIGGS005] GAS LIQUEFIED PETROLEUM FULL CYLINDER, LPG CAPACITY 15KG"/>
    <m/>
    <n v="-1"/>
    <s v="NOS"/>
    <x v="0"/>
    <x v="0"/>
    <x v="8"/>
    <x v="3"/>
    <n v="18.823529411764707"/>
    <n v="0"/>
  </r>
  <r>
    <n v="558"/>
    <d v="2025-07-08T00:00:00"/>
    <x v="59"/>
    <s v="STJ/2025/07/03482"/>
    <s v="Inventory Valuation"/>
    <s v="CM/MTI/2025/01756 - [CWCGC041] CUTTING WHEEL 7'' / MRQ/2025/02420"/>
    <s v="CM/MTI/2025/01756 - [CWCGC041] CUTTING WHEEL 7'' / MRQ/2025/0242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6131.55"/>
    <n v="0"/>
    <n v="16131.55"/>
    <s v="TZS"/>
    <s v="[CWCGC041] CUTTING WHEEL 7''"/>
    <m/>
    <n v="-5"/>
    <s v="NOS"/>
    <x v="0"/>
    <x v="0"/>
    <x v="8"/>
    <x v="3"/>
    <n v="6.3260980392156858"/>
    <n v="0"/>
  </r>
  <r>
    <n v="559"/>
    <d v="2025-07-08T00:00:00"/>
    <x v="59"/>
    <s v="STJ/2025/07/03483"/>
    <s v="Inventory Valuation"/>
    <s v="CM/MTI/2025/01756 - [CWCWR003] WELDING ELECTRODE MS 6013 SIZE 4 MM X 450 MM / MRQ/2025/02420"/>
    <s v="CM/MTI/2025/01756 - [CWCWR003] WELDING ELECTRODE MS 6013 SIZE 4 MM X 450 MM / MRQ/2025/0242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61462.64"/>
    <n v="0"/>
    <n v="61462.64"/>
    <s v="TZS"/>
    <s v="[CWCWR003] WELDING ELECTRODE MS 6013 SIZE 4 MM X 450 MM"/>
    <m/>
    <n v="-15"/>
    <s v="KG"/>
    <x v="0"/>
    <x v="0"/>
    <x v="8"/>
    <x v="3"/>
    <n v="24.102996078431371"/>
    <n v="0"/>
  </r>
  <r>
    <n v="560"/>
    <d v="2025-07-08T00:00:00"/>
    <x v="59"/>
    <s v="STJ/2025/07/03408"/>
    <s v="Inventory Valuation"/>
    <s v="CM/MTI/2025/01749 - [EFSHB096] BOLT HT HEX HEAD M12 X 50MM FULL THREAD WITH NUT AND WASHER GRADE 8.8 / MRQ/2025/02410_x000a_Rounding Adjustment: +0.01 TSh"/>
    <s v="CM/MTI/2025/01749 - [EFSHB096] BOLT HT HEX HEAD M12 X 50MM FULL THREAD WITH NUT AND WASHER GRADE 8.8 / MRQ/2025/02410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4962.94"/>
    <n v="0"/>
    <n v="54962.94"/>
    <s v="TZS"/>
    <s v="[EFSHB096] BOLT HT HEX HEAD M12 X 50MM FULL THREAD WITH NUT AND WASHER GRADE 8.8"/>
    <m/>
    <n v="-100"/>
    <s v="NOS"/>
    <x v="0"/>
    <x v="0"/>
    <x v="9"/>
    <x v="4"/>
    <n v="21.554094117647061"/>
    <n v="0"/>
  </r>
  <r>
    <n v="561"/>
    <d v="2025-07-08T00:00:00"/>
    <x v="59"/>
    <s v="STJ/2025/07/03484"/>
    <s v="Inventory Valuation"/>
    <s v="CM/MTI/2025/01757 - [CIGGS001] GAS OXYGEN FULL CYLINDER, O2 / MRQ/2025/02422"/>
    <s v="CM/MTI/2025/01757 - [CIGGS001] GAS OXYGEN FULL CYLINDER, O2 / MRQ/2025/0242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25000"/>
    <n v="0"/>
    <n v="225000"/>
    <s v="TZS"/>
    <s v="[CIGGS001] GAS OXYGEN FULL CYLINDER, O2"/>
    <m/>
    <n v="-15"/>
    <s v="NOS"/>
    <x v="0"/>
    <x v="0"/>
    <x v="9"/>
    <x v="4"/>
    <n v="88.235294117647058"/>
    <n v="0"/>
  </r>
  <r>
    <n v="562"/>
    <d v="2025-07-08T00:00:00"/>
    <x v="59"/>
    <s v="STJ/2025/07/03485"/>
    <s v="Inventory Valuation"/>
    <s v="CM/MTI/2025/01757 - [CIGGS005] GAS LIQUEFIED PETROLEUM FULL CYLINDER, LPG CAPACITY 15KG / MRQ/2025/02422"/>
    <s v="CM/MTI/2025/01757 - [CIGGS005] GAS LIQUEFIED PETROLEUM FULL CYLINDER, LPG CAPACITY 15KG / MRQ/2025/0242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000"/>
    <n v="0"/>
    <n v="96000"/>
    <s v="TZS"/>
    <s v="[CIGGS005] GAS LIQUEFIED PETROLEUM FULL CYLINDER, LPG CAPACITY 15KG"/>
    <m/>
    <n v="-2"/>
    <s v="NOS"/>
    <x v="0"/>
    <x v="0"/>
    <x v="9"/>
    <x v="4"/>
    <n v="37.647058823529413"/>
    <n v="0"/>
  </r>
  <r>
    <n v="563"/>
    <d v="2025-07-08T00:00:00"/>
    <x v="59"/>
    <s v="STJ/2025/07/03486"/>
    <s v="Inventory Valuation"/>
    <s v="CM/MTI/2025/01757 - [CIGGS016] GAS LIQUEFIED PETROLEUM FULL CYLINDER, LPG CAPACITY 40KG / MRQ/2025/02422"/>
    <s v="CM/MTI/2025/01757 - [CIGGS016] GAS LIQUEFIED PETROLEUM FULL CYLINDER, LPG CAPACITY 40KG / MRQ/2025/0242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9996.73"/>
    <n v="0"/>
    <n v="199996.73"/>
    <s v="TZS"/>
    <s v="[CIGGS016] GAS LIQUEFIED PETROLEUM FULL CYLINDER, LPG CAPACITY 40KG"/>
    <m/>
    <n v="-2"/>
    <s v="NOS"/>
    <x v="0"/>
    <x v="0"/>
    <x v="9"/>
    <x v="4"/>
    <n v="78.430090196078439"/>
    <n v="0"/>
  </r>
  <r>
    <n v="564"/>
    <d v="2025-07-08T00:00:00"/>
    <x v="59"/>
    <s v="STJ/2025/07/03487"/>
    <s v="Inventory Valuation"/>
    <s v="CM/MTI/2025/01757 - [CPAPT007] PAINT RED OXIDE / MRQ/2025/02422"/>
    <s v="CM/MTI/2025/01757 - [CPAPT007] PAINT RED OXIDE / MRQ/2025/0242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0760"/>
    <n v="0"/>
    <n v="70760"/>
    <s v="TZS"/>
    <s v="[CPAPT007] PAINT RED OXIDE"/>
    <m/>
    <n v="-16"/>
    <s v="LTR"/>
    <x v="0"/>
    <x v="0"/>
    <x v="9"/>
    <x v="4"/>
    <n v="27.749019607843138"/>
    <n v="0"/>
  </r>
  <r>
    <n v="565"/>
    <d v="2025-07-08T00:00:00"/>
    <x v="59"/>
    <s v="STJ/2025/07/03488"/>
    <s v="Inventory Valuation"/>
    <s v="CM/MTI/2025/01757 - [CPAPT037] THINNER SOLVENT / MRQ/2025/02422_x000a_Rounding Adjustment: +0.01 TSh"/>
    <s v="CM/MTI/2025/01757 - [CPAPT037] THINNER SOLVENT / MRQ/2025/02422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0183.86"/>
    <n v="0"/>
    <n v="20183.86"/>
    <s v="TZS"/>
    <s v="[CPAPT037] THINNER SOLVENT"/>
    <m/>
    <n v="-5"/>
    <s v="LTR"/>
    <x v="0"/>
    <x v="0"/>
    <x v="9"/>
    <x v="4"/>
    <n v="7.9152392156862748"/>
    <n v="0"/>
  </r>
  <r>
    <n v="566"/>
    <d v="2025-07-08T00:00:00"/>
    <x v="59"/>
    <s v="STJ/2025/07/03489"/>
    <s v="Inventory Valuation"/>
    <s v="CM/MTI/2025/01757 - [CWCGC041] CUTTING WHEEL 7'' / MRQ/2025/02422"/>
    <s v="CM/MTI/2025/01757 - [CWCGC041] CUTTING WHEEL 7'' / MRQ/2025/0242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263.1"/>
    <n v="0"/>
    <n v="32263.1"/>
    <s v="TZS"/>
    <s v="[CWCGC041] CUTTING WHEEL 7''"/>
    <m/>
    <n v="-10"/>
    <s v="NOS"/>
    <x v="0"/>
    <x v="0"/>
    <x v="9"/>
    <x v="4"/>
    <n v="12.652196078431372"/>
    <n v="0"/>
  </r>
  <r>
    <n v="567"/>
    <d v="2025-07-08T00:00:00"/>
    <x v="59"/>
    <s v="STJ/2025/07/03490"/>
    <s v="Inventory Valuation"/>
    <s v="CM/MTI/2025/01757 - [CWCWR003] WELDING ELECTRODE MS 6013 SIZE 4 MM X 450 MM / MRQ/2025/02422"/>
    <s v="CM/MTI/2025/01757 - [CWCWR003] WELDING ELECTRODE MS 6013 SIZE 4 MM X 450 MM / MRQ/2025/0242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900.38"/>
    <n v="0"/>
    <n v="163900.38"/>
    <s v="TZS"/>
    <s v="[CWCWR003] WELDING ELECTRODE MS 6013 SIZE 4 MM X 450 MM"/>
    <m/>
    <n v="-40"/>
    <s v="KG"/>
    <x v="0"/>
    <x v="0"/>
    <x v="9"/>
    <x v="4"/>
    <n v="64.274658823529407"/>
    <n v="0"/>
  </r>
  <r>
    <n v="568"/>
    <d v="2025-07-09T09:55:51"/>
    <x v="60"/>
    <s v="SERBL/2025/07/0048"/>
    <s v="Service Bills"/>
    <s v="LPORD/2025/00472: MANPOWER SUPPLY FOR HYDRA OPERATOR FOR THE MONTH OF MAY 2025 "/>
    <s v="28996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UTILITY"/>
    <s v="MECHANICAL"/>
    <n v="2400000"/>
    <n v="0"/>
    <n v="2400000"/>
    <s v="TZS"/>
    <s v="[SER006] Job Contract"/>
    <s v="Misc. Income"/>
    <n v="2"/>
    <s v="NOS"/>
    <x v="0"/>
    <x v="0"/>
    <x v="9"/>
    <x v="4"/>
    <n v="941.17647058823525"/>
    <n v="0"/>
  </r>
  <r>
    <n v="569"/>
    <d v="2025-07-09T09:55:51"/>
    <x v="60"/>
    <s v="SERBL/2025/07/0048"/>
    <s v="Service Bills"/>
    <s v="LPORD/2025/00472: MANPOWER SUPPLY FOR CRANE OPERATOR FOR THE MONTH OF MAY 2025"/>
    <s v="28996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UTILITY"/>
    <s v="MECHANICAL"/>
    <n v="1800000"/>
    <n v="0"/>
    <n v="1800000"/>
    <s v="TZS"/>
    <s v="[SER006] Job Contract"/>
    <s v="Misc. Income"/>
    <n v="1"/>
    <s v="NOS"/>
    <x v="0"/>
    <x v="0"/>
    <x v="9"/>
    <x v="4"/>
    <n v="705.88235294117646"/>
    <n v="0"/>
  </r>
  <r>
    <n v="570"/>
    <d v="2025-07-09T09:55:51"/>
    <x v="60"/>
    <s v="SERBL/2025/07/0048"/>
    <s v="Service Bills"/>
    <s v="LPORD/2025/00472: MANPOWER SUPPLY FOR BACKHOE OPERATOR FOR THE MONTH OF MAY 2025"/>
    <s v="28996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UTILITY"/>
    <s v="MECHANICAL"/>
    <n v="1200000"/>
    <n v="0"/>
    <n v="1200000"/>
    <s v="TZS"/>
    <s v="[SER006] Job Contract"/>
    <s v="Misc. Income"/>
    <n v="1"/>
    <s v="NOS"/>
    <x v="0"/>
    <x v="0"/>
    <x v="9"/>
    <x v="4"/>
    <n v="470.58823529411762"/>
    <n v="0"/>
  </r>
  <r>
    <n v="571"/>
    <d v="2025-07-09T09:43:42"/>
    <x v="60"/>
    <s v="SERBL/2025/07/0045"/>
    <s v="Service Bills"/>
    <s v="LPORD/2024/01819: Shuttering work for column"/>
    <s v="28997"/>
    <s v="CMLT1217"/>
    <s v="Gibs Developers Company"/>
    <s v="CAPITAL WORK IN PROGRESS"/>
    <s v="Fixed Assets"/>
    <s v="371037"/>
    <s v="371037 CWIP-CONSTRUCTION OF PACKING PLANT AND BIG BAG LOADING"/>
    <s v="CWIP-CONSTRUCTION OF PACKING PLANT AND BIG BAG LOADING"/>
    <s v="PROJECT"/>
    <s v="MECHANICAL"/>
    <n v="469000"/>
    <n v="0"/>
    <n v="469000"/>
    <s v="TZS"/>
    <s v="[SER034] Job Contract-12"/>
    <s v="Misc. Income"/>
    <n v="33.5"/>
    <s v="SM"/>
    <x v="0"/>
    <x v="0"/>
    <x v="9"/>
    <x v="4"/>
    <n v="183.92156862745097"/>
    <n v="0"/>
  </r>
  <r>
    <n v="572"/>
    <d v="2025-07-09T09:43:42"/>
    <x v="60"/>
    <s v="SERBL/2025/07/0045"/>
    <s v="Service Bills"/>
    <s v="LPORD/2024/01819: Shuttering work for footing"/>
    <s v="28997"/>
    <s v="CMLT1217"/>
    <s v="Gibs Developers Company"/>
    <s v="CAPITAL WORK IN PROGRESS"/>
    <s v="Fixed Assets"/>
    <s v="371037"/>
    <s v="371037 CWIP-CONSTRUCTION OF PACKING PLANT AND BIG BAG LOADING"/>
    <s v="CWIP-CONSTRUCTION OF PACKING PLANT AND BIG BAG LOADING"/>
    <s v="PROJECT"/>
    <s v="MECHANICAL"/>
    <n v="581000"/>
    <n v="0"/>
    <n v="581000"/>
    <s v="TZS"/>
    <s v="[SER034] Job Contract-12"/>
    <s v="Misc. Income"/>
    <n v="41.5"/>
    <s v="SM"/>
    <x v="0"/>
    <x v="0"/>
    <x v="9"/>
    <x v="4"/>
    <n v="227.84313725490196"/>
    <n v="0"/>
  </r>
  <r>
    <n v="573"/>
    <d v="2025-07-09T09:43:42"/>
    <x v="60"/>
    <s v="SERBL/2025/07/0045"/>
    <s v="Service Bills"/>
    <s v="LPORD/2024/01819: For erection of big bag loading EOT crane structure and crane"/>
    <s v="28997"/>
    <s v="CMLT1217"/>
    <s v="Gibs Developers Company"/>
    <s v="CAPITAL WORK IN PROGRESS"/>
    <s v="Fixed Assets"/>
    <s v="371037"/>
    <s v="371037 CWIP-CONSTRUCTION OF PACKING PLANT AND BIG BAG LOADING"/>
    <s v="CWIP-CONSTRUCTION OF PACKING PLANT AND BIG BAG LOADING"/>
    <s v="PROJECT"/>
    <s v="MECHANICAL"/>
    <n v="30315000"/>
    <n v="0"/>
    <n v="30315000"/>
    <s v="TZS"/>
    <s v="[SER025] Job Contract-3"/>
    <s v="Misc. Income"/>
    <n v="43"/>
    <s v="MT"/>
    <x v="0"/>
    <x v="0"/>
    <x v="9"/>
    <x v="4"/>
    <n v="11888.235294117647"/>
    <n v="0"/>
  </r>
  <r>
    <n v="574"/>
    <d v="2025-07-09T09:43:42"/>
    <x v="60"/>
    <s v="SERBL/2025/07/0045"/>
    <s v="Service Bills"/>
    <s v="LPORD/2024/01819: RCC volume for foundation "/>
    <s v="28997"/>
    <s v="CMLT1217"/>
    <s v="Gibs Developers Company"/>
    <s v="CAPITAL WORK IN PROGRESS"/>
    <s v="Fixed Assets"/>
    <s v="371037"/>
    <s v="371037 CWIP-CONSTRUCTION OF PACKING PLANT AND BIG BAG LOADING"/>
    <s v="CWIP-CONSTRUCTION OF PACKING PLANT AND BIG BAG LOADING"/>
    <s v="PROJECT"/>
    <s v="MECHANICAL"/>
    <n v="3880000"/>
    <n v="0"/>
    <n v="3880000"/>
    <s v="TZS"/>
    <s v="[SER024] Job Contract-2"/>
    <s v="Misc. Income"/>
    <n v="38.799999999999997"/>
    <s v="CUM"/>
    <x v="0"/>
    <x v="0"/>
    <x v="9"/>
    <x v="4"/>
    <n v="1521.5686274509803"/>
    <n v="0"/>
  </r>
  <r>
    <n v="575"/>
    <d v="2025-07-09T09:43:42"/>
    <x v="60"/>
    <s v="SERBL/2025/07/0045"/>
    <s v="Service Bills"/>
    <s v="LPORD/2024/01819: Rebaring for foundation work"/>
    <s v="28997"/>
    <s v="CMLT1217"/>
    <s v="Gibs Developers Company"/>
    <s v="CAPITAL WORK IN PROGRESS"/>
    <s v="Fixed Assets"/>
    <s v="371037"/>
    <s v="371037 CWIP-CONSTRUCTION OF PACKING PLANT AND BIG BAG LOADING"/>
    <s v="CWIP-CONSTRUCTION OF PACKING PLANT AND BIG BAG LOADING"/>
    <s v="PROJECT"/>
    <s v="MECHANICAL"/>
    <n v="3150000"/>
    <n v="0"/>
    <n v="3150000"/>
    <s v="TZS"/>
    <s v="[SER025] Job Contract-3"/>
    <s v="Misc. Income"/>
    <n v="3.5"/>
    <s v="MT"/>
    <x v="0"/>
    <x v="0"/>
    <x v="9"/>
    <x v="4"/>
    <n v="1235.2941176470588"/>
    <n v="0"/>
  </r>
  <r>
    <n v="576"/>
    <d v="2025-07-09T09:43:42"/>
    <x v="60"/>
    <s v="SERBL/2025/07/0045"/>
    <s v="Service Bills"/>
    <s v="LPORD/2024/01819: PCC for foundation"/>
    <s v="28997"/>
    <s v="CMLT1217"/>
    <s v="Gibs Developers Company"/>
    <s v="CAPITAL WORK IN PROGRESS"/>
    <s v="Fixed Assets"/>
    <s v="371037"/>
    <s v="371037 CWIP-CONSTRUCTION OF PACKING PLANT AND BIG BAG LOADING"/>
    <s v="CWIP-CONSTRUCTION OF PACKING PLANT AND BIG BAG LOADING"/>
    <s v="PROJECT"/>
    <s v="MECHANICAL"/>
    <n v="780000"/>
    <n v="0"/>
    <n v="780000"/>
    <s v="TZS"/>
    <s v="[SER024] Job Contract-2"/>
    <s v="Misc. Income"/>
    <n v="7.8"/>
    <s v="CUM"/>
    <x v="0"/>
    <x v="0"/>
    <x v="9"/>
    <x v="4"/>
    <n v="305.88235294117646"/>
    <n v="0"/>
  </r>
  <r>
    <n v="577"/>
    <d v="2025-07-09T09:43:42"/>
    <x v="60"/>
    <s v="SERBL/2025/07/0045"/>
    <s v="Service Bills"/>
    <s v="LPORD/2024/01819: For big bag loading EOT crane structure fabrication"/>
    <s v="28997"/>
    <s v="CMLT1217"/>
    <s v="Gibs Developers Company"/>
    <s v="CAPITAL WORK IN PROGRESS"/>
    <s v="Fixed Assets"/>
    <s v="371037"/>
    <s v="371037 CWIP-CONSTRUCTION OF PACKING PLANT AND BIG BAG LOADING"/>
    <s v="CWIP-CONSTRUCTION OF PACKING PLANT AND BIG BAG LOADING"/>
    <s v="PROJECT"/>
    <s v="MECHANICAL"/>
    <n v="29610000"/>
    <n v="0"/>
    <n v="29610000"/>
    <s v="TZS"/>
    <s v="[SER025] Job Contract-3"/>
    <s v="Misc. Income"/>
    <n v="42"/>
    <s v="MT"/>
    <x v="0"/>
    <x v="0"/>
    <x v="9"/>
    <x v="4"/>
    <n v="11611.764705882353"/>
    <n v="0"/>
  </r>
  <r>
    <n v="578"/>
    <d v="2025-07-09T09:43:42"/>
    <x v="60"/>
    <s v="SERBL/2025/07/0045"/>
    <s v="Service Bills"/>
    <s v="LPORD/2024/01819: Footing excavation for civil foundation work"/>
    <s v="28997"/>
    <s v="CMLT1217"/>
    <s v="Gibs Developers Company"/>
    <s v="CAPITAL WORK IN PROGRESS"/>
    <s v="Fixed Assets"/>
    <s v="371037"/>
    <s v="371037 CWIP-CONSTRUCTION OF PACKING PLANT AND BIG BAG LOADING"/>
    <s v="CWIP-CONSTRUCTION OF PACKING PLANT AND BIG BAG LOADING"/>
    <s v="PROJECT"/>
    <s v="MECHANICAL"/>
    <n v="320000"/>
    <n v="0"/>
    <n v="320000"/>
    <s v="TZS"/>
    <s v="[SER024] Job Contract-2"/>
    <s v="Misc. Income"/>
    <n v="64"/>
    <s v="CUM"/>
    <x v="0"/>
    <x v="0"/>
    <x v="9"/>
    <x v="4"/>
    <n v="125.49019607843137"/>
    <n v="0"/>
  </r>
  <r>
    <n v="579"/>
    <d v="2025-07-09T00:00:00"/>
    <x v="60"/>
    <s v="STJ/2025/07/03856"/>
    <s v="Inventory Valuation"/>
    <s v="CM/MTI/2025/01768 - [EMEWP067] PLATE STEEL HARDOX 400, 2500 X 1200 X 10 MM THICK / MRQ/2025/02435"/>
    <s v="CM/MTI/2025/01768 - [EMEWP067] PLATE STEEL HARDOX 400, 2500 X 1200 X 10 MM THICK / MRQ/2025/024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177758.66"/>
    <n v="0"/>
    <n v="3177758.66"/>
    <s v="TZS"/>
    <s v="[EMEWP067] PLATE STEEL HARDOX 400, 2500 X 1200 X 10 MM THICK"/>
    <m/>
    <n v="-2"/>
    <s v="NOS"/>
    <x v="0"/>
    <x v="0"/>
    <x v="9"/>
    <x v="4"/>
    <n v="1246.1798666666666"/>
    <n v="0"/>
  </r>
  <r>
    <n v="580"/>
    <d v="2025-07-09T00:00:00"/>
    <x v="60"/>
    <s v="STJ/2025/07/03873"/>
    <s v="Inventory Valuation"/>
    <s v="CM/MTI/2025/01774 - [CWCGC041] CUTTING WHEEL 7'' / MRQ/2025/02458_x000a_Rounding Adjustment: +0.01 TSh"/>
    <s v="CM/MTI/2025/01774 - [CWCGC041] CUTTING WHEEL 7'' / MRQ/2025/02458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263.09"/>
    <n v="0"/>
    <n v="32263.09"/>
    <s v="TZS"/>
    <s v="[CWCGC041] CUTTING WHEEL 7''"/>
    <m/>
    <n v="-10"/>
    <s v="NOS"/>
    <x v="0"/>
    <x v="0"/>
    <x v="9"/>
    <x v="4"/>
    <n v="12.652192156862744"/>
    <n v="0"/>
  </r>
  <r>
    <n v="581"/>
    <d v="2025-07-09T00:00:00"/>
    <x v="60"/>
    <s v="STJ/2025/07/03874"/>
    <s v="Inventory Valuation"/>
    <s v="CM/MTI/2025/01774 - [CWCWR003] WELDING ELECTRODE MS 6013 SIZE 4 MM X 450 MM / MRQ/2025/02458"/>
    <s v="CM/MTI/2025/01774 - [CWCWR003] WELDING ELECTRODE MS 6013 SIZE 4 MM X 450 MM / MRQ/2025/0245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582"/>
    <d v="2025-07-09T00:00:00"/>
    <x v="60"/>
    <s v="STJ/2025/07/03875"/>
    <s v="Inventory Valuation"/>
    <s v="CM/MTI/2025/01774 - [EFSHB122] BOLT HT HEX HEAD M16 X 100MM FULL THREAD WITH NUT AND WASHER GRADE 8.8 / MRQ/2025/02458"/>
    <s v="CM/MTI/2025/01774 - [EFSHB122] BOLT HT HEX HEAD M16 X 100MM FULL THREAD WITH NUT AND WASHER GRADE 8.8 / MRQ/2025/0245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972.54"/>
    <n v="0"/>
    <n v="15972.54"/>
    <s v="TZS"/>
    <s v="[EFSHB122] BOLT HT HEX HEAD M16 X 100MM FULL THREAD WITH NUT AND WASHER GRADE 8.8"/>
    <m/>
    <n v="-10"/>
    <s v="NOS"/>
    <x v="0"/>
    <x v="0"/>
    <x v="9"/>
    <x v="4"/>
    <n v="6.2637411764705888"/>
    <n v="0"/>
  </r>
  <r>
    <n v="583"/>
    <d v="2025-07-09T00:00:00"/>
    <x v="60"/>
    <s v="STJ/2025/07/03876"/>
    <s v="Inventory Valuation"/>
    <s v="CM/MTI/2025/01774 - [EFSHB144] BOLT HT HEX HEAD M20 X 125MM FULL THREAD WITH NUT AND WASHER GRADE 8.8 / MRQ/2025/02458_x000a_Rounding Adjustment: +0.01 TSh"/>
    <s v="CM/MTI/2025/01774 - [EFSHB144] BOLT HT HEX HEAD M20 X 125MM FULL THREAD WITH NUT AND WASHER GRADE 8.8 / MRQ/2025/02458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8165"/>
    <n v="0"/>
    <n v="28165"/>
    <s v="TZS"/>
    <s v="[EFSHB144] BOLT HT HEX HEAD M20 X 125MM FULL THREAD WITH NUT AND WASHER GRADE 8.8"/>
    <m/>
    <n v="-10"/>
    <s v="NOS"/>
    <x v="0"/>
    <x v="0"/>
    <x v="9"/>
    <x v="4"/>
    <n v="11.045098039215686"/>
    <n v="0"/>
  </r>
  <r>
    <n v="584"/>
    <d v="2025-07-10T13:23:14"/>
    <x v="61"/>
    <s v="SERBL/2025/07/0067"/>
    <s v="Service Bills"/>
    <s v="AIR TICKET CHARGES "/>
    <s v="DTI0000108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313957.5"/>
    <n v="0"/>
    <n v="313957.5"/>
    <s v="TZS"/>
    <m/>
    <m/>
    <n v="1"/>
    <m/>
    <x v="0"/>
    <x v="0"/>
    <x v="3"/>
    <x v="0"/>
    <n v="123.12058823529412"/>
    <n v="0"/>
  </r>
  <r>
    <n v="585"/>
    <d v="2025-07-10T13:17:49"/>
    <x v="61"/>
    <s v="SERBL/2025/07/0066"/>
    <s v="Service Bills"/>
    <s v="AIR TICKET CHARGES "/>
    <s v="DTI00001081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303237"/>
    <n v="0"/>
    <n v="303237"/>
    <s v="TZS"/>
    <m/>
    <m/>
    <n v="1"/>
    <m/>
    <x v="0"/>
    <x v="0"/>
    <x v="3"/>
    <x v="0"/>
    <n v="118.9164705882353"/>
    <n v="0"/>
  </r>
  <r>
    <n v="586"/>
    <d v="2025-07-10T13:13:26"/>
    <x v="61"/>
    <s v="SERBL/2025/07/0065"/>
    <s v="Service Bills"/>
    <s v="AIR TICKET CHARGES "/>
    <s v="DTI00001225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396658.5"/>
    <n v="0"/>
    <n v="396658.5"/>
    <s v="TZS"/>
    <m/>
    <m/>
    <n v="1"/>
    <m/>
    <x v="0"/>
    <x v="0"/>
    <x v="3"/>
    <x v="0"/>
    <n v="155.55235294117648"/>
    <n v="0"/>
  </r>
  <r>
    <n v="587"/>
    <d v="2025-07-10T13:09:25"/>
    <x v="61"/>
    <s v="SERBL/2025/07/0064"/>
    <s v="Service Bills"/>
    <s v="AIR TICKET CHARGES "/>
    <s v="ITI00000773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646362.5"/>
    <n v="0"/>
    <n v="1646362.5"/>
    <s v="TZS"/>
    <m/>
    <m/>
    <n v="1"/>
    <m/>
    <x v="0"/>
    <x v="0"/>
    <x v="3"/>
    <x v="0"/>
    <n v="645.63235294117646"/>
    <n v="0"/>
  </r>
  <r>
    <n v="588"/>
    <d v="2025-07-10T13:03:41"/>
    <x v="61"/>
    <s v="SERBL/2025/07/0063"/>
    <s v="Service Bills"/>
    <s v="AIR TICKET CHARGES "/>
    <s v="ITI0000087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520097.4"/>
    <n v="0"/>
    <n v="520097.4"/>
    <s v="TZS"/>
    <m/>
    <m/>
    <n v="1"/>
    <m/>
    <x v="0"/>
    <x v="0"/>
    <x v="3"/>
    <x v="0"/>
    <n v="203.95976470588235"/>
    <n v="0"/>
  </r>
  <r>
    <n v="589"/>
    <d v="2025-07-10T12:27:45"/>
    <x v="61"/>
    <s v="SERBL/2025/07/0062"/>
    <s v="Service Bills"/>
    <s v="AIR TICKET CHARGES  "/>
    <s v="ITI00001124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917368.5"/>
    <n v="0"/>
    <n v="917368.5"/>
    <s v="TZS"/>
    <m/>
    <m/>
    <n v="1"/>
    <m/>
    <x v="0"/>
    <x v="0"/>
    <x v="3"/>
    <x v="0"/>
    <n v="359.75235294117647"/>
    <n v="0"/>
  </r>
  <r>
    <n v="590"/>
    <d v="2025-07-10T11:58:42"/>
    <x v="61"/>
    <s v="SERBL/2025/07/0061"/>
    <s v="Service Bills"/>
    <s v="AIR TICKET CHARGES "/>
    <s v="DTI00001558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289453.5"/>
    <n v="0"/>
    <n v="289453.5"/>
    <s v="TZS"/>
    <m/>
    <m/>
    <n v="1"/>
    <m/>
    <x v="0"/>
    <x v="0"/>
    <x v="3"/>
    <x v="0"/>
    <n v="113.51117647058824"/>
    <n v="0"/>
  </r>
  <r>
    <n v="591"/>
    <d v="2025-07-10T00:00:00"/>
    <x v="61"/>
    <s v="STJ/2025/07/04199"/>
    <s v="Inventory Valuation"/>
    <s v="CM/MTI/2025/01790 - [CWCGC041] CUTTING WHEEL 7'' / MRQ/2025/02474"/>
    <s v="CM/MTI/2025/01790 - [CWCGC041] CUTTING WHEEL 7'' / MRQ/2025/02474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2584.17"/>
    <n v="0"/>
    <n v="22584.17"/>
    <s v="TZS"/>
    <s v="[CWCGC041] CUTTING WHEEL 7''"/>
    <m/>
    <n v="-7"/>
    <s v="NOS"/>
    <x v="0"/>
    <x v="0"/>
    <x v="8"/>
    <x v="3"/>
    <n v="8.8565372549019603"/>
    <n v="0"/>
  </r>
  <r>
    <n v="592"/>
    <d v="2025-07-10T00:00:00"/>
    <x v="61"/>
    <s v="STJ/2025/07/04196"/>
    <s v="Inventory Valuation"/>
    <s v="CM/MTI/2025/01788 - [CWCGC041] CUTTING WHEEL 7'' / MRQ/2025/02478"/>
    <s v="CM/MTI/2025/01788 - [CWCGC041] CUTTING WHEEL 7'' / MRQ/2025/0247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131.55"/>
    <n v="0"/>
    <n v="16131.55"/>
    <s v="TZS"/>
    <s v="[CWCGC041] CUTTING WHEEL 7''"/>
    <m/>
    <n v="-5"/>
    <s v="NOS"/>
    <x v="0"/>
    <x v="0"/>
    <x v="9"/>
    <x v="4"/>
    <n v="6.3260980392156858"/>
    <n v="0"/>
  </r>
  <r>
    <n v="593"/>
    <d v="2025-07-10T00:00:00"/>
    <x v="61"/>
    <s v="STJ/2025/07/04197"/>
    <s v="Inventory Valuation"/>
    <s v="CM/MTI/2025/01788 - [CWCWR003] WELDING ELECTRODE MS 6013 SIZE 4 MM X 450 MM / MRQ/2025/02478"/>
    <s v="CM/MTI/2025/01788 - [CWCWR003] WELDING ELECTRODE MS 6013 SIZE 4 MM X 450 MM / MRQ/2025/0247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594"/>
    <d v="2025-07-10T00:00:00"/>
    <x v="61"/>
    <s v="STJ/2025/07/04200"/>
    <s v="Inventory Valuation"/>
    <s v="CM/MTI/2025/01791 - [EMEKM009] FILTER DUPLEX 60LPM 80MICRON MATERIAL SS MESH BODY-CS MAKE BHAGWATI / MRQ/2025/02465"/>
    <s v="CM/MTI/2025/01791 - [EMEKM009] FILTER DUPLEX 60LPM 80MICRON MATERIAL SS MESH BODY-CS MAKE BHAGWATI / MRQ/2025/0246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52664.72"/>
    <n v="0"/>
    <n v="852664.72"/>
    <s v="TZS"/>
    <s v="[EMEKM009] FILTER DUPLEX 60LPM 80MICRON MATERIAL SS MESH BODY-CS MAKE BHAGWATI"/>
    <m/>
    <n v="-4"/>
    <s v="NOS"/>
    <x v="0"/>
    <x v="0"/>
    <x v="9"/>
    <x v="4"/>
    <n v="334.37832156862743"/>
    <n v="0"/>
  </r>
  <r>
    <n v="595"/>
    <d v="2025-07-10T00:00:00"/>
    <x v="61"/>
    <s v="STJ/2025/07/04201"/>
    <s v="Inventory Valuation"/>
    <s v="CM/MTI/2025/01791 - [EMEKM129] STRAINER SIZE 50NB 300MICRON Y -TYPE MAKE SCIENTIC DEVICE  / MRQ/2025/02465"/>
    <s v="CM/MTI/2025/01791 - [EMEKM129] STRAINER SIZE 50NB 300MICRON Y -TYPE MAKE SCIENTIC DEVICE  / MRQ/2025/0246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2886.5"/>
    <n v="0"/>
    <n v="322886.5"/>
    <s v="TZS"/>
    <s v="[EMEKM129] STRAINER SIZE 50NB 300MICRON Y -TYPE MAKE SCIENTIC DEVICE "/>
    <m/>
    <n v="-2"/>
    <s v="NOS"/>
    <x v="0"/>
    <x v="0"/>
    <x v="9"/>
    <x v="4"/>
    <n v="126.6221568627451"/>
    <n v="0"/>
  </r>
  <r>
    <n v="596"/>
    <d v="2025-07-10T00:00:00"/>
    <x v="61"/>
    <s v="STJ/2025/07/04190"/>
    <s v="Inventory Valuation"/>
    <s v="CM/MTI/2025/01785 - [EELSW027] FLOW SWITCH  60LPM 110VAC MAKE KHRONE  / MRQ/2025/02489"/>
    <s v="CM/MTI/2025/01785 - [EELSW027] FLOW SWITCH  60LPM 110VAC MAKE KHRONE  / MRQ/2025/02489"/>
    <m/>
    <m/>
    <s v="MATERIAL COST"/>
    <s v="Expenses"/>
    <s v="731002"/>
    <s v="731002 STORE SPARES &amp; CONSUMABLES - GENERAL"/>
    <s v="Inventory Spares Consumable"/>
    <s v="RAW MILL-2"/>
    <s v="INSTRUMENTATION"/>
    <n v="596772"/>
    <n v="0"/>
    <n v="596772"/>
    <s v="TZS"/>
    <s v="[EELSW027] FLOW SWITCH  60LPM 110VAC MAKE KHRONE "/>
    <m/>
    <n v="-1"/>
    <s v="NOS"/>
    <x v="0"/>
    <x v="0"/>
    <x v="9"/>
    <x v="4"/>
    <n v="234.02823529411765"/>
    <n v="0"/>
  </r>
  <r>
    <n v="597"/>
    <d v="2025-07-11T09:51:36"/>
    <x v="62"/>
    <s v="PCVLG/2025/07/0062"/>
    <s v="PCV (PETTY CASH LOGISTIC)"/>
    <m/>
    <s v="CASH PAID FOR FABRICATION OF 63 PCS HINGES @8000 INCLUDING MATERIAL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500000"/>
    <n v="0"/>
    <n v="500000"/>
    <s v="TZS"/>
    <m/>
    <m/>
    <n v="1"/>
    <m/>
    <x v="0"/>
    <x v="0"/>
    <x v="12"/>
    <x v="1"/>
    <n v="196.07843137254903"/>
    <n v="0"/>
  </r>
  <r>
    <n v="598"/>
    <d v="2025-07-11T00:00:00"/>
    <x v="62"/>
    <s v="STJ/2025/07/05478"/>
    <s v="Inventory Valuation"/>
    <s v="CM/MTI/2025/01821 - [CAOFE002] AIR CONDITION UNIT 18000 BTU SPLIT TYPE / MRQ/2025/02497"/>
    <s v="CM/MTI/2025/01821 - [CAOFE002] AIR CONDITION UNIT 18000 BTU SPLIT TYPE / MRQ/2025/02497"/>
    <m/>
    <m/>
    <s v="MATERIAL COST"/>
    <s v="Expenses"/>
    <s v="731003"/>
    <s v="731003 STORE SPARES &amp; CONSUMABLES - CA"/>
    <s v="Fixed Asset"/>
    <s v="HO"/>
    <s v="ADMIN"/>
    <n v="1302542.3700000001"/>
    <n v="0"/>
    <n v="1302542.3700000001"/>
    <s v="TZS"/>
    <s v="[CAOFE002] AIR CONDITION UNIT 18000 BTU SPLIT TYPE"/>
    <m/>
    <n v="-1"/>
    <s v="NOS"/>
    <x v="0"/>
    <x v="2"/>
    <x v="16"/>
    <x v="1"/>
    <n v="510.80092941176474"/>
    <n v="0"/>
  </r>
  <r>
    <n v="599"/>
    <d v="2025-07-11T00:00:00"/>
    <x v="62"/>
    <s v="STJ/2025/07/05458"/>
    <s v="Inventory Valuation"/>
    <s v="CM/MTI/2025/01810 - [EFSHB113] BOLT HT HEX HEAD M16 X 40MM FULL THREAD WITH NUT AND WASHER GRADE 8.8 / MRQ/2025/02517"/>
    <s v="CM/MTI/2025/01810 - [EFSHB113] BOLT HT HEX HEAD M16 X 40MM FULL THREAD WITH NUT AND WASHER GRADE 8.8 / MRQ/2025/02517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53460.08"/>
    <n v="0"/>
    <n v="53460.08"/>
    <s v="TZS"/>
    <s v="[EFSHB113] BOLT HT HEX HEAD M16 X 40MM FULL THREAD WITH NUT AND WASHER GRADE 8.8"/>
    <m/>
    <n v="-61"/>
    <s v="NOS"/>
    <x v="0"/>
    <x v="0"/>
    <x v="8"/>
    <x v="3"/>
    <n v="20.964737254901962"/>
    <n v="0"/>
  </r>
  <r>
    <n v="600"/>
    <d v="2025-07-11T00:00:00"/>
    <x v="62"/>
    <s v="STJ/2025/07/05456"/>
    <s v="Inventory Valuation"/>
    <s v="CM/MTI/2025/01810 - [CWCGC041] CUTTING WHEEL 7'' / MRQ/2025/02517"/>
    <s v="CM/MTI/2025/01810 - [CWCGC041] CUTTING WHEEL 7'' / MRQ/2025/0251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131.55"/>
    <n v="0"/>
    <n v="16131.55"/>
    <s v="TZS"/>
    <s v="[CWCGC041] CUTTING WHEEL 7''"/>
    <m/>
    <n v="-5"/>
    <s v="NOS"/>
    <x v="0"/>
    <x v="0"/>
    <x v="9"/>
    <x v="4"/>
    <n v="6.3260980392156858"/>
    <n v="0"/>
  </r>
  <r>
    <n v="601"/>
    <d v="2025-07-11T00:00:00"/>
    <x v="62"/>
    <s v="STJ/2025/07/05457"/>
    <s v="Inventory Valuation"/>
    <s v="CM/MTI/2025/01810 - [CWCWR003] WELDING ELECTRODE MS 6013 SIZE 4 MM X 450 MM / MRQ/2025/02517"/>
    <s v="CM/MTI/2025/01810 - [CWCWR003] WELDING ELECTRODE MS 6013 SIZE 4 MM X 450 MM / MRQ/2025/0251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602"/>
    <d v="2025-07-11T00:00:00"/>
    <x v="62"/>
    <s v="STJ/2025/07/05476"/>
    <s v="Inventory Valuation"/>
    <s v="CM/MTI/2025/01819 - [EMECM073] LEVEL GAUGE FLUSH TYPE MAKE HYDAX / MRQ/2025/02520"/>
    <s v="CM/MTI/2025/01819 - [EMECM073] LEVEL GAUGE FLUSH TYPE MAKE HYDAX / MRQ/2025/0252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447877.59"/>
    <n v="0"/>
    <n v="1447877.59"/>
    <s v="TZS"/>
    <s v="[EMECM073] LEVEL GAUGE FLUSH TYPE MAKE HYDAX"/>
    <m/>
    <n v="-2"/>
    <s v="NOS"/>
    <x v="0"/>
    <x v="0"/>
    <x v="9"/>
    <x v="4"/>
    <n v="567.79513333333341"/>
    <n v="0"/>
  </r>
  <r>
    <n v="603"/>
    <d v="2025-07-11T00:00:00"/>
    <x v="62"/>
    <s v="STJ/2025/07/05473"/>
    <s v="Inventory Valuation"/>
    <s v="CM/MTI/2025/01818 - [CPAPT009] PAINT OIL BLACK / MRQ/2025/02508"/>
    <s v="CM/MTI/2025/01818 - [CPAPT009] PAINT OIL BLACK / MRQ/2025/02508"/>
    <m/>
    <m/>
    <s v="MATERIAL COST"/>
    <s v="Expenses"/>
    <s v="731002"/>
    <s v="731002 STORE SPARES &amp; CONSUMABLES - GENERAL"/>
    <s v="CWIP-INSTALLATION OF NEW WEIGHBRIDGE AT QUARRY(2NOS)"/>
    <s v="PROJECT"/>
    <s v="MECHANICAL"/>
    <n v="71251.5"/>
    <n v="0"/>
    <n v="71251.5"/>
    <s v="TZS"/>
    <s v="[CPAPT009] PAINT OIL BLACK"/>
    <m/>
    <n v="-16"/>
    <s v="LTR"/>
    <x v="0"/>
    <x v="0"/>
    <x v="14"/>
    <x v="3"/>
    <n v="27.941764705882353"/>
    <n v="0"/>
  </r>
  <r>
    <n v="604"/>
    <d v="2025-07-11T00:00:00"/>
    <x v="62"/>
    <s v="STJ/2025/07/05474"/>
    <s v="Inventory Valuation"/>
    <s v="CM/MTI/2025/01818 - [CPAPT037] THINNER SOLVENT / MRQ/2025/02508"/>
    <s v="CM/MTI/2025/01818 - [CPAPT037] THINNER SOLVENT / MRQ/2025/02508"/>
    <m/>
    <m/>
    <s v="MATERIAL COST"/>
    <s v="Expenses"/>
    <s v="731002"/>
    <s v="731002 STORE SPARES &amp; CONSUMABLES - GENERAL"/>
    <s v="CWIP-INSTALLATION OF NEW WEIGHBRIDGE AT QUARRY(2NOS)"/>
    <s v="PROJECT"/>
    <s v="MECHANICAL"/>
    <n v="41161.629999999997"/>
    <n v="0"/>
    <n v="41161.629999999997"/>
    <s v="TZS"/>
    <s v="[CPAPT037] THINNER SOLVENT"/>
    <m/>
    <n v="-10"/>
    <s v="LTR"/>
    <x v="0"/>
    <x v="0"/>
    <x v="14"/>
    <x v="3"/>
    <n v="16.141815686274509"/>
    <n v="0"/>
  </r>
  <r>
    <n v="605"/>
    <d v="2025-07-11T00:00:00"/>
    <x v="62"/>
    <s v="STJ/2025/07/05475"/>
    <s v="Inventory Valuation"/>
    <s v="CM/MTI/2025/01818 - [EFSHB118] BOLT HT HEX HEAD M16 X 75MM FULL THREAD WITH NUT AND WASHER GRADE 8.8 / MRQ/2025/02508"/>
    <s v="CM/MTI/2025/01818 - [EFSHB118] BOLT HT HEX HEAD M16 X 75MM FULL THREAD WITH NUT AND WASHER GRADE 8.8 / MRQ/2025/02508"/>
    <m/>
    <m/>
    <s v="MATERIAL COST"/>
    <s v="Expenses"/>
    <s v="731002"/>
    <s v="731002 STORE SPARES &amp; CONSUMABLES - GENERAL"/>
    <s v="CWIP-INSTALLATION OF NEW WEIGHBRIDGE AT QUARRY(2NOS)"/>
    <s v="PROJECT"/>
    <s v="MECHANICAL"/>
    <n v="134344.81"/>
    <n v="0"/>
    <n v="134344.81"/>
    <s v="TZS"/>
    <s v="[EFSHB118] BOLT HT HEX HEAD M16 X 75MM FULL THREAD WITH NUT AND WASHER GRADE 8.8"/>
    <m/>
    <n v="-100"/>
    <s v="NOS"/>
    <x v="0"/>
    <x v="0"/>
    <x v="14"/>
    <x v="3"/>
    <n v="52.684239215686276"/>
    <n v="0"/>
  </r>
  <r>
    <n v="606"/>
    <d v="2025-07-11T00:00:00"/>
    <x v="62"/>
    <s v="STJ/2025/07/05463"/>
    <s v="Inventory Valuation"/>
    <s v="CM/MTI/2025/01812 - [CFLOL002] OIL GEAR 320 S2 G / MRQ/2025/02511"/>
    <s v="CM/MTI/2025/01812 - [CFLOL002] OIL GEAR 320 S2 G / MRQ/2025/02511"/>
    <m/>
    <m/>
    <s v="MATERIAL COST"/>
    <s v="Expenses"/>
    <s v="731002"/>
    <s v="731002 STORE SPARES &amp; CONSUMABLES - GENERAL"/>
    <s v="Lubricants"/>
    <s v="RAW MILL-2"/>
    <s v="MECHANICAL"/>
    <n v="5731854.8300000001"/>
    <n v="0"/>
    <n v="5731854.8300000001"/>
    <s v="TZS"/>
    <s v="[CFLOL002] OIL GEAR 320 S2 G"/>
    <m/>
    <n v="-800"/>
    <s v="LTR"/>
    <x v="0"/>
    <x v="0"/>
    <x v="9"/>
    <x v="4"/>
    <n v="2247.7862078431372"/>
    <n v="0"/>
  </r>
  <r>
    <n v="607"/>
    <d v="2025-07-12T00:00:00"/>
    <x v="63"/>
    <s v="STJ/2025/07/05668"/>
    <s v="Inventory Valuation"/>
    <s v="CM/MTI/2025/01839 - [CWCWR001] WELDING ELECTRODE MS 6013 SIZE 2.5 MM X 350 MM / MRQ/2025/02536_x000a_Rounding Adjustment: +0.01 TSh"/>
    <s v="CM/MTI/2025/01839 - [CWCWR001] WELDING ELECTRODE MS 6013 SIZE 2.5 MM X 350 MM / MRQ/2025/02536_x000a_Rounding Adjustment: +0.01 TSh"/>
    <m/>
    <m/>
    <s v="MATERIAL COST"/>
    <s v="Expenses"/>
    <s v="731002"/>
    <s v="731002 STORE SPARES &amp; CONSUMABLES - GENERAL"/>
    <s v="Inventory Spares Consumable"/>
    <s v="RAW MILL-2"/>
    <s v="ELECTRICAL"/>
    <n v="43846.31"/>
    <n v="0"/>
    <n v="43846.31"/>
    <s v="TZS"/>
    <s v="[CWCWR001] WELDING ELECTRODE MS 6013 SIZE 2.5 MM X 350 MM"/>
    <m/>
    <n v="-10"/>
    <s v="KG"/>
    <x v="0"/>
    <x v="0"/>
    <x v="9"/>
    <x v="4"/>
    <n v="17.194631372549019"/>
    <n v="0"/>
  </r>
  <r>
    <n v="608"/>
    <d v="2025-07-12T00:00:00"/>
    <x v="63"/>
    <s v="STJ/2025/07/05667"/>
    <s v="Inventory Valuation"/>
    <s v="CM/MTI/2025/01839 - [CWCGC041] CUTTING WHEEL 7'' / MRQ/2025/02536_x000a_Rounding Adjustment: +0.01 TSh"/>
    <s v="CM/MTI/2025/01839 - [CWCGC041] CUTTING WHEEL 7'' / MRQ/2025/02536_x000a_Rounding Adjustment: +0.01 TSh"/>
    <m/>
    <m/>
    <s v="MATERIAL COST"/>
    <s v="Expenses"/>
    <s v="731002"/>
    <s v="731002 STORE SPARES &amp; CONSUMABLES - GENERAL"/>
    <s v="Inventory Spares Consumable"/>
    <s v="RAW MILL-2"/>
    <s v="ELECTRICAL"/>
    <n v="48394.63"/>
    <n v="0"/>
    <n v="48394.63"/>
    <s v="TZS"/>
    <s v="[CWCGC041] CUTTING WHEEL 7''"/>
    <m/>
    <n v="-15"/>
    <s v="NOS"/>
    <x v="0"/>
    <x v="0"/>
    <x v="9"/>
    <x v="4"/>
    <n v="18.978286274509802"/>
    <n v="0"/>
  </r>
  <r>
    <n v="609"/>
    <d v="2025-07-12T00:00:00"/>
    <x v="63"/>
    <s v="STJ/2025/07/05665"/>
    <s v="Inventory Valuation"/>
    <s v="CM/MTI/2025/01837 - [EELEM094] MOTOR DRIVE END COVER KW 90 TYPE M2BA315SMA4 MOUNTING FOOT BEARING DE 6319 C3    / MRQ/2025/02558"/>
    <s v="CM/MTI/2025/01837 - [EELEM094] MOTOR DRIVE END COVER KW 90 TYPE M2BA315SMA4 MOUNTING FOOT BEARING DE 6319 C3    / MRQ/2025/02558"/>
    <m/>
    <m/>
    <s v="MATERIAL COST"/>
    <s v="Expenses"/>
    <s v="731002"/>
    <s v="731002 STORE SPARES &amp; CONSUMABLES - GENERAL"/>
    <s v="Inventory Spares Consumable"/>
    <s v="RAW MILL-2"/>
    <s v="ELECTRICAL"/>
    <n v="438292.55"/>
    <n v="0"/>
    <n v="438292.55"/>
    <s v="TZS"/>
    <s v="[EELEM094] MOTOR DRIVE END COVER KW 90 TYPE M2BA315SMA4 MOUNTING FOOT BEARING DE 6319 C3   "/>
    <m/>
    <n v="-1"/>
    <s v="NOS"/>
    <x v="0"/>
    <x v="0"/>
    <x v="9"/>
    <x v="4"/>
    <n v="171.87943137254902"/>
    <n v="0"/>
  </r>
  <r>
    <n v="610"/>
    <d v="2025-07-12T00:00:00"/>
    <x v="63"/>
    <s v="STJ/2025/07/05664"/>
    <s v="Inventory Valuation"/>
    <s v="CM/MTI/2025/01836 - [EELPC091] CONTACT AUXILIARY BLOCK MODEL CA 5-01 1NO  MAKE ABB / MRQ/2025/02559"/>
    <s v="CM/MTI/2025/01836 - [EELPC091] CONTACT AUXILIARY BLOCK MODEL CA 5-01 1NO  MAKE ABB / MRQ/2025/02559"/>
    <m/>
    <m/>
    <s v="MATERIAL COST"/>
    <s v="Expenses"/>
    <s v="731002"/>
    <s v="731002 STORE SPARES &amp; CONSUMABLES - GENERAL"/>
    <s v="Inventory Spares Consumable"/>
    <s v="RAW MILL-2"/>
    <s v="ELECTRICAL"/>
    <n v="20325.990000000002"/>
    <n v="0"/>
    <n v="20325.990000000002"/>
    <s v="TZS"/>
    <s v="[EELPC091] CONTACT AUXILIARY BLOCK MODEL CA 5-01 1NO  MAKE ABB"/>
    <m/>
    <n v="-4"/>
    <s v="NOS"/>
    <x v="0"/>
    <x v="0"/>
    <x v="9"/>
    <x v="4"/>
    <n v="7.9709764705882362"/>
    <n v="0"/>
  </r>
  <r>
    <n v="611"/>
    <d v="2025-07-12T00:00:00"/>
    <x v="63"/>
    <s v="STJ/2025/07/05663"/>
    <s v="Inventory Valuation"/>
    <s v="CM/MTI/2025/01836 - [EELPC090] CONTACT AUXILIARY BLOCK MODEL CA 5-01 1NC  MAKE ABB / MRQ/2025/02559"/>
    <s v="CM/MTI/2025/01836 - [EELPC090] CONTACT AUXILIARY BLOCK MODEL CA 5-01 1NC  MAKE ABB / MRQ/2025/02559"/>
    <m/>
    <m/>
    <s v="MATERIAL COST"/>
    <s v="Expenses"/>
    <s v="731002"/>
    <s v="731002 STORE SPARES &amp; CONSUMABLES - GENERAL"/>
    <s v="Inventory Spares Consumable"/>
    <s v="RAW MILL-2"/>
    <s v="ELECTRICAL"/>
    <n v="20325.990000000002"/>
    <n v="0"/>
    <n v="20325.990000000002"/>
    <s v="TZS"/>
    <s v="[EELPC090] CONTACT AUXILIARY BLOCK MODEL CA 5-01 1NC  MAKE ABB"/>
    <m/>
    <n v="-4"/>
    <s v="NOS"/>
    <x v="0"/>
    <x v="0"/>
    <x v="9"/>
    <x v="4"/>
    <n v="7.9709764705882362"/>
    <n v="0"/>
  </r>
  <r>
    <n v="612"/>
    <d v="2025-07-12T00:00:00"/>
    <x v="63"/>
    <s v="STJ/2025/07/05648"/>
    <s v="Inventory Valuation"/>
    <s v="CM/MTI/2025/01831 - [EMEPA003] PUMP HIGH PRESSURE PART NO. H51-417218-9 RADIAL PISTON PUMP 5 LPM PRESSURE 350 BAR MAKE DOWTY / MRQ/2025/02549"/>
    <s v="CM/MTI/2025/01831 - [EMEPA003] PUMP HIGH PRESSURE PART NO. H51-417218-9 RADIAL PISTON PUMP 5 LPM PRESSURE 350 BAR MAKE DOWTY / MRQ/2025/02549"/>
    <m/>
    <m/>
    <s v="MATERIAL COST"/>
    <s v="Expenses"/>
    <s v="731002"/>
    <s v="731002 STORE SPARES &amp; CONSUMABLES - GENERAL"/>
    <s v="Inventory Spares Consumable"/>
    <s v="RAW MILL-2"/>
    <s v="MECHANICAL"/>
    <n v="14495580.300000001"/>
    <n v="0"/>
    <n v="14495580.300000001"/>
    <s v="TZS"/>
    <s v="[EMEPA003] PUMP HIGH PRESSURE PART NO. H51-417218-9 RADIAL PISTON PUMP 5 LPM PRESSURE 350 BAR MAKE DOWTY"/>
    <m/>
    <n v="-1"/>
    <s v="NOS"/>
    <x v="0"/>
    <x v="0"/>
    <x v="9"/>
    <x v="4"/>
    <n v="5684.5412941176473"/>
    <n v="0"/>
  </r>
  <r>
    <n v="613"/>
    <d v="2025-07-12T00:00:00"/>
    <x v="63"/>
    <s v="STJ/2025/07/05669"/>
    <s v="Inventory Valuation"/>
    <s v="CM/MTI/2025/01840 - [CFLOL002] OIL GEAR 320 S2 G / MRQ/2025/02550_x000a_Rounding Adjustment: -0.01 TSh"/>
    <s v="CM/MTI/2025/01840 - [CFLOL002] OIL GEAR 320 S2 G / MRQ/2025/02550_x000a_Rounding Adjustment: -0.01 TSh"/>
    <m/>
    <m/>
    <s v="MATERIAL COST"/>
    <s v="Expenses"/>
    <s v="731002"/>
    <s v="731002 STORE SPARES &amp; CONSUMABLES - GENERAL"/>
    <s v="Lubricants"/>
    <s v="RAW MILL-2"/>
    <s v="MECHANICAL"/>
    <n v="1432963.72"/>
    <n v="0"/>
    <n v="1432963.72"/>
    <s v="TZS"/>
    <s v="[CFLOL002] OIL GEAR 320 S2 G"/>
    <m/>
    <n v="-200"/>
    <s v="LTR"/>
    <x v="0"/>
    <x v="0"/>
    <x v="9"/>
    <x v="4"/>
    <n v="561.94655686274507"/>
    <n v="0"/>
  </r>
  <r>
    <n v="614"/>
    <d v="2025-07-14T08:59:00"/>
    <x v="64"/>
    <s v="PCVLG/2025/07/0077"/>
    <s v="PCV (PETTY CASH LOGISTIC)"/>
    <m/>
    <s v="CASH PAID FOR BENDING OF SIDE PANELS 25PCS @20000 FOR FABRI CATION OF SIDE BODY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500000"/>
    <n v="0"/>
    <n v="500000"/>
    <s v="TZS"/>
    <m/>
    <m/>
    <n v="1"/>
    <m/>
    <x v="0"/>
    <x v="0"/>
    <x v="12"/>
    <x v="1"/>
    <n v="196.07843137254903"/>
    <n v="0"/>
  </r>
  <r>
    <n v="615"/>
    <d v="2025-07-14T00:00:00"/>
    <x v="64"/>
    <s v="STJ/2025/07/06478"/>
    <s v="Inventory Valuation"/>
    <s v="CM/MTI/2025/01852 - [CWCGC041] CUTTING WHEEL 7'' / MRQ/2025/02572_x000a_Rounding Adjustment: -0.01 TSh"/>
    <s v="CM/MTI/2025/01852 - [CWCGC041] CUTTING WHEEL 7'' / MRQ/2025/02572_x000a_Rounding Adjustment: -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2584.18"/>
    <n v="0"/>
    <n v="22584.18"/>
    <s v="TZS"/>
    <s v="[CWCGC041] CUTTING WHEEL 7''"/>
    <m/>
    <n v="-7"/>
    <s v="NOS"/>
    <x v="0"/>
    <x v="0"/>
    <x v="8"/>
    <x v="3"/>
    <n v="8.8565411764705875"/>
    <n v="0"/>
  </r>
  <r>
    <n v="616"/>
    <d v="2025-07-14T00:00:00"/>
    <x v="64"/>
    <s v="STJ/2025/07/06485"/>
    <s v="Inventory Valuation"/>
    <s v="CM/MTI/2025/01856 - [EFSHB096] BOLT HT HEX HEAD M12 X 50MM FULL THREAD WITH NUT AND WASHER GRADE 8.8 / MRQ/2025/02584_x000a_Rounding Adjustment: -0.01 TSh"/>
    <s v="CM/MTI/2025/01856 - [EFSHB096] BOLT HT HEX HEAD M12 X 50MM FULL THREAD WITH NUT AND WASHER GRADE 8.8 / MRQ/2025/02584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3740.75"/>
    <n v="0"/>
    <n v="13740.75"/>
    <s v="TZS"/>
    <s v="[EFSHB096] BOLT HT HEX HEAD M12 X 50MM FULL THREAD WITH NUT AND WASHER GRADE 8.8"/>
    <m/>
    <n v="-25"/>
    <s v="NOS"/>
    <x v="0"/>
    <x v="0"/>
    <x v="9"/>
    <x v="4"/>
    <n v="5.388529411764706"/>
    <n v="0"/>
  </r>
  <r>
    <n v="617"/>
    <d v="2025-07-14T00:00:00"/>
    <x v="64"/>
    <s v="STJ/2025/07/06486"/>
    <s v="Inventory Valuation"/>
    <s v="CM/MTI/2025/01856 - [EFSHB155] BOLT HT HEX HEAD M24X 100MM FULL THREAD WITH NUT AND WASHER GRADE 8.8 / MRQ/2025/02584"/>
    <s v="CM/MTI/2025/01856 - [EFSHB155] BOLT HT HEX HEAD M24X 100MM FULL THREAD WITH NUT AND WASHER GRADE 8.8 / MRQ/2025/0258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4120.35"/>
    <n v="0"/>
    <n v="34120.35"/>
    <s v="TZS"/>
    <s v="[EFSHB155] BOLT HT HEX HEAD M24X 100MM FULL THREAD WITH NUT AND WASHER GRADE 8.8"/>
    <m/>
    <n v="-25"/>
    <s v="NOS"/>
    <x v="0"/>
    <x v="0"/>
    <x v="9"/>
    <x v="4"/>
    <n v="13.380529411764705"/>
    <n v="0"/>
  </r>
  <r>
    <n v="618"/>
    <d v="2025-07-14T00:00:00"/>
    <x v="64"/>
    <s v="STJ/2025/07/06487"/>
    <s v="Inventory Valuation"/>
    <s v="CM/MTI/2025/01857 - [EFSHB098] BOLT HT HEX HEAD M12 X 70MM FULL THREAD WITH NUT AND WASHER GRADE 8.8 / MRQ/2025/02586"/>
    <s v="CM/MTI/2025/01857 - [EFSHB098] BOLT HT HEX HEAD M12 X 70MM FULL THREAD WITH NUT AND WASHER GRADE 8.8 / MRQ/2025/0258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0792.52"/>
    <n v="0"/>
    <n v="70792.52"/>
    <s v="TZS"/>
    <s v="[EFSHB098] BOLT HT HEX HEAD M12 X 70MM FULL THREAD WITH NUT AND WASHER GRADE 8.8"/>
    <m/>
    <n v="-100"/>
    <s v="NOS"/>
    <x v="0"/>
    <x v="0"/>
    <x v="9"/>
    <x v="4"/>
    <n v="27.761772549019611"/>
    <n v="0"/>
  </r>
  <r>
    <n v="619"/>
    <d v="2025-07-14T00:00:00"/>
    <x v="64"/>
    <s v="STJ/2025/07/06479"/>
    <s v="Inventory Valuation"/>
    <s v="CM/MTI/2025/01853 - [EELPC001] CONTACTOR POWER AC3 9 AMP COIL VOLTAGE 230VAC WITH 1NO  / MRQ/2025/02573"/>
    <s v="CM/MTI/2025/01853 - [EELPC001] CONTACTOR POWER AC3 9 AMP COIL VOLTAGE 230VAC WITH 1NO  / MRQ/2025/02573"/>
    <m/>
    <m/>
    <s v="MATERIAL COST"/>
    <s v="Expenses"/>
    <s v="731002"/>
    <s v="731002 STORE SPARES &amp; CONSUMABLES - GENERAL"/>
    <s v="Inventory Spares Consumable"/>
    <s v="RAW MILL-2"/>
    <s v="ELECTRICAL"/>
    <n v="58645.33"/>
    <n v="0"/>
    <n v="58645.33"/>
    <s v="TZS"/>
    <s v="[EELPC001] CONTACTOR POWER AC3 9 AMP COIL VOLTAGE 230VAC WITH 1NO "/>
    <m/>
    <n v="-2"/>
    <s v="NOS"/>
    <x v="0"/>
    <x v="0"/>
    <x v="9"/>
    <x v="4"/>
    <n v="22.99816862745098"/>
    <n v="0"/>
  </r>
  <r>
    <n v="620"/>
    <d v="2025-07-15T00:00:00"/>
    <x v="65"/>
    <s v="STJ/2025/07/07528"/>
    <s v="Inventory Valuation"/>
    <s v="CM/MTI/2025/01875 - [EMECB095] IDLER RETURN SPIRAL FOR 800MM BELT WIDTH DIA -133MM L -950 L2 -1002 / MRQ/2025/02601_x000a_Rounding Adjustment: -0.01 TSh"/>
    <s v="CM/MTI/2025/01875 - [EMECB095] IDLER RETURN SPIRAL FOR 800MM BELT WIDTH DIA -133MM L -950 L2 -1002 / MRQ/2025/02601_x000a_Rounding Adjustment: -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474368.25"/>
    <n v="0"/>
    <n v="1474368.25"/>
    <s v="TZS"/>
    <s v="[EMECB095] IDLER RETURN SPIRAL FOR 800MM BELT WIDTH DIA -133MM L -950 L2 -1002"/>
    <m/>
    <n v="-6"/>
    <s v="NOS"/>
    <x v="0"/>
    <x v="0"/>
    <x v="8"/>
    <x v="3"/>
    <n v="578.18362745098034"/>
    <n v="0"/>
  </r>
  <r>
    <n v="621"/>
    <d v="2025-07-15T00:00:00"/>
    <x v="65"/>
    <s v="STJ/2025/07/07524"/>
    <s v="Inventory Valuation"/>
    <s v="CM/MTI/2025/01874 - [CIGGS001] GAS OXYGEN FULL CYLINDER, O2 / MRQ/2025/02592"/>
    <s v="CM/MTI/2025/01874 - [CIGGS001] GAS OXYGEN FULL CYLINDER, O2 / MRQ/2025/0259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5000"/>
    <n v="0"/>
    <n v="165000"/>
    <s v="TZS"/>
    <s v="[CIGGS001] GAS OXYGEN FULL CYLINDER, O2"/>
    <m/>
    <n v="-11"/>
    <s v="NOS"/>
    <x v="0"/>
    <x v="0"/>
    <x v="9"/>
    <x v="4"/>
    <n v="64.705882352941174"/>
    <n v="0"/>
  </r>
  <r>
    <n v="622"/>
    <d v="2025-07-15T00:00:00"/>
    <x v="65"/>
    <s v="STJ/2025/07/07525"/>
    <s v="Inventory Valuation"/>
    <s v="CM/MTI/2025/01874 - [CIGGS005] GAS LIQUEFIED PETROLEUM FULL CYLINDER, LPG CAPACITY 15KG / MRQ/2025/02592"/>
    <s v="CM/MTI/2025/01874 - [CIGGS005] GAS LIQUEFIED PETROLEUM FULL CYLINDER, LPG CAPACITY 15KG / MRQ/2025/0259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000"/>
    <n v="0"/>
    <n v="96000"/>
    <s v="TZS"/>
    <s v="[CIGGS005] GAS LIQUEFIED PETROLEUM FULL CYLINDER, LPG CAPACITY 15KG"/>
    <m/>
    <n v="-2"/>
    <s v="NOS"/>
    <x v="0"/>
    <x v="0"/>
    <x v="9"/>
    <x v="4"/>
    <n v="37.647058823529413"/>
    <n v="0"/>
  </r>
  <r>
    <n v="623"/>
    <d v="2025-07-15T00:00:00"/>
    <x v="65"/>
    <s v="STJ/2025/07/07526"/>
    <s v="Inventory Valuation"/>
    <s v="CM/MTI/2025/01874 - [CWCGC041] CUTTING WHEEL 7'' / MRQ/2025/02592"/>
    <s v="CM/MTI/2025/01874 - [CWCGC041] CUTTING WHEEL 7'' / MRQ/2025/0259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263.1"/>
    <n v="0"/>
    <n v="32263.1"/>
    <s v="TZS"/>
    <s v="[CWCGC041] CUTTING WHEEL 7''"/>
    <m/>
    <n v="-10"/>
    <s v="NOS"/>
    <x v="0"/>
    <x v="0"/>
    <x v="9"/>
    <x v="4"/>
    <n v="12.652196078431372"/>
    <n v="0"/>
  </r>
  <r>
    <n v="624"/>
    <d v="2025-07-15T00:00:00"/>
    <x v="65"/>
    <s v="STJ/2025/07/07527"/>
    <s v="Inventory Valuation"/>
    <s v="CM/MTI/2025/01874 - [CWCWR003] WELDING ELECTRODE MS 6013 SIZE 4 MM X 450 MM / MRQ/2025/02592_x000a_Rounding Adjustment: +0.01 TSh"/>
    <s v="CM/MTI/2025/01874 - [CWCWR003] WELDING ELECTRODE MS 6013 SIZE 4 MM X 450 MM / MRQ/2025/02592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3900.37"/>
    <n v="0"/>
    <n v="163900.37"/>
    <s v="TZS"/>
    <s v="[CWCWR003] WELDING ELECTRODE MS 6013 SIZE 4 MM X 450 MM"/>
    <m/>
    <n v="-40"/>
    <s v="KG"/>
    <x v="0"/>
    <x v="0"/>
    <x v="9"/>
    <x v="4"/>
    <n v="64.274654901960787"/>
    <n v="0"/>
  </r>
  <r>
    <n v="625"/>
    <d v="2025-07-15T00:00:00"/>
    <x v="65"/>
    <s v="STJ/2025/07/07531"/>
    <s v="Inventory Valuation"/>
    <s v="CM/MTI/2025/01876 - [EFSHB122] BOLT HT HEX HEAD M16 X 100MM FULL THREAD WITH NUT AND WASHER GRADE 8.8 / MRQ/2025/02606"/>
    <s v="CM/MTI/2025/01876 - [EFSHB122] BOLT HT HEX HEAD M16 X 100MM FULL THREAD WITH NUT AND WASHER GRADE 8.8 / MRQ/2025/0260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778.04"/>
    <n v="0"/>
    <n v="12778.04"/>
    <s v="TZS"/>
    <s v="[EFSHB122] BOLT HT HEX HEAD M16 X 100MM FULL THREAD WITH NUT AND WASHER GRADE 8.8"/>
    <m/>
    <n v="-8"/>
    <s v="NOS"/>
    <x v="0"/>
    <x v="0"/>
    <x v="9"/>
    <x v="4"/>
    <n v="5.010996078431373"/>
    <n v="0"/>
  </r>
  <r>
    <n v="626"/>
    <d v="2025-07-15T00:00:00"/>
    <x v="65"/>
    <s v="STJ/2025/07/07532"/>
    <s v="Inventory Valuation"/>
    <s v="CM/MTI/2025/01876 - [EFSHB144] BOLT HT HEX HEAD M20 X 125MM FULL THREAD WITH NUT AND WASHER GRADE 8.8 / MRQ/2025/02606"/>
    <s v="CM/MTI/2025/01876 - [EFSHB144] BOLT HT HEX HEAD M20 X 125MM FULL THREAD WITH NUT AND WASHER GRADE 8.8 / MRQ/2025/0260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2532.01"/>
    <n v="0"/>
    <n v="22532.01"/>
    <s v="TZS"/>
    <s v="[EFSHB144] BOLT HT HEX HEAD M20 X 125MM FULL THREAD WITH NUT AND WASHER GRADE 8.8"/>
    <m/>
    <n v="-8"/>
    <s v="NOS"/>
    <x v="0"/>
    <x v="0"/>
    <x v="9"/>
    <x v="4"/>
    <n v="8.8360823529411761"/>
    <n v="0"/>
  </r>
  <r>
    <n v="627"/>
    <d v="2025-07-16T11:10:44"/>
    <x v="66"/>
    <s v="SERBL/2025/07/0108"/>
    <s v="Service Bills"/>
    <s v="LPORD/2025/00514: REQUIRED  2-WELDERS FOR  OLD COAL MILL CONVERSION TO RAW MILL"/>
    <s v="28902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4200000"/>
    <n v="0"/>
    <n v="4200000"/>
    <s v="TZS"/>
    <s v="[SER037] Job Contract-15"/>
    <s v="Misc. Income"/>
    <n v="60"/>
    <s v="MANDAY"/>
    <x v="0"/>
    <x v="0"/>
    <x v="9"/>
    <x v="4"/>
    <n v="1647.0588235294117"/>
    <n v="0"/>
  </r>
  <r>
    <n v="628"/>
    <d v="2025-07-16T11:10:44"/>
    <x v="66"/>
    <s v="SERBL/2025/07/0108"/>
    <s v="Service Bills"/>
    <s v="LPORD/2025/00514: REQUIRED TWO FITTER FOR OLD COAL MILL CONVERSION TO RAW MILL"/>
    <s v="28902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2100000"/>
    <n v="0"/>
    <n v="2100000"/>
    <s v="TZS"/>
    <s v="[SER037] Job Contract-15"/>
    <s v="Misc. Income"/>
    <n v="30"/>
    <s v="MANDAY"/>
    <x v="0"/>
    <x v="0"/>
    <x v="9"/>
    <x v="4"/>
    <n v="823.52941176470586"/>
    <n v="0"/>
  </r>
  <r>
    <n v="629"/>
    <d v="2025-07-16T11:10:44"/>
    <x v="66"/>
    <s v="SERBL/2025/07/0108"/>
    <s v="Service Bills"/>
    <s v="LPORD/2025/00514: REQUIRED 10 HELPERS FOR 30 DAYS FOR OLD COAL MILL CONVERSION TO RAW MILL"/>
    <s v="28902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PROJECT"/>
    <s v="PROJECT"/>
    <n v="3731000"/>
    <n v="0"/>
    <n v="3731000"/>
    <s v="TZS"/>
    <s v="[SER037] Job Contract-15"/>
    <s v="Misc. Income"/>
    <n v="287"/>
    <s v="MANDAY"/>
    <x v="0"/>
    <x v="0"/>
    <x v="9"/>
    <x v="4"/>
    <n v="1463.1372549019609"/>
    <n v="0"/>
  </r>
  <r>
    <n v="630"/>
    <d v="2025-07-16T00:00:00"/>
    <x v="66"/>
    <s v="STJ/2025/07/08236"/>
    <s v="Inventory Valuation"/>
    <s v="CM/MTI/2025/01901 - [CWCGC038] GRINDING WHEEL 4'' / MRQ/2025/02626"/>
    <s v="CM/MTI/2025/01901 - [CWCGC038] GRINDING WHEEL 4'' / MRQ/2025/02626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5685.15"/>
    <n v="0"/>
    <n v="15685.15"/>
    <s v="TZS"/>
    <s v="[CWCGC038] GRINDING WHEEL 4''"/>
    <m/>
    <n v="-5"/>
    <s v="NOS"/>
    <x v="0"/>
    <x v="0"/>
    <x v="8"/>
    <x v="3"/>
    <n v="6.1510392156862741"/>
    <n v="0"/>
  </r>
  <r>
    <n v="631"/>
    <d v="2025-07-16T00:00:00"/>
    <x v="66"/>
    <s v="STJ/2025/07/08237"/>
    <s v="Inventory Valuation"/>
    <s v="CM/MTI/2025/01901 - [CWCWR003] WELDING ELECTRODE MS 6013 SIZE 4 MM X 450 MM / MRQ/2025/02626"/>
    <s v="CM/MTI/2025/01901 - [CWCWR003] WELDING ELECTRODE MS 6013 SIZE 4 MM X 450 MM / MRQ/2025/02626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0975.089999999997"/>
    <n v="0"/>
    <n v="40975.089999999997"/>
    <s v="TZS"/>
    <s v="[CWCWR003] WELDING ELECTRODE MS 6013 SIZE 4 MM X 450 MM"/>
    <m/>
    <n v="-10"/>
    <s v="KG"/>
    <x v="0"/>
    <x v="0"/>
    <x v="8"/>
    <x v="3"/>
    <n v="16.068662745098038"/>
    <n v="0"/>
  </r>
  <r>
    <n v="632"/>
    <d v="2025-07-16T00:00:00"/>
    <x v="66"/>
    <s v="STJ/2025/07/08223"/>
    <s v="Inventory Valuation"/>
    <s v="CM/MTI/2025/01895 - [CWCGC041] CUTTING WHEEL 7'' / MRQ/2025/02630"/>
    <s v="CM/MTI/2025/01895 - [CWCGC041] CUTTING WHEEL 7'' / MRQ/2025/0263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263.1"/>
    <n v="0"/>
    <n v="32263.1"/>
    <s v="TZS"/>
    <s v="[CWCGC041] CUTTING WHEEL 7''"/>
    <m/>
    <n v="-10"/>
    <s v="NOS"/>
    <x v="0"/>
    <x v="0"/>
    <x v="9"/>
    <x v="4"/>
    <n v="12.652196078431372"/>
    <n v="0"/>
  </r>
  <r>
    <n v="633"/>
    <d v="2025-07-16T00:00:00"/>
    <x v="66"/>
    <s v="STJ/2025/07/08224"/>
    <s v="Inventory Valuation"/>
    <s v="CM/MTI/2025/01895 - [CWCWR003] WELDING ELECTRODE MS 6013 SIZE 4 MM X 450 MM / MRQ/2025/02630"/>
    <s v="CM/MTI/2025/01895 - [CWCWR003] WELDING ELECTRODE MS 6013 SIZE 4 MM X 450 MM / MRQ/2025/0263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634"/>
    <d v="2025-07-16T00:00:00"/>
    <x v="66"/>
    <s v="STJ/2025/07/07783"/>
    <s v="Inventory Valuation"/>
    <s v="LOG/MTI/2025/00601 - [LGS0079] CUTTING WHEEL - 9'' / MRQ/2025/02631"/>
    <s v="LOG/MTI/2025/00601 - [LGS0079] CUTTING WHEEL - 9'' / MRQ/2025/02631"/>
    <m/>
    <m/>
    <s v="MATERIAL COST"/>
    <s v="Expenses"/>
    <s v="731002"/>
    <s v="731002 STORE SPARES &amp; CONSUMABLES - GENERAL"/>
    <s v="CWIP-FABRICATION OF INHOUSE TRAILOR"/>
    <s v="LOGISTIC DIVISION"/>
    <s v="LOGISTIC DIVISION"/>
    <n v="14237.28"/>
    <n v="0"/>
    <n v="14237.28"/>
    <s v="TZS"/>
    <s v="[LGS0079] CUTTING WHEEL - 9''"/>
    <m/>
    <n v="-4"/>
    <s v="NOS"/>
    <x v="0"/>
    <x v="0"/>
    <x v="12"/>
    <x v="1"/>
    <n v="5.5832470588235292"/>
    <n v="0"/>
  </r>
  <r>
    <n v="635"/>
    <d v="2025-07-17T14:23:59"/>
    <x v="67"/>
    <s v="STJ/2025/07/08798"/>
    <s v="Inventory Valuation"/>
    <s v="CM/MTI/2025/01917 - [PROCM204] SHEET ALUMINIUM SIZE 24 SWG FOR INSULATION / MRQ/2025/02650"/>
    <s v="CM/MTI/2025/01917 - [PROCM204] SHEET ALUMINIUM SIZE 24 SWG FOR INSULATION / MRQ/2025/02650"/>
    <m/>
    <m/>
    <s v="CAPITAL WORK IN PROGRESS"/>
    <s v="Fixed Assets"/>
    <s v="371023"/>
    <s v="371023 CWIP-CEMENT MILL 50TPH NEW"/>
    <s v="Inventory Spares Consumable"/>
    <s v="KILN"/>
    <s v="MECHANICAL"/>
    <n v="5605600"/>
    <n v="0"/>
    <n v="5605600"/>
    <s v="TZS"/>
    <s v="[PROCM204] SHEET ALUMINIUM SIZE 24 SWG FOR INSULATION"/>
    <s v="CEMENT MILL"/>
    <n v="-325"/>
    <s v="KG"/>
    <x v="0"/>
    <x v="0"/>
    <x v="9"/>
    <x v="4"/>
    <n v="2198.2745098039218"/>
    <n v="0"/>
  </r>
  <r>
    <n v="636"/>
    <d v="2025-07-17T00:00:00"/>
    <x v="67"/>
    <s v="STJ/2025/07/08498"/>
    <s v="Inventory Valuation"/>
    <s v="CM/MTI/2025/01908 - [CAFRF015] TV / MRQ/2025/02669_x000a_Rounding Adjustment: +0.01 TSh"/>
    <s v="CM/MTI/2025/01908 - [CAFRF015] TV / MRQ/2025/02669_x000a_Rounding Adjustment: +0.01 TSh"/>
    <m/>
    <m/>
    <s v="MATERIAL COST"/>
    <s v="Expenses"/>
    <s v="731003"/>
    <s v="731003 STORE SPARES &amp; CONSUMABLE-CA"/>
    <s v="Fixed Asset"/>
    <s v="ADMIN"/>
    <s v="HR"/>
    <n v="4475702.04"/>
    <n v="0"/>
    <n v="4475702.04"/>
    <s v="TZS"/>
    <s v="[CAFRF015] TV"/>
    <m/>
    <n v="-6"/>
    <s v="NOS"/>
    <x v="0"/>
    <x v="3"/>
    <x v="7"/>
    <x v="1"/>
    <n v="1755.1772705882354"/>
    <n v="0"/>
  </r>
  <r>
    <n v="637"/>
    <d v="2025-07-17T00:00:00"/>
    <x v="67"/>
    <s v="STJ/2025/07/08819"/>
    <s v="Inventory Valuation"/>
    <s v="CM/MTI/2025/01926 - [CWCWR003] WELDING ELECTRODE MS 6013 SIZE 4 MM X 450 MM / MRQ/2025/02582"/>
    <s v="CM/MTI/2025/01926 - [CWCWR003] WELDING ELECTRODE MS 6013 SIZE 4 MM X 450 MM / MRQ/2025/02582"/>
    <m/>
    <m/>
    <s v="MATERIAL COST"/>
    <s v="Expenses"/>
    <s v="731002"/>
    <s v="731002 STORE SPARES &amp; CONSUMABLES - GENERAL"/>
    <s v="CWIP-FABRICATION OF INHOUSE TRAILOR"/>
    <s v="LOGISTIC DIVISION"/>
    <s v="LOGISTIC DIVISION"/>
    <n v="204875.47"/>
    <n v="0"/>
    <n v="204875.47"/>
    <s v="TZS"/>
    <s v="[CWCWR003] WELDING ELECTRODE MS 6013 SIZE 4 MM X 450 MM"/>
    <m/>
    <n v="-50"/>
    <s v="KG"/>
    <x v="0"/>
    <x v="0"/>
    <x v="12"/>
    <x v="1"/>
    <n v="80.343321568627445"/>
    <n v="0"/>
  </r>
  <r>
    <n v="638"/>
    <d v="2025-07-17T00:00:00"/>
    <x v="67"/>
    <s v="STJ/2025/07/08804"/>
    <s v="Inventory Valuation"/>
    <s v="CM/MTI/2025/01920 - [CIGGS001] GAS OXYGEN FULL CYLINDER, O2 / MRQ/2025/02660"/>
    <s v="CM/MTI/2025/01920 - [CIGGS001] GAS OXYGEN FULL CYLINDER, O2 / MRQ/2025/02660"/>
    <m/>
    <m/>
    <s v="MATERIAL COST"/>
    <s v="Expenses"/>
    <s v="731002"/>
    <s v="731002 STORE SPARES &amp; CONSUMABLES - GENERAL"/>
    <s v="CWIP-INSTALLATION OF NEW WEIGHBRIDGE AT QUARRY(2NOS)"/>
    <s v="PROJECT"/>
    <s v="MECHANICAL"/>
    <n v="45000"/>
    <n v="0"/>
    <n v="45000"/>
    <s v="TZS"/>
    <s v="[CIGGS001] GAS OXYGEN FULL CYLINDER, O2"/>
    <m/>
    <n v="-3"/>
    <s v="NOS"/>
    <x v="0"/>
    <x v="0"/>
    <x v="14"/>
    <x v="3"/>
    <n v="17.647058823529413"/>
    <n v="0"/>
  </r>
  <r>
    <n v="639"/>
    <d v="2025-07-17T00:00:00"/>
    <x v="67"/>
    <s v="STJ/2025/07/08805"/>
    <s v="Inventory Valuation"/>
    <s v="CM/MTI/2025/01920 - [CPAPT009] PAINT OIL BLACK / MRQ/2025/02660"/>
    <s v="CM/MTI/2025/01920 - [CPAPT009] PAINT OIL BLACK / MRQ/2025/02660"/>
    <m/>
    <m/>
    <s v="MATERIAL COST"/>
    <s v="Expenses"/>
    <s v="731002"/>
    <s v="731002 STORE SPARES &amp; CONSUMABLES - GENERAL"/>
    <s v="CWIP-INSTALLATION OF NEW WEIGHBRIDGE AT QUARRY(2NOS)"/>
    <s v="PROJECT"/>
    <s v="MECHANICAL"/>
    <n v="71251.5"/>
    <n v="0"/>
    <n v="71251.5"/>
    <s v="TZS"/>
    <s v="[CPAPT009] PAINT OIL BLACK"/>
    <m/>
    <n v="-16"/>
    <s v="LTR"/>
    <x v="0"/>
    <x v="0"/>
    <x v="14"/>
    <x v="3"/>
    <n v="27.941764705882353"/>
    <n v="0"/>
  </r>
  <r>
    <n v="640"/>
    <d v="2025-07-17T00:00:00"/>
    <x v="67"/>
    <s v="STJ/2025/07/08827"/>
    <s v="Inventory Valuation"/>
    <s v="CM/MTI/2025/01929 - [CPAPT037] THINNER SOLVENT / MRQ/2025/02673"/>
    <s v="CM/MTI/2025/01929 - [CPAPT037] THINNER SOLVENT / MRQ/2025/02673"/>
    <m/>
    <m/>
    <s v="MATERIAL COST"/>
    <s v="Expenses"/>
    <s v="731002"/>
    <s v="731002 STORE SPARES &amp; CONSUMABLES - GENERAL"/>
    <s v="CWIP-INSTALLATION OF NEW WEIGHBRIDGE AT QUARRY(2NOS)"/>
    <s v="PROJECT"/>
    <s v="MECHANICAL"/>
    <n v="20580.810000000001"/>
    <n v="0"/>
    <n v="20580.810000000001"/>
    <s v="TZS"/>
    <s v="[CPAPT037] THINNER SOLVENT"/>
    <m/>
    <n v="-5"/>
    <s v="LTR"/>
    <x v="0"/>
    <x v="0"/>
    <x v="14"/>
    <x v="3"/>
    <n v="8.0709058823529425"/>
    <n v="0"/>
  </r>
  <r>
    <n v="641"/>
    <d v="2025-07-17T00:00:00"/>
    <x v="67"/>
    <s v="STJ/2025/07/08829"/>
    <s v="Inventory Valuation"/>
    <s v="CM/MTI/2025/01931 - [CCLGC023] NAILS SIZE 4'' / MRQ/2025/02675"/>
    <s v="CM/MTI/2025/01931 - [CCLGC023] NAILS SIZE 4'' / MRQ/2025/02675"/>
    <m/>
    <m/>
    <s v="MATERIAL COST"/>
    <s v="Expenses"/>
    <s v="731002"/>
    <s v="731002 STORE SPARES &amp; CONSUMABLES - GENERAL"/>
    <s v="CWIP-INSTALLATION OF NEW WEIGHBRIDGE AT QUARRY(2NOS)"/>
    <s v="QUARRY"/>
    <s v="MECHANICAL"/>
    <n v="17100"/>
    <n v="0"/>
    <n v="17100"/>
    <s v="TZS"/>
    <s v="[CCLGC023] NAILS SIZE 4''"/>
    <m/>
    <n v="-3"/>
    <s v="KG"/>
    <x v="0"/>
    <x v="0"/>
    <x v="14"/>
    <x v="3"/>
    <n v="6.7058823529411766"/>
    <n v="0"/>
  </r>
  <r>
    <n v="642"/>
    <d v="2025-07-17T00:00:00"/>
    <x v="67"/>
    <s v="STJ/2025/07/08830"/>
    <s v="Inventory Valuation"/>
    <s v="CM/MTI/2025/01931 - [CCLGC028] NAILS CONCRETE SIZE 4'' / MRQ/2025/02675"/>
    <s v="CM/MTI/2025/01931 - [CCLGC028] NAILS CONCRETE SIZE 4'' / MRQ/2025/02675"/>
    <m/>
    <m/>
    <s v="MATERIAL COST"/>
    <s v="Expenses"/>
    <s v="731002"/>
    <s v="731002 STORE SPARES &amp; CONSUMABLES - GENERAL"/>
    <s v="CWIP-INSTALLATION OF NEW WEIGHBRIDGE AT QUARRY(2NOS)"/>
    <s v="QUARRY"/>
    <s v="MECHANICAL"/>
    <n v="9951.27"/>
    <n v="0"/>
    <n v="9951.27"/>
    <s v="TZS"/>
    <s v="[CCLGC028] NAILS CONCRETE SIZE 4''"/>
    <m/>
    <n v="-1"/>
    <s v="KG"/>
    <x v="0"/>
    <x v="0"/>
    <x v="14"/>
    <x v="3"/>
    <n v="3.902458823529412"/>
    <n v="0"/>
  </r>
  <r>
    <n v="643"/>
    <d v="2025-07-17T00:00:00"/>
    <x v="67"/>
    <s v="STJ/2025/07/08831"/>
    <s v="Inventory Valuation"/>
    <s v="CM/MTI/2025/01931 - [CCLGC032] WIRE FOR BINDING / MRQ/2025/02675"/>
    <s v="CM/MTI/2025/01931 - [CCLGC032] WIRE FOR BINDING / MRQ/2025/02675"/>
    <m/>
    <m/>
    <s v="MATERIAL COST"/>
    <s v="Expenses"/>
    <s v="731002"/>
    <s v="731002 STORE SPARES &amp; CONSUMABLES - GENERAL"/>
    <s v="CWIP-INSTALLATION OF NEW WEIGHBRIDGE AT QUARRY(2NOS)"/>
    <s v="QUARRY"/>
    <s v="MECHANICAL"/>
    <n v="72500"/>
    <n v="0"/>
    <n v="72500"/>
    <s v="TZS"/>
    <s v="[CCLGC032] WIRE FOR BINDING"/>
    <m/>
    <n v="-14.5"/>
    <s v="KG"/>
    <x v="0"/>
    <x v="0"/>
    <x v="14"/>
    <x v="3"/>
    <n v="28.431372549019606"/>
    <n v="0"/>
  </r>
  <r>
    <n v="644"/>
    <d v="2025-07-17T00:00:00"/>
    <x v="67"/>
    <s v="STJ/2025/07/08832"/>
    <s v="Inventory Valuation"/>
    <s v="CM/MTI/2025/01931 - [CCLGC328] TMT BAR SIZE 10 MM GRADE FY500. / MRQ/2025/02675"/>
    <s v="CM/MTI/2025/01931 - [CCLGC328] TMT BAR SIZE 10 MM GRADE FY500. / MRQ/2025/02675"/>
    <m/>
    <m/>
    <s v="MATERIAL COST"/>
    <s v="Expenses"/>
    <s v="731002"/>
    <s v="731002 STORE SPARES &amp; CONSUMABLES - GENERAL"/>
    <s v="CWIP-INSTALLATION OF NEW WEIGHBRIDGE AT QUARRY(2NOS)"/>
    <s v="QUARRY"/>
    <s v="MECHANICAL"/>
    <n v="588815.53"/>
    <n v="0"/>
    <n v="588815.53"/>
    <s v="TZS"/>
    <s v="[CCLGC328] TMT BAR SIZE 10 MM GRADE FY500."/>
    <m/>
    <n v="-40"/>
    <s v="PCS"/>
    <x v="0"/>
    <x v="0"/>
    <x v="14"/>
    <x v="3"/>
    <n v="230.90805098039218"/>
    <n v="0"/>
  </r>
  <r>
    <n v="645"/>
    <d v="2025-07-17T00:00:00"/>
    <x v="67"/>
    <s v="STJ/2025/07/08833"/>
    <s v="Inventory Valuation"/>
    <s v="CM/MTI/2025/01931 - [CCLGC330] TMT BAR SIZE 16 MM GRADE FY500. / MRQ/2025/02675"/>
    <s v="CM/MTI/2025/01931 - [CCLGC330] TMT BAR SIZE 16 MM GRADE FY500. / MRQ/2025/02675"/>
    <m/>
    <m/>
    <s v="MATERIAL COST"/>
    <s v="Expenses"/>
    <s v="731002"/>
    <s v="731002 STORE SPARES &amp; CONSUMABLES - GENERAL"/>
    <s v="CWIP-INSTALLATION OF NEW WEIGHBRIDGE AT QUARRY(2NOS)"/>
    <s v="QUARRY"/>
    <s v="MECHANICAL"/>
    <n v="1472415.6"/>
    <n v="0"/>
    <n v="1472415.6"/>
    <s v="TZS"/>
    <s v="[CCLGC330] TMT BAR SIZE 16 MM GRADE FY500."/>
    <m/>
    <n v="-40"/>
    <s v="PCS"/>
    <x v="0"/>
    <x v="0"/>
    <x v="14"/>
    <x v="3"/>
    <n v="577.41788235294121"/>
    <n v="0"/>
  </r>
  <r>
    <n v="646"/>
    <d v="2025-07-17T00:00:00"/>
    <x v="67"/>
    <s v="STJ/2025/07/08803"/>
    <s v="Inventory Valuation"/>
    <s v="CM/MTI/2025/01919 - [EELEM170] MOTOR NDE FAN COVER FOR 2.2 KW FRAME 100L / MRQ/2025/02638"/>
    <s v="CM/MTI/2025/01919 - [EELEM170] MOTOR NDE FAN COVER FOR 2.2 KW FRAME 100L / MRQ/2025/02638"/>
    <m/>
    <m/>
    <s v="MATERIAL COST"/>
    <s v="Expenses"/>
    <s v="731002"/>
    <s v="731002 STORE SPARES &amp; CONSUMABLES - GENERAL"/>
    <s v="Inventory Spares Consumable"/>
    <s v="RAW MILL-2"/>
    <s v="ELECTRICAL"/>
    <n v="118816.69"/>
    <n v="0"/>
    <n v="118816.69"/>
    <s v="TZS"/>
    <s v="[EELEM170] MOTOR NDE FAN COVER FOR 2.2 KW FRAME 100L"/>
    <m/>
    <n v="-4"/>
    <s v="NOS"/>
    <x v="0"/>
    <x v="0"/>
    <x v="9"/>
    <x v="4"/>
    <n v="46.594780392156864"/>
    <n v="0"/>
  </r>
  <r>
    <n v="647"/>
    <d v="2025-07-17T00:00:00"/>
    <x v="67"/>
    <s v="STJ/2025/07/08802"/>
    <s v="Inventory Valuation"/>
    <s v="CM/MTI/2025/01919 - [EELEM096] MOTOR DRIVE END COVER KW 110 TYPE M2BA315SM MOUNTING FOOT BEARING DE 6322 C3    / MRQ/2025/02638"/>
    <s v="CM/MTI/2025/01919 - [EELEM096] MOTOR DRIVE END COVER KW 110 TYPE M2BA315SM MOUNTING FOOT BEARING DE 6322 C3    / MRQ/2025/02638"/>
    <m/>
    <m/>
    <s v="MATERIAL COST"/>
    <s v="Expenses"/>
    <s v="731002"/>
    <s v="731002 STORE SPARES &amp; CONSUMABLES - GENERAL"/>
    <s v="Inventory Spares Consumable"/>
    <s v="RAW MILL-2"/>
    <s v="ELECTRICAL"/>
    <n v="438292.55"/>
    <n v="0"/>
    <n v="438292.55"/>
    <s v="TZS"/>
    <s v="[EELEM096] MOTOR DRIVE END COVER KW 110 TYPE M2BA315SM MOUNTING FOOT BEARING DE 6322 C3   "/>
    <m/>
    <n v="-1"/>
    <s v="NOS"/>
    <x v="0"/>
    <x v="0"/>
    <x v="9"/>
    <x v="4"/>
    <n v="171.87943137254902"/>
    <n v="0"/>
  </r>
  <r>
    <n v="648"/>
    <d v="2025-07-17T00:00:00"/>
    <x v="67"/>
    <s v="STJ/2025/07/08801"/>
    <s v="Inventory Valuation"/>
    <s v="CM/MTI/2025/01919 - [CPALO007] LOCTITE 412 / MRQ/2025/02638"/>
    <s v="CM/MTI/2025/01919 - [CPALO007] LOCTITE 412 / MRQ/2025/02638"/>
    <m/>
    <m/>
    <s v="MATERIAL COST"/>
    <s v="Expenses"/>
    <s v="731002"/>
    <s v="731002 STORE SPARES &amp; CONSUMABLES - GENERAL"/>
    <s v="Inventory Spares Consumable"/>
    <s v="RAW MILL-2"/>
    <s v="ELECTRICAL"/>
    <n v="7257.78"/>
    <n v="0"/>
    <n v="7257.78"/>
    <s v="TZS"/>
    <s v="[CPALO007] LOCTITE 412"/>
    <m/>
    <n v="-1"/>
    <s v="NOS"/>
    <x v="0"/>
    <x v="0"/>
    <x v="9"/>
    <x v="4"/>
    <n v="2.8461882352941177"/>
    <n v="0"/>
  </r>
  <r>
    <n v="649"/>
    <d v="2025-07-18T06:25:01"/>
    <x v="68"/>
    <s v="PCVHO/2025/07/0110"/>
    <s v="PCV (PETTY CASH HO)"/>
    <s v="EXPENSES FOR TARAWANDA "/>
    <s v="Being settlement against imprest taken by Shadrack Sanga for various ref numbers - Shadrack"/>
    <m/>
    <m/>
    <s v="CAPITAL WORK IN PROGRESS"/>
    <s v="Fixed Assets"/>
    <s v="371056"/>
    <s v="371056 MINERAL EXPLORATION &amp; DEVELOPMENT-TARAWANDA"/>
    <s v="Corporate"/>
    <s v="HO"/>
    <s v="ADMIN"/>
    <n v="50000"/>
    <n v="0"/>
    <n v="50000"/>
    <s v="TZS"/>
    <m/>
    <m/>
    <n v="1"/>
    <m/>
    <x v="0"/>
    <x v="0"/>
    <x v="1"/>
    <x v="1"/>
    <n v="19.607843137254903"/>
    <n v="0"/>
  </r>
  <r>
    <n v="650"/>
    <d v="2025-07-18T06:25:01"/>
    <x v="68"/>
    <s v="PCVHO/2025/07/0110"/>
    <s v="PCV (PETTY CASH HO)"/>
    <s v="EXPENSES FOR TARAWANDA "/>
    <s v="Being settlement against imprest taken by Shadrack Sanga for various ref numbers - Shadrack"/>
    <m/>
    <m/>
    <s v="CAPITAL WORK IN PROGRESS"/>
    <s v="Fixed Assets"/>
    <s v="371056"/>
    <s v="371056 MINERAL EXPLORATION &amp; DEVELOPMENT-TARAWANDA"/>
    <s v="Corporate"/>
    <s v="HO"/>
    <s v="ADMIN"/>
    <n v="2700000"/>
    <n v="0"/>
    <n v="2700000"/>
    <s v="TZS"/>
    <m/>
    <m/>
    <n v="1"/>
    <m/>
    <x v="0"/>
    <x v="0"/>
    <x v="1"/>
    <x v="1"/>
    <n v="1058.8235294117646"/>
    <n v="0"/>
  </r>
  <r>
    <n v="651"/>
    <d v="2025-07-18T06:25:01"/>
    <x v="68"/>
    <s v="PCVHO/2025/07/0110"/>
    <s v="PCV (PETTY CASH HO)"/>
    <s v="PURCHASE OF 80LTD DRUMS"/>
    <s v="Being settlement against imprest taken by Shadrack Sanga for various ref numbers - Shadrack"/>
    <m/>
    <m/>
    <s v="CAPITAL WORK IN PROGRESS"/>
    <s v="Fixed Assets"/>
    <s v="371056"/>
    <s v="371056 MINERAL EXPLORATION &amp; DEVELOPMENT-TARAWANDA"/>
    <s v="Corporate"/>
    <s v="HO"/>
    <s v="ADMIN"/>
    <n v="370000"/>
    <n v="0"/>
    <n v="370000"/>
    <s v="TZS"/>
    <m/>
    <m/>
    <n v="1"/>
    <m/>
    <x v="0"/>
    <x v="0"/>
    <x v="1"/>
    <x v="1"/>
    <n v="145.09803921568627"/>
    <n v="0"/>
  </r>
  <r>
    <n v="652"/>
    <d v="2025-07-18T00:00:00"/>
    <x v="68"/>
    <s v="STJ/2025/07/09423"/>
    <s v="Inventory Valuation"/>
    <s v="CM/MTI/2025/01946 - [EFSHB145] BOLT HT HEX HEAD M20 X 140MM FULL THREAD WITH NUT AND WASHER GRADE 8.8 / MRQ/2025/02684"/>
    <s v="CM/MTI/2025/01946 - [EFSHB145] BOLT HT HEX HEAD M20 X 140MM FULL THREAD WITH NUT AND WASHER GRADE 8.8 / MRQ/2025/02684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7973.55"/>
    <n v="0"/>
    <n v="27973.55"/>
    <s v="TZS"/>
    <s v="[EFSHB145] BOLT HT HEX HEAD M20 X 140MM FULL THREAD WITH NUT AND WASHER GRADE 8.8"/>
    <m/>
    <n v="-8"/>
    <s v="NOS"/>
    <x v="0"/>
    <x v="0"/>
    <x v="8"/>
    <x v="3"/>
    <n v="10.970019607843136"/>
    <n v="0"/>
  </r>
  <r>
    <n v="653"/>
    <d v="2025-07-18T00:00:00"/>
    <x v="68"/>
    <s v="STJ/2025/07/09399"/>
    <s v="Inventory Valuation"/>
    <s v="CM/MTI/2025/01937 - [CIGGS001] GAS OXYGEN FULL CYLINDER, O2 / MRQ/2025/02703"/>
    <s v="CM/MTI/2025/01937 - [CIGGS001] GAS OXYGEN FULL CYLINDER, O2 / MRQ/2025/0270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654"/>
    <d v="2025-07-18T00:00:00"/>
    <x v="68"/>
    <s v="STJ/2025/07/09422"/>
    <s v="Inventory Valuation"/>
    <s v="CM/MTI/2025/01946 - [CWCWR003] WELDING ELECTRODE MS 6013 SIZE 4 MM X 450 MM / MRQ/2025/02684"/>
    <s v="CM/MTI/2025/01946 - [CWCWR003] WELDING ELECTRODE MS 6013 SIZE 4 MM X 450 MM / MRQ/2025/0268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2925.28"/>
    <n v="0"/>
    <n v="122925.28"/>
    <s v="TZS"/>
    <s v="[CWCWR003] WELDING ELECTRODE MS 6013 SIZE 4 MM X 450 MM"/>
    <m/>
    <n v="-30"/>
    <s v="KG"/>
    <x v="0"/>
    <x v="0"/>
    <x v="9"/>
    <x v="4"/>
    <n v="48.205992156862742"/>
    <n v="0"/>
  </r>
  <r>
    <n v="655"/>
    <d v="2025-07-19T00:00:00"/>
    <x v="69"/>
    <s v="STJ/2025/07/09920"/>
    <s v="Inventory Valuation"/>
    <s v="CM/MTI/2025/01954 - [EMEBE027] BUCKET FOR GYPSUM FEEDING CHAIN ELEVATOR AS PER DRAWING NO LCL/MECH/CMII/102 R-0 / MRQ/2025/02720"/>
    <s v="CM/MTI/2025/01954 - [EMEBE027] BUCKET FOR GYPSUM FEEDING CHAIN ELEVATOR AS PER DRAWING NO LCL/MECH/CMII/102 R-0 / MRQ/2025/0272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7550400"/>
    <n v="0"/>
    <n v="7550400"/>
    <s v="TZS"/>
    <s v="[EMEBE027] BUCKET FOR GYPSUM FEEDING CHAIN ELEVATOR AS PER DRAWING NO LCL/MECH/CMII/102 R-0"/>
    <m/>
    <n v="-30"/>
    <s v="NOS"/>
    <x v="0"/>
    <x v="0"/>
    <x v="8"/>
    <x v="3"/>
    <n v="2960.9411764705883"/>
    <n v="0"/>
  </r>
  <r>
    <n v="656"/>
    <d v="2025-07-19T00:00:00"/>
    <x v="69"/>
    <s v="STJ/2025/07/09921"/>
    <s v="Inventory Valuation"/>
    <s v="CM/MTI/2025/01955 - [CPAPT007] PAINT RED OXIDE / MRQ/2025/02727"/>
    <s v="CM/MTI/2025/01955 - [CPAPT007] PAINT RED OXIDE / MRQ/2025/02727"/>
    <m/>
    <m/>
    <s v="MATERIAL COST"/>
    <s v="Expenses"/>
    <s v="731002"/>
    <s v="731002 STORE SPARES &amp; CONSUMABLES - GENERAL"/>
    <s v="CWIP-CONSTRUCTION OF NEW RAW MILL FEEDING AND UPGRADATION"/>
    <s v="PROJECT"/>
    <s v="MECHANICAL"/>
    <n v="76204"/>
    <n v="0"/>
    <n v="76204"/>
    <s v="TZS"/>
    <s v="[CPAPT007] PAINT RED OXIDE"/>
    <m/>
    <n v="-16"/>
    <s v="LTR"/>
    <x v="0"/>
    <x v="0"/>
    <x v="9"/>
    <x v="4"/>
    <n v="29.88392156862745"/>
    <n v="0"/>
  </r>
  <r>
    <n v="657"/>
    <d v="2025-07-19T00:00:00"/>
    <x v="69"/>
    <s v="STJ/2025/07/09922"/>
    <s v="Inventory Valuation"/>
    <s v="CM/MTI/2025/01955 - [CPAPT037] THINNER SOLVENT / MRQ/2025/02727"/>
    <s v="CM/MTI/2025/01955 - [CPAPT037] THINNER SOLVENT / MRQ/2025/02727"/>
    <m/>
    <m/>
    <s v="MATERIAL COST"/>
    <s v="Expenses"/>
    <s v="731002"/>
    <s v="731002 STORE SPARES &amp; CONSUMABLES - GENERAL"/>
    <s v="CWIP-CONSTRUCTION OF NEW RAW MILL FEEDING AND UPGRADATION"/>
    <s v="PROJECT"/>
    <s v="MECHANICAL"/>
    <n v="20580.810000000001"/>
    <n v="0"/>
    <n v="20580.810000000001"/>
    <s v="TZS"/>
    <s v="[CPAPT037] THINNER SOLVENT"/>
    <m/>
    <n v="-5"/>
    <s v="LTR"/>
    <x v="0"/>
    <x v="0"/>
    <x v="9"/>
    <x v="4"/>
    <n v="8.0709058823529425"/>
    <n v="0"/>
  </r>
  <r>
    <n v="658"/>
    <d v="2025-07-19T00:00:00"/>
    <x v="69"/>
    <s v="STJ/2025/07/09918"/>
    <s v="Inventory Valuation"/>
    <s v="CM/MTI/2025/01954 - [CWCGC041] CUTTING WHEEL 7'' / MRQ/2025/02720_x000a_Rounding Adjustment: +0.01 TSh"/>
    <s v="CM/MTI/2025/01954 - [CWCGC041] CUTTING WHEEL 7'' / MRQ/2025/02720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263.09"/>
    <n v="0"/>
    <n v="32263.09"/>
    <s v="TZS"/>
    <s v="[CWCGC041] CUTTING WHEEL 7''"/>
    <m/>
    <n v="-10"/>
    <s v="NOS"/>
    <x v="0"/>
    <x v="0"/>
    <x v="9"/>
    <x v="4"/>
    <n v="12.652192156862744"/>
    <n v="0"/>
  </r>
  <r>
    <n v="659"/>
    <d v="2025-07-19T00:00:00"/>
    <x v="69"/>
    <s v="STJ/2025/07/09919"/>
    <s v="Inventory Valuation"/>
    <s v="CM/MTI/2025/01954 - [CWCWR003] WELDING ELECTRODE MS 6013 SIZE 4 MM X 450 MM / MRQ/2025/02720"/>
    <s v="CM/MTI/2025/01954 - [CWCWR003] WELDING ELECTRODE MS 6013 SIZE 4 MM X 450 MM / MRQ/2025/0272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45850.56"/>
    <n v="0"/>
    <n v="245850.56"/>
    <s v="TZS"/>
    <s v="[CWCWR003] WELDING ELECTRODE MS 6013 SIZE 4 MM X 450 MM"/>
    <m/>
    <n v="-60"/>
    <s v="KG"/>
    <x v="0"/>
    <x v="0"/>
    <x v="9"/>
    <x v="4"/>
    <n v="96.411984313725483"/>
    <n v="0"/>
  </r>
  <r>
    <n v="660"/>
    <d v="2025-07-19T00:00:00"/>
    <x v="69"/>
    <s v="STJ/2025/07/09659"/>
    <s v="Inventory Valuation"/>
    <s v="LOG/MTI/2025/00618 - [LGS0079] CUTTING WHEEL - 9'' / MRQ/2025/02705"/>
    <s v="LOG/MTI/2025/00618 - [LGS0079] CUTTING WHEEL - 9'' / MRQ/2025/02705"/>
    <m/>
    <m/>
    <s v="MATERIAL COST"/>
    <s v="Expenses"/>
    <s v="731002"/>
    <s v="731002 STORE SPARES &amp; CONSUMABLES - GENERAL"/>
    <s v="CWIP-FABRICATION OF INHOUSE TRAILOR"/>
    <s v="LOGISTIC DIVISION"/>
    <s v="LOGISTIC DIVISION"/>
    <n v="17796.599999999999"/>
    <n v="0"/>
    <n v="17796.599999999999"/>
    <s v="TZS"/>
    <s v="[LGS0079] CUTTING WHEEL - 9''"/>
    <m/>
    <n v="-5"/>
    <s v="NOS"/>
    <x v="0"/>
    <x v="0"/>
    <x v="12"/>
    <x v="1"/>
    <n v="6.9790588235294111"/>
    <n v="0"/>
  </r>
  <r>
    <n v="661"/>
    <d v="2025-07-19T00:00:00"/>
    <x v="69"/>
    <s v="STJ/2025/07/09689"/>
    <s v="Inventory Valuation"/>
    <s v="LOG/MTI/2025/00625 - [LGS0079] CUTTING WHEEL - 9'' / MRQ/2025/02681"/>
    <s v="LOG/MTI/2025/00625 - [LGS0079] CUTTING WHEEL - 9'' / MRQ/2025/02681"/>
    <m/>
    <m/>
    <s v="MATERIAL COST"/>
    <s v="Expenses"/>
    <s v="731002"/>
    <s v="731002 STORE SPARES &amp; CONSUMABLES - GENERAL"/>
    <s v="CWIP-FABRICATION OF INHOUSE TRAILOR"/>
    <s v="LOGISTIC DIVISION"/>
    <s v="LOGISTIC DIVISION"/>
    <n v="39152.519999999997"/>
    <n v="0"/>
    <n v="39152.519999999997"/>
    <s v="TZS"/>
    <s v="[LGS0079] CUTTING WHEEL - 9''"/>
    <m/>
    <n v="-11"/>
    <s v="NOS"/>
    <x v="0"/>
    <x v="0"/>
    <x v="12"/>
    <x v="1"/>
    <n v="15.353929411764705"/>
    <n v="0"/>
  </r>
  <r>
    <n v="662"/>
    <d v="2025-07-22T00:00:00"/>
    <x v="70"/>
    <s v="STJ/2025/07/11342"/>
    <s v="Inventory Valuation"/>
    <s v="CM/MTI/2025/01984 - [EFSHB115] BOLT HT HEX HEAD M16 X 50MM FULL THREAD WITH NUT AND WASHER GRADE 8.8 / MRQ/2025/02783"/>
    <s v="CM/MTI/2025/01984 - [EFSHB115] BOLT HT HEX HEAD M16 X 50MM FULL THREAD WITH NUT AND WASHER GRADE 8.8 / MRQ/2025/02783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9277.55"/>
    <n v="0"/>
    <n v="29277.55"/>
    <s v="TZS"/>
    <s v="[EFSHB115] BOLT HT HEX HEAD M16 X 50MM FULL THREAD WITH NUT AND WASHER GRADE 8.8"/>
    <m/>
    <n v="-30"/>
    <s v="NOS"/>
    <x v="0"/>
    <x v="0"/>
    <x v="8"/>
    <x v="3"/>
    <n v="11.481392156862745"/>
    <n v="0"/>
  </r>
  <r>
    <n v="663"/>
    <d v="2025-07-22T00:00:00"/>
    <x v="70"/>
    <s v="STJ/2025/07/11344"/>
    <s v="Inventory Valuation"/>
    <s v="CM/MTI/2025/01986 - [CIGGS001] GAS OXYGEN FULL CYLINDER, O2 / MRQ/2025/02782"/>
    <s v="CM/MTI/2025/01986 - [CIGGS001] GAS OXYGEN FULL CYLINDER, O2 / MRQ/2025/02782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5000"/>
    <n v="0"/>
    <n v="45000"/>
    <s v="TZS"/>
    <s v="[CIGGS001] GAS OXYGEN FULL CYLINDER, O2"/>
    <m/>
    <n v="-3"/>
    <s v="NOS"/>
    <x v="0"/>
    <x v="0"/>
    <x v="8"/>
    <x v="3"/>
    <n v="17.647058823529413"/>
    <n v="0"/>
  </r>
  <r>
    <n v="664"/>
    <d v="2025-07-22T00:00:00"/>
    <x v="70"/>
    <s v="STJ/2025/07/11345"/>
    <s v="Inventory Valuation"/>
    <s v="CM/MTI/2025/01986 - [CIGGS005] GAS LIQUEFIED PETROLEUM FULL CYLINDER, LPG CAPACITY 15KG / MRQ/2025/02782"/>
    <s v="CM/MTI/2025/01986 - [CIGGS005] GAS LIQUEFIED PETROLEUM FULL CYLINDER, LPG CAPACITY 15KG / MRQ/2025/02782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8000"/>
    <n v="0"/>
    <n v="48000"/>
    <s v="TZS"/>
    <s v="[CIGGS005] GAS LIQUEFIED PETROLEUM FULL CYLINDER, LPG CAPACITY 15KG"/>
    <m/>
    <n v="-1"/>
    <s v="NOS"/>
    <x v="0"/>
    <x v="0"/>
    <x v="8"/>
    <x v="3"/>
    <n v="18.823529411764707"/>
    <n v="0"/>
  </r>
  <r>
    <n v="665"/>
    <d v="2025-07-22T00:00:00"/>
    <x v="70"/>
    <s v="STJ/2025/07/11346"/>
    <s v="Inventory Valuation"/>
    <s v="CM/MTI/2025/01986 - [CWCWR003] WELDING ELECTRODE MS 6013 SIZE 4 MM X 450 MM / MRQ/2025/02782_x000a_Rounding Adjustment: -0.01 TSh"/>
    <s v="CM/MTI/2025/01986 - [CWCWR003] WELDING ELECTRODE MS 6013 SIZE 4 MM X 450 MM / MRQ/2025/02782_x000a_Rounding Adjustment: -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0975.1"/>
    <n v="0"/>
    <n v="40975.1"/>
    <s v="TZS"/>
    <s v="[CWCWR003] WELDING ELECTRODE MS 6013 SIZE 4 MM X 450 MM"/>
    <m/>
    <n v="-10"/>
    <s v="KG"/>
    <x v="0"/>
    <x v="0"/>
    <x v="8"/>
    <x v="3"/>
    <n v="16.068666666666665"/>
    <n v="0"/>
  </r>
  <r>
    <n v="666"/>
    <d v="2025-07-22T00:00:00"/>
    <x v="70"/>
    <s v="STJ/2025/07/11341"/>
    <s v="Inventory Valuation"/>
    <s v="CM/MTI/2025/01984 - [EFSHB097] BOLT HT HEX HEAD M12 X 60MM HALF THREAD WITH NUT AND WASHER GRADE 8.8 / MRQ/2025/02783_x000a_Rounding Adjustment: +0.01 TSh"/>
    <s v="CM/MTI/2025/01984 - [EFSHB097] BOLT HT HEX HEAD M12 X 60MM HALF THREAD WITH NUT AND WASHER GRADE 8.8 / MRQ/2025/02783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0567.84"/>
    <n v="0"/>
    <n v="30567.84"/>
    <s v="TZS"/>
    <s v="[EFSHB097] BOLT HT HEX HEAD M12 X 60MM HALF THREAD WITH NUT AND WASHER GRADE 8.8"/>
    <m/>
    <n v="-50"/>
    <s v="NOS"/>
    <x v="0"/>
    <x v="0"/>
    <x v="9"/>
    <x v="4"/>
    <n v="11.987388235294118"/>
    <n v="0"/>
  </r>
  <r>
    <n v="667"/>
    <d v="2025-07-22T00:00:00"/>
    <x v="70"/>
    <s v="STJ/2025/07/11351"/>
    <s v="Inventory Valuation"/>
    <s v="CM/MTI/2025/01989 - [EFSHB020] BOLT MS HEX HEAD M10 X 60MM FULL THREAD WITH NUT AND WASHER GRADE 4.6 / MRQ/2025/02790"/>
    <s v="CM/MTI/2025/01989 - [EFSHB020] BOLT MS HEX HEAD M10 X 60MM FULL THREAD WITH NUT AND WASHER GRADE 4.6 / MRQ/2025/0279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7006.480000000003"/>
    <n v="0"/>
    <n v="37006.480000000003"/>
    <s v="TZS"/>
    <s v="[EFSHB020] BOLT MS HEX HEAD M10 X 60MM FULL THREAD WITH NUT AND WASHER GRADE 4.6"/>
    <m/>
    <n v="-100"/>
    <s v="NOS"/>
    <x v="0"/>
    <x v="0"/>
    <x v="9"/>
    <x v="4"/>
    <n v="14.512345098039217"/>
    <n v="0"/>
  </r>
  <r>
    <n v="668"/>
    <d v="2025-07-22T00:00:00"/>
    <x v="70"/>
    <s v="STJ/2025/07/11352"/>
    <s v="Inventory Valuation"/>
    <s v="CM/MTI/2025/01990 - [CIGGS001] GAS OXYGEN FULL CYLINDER, O2 / MRQ/2025/02749"/>
    <s v="CM/MTI/2025/01990 - [CIGGS001] GAS OXYGEN FULL CYLINDER, O2 / MRQ/2025/0274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669"/>
    <d v="2025-07-22T00:00:00"/>
    <x v="70"/>
    <s v="STJ/2025/07/11353"/>
    <s v="Inventory Valuation"/>
    <s v="CM/MTI/2025/01990 - [CWCGC041] CUTTING WHEEL 7'' / MRQ/2025/02749"/>
    <s v="CM/MTI/2025/01990 - [CWCGC041] CUTTING WHEEL 7'' / MRQ/2025/0274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131.55"/>
    <n v="0"/>
    <n v="16131.55"/>
    <s v="TZS"/>
    <s v="[CWCGC041] CUTTING WHEEL 7''"/>
    <m/>
    <n v="-5"/>
    <s v="NOS"/>
    <x v="0"/>
    <x v="0"/>
    <x v="9"/>
    <x v="4"/>
    <n v="6.3260980392156858"/>
    <n v="0"/>
  </r>
  <r>
    <n v="670"/>
    <d v="2025-07-22T00:00:00"/>
    <x v="70"/>
    <s v="STJ/2025/07/11354"/>
    <s v="Inventory Valuation"/>
    <s v="CM/MTI/2025/01990 - [CWCWR003] WELDING ELECTRODE MS 6013 SIZE 4 MM X 450 MM / MRQ/2025/02749"/>
    <s v="CM/MTI/2025/01990 - [CWCWR003] WELDING ELECTRODE MS 6013 SIZE 4 MM X 450 MM / MRQ/2025/0274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0975.089999999997"/>
    <n v="0"/>
    <n v="40975.089999999997"/>
    <s v="TZS"/>
    <s v="[CWCWR003] WELDING ELECTRODE MS 6013 SIZE 4 MM X 450 MM"/>
    <m/>
    <n v="-10"/>
    <s v="KG"/>
    <x v="0"/>
    <x v="0"/>
    <x v="9"/>
    <x v="4"/>
    <n v="16.068662745098038"/>
    <n v="0"/>
  </r>
  <r>
    <n v="671"/>
    <d v="2025-07-22T00:00:00"/>
    <x v="70"/>
    <s v="STJ/2025/07/11336"/>
    <s v="Inventory Valuation"/>
    <s v="CM/MTI/2025/01982 - [CPMBG002] BAG EMPTY FOR CEMENT PACKING GRADE 42.5R MATERIAL WOVEN POLYPROPYLENE CAPACITY 50KG COLOR ORANGE / MRQ/2025/02677"/>
    <s v="CM/MTI/2025/01982 - [CPMBG002] BAG EMPTY FOR CEMENT PACKING GRADE 42.5R MATERIAL WOVEN POLYPROPYLENE CAPACITY 50KG COLOR ORANGE / MRQ/2025/02677"/>
    <m/>
    <m/>
    <s v="MATERIAL COST"/>
    <s v="Expenses"/>
    <s v="731006"/>
    <s v="731006 PACKING BAGS CONSUMED"/>
    <s v="CWIP-INSTALLATION OF NEW WEIGHBRIDGE AT QUARRY(2NOS)"/>
    <s v="QUARRY"/>
    <s v="MECHANICAL"/>
    <n v="33600.400000000001"/>
    <n v="0"/>
    <n v="33600.400000000001"/>
    <s v="TZS"/>
    <s v="[CPMBG002] BAG EMPTY FOR CEMENT PACKING GRADE 42.5R MATERIAL WOVEN POLYPROPYLENE CAPACITY 50KG COLOR ORANGE"/>
    <m/>
    <n v="-80"/>
    <s v="NOS"/>
    <x v="0"/>
    <x v="0"/>
    <x v="14"/>
    <x v="3"/>
    <n v="13.176627450980392"/>
    <n v="0"/>
  </r>
  <r>
    <n v="672"/>
    <d v="2025-07-22T00:00:00"/>
    <x v="70"/>
    <s v="STJ/2025/07/11355"/>
    <s v="Inventory Valuation"/>
    <s v="CM/MTI/2025/01991 - [EELEM120] CARBON BRUSH HOLDER SIZE 40 X 40 X 20 MM / MRQ/2025/02751"/>
    <s v="CM/MTI/2025/01991 - [EELEM120] CARBON BRUSH HOLDER SIZE 40 X 40 X 20 MM / MRQ/2025/02751"/>
    <m/>
    <m/>
    <s v="MATERIAL COST"/>
    <s v="Expenses"/>
    <s v="731002"/>
    <s v="731002 STORE SPARES &amp; CONSUMABLES - GENERAL"/>
    <s v="Inventory Spares Consumable"/>
    <s v="RAW MILL-2"/>
    <s v="ELECTRICAL"/>
    <n v="440052.77"/>
    <n v="0"/>
    <n v="440052.77"/>
    <s v="TZS"/>
    <s v="[EELEM120] CARBON BRUSH HOLDER SIZE 40 X 40 X 20 MM"/>
    <m/>
    <n v="-6"/>
    <s v="NOS"/>
    <x v="0"/>
    <x v="0"/>
    <x v="9"/>
    <x v="4"/>
    <n v="172.5697137254902"/>
    <n v="0"/>
  </r>
  <r>
    <n v="673"/>
    <d v="2025-07-23T00:00:00"/>
    <x v="71"/>
    <s v="STJ/2025/07/11712"/>
    <s v="Inventory Valuation"/>
    <s v="CM/MTI/2025/02004 - [EMERM094] FILTER BAG SIZE 150 MM DIA X 3000 MM LONG POLY NEEDLE FELT / MRQ/2025/02806_x000a_Rounding Adjustment: +0.01 TSh"/>
    <s v="CM/MTI/2025/02004 - [EMERM094] FILTER BAG SIZE 150 MM DIA X 3000 MM LONG POLY NEEDLE FELT / MRQ/2025/02806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21550.54"/>
    <n v="0"/>
    <n v="1021550.54"/>
    <s v="TZS"/>
    <s v="[EMERM094] FILTER BAG SIZE 150 MM DIA X 3000 MM LONG POLY NEEDLE FELT"/>
    <m/>
    <n v="-63"/>
    <s v="NOS"/>
    <x v="0"/>
    <x v="0"/>
    <x v="9"/>
    <x v="4"/>
    <n v="400.60805490196083"/>
    <n v="0"/>
  </r>
  <r>
    <n v="674"/>
    <d v="2025-07-23T00:00:00"/>
    <x v="71"/>
    <s v="STJ/2025/07/11605"/>
    <s v="Inventory Valuation"/>
    <s v="LOG/MTI/2025/00648 - [LGS0079] CUTTING WHEEL - 9'' / MRQ/2025/02763"/>
    <s v="LOG/MTI/2025/00648 - [LGS0079] CUTTING WHEEL - 9'' / MRQ/2025/02763"/>
    <m/>
    <m/>
    <s v="MATERIAL COST"/>
    <s v="Expenses"/>
    <s v="731002"/>
    <s v="731002 STORE SPARES &amp; CONSUMABLES - GENERAL"/>
    <s v="CWIP-FABRICATION OF INHOUSE TRAILOR"/>
    <s v="LOGISTIC DIVISION"/>
    <s v="LOGISTIC DIVISION"/>
    <n v="7118.64"/>
    <n v="0"/>
    <n v="7118.64"/>
    <s v="TZS"/>
    <s v="[LGS0079] CUTTING WHEEL - 9''"/>
    <m/>
    <n v="-2"/>
    <s v="NOS"/>
    <x v="0"/>
    <x v="0"/>
    <x v="12"/>
    <x v="1"/>
    <n v="2.7916235294117646"/>
    <n v="0"/>
  </r>
  <r>
    <n v="675"/>
    <d v="2025-07-23T00:00:00"/>
    <x v="71"/>
    <s v="STJ/2025/07/11617"/>
    <s v="Inventory Valuation"/>
    <s v="LOG/MTI/2025/00649 - [LGS0079] CUTTING WHEEL - 9'' / MRQ/2025/02762"/>
    <s v="LOG/MTI/2025/00649 - [LGS0079] CUTTING WHEEL - 9'' / MRQ/2025/02762"/>
    <m/>
    <m/>
    <s v="MATERIAL COST"/>
    <s v="Expenses"/>
    <s v="731002"/>
    <s v="731002 STORE SPARES &amp; CONSUMABLES - GENERAL"/>
    <s v="CWIP-FABRICATION OF INHOUSE TRAILOR"/>
    <s v="LOGISTIC DIVISION"/>
    <s v="LOGISTIC DIVISION"/>
    <n v="7118.64"/>
    <n v="0"/>
    <n v="7118.64"/>
    <s v="TZS"/>
    <s v="[LGS0079] CUTTING WHEEL - 9''"/>
    <m/>
    <n v="-2"/>
    <s v="NOS"/>
    <x v="0"/>
    <x v="0"/>
    <x v="12"/>
    <x v="1"/>
    <n v="2.7916235294117646"/>
    <n v="0"/>
  </r>
  <r>
    <n v="676"/>
    <d v="2025-07-23T00:00:00"/>
    <x v="71"/>
    <s v="STJ/2025/07/11718"/>
    <s v="Inventory Valuation"/>
    <s v="CM/MTI/2025/02008 - [CIGGS001] GAS OXYGEN FULL CYLINDER, O2 / MRQ/2025/02814"/>
    <s v="CM/MTI/2025/02008 - [CIGGS001] GAS OXYGEN FULL CYLINDER, O2 / MRQ/2025/02814"/>
    <m/>
    <m/>
    <s v="MATERIAL COST"/>
    <s v="Expenses"/>
    <s v="731002"/>
    <s v="731002 STORE SPARES &amp; CONSUMABLES - GENERAL"/>
    <s v="CWIP-INSTALLATION OF NEW WEIGHBRIDGE AT QUARRY(2NOS)"/>
    <s v="QUARRY"/>
    <s v="MECHANICAL"/>
    <n v="30000"/>
    <n v="0"/>
    <n v="30000"/>
    <s v="TZS"/>
    <s v="[CIGGS001] GAS OXYGEN FULL CYLINDER, O2"/>
    <m/>
    <n v="-2"/>
    <s v="NOS"/>
    <x v="0"/>
    <x v="0"/>
    <x v="14"/>
    <x v="3"/>
    <n v="11.764705882352942"/>
    <n v="0"/>
  </r>
  <r>
    <n v="677"/>
    <d v="2025-07-23T00:00:00"/>
    <x v="71"/>
    <s v="STJ/2025/07/11719"/>
    <s v="Inventory Valuation"/>
    <s v="CM/MTI/2025/02008 - [CIGGS005] GAS LIQUEFIED PETROLEUM FULL CYLINDER, LPG CAPACITY 15KG / MRQ/2025/02814"/>
    <s v="CM/MTI/2025/02008 - [CIGGS005] GAS LIQUEFIED PETROLEUM FULL CYLINDER, LPG CAPACITY 15KG / MRQ/2025/02814"/>
    <m/>
    <m/>
    <s v="MATERIAL COST"/>
    <s v="Expenses"/>
    <s v="731002"/>
    <s v="731002 STORE SPARES &amp; CONSUMABLES - GENERAL"/>
    <s v="CWIP-INSTALLATION OF NEW WEIGHBRIDGE AT QUARRY(2NOS)"/>
    <s v="QUARRY"/>
    <s v="MECHANICAL"/>
    <n v="48000"/>
    <n v="0"/>
    <n v="48000"/>
    <s v="TZS"/>
    <s v="[CIGGS005] GAS LIQUEFIED PETROLEUM FULL CYLINDER, LPG CAPACITY 15KG"/>
    <m/>
    <n v="-1"/>
    <s v="NOS"/>
    <x v="0"/>
    <x v="0"/>
    <x v="14"/>
    <x v="3"/>
    <n v="18.823529411764707"/>
    <n v="0"/>
  </r>
  <r>
    <n v="678"/>
    <d v="2025-07-23T00:00:00"/>
    <x v="71"/>
    <s v="STJ/2025/07/11720"/>
    <s v="Inventory Valuation"/>
    <s v="CM/MTI/2025/02009 - [CPALO010] LOCTITE 574 / MRQ/2025/02815"/>
    <s v="CM/MTI/2025/02009 - [CPALO010] LOCTITE 574 / MRQ/2025/02815"/>
    <m/>
    <m/>
    <s v="MATERIAL COST"/>
    <s v="Expenses"/>
    <s v="731002"/>
    <s v="731002 STORE SPARES &amp; CONSUMABLES - GENERAL"/>
    <s v="Inventory Spares Consumable"/>
    <s v="RAW MILL-2"/>
    <s v="ELECTRICAL"/>
    <n v="116568"/>
    <n v="0"/>
    <n v="116568"/>
    <s v="TZS"/>
    <s v="[CPALO010] LOCTITE 574"/>
    <m/>
    <n v="-1"/>
    <s v="NOS"/>
    <x v="0"/>
    <x v="0"/>
    <x v="9"/>
    <x v="4"/>
    <n v="45.712941176470586"/>
    <n v="0"/>
  </r>
  <r>
    <n v="679"/>
    <d v="2025-07-24T00:00:00"/>
    <x v="72"/>
    <s v="STJ/2025/07/12414"/>
    <s v="Inventory Valuation"/>
    <s v="CM/MTI/2025/02037 - [EFSHB097] BOLT HT HEX HEAD M12 X 60MM HALF THREAD WITH NUT AND WASHER GRADE 8.8 / MRQ/2025/02834"/>
    <s v="CM/MTI/2025/02037 - [EFSHB097] BOLT HT HEX HEAD M12 X 60MM HALF THREAD WITH NUT AND WASHER GRADE 8.8 / MRQ/2025/02834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36681.42"/>
    <n v="0"/>
    <n v="36681.42"/>
    <s v="TZS"/>
    <s v="[EFSHB097] BOLT HT HEX HEAD M12 X 60MM HALF THREAD WITH NUT AND WASHER GRADE 8.8"/>
    <m/>
    <n v="-60"/>
    <s v="NOS"/>
    <x v="0"/>
    <x v="0"/>
    <x v="8"/>
    <x v="3"/>
    <n v="14.384870588235293"/>
    <n v="0"/>
  </r>
  <r>
    <n v="680"/>
    <d v="2025-07-24T00:00:00"/>
    <x v="72"/>
    <s v="STJ/2025/07/12385"/>
    <s v="Inventory Valuation"/>
    <s v="CM/MTI/2025/02025 - [EVLBV012] VALVE BALL TYPE SIZE 1'' / MRQ/2025/02823"/>
    <s v="CM/MTI/2025/02025 - [EVLBV012] VALVE BALL TYPE SIZE 1'' / MRQ/2025/0282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6000"/>
    <n v="0"/>
    <n v="36000"/>
    <s v="TZS"/>
    <s v="[EVLBV012] VALVE BALL TYPE SIZE 1''"/>
    <m/>
    <n v="-2"/>
    <s v="NOS"/>
    <x v="0"/>
    <x v="0"/>
    <x v="9"/>
    <x v="4"/>
    <n v="14.117647058823529"/>
    <n v="0"/>
  </r>
  <r>
    <n v="681"/>
    <d v="2025-07-24T00:00:00"/>
    <x v="72"/>
    <s v="STJ/2025/07/12386"/>
    <s v="Inventory Valuation"/>
    <s v="CM/MTI/2025/02025 - [EVLBV013] VALVE BALL TYPE SIZE 1-1/2'' / MRQ/2025/02823"/>
    <s v="CM/MTI/2025/02025 - [EVLBV013] VALVE BALL TYPE SIZE 1-1/2'' / MRQ/2025/02823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5000"/>
    <n v="0"/>
    <n v="45000"/>
    <s v="TZS"/>
    <s v="[EVLBV013] VALVE BALL TYPE SIZE 1-1/2''"/>
    <m/>
    <n v="-1"/>
    <s v="NOS"/>
    <x v="0"/>
    <x v="0"/>
    <x v="9"/>
    <x v="4"/>
    <n v="17.647058823529413"/>
    <n v="0"/>
  </r>
  <r>
    <n v="682"/>
    <d v="2025-07-24T00:00:00"/>
    <x v="72"/>
    <s v="STJ/2025/07/12396"/>
    <s v="Inventory Valuation"/>
    <s v="CM/MTI/2025/02028 - [EFSHB140] BOLT HT HEX HEAD M20 X 80MM FULL THREAD WITH NUT AND WASHER GRADE 8.8 / MRQ/2025/02838_x000a_Rounding Adjustment: -0.01 TSh"/>
    <s v="CM/MTI/2025/02028 - [EFSHB140] BOLT HT HEX HEAD M20 X 80MM FULL THREAD WITH NUT AND WASHER GRADE 8.8 / MRQ/2025/02838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18562.38"/>
    <n v="0"/>
    <n v="118562.38"/>
    <s v="TZS"/>
    <s v="[EFSHB140] BOLT HT HEX HEAD M20 X 80MM FULL THREAD WITH NUT AND WASHER GRADE 8.8"/>
    <m/>
    <n v="-50"/>
    <s v="NOS"/>
    <x v="0"/>
    <x v="0"/>
    <x v="9"/>
    <x v="4"/>
    <n v="46.495050980392158"/>
    <n v="0"/>
  </r>
  <r>
    <n v="683"/>
    <d v="2025-07-24T00:00:00"/>
    <x v="72"/>
    <s v="STJ/2025/07/12411"/>
    <s v="Inventory Valuation"/>
    <s v="CM/MTI/2025/02037 - [CIGGS001] GAS OXYGEN FULL CYLINDER, O2 / MRQ/2025/02834"/>
    <s v="CM/MTI/2025/02037 - [CIGGS001] GAS OXYGEN FULL CYLINDER, O2 / MRQ/2025/0283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0000"/>
    <n v="0"/>
    <n v="90000"/>
    <s v="TZS"/>
    <s v="[CIGGS001] GAS OXYGEN FULL CYLINDER, O2"/>
    <m/>
    <n v="-6"/>
    <s v="NOS"/>
    <x v="0"/>
    <x v="0"/>
    <x v="9"/>
    <x v="4"/>
    <n v="35.294117647058826"/>
    <n v="0"/>
  </r>
  <r>
    <n v="684"/>
    <d v="2025-07-24T00:00:00"/>
    <x v="72"/>
    <s v="STJ/2025/07/12412"/>
    <s v="Inventory Valuation"/>
    <s v="CM/MTI/2025/02037 - [CIGGS005] GAS LIQUEFIED PETROLEUM FULL CYLINDER, LPG CAPACITY 15KG / MRQ/2025/02834"/>
    <s v="CM/MTI/2025/02037 - [CIGGS005] GAS LIQUEFIED PETROLEUM FULL CYLINDER, LPG CAPACITY 15KG / MRQ/2025/0283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000"/>
    <n v="0"/>
    <n v="96000"/>
    <s v="TZS"/>
    <s v="[CIGGS005] GAS LIQUEFIED PETROLEUM FULL CYLINDER, LPG CAPACITY 15KG"/>
    <m/>
    <n v="-2"/>
    <s v="NOS"/>
    <x v="0"/>
    <x v="0"/>
    <x v="9"/>
    <x v="4"/>
    <n v="37.647058823529413"/>
    <n v="0"/>
  </r>
  <r>
    <n v="685"/>
    <d v="2025-07-24T00:00:00"/>
    <x v="72"/>
    <s v="STJ/2025/07/12413"/>
    <s v="Inventory Valuation"/>
    <s v="CM/MTI/2025/02037 - [CWCWR003] WELDING ELECTRODE MS 6013 SIZE 4 MM X 450 MM / MRQ/2025/02834"/>
    <s v="CM/MTI/2025/02037 - [CWCWR003] WELDING ELECTRODE MS 6013 SIZE 4 MM X 450 MM / MRQ/2025/0283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0975.089999999997"/>
    <n v="0"/>
    <n v="40975.089999999997"/>
    <s v="TZS"/>
    <s v="[CWCWR003] WELDING ELECTRODE MS 6013 SIZE 4 MM X 450 MM"/>
    <m/>
    <n v="-10"/>
    <s v="KG"/>
    <x v="0"/>
    <x v="0"/>
    <x v="9"/>
    <x v="4"/>
    <n v="16.068662745098038"/>
    <n v="0"/>
  </r>
  <r>
    <n v="686"/>
    <d v="2025-07-24T00:00:00"/>
    <x v="72"/>
    <s v="STJ/2025/07/12403"/>
    <s v="Inventory Valuation"/>
    <s v="CM/MTI/2025/02031 - [CCLGC028] NAILS CONCRETE SIZE 4'' / MRQ/2025/02840"/>
    <s v="CM/MTI/2025/02031 - [CCLGC028] NAILS CONCRETE SIZE 4'' / MRQ/2025/02840"/>
    <m/>
    <m/>
    <s v="MATERIAL COST"/>
    <s v="Expenses"/>
    <s v="731002"/>
    <s v="731002 STORE SPARES &amp; CONSUMABLES - GENERAL"/>
    <s v="CWIP-INSTALLATION OF NEW WEIGHBRIDGE AT QUARRY(2NOS)"/>
    <s v="QUARRY"/>
    <s v="MECHANICAL"/>
    <n v="9951.27"/>
    <n v="0"/>
    <n v="9951.27"/>
    <s v="TZS"/>
    <s v="[CCLGC028] NAILS CONCRETE SIZE 4''"/>
    <m/>
    <n v="-1"/>
    <s v="KG"/>
    <x v="0"/>
    <x v="0"/>
    <x v="14"/>
    <x v="3"/>
    <n v="3.902458823529412"/>
    <n v="0"/>
  </r>
  <r>
    <n v="687"/>
    <d v="2025-07-24T00:00:00"/>
    <x v="72"/>
    <s v="STJ/2025/07/12404"/>
    <s v="Inventory Valuation"/>
    <s v="CM/MTI/2025/02031 - [CCLGC327] TMT BAR SIZE 8 MM GRADE FY500. / MRQ/2025/02840"/>
    <s v="CM/MTI/2025/02031 - [CCLGC327] TMT BAR SIZE 8 MM GRADE FY500. / MRQ/2025/02840"/>
    <m/>
    <m/>
    <s v="MATERIAL COST"/>
    <s v="Expenses"/>
    <s v="731002"/>
    <s v="731002 STORE SPARES &amp; CONSUMABLES - GENERAL"/>
    <s v="CWIP-INSTALLATION OF NEW WEIGHBRIDGE AT QUARRY(2NOS)"/>
    <s v="QUARRY"/>
    <s v="MECHANICAL"/>
    <n v="77481.84"/>
    <n v="0"/>
    <n v="77481.84"/>
    <s v="TZS"/>
    <s v="[CCLGC327] TMT BAR SIZE 8 MM GRADE FY500."/>
    <m/>
    <n v="-8"/>
    <s v="PCS"/>
    <x v="0"/>
    <x v="0"/>
    <x v="14"/>
    <x v="3"/>
    <n v="30.385035294117646"/>
    <n v="0"/>
  </r>
  <r>
    <n v="688"/>
    <d v="2025-07-24T00:00:00"/>
    <x v="72"/>
    <s v="STJ/2025/07/12405"/>
    <s v="Inventory Valuation"/>
    <s v="CM/MTI/2025/02031 - [CCLGC328] TMT BAR SIZE 10 MM GRADE FY500. / MRQ/2025/02840"/>
    <s v="CM/MTI/2025/02031 - [CCLGC328] TMT BAR SIZE 10 MM GRADE FY500. / MRQ/2025/02840"/>
    <m/>
    <m/>
    <s v="MATERIAL COST"/>
    <s v="Expenses"/>
    <s v="731002"/>
    <s v="731002 STORE SPARES &amp; CONSUMABLES - GENERAL"/>
    <s v="CWIP-INSTALLATION OF NEW WEIGHBRIDGE AT QUARRY(2NOS)"/>
    <s v="QUARRY"/>
    <s v="MECHANICAL"/>
    <n v="117763.11"/>
    <n v="0"/>
    <n v="117763.11"/>
    <s v="TZS"/>
    <s v="[CCLGC328] TMT BAR SIZE 10 MM GRADE FY500."/>
    <m/>
    <n v="-8"/>
    <s v="PCS"/>
    <x v="0"/>
    <x v="0"/>
    <x v="14"/>
    <x v="3"/>
    <n v="46.181611764705885"/>
    <n v="0"/>
  </r>
  <r>
    <n v="689"/>
    <d v="2025-07-24T00:00:00"/>
    <x v="72"/>
    <s v="STJ/2025/07/12381"/>
    <s v="Inventory Valuation"/>
    <s v="CM/MTI/2025/02022 - [EISSN040] PROXIMITY INDUCTIVE SENSOR TYPE NJ2 MODEL NO. 12GM50 WS  / MRQ/2025/02851"/>
    <s v="CM/MTI/2025/02022 - [EISSN040] PROXIMITY INDUCTIVE SENSOR TYPE NJ2 MODEL NO. 12GM50 WS  / MRQ/2025/02851"/>
    <m/>
    <m/>
    <s v="MATERIAL COST"/>
    <s v="Expenses"/>
    <s v="731002"/>
    <s v="731002 STORE SPARES &amp; CONSUMABLES - GENERAL"/>
    <s v="Inventory Spares Consumable"/>
    <s v="RAW MILL-2"/>
    <s v="INSTRUMENTATION"/>
    <n v="918096.07"/>
    <n v="0"/>
    <n v="918096.07"/>
    <s v="TZS"/>
    <s v="[EISSN040] PROXIMITY INDUCTIVE SENSOR TYPE NJ2 MODEL NO. 12GM50 WS "/>
    <m/>
    <n v="-4"/>
    <s v="NOS"/>
    <x v="0"/>
    <x v="0"/>
    <x v="9"/>
    <x v="4"/>
    <n v="360.03767450980388"/>
    <n v="0"/>
  </r>
  <r>
    <n v="690"/>
    <d v="2025-07-25T00:00:00"/>
    <x v="73"/>
    <s v="STJ/2025/07/12851"/>
    <s v="Inventory Valuation"/>
    <s v="CM/MTI/2025/02051 - [EMEKM144] INDICATOR DIFFERENTIAL PRESSURE RANGE 0 TO 1.6 BAR 1SPDT 110VAC PART NO. H56-310923-1 MAKE SWITZER FOR COAL MILL SLIDE SHOE LUBRICATION SYSTEM  / MRQ/2025/02867"/>
    <s v="CM/MTI/2025/02051 - [EMEKM144] INDICATOR DIFFERENTIAL PRESSURE RANGE 0 TO 1.6 BAR 1SPDT 110VAC PART NO. H56-310923-1 MAKE SWITZER FOR COAL MILL SLIDE SHOE LUBRICATION SYSTEM  / MRQ/2025/0286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263886"/>
    <n v="0"/>
    <n v="4263886"/>
    <s v="TZS"/>
    <s v="[EMEKM144] INDICATOR DIFFERENTIAL PRESSURE RANGE 0 TO 1.6 BAR 1SPDT 110VAC PART NO. H56-310923-1 MAKE SWITZER FOR COAL MILL SLIDE SHOE LUBRICATION SYSTEM "/>
    <m/>
    <n v="-1"/>
    <s v="NOS"/>
    <x v="0"/>
    <x v="0"/>
    <x v="9"/>
    <x v="4"/>
    <n v="1672.112156862745"/>
    <n v="0"/>
  </r>
  <r>
    <n v="691"/>
    <d v="2025-07-25T00:00:00"/>
    <x v="73"/>
    <s v="STJ/2025/07/12852"/>
    <s v="Inventory Valuation"/>
    <s v="CM/MTI/2025/02051 - [EMEPG002] PRESSURE GAUGE RANGE  0 TO 16 BAR 100 MM DIAL MAKE WIKA  / MRQ/2025/02867"/>
    <s v="CM/MTI/2025/02051 - [EMEPG002] PRESSURE GAUGE RANGE  0 TO 16 BAR 100 MM DIAL MAKE WIKA  / MRQ/2025/0286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12883"/>
    <n v="0"/>
    <n v="512883"/>
    <s v="TZS"/>
    <s v="[EMEPG002] PRESSURE GAUGE RANGE  0 TO 16 BAR 100 MM DIAL MAKE WIKA "/>
    <m/>
    <n v="-1"/>
    <s v="NOS"/>
    <x v="0"/>
    <x v="0"/>
    <x v="9"/>
    <x v="4"/>
    <n v="201.13058823529411"/>
    <n v="0"/>
  </r>
  <r>
    <n v="692"/>
    <d v="2025-07-25T00:00:00"/>
    <x v="73"/>
    <s v="STJ/2025/07/12866"/>
    <s v="Inventory Valuation"/>
    <s v="CM/MTI/2025/02058 - [EFSHB098] BOLT HT HEX HEAD M12 X 70MM FULL THREAD WITH NUT AND WASHER GRADE 8.8 / MRQ/2025/02888"/>
    <s v="CM/MTI/2025/02058 - [EFSHB098] BOLT HT HEX HEAD M12 X 70MM FULL THREAD WITH NUT AND WASHER GRADE 8.8 / MRQ/2025/0288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9554.76"/>
    <n v="0"/>
    <n v="49554.76"/>
    <s v="TZS"/>
    <s v="[EFSHB098] BOLT HT HEX HEAD M12 X 70MM FULL THREAD WITH NUT AND WASHER GRADE 8.8"/>
    <m/>
    <n v="-70"/>
    <s v="NOS"/>
    <x v="0"/>
    <x v="0"/>
    <x v="9"/>
    <x v="4"/>
    <n v="19.433239215686275"/>
    <n v="0"/>
  </r>
  <r>
    <n v="693"/>
    <d v="2025-07-25T00:00:00"/>
    <x v="73"/>
    <s v="STJ/2025/07/12868"/>
    <s v="Inventory Valuation"/>
    <s v="CM/MTI/2025/02059 - [CWCWR003] WELDING ELECTRODE MS 6013 SIZE 4 MM X 450 MM / MRQ/2025/02819"/>
    <s v="CM/MTI/2025/02059 - [CWCWR003] WELDING ELECTRODE MS 6013 SIZE 4 MM X 450 MM / MRQ/2025/02819"/>
    <m/>
    <m/>
    <s v="MATERIAL COST"/>
    <s v="Expenses"/>
    <s v="731002"/>
    <s v="731002 STORE SPARES &amp; CONSUMABLES - GENERAL"/>
    <s v="CWIP-FABRICATION OF INHOUSE TRAILOR"/>
    <s v="LOGISTIC DIVISION"/>
    <s v="LOGISTIC DIVISION"/>
    <n v="204875.47"/>
    <n v="0"/>
    <n v="204875.47"/>
    <s v="TZS"/>
    <s v="[CWCWR003] WELDING ELECTRODE MS 6013 SIZE 4 MM X 450 MM"/>
    <m/>
    <n v="-50"/>
    <s v="KG"/>
    <x v="0"/>
    <x v="0"/>
    <x v="12"/>
    <x v="1"/>
    <n v="80.343321568627445"/>
    <n v="0"/>
  </r>
  <r>
    <n v="694"/>
    <d v="2025-07-26T00:00:00"/>
    <x v="74"/>
    <s v="STJ/2025/07/13179"/>
    <s v="Inventory Valuation"/>
    <s v="CM/MTI/2025/02066 - [EMEOS005] SEAL OIL AM-15 X 24 X 7 AM / MRQ/2025/02910"/>
    <s v="CM/MTI/2025/02066 - [EMEOS005] SEAL OIL AM-15 X 24 X 7 AM / MRQ/2025/02910"/>
    <m/>
    <m/>
    <s v="MATERIAL COST"/>
    <s v="Expenses"/>
    <s v="731002"/>
    <s v="731002 STORE SPARES &amp; CONSUMABLES - GENERAL"/>
    <s v="CWIP-CONSTRUCTION OF LIME STONE AND GYPSUM FEEDING SYSTEM IN CEMENT MILL"/>
    <s v="RAW MILL-2"/>
    <s v="MECHANICAL"/>
    <n v="21147.49"/>
    <n v="0"/>
    <n v="21147.49"/>
    <s v="TZS"/>
    <s v="[EMEOS005] SEAL OIL AM-15 X 24 X 7 AM"/>
    <m/>
    <n v="-1"/>
    <s v="NOS"/>
    <x v="0"/>
    <x v="0"/>
    <x v="8"/>
    <x v="3"/>
    <n v="8.2931333333333335"/>
    <n v="0"/>
  </r>
  <r>
    <n v="695"/>
    <d v="2025-07-26T00:00:00"/>
    <x v="74"/>
    <s v="STJ/2025/07/13166"/>
    <s v="Inventory Valuation"/>
    <s v="CM/MTI/2025/02063 - [EMECM005] CAGE SIZE 143 MM DIA X 3605 MM  FOR CEMENT MILL BAG FILTER 631BF3  WITH VENTURI,AS PER DRG NO.LCL/MECH/CMNT.M/10 -REV01 / MRQ/2025/02896_x000a_Rounding Adjustment: +0.01 TSh"/>
    <s v="CM/MTI/2025/02063 - [EMECM005] CAGE SIZE 143 MM DIA X 3605 MM  FOR CEMENT MILL BAG FILTER 631BF3  WITH VENTURI,AS PER DRG NO.LCL/MECH/CMNT.M/10 -REV01 / MRQ/2025/02896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897858"/>
    <n v="0"/>
    <n v="1897858"/>
    <s v="TZS"/>
    <s v="[EMECM005] CAGE SIZE 143 MM DIA X 3605 MM  FOR CEMENT MILL BAG FILTER 631BF3  WITH VENTURI,AS PER DRG NO.LCL/MECH/CMNT.M/10 -REV01"/>
    <m/>
    <n v="-21"/>
    <s v="NOS"/>
    <x v="0"/>
    <x v="0"/>
    <x v="9"/>
    <x v="4"/>
    <n v="744.25803921568627"/>
    <n v="0"/>
  </r>
  <r>
    <n v="696"/>
    <d v="2025-07-26T00:00:00"/>
    <x v="74"/>
    <s v="STJ/2025/07/13167"/>
    <s v="Inventory Valuation"/>
    <s v="CM/MTI/2025/02063 - [EMEKM013] FILTER BAG SIZE 150 MM DIA X 3660 MM LONG POLY NEEDLE ANTISTATIC  / MRQ/2025/02896"/>
    <s v="CM/MTI/2025/02063 - [EMEKM013] FILTER BAG SIZE 150 MM DIA X 3660 MM LONG POLY NEEDLE ANTISTATIC  / MRQ/2025/0289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60292.35"/>
    <n v="0"/>
    <n v="360292.35"/>
    <s v="TZS"/>
    <s v="[EMEKM013] FILTER BAG SIZE 150 MM DIA X 3660 MM LONG POLY NEEDLE ANTISTATIC "/>
    <m/>
    <n v="-21"/>
    <s v="NOS"/>
    <x v="0"/>
    <x v="0"/>
    <x v="9"/>
    <x v="4"/>
    <n v="141.29111764705883"/>
    <n v="0"/>
  </r>
  <r>
    <n v="697"/>
    <d v="2025-07-26T00:00:00"/>
    <x v="74"/>
    <s v="STJ/2025/07/13187"/>
    <s v="Inventory Valuation"/>
    <s v="CM/MTI/2025/02068 - [CWCGC079] GRINDING WHEEL 5'' / MRQ/2025/02914"/>
    <s v="CM/MTI/2025/02068 - [CWCGC079] GRINDING WHEEL 5'' / MRQ/2025/02914"/>
    <m/>
    <m/>
    <s v="MATERIAL COST"/>
    <s v="Expenses"/>
    <s v="731002"/>
    <s v="731002 STORE SPARES &amp; CONSUMABLES - GENERAL"/>
    <s v="CWIP-FABRICATION OF INHOUSE TRAILOR"/>
    <s v="LOGISTIC DIVISION"/>
    <s v="LOGISTIC DIVISION"/>
    <n v="54025.35"/>
    <n v="0"/>
    <n v="54025.35"/>
    <s v="TZS"/>
    <s v="[CWCGC079] GRINDING WHEEL 5''"/>
    <m/>
    <n v="-15"/>
    <s v="NOS"/>
    <x v="0"/>
    <x v="0"/>
    <x v="12"/>
    <x v="1"/>
    <n v="21.186411764705881"/>
    <n v="0"/>
  </r>
  <r>
    <n v="698"/>
    <d v="2025-07-28T09:46:36"/>
    <x v="75"/>
    <s v="PCVLG/2025/07/0160"/>
    <s v="PCV (PETTY CASH LOGISTIC)"/>
    <m/>
    <s v="CASH PAID FOR FABRICATION OF 75 PCS HINGES FOR 2ND TRAILER INCLUDING MATERIAL @8000/PCS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600000"/>
    <n v="0"/>
    <n v="600000"/>
    <s v="TZS"/>
    <m/>
    <m/>
    <n v="1"/>
    <m/>
    <x v="0"/>
    <x v="0"/>
    <x v="12"/>
    <x v="1"/>
    <n v="235.29411764705881"/>
    <n v="0"/>
  </r>
  <r>
    <n v="699"/>
    <d v="2025-07-28T08:19:24"/>
    <x v="75"/>
    <s v="PCVLG/2025/07/0151"/>
    <s v="PCV (PETTY CASH LOGISTIC)"/>
    <m/>
    <s v="CASH PAID FOR PURCHASING OF FLAT BAR 6X50X6 M 1PCS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36000"/>
    <n v="0"/>
    <n v="36000"/>
    <s v="TZS"/>
    <m/>
    <m/>
    <n v="1"/>
    <m/>
    <x v="0"/>
    <x v="0"/>
    <x v="12"/>
    <x v="1"/>
    <n v="14.117647058823529"/>
    <n v="0"/>
  </r>
  <r>
    <n v="700"/>
    <d v="2025-07-28T08:02:48"/>
    <x v="75"/>
    <s v="PCVLG/2025/07/0145"/>
    <s v="PCV (PETTY CASH LOGISTIC)"/>
    <m/>
    <s v="CASH PAID FOR FABRICATION OF SIDE DOORS ,TAIL GATE AND FRONT BULK HEAD FOR NEW TRAILR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800000"/>
    <n v="0"/>
    <n v="800000"/>
    <s v="TZS"/>
    <m/>
    <m/>
    <n v="1"/>
    <m/>
    <x v="0"/>
    <x v="0"/>
    <x v="12"/>
    <x v="1"/>
    <n v="313.72549019607845"/>
    <n v="0"/>
  </r>
  <r>
    <n v="701"/>
    <d v="2025-07-28T00:00:00"/>
    <x v="75"/>
    <s v="STJ/2025/07/13820"/>
    <s v="Inventory Valuation"/>
    <s v="CM/MTI/2025/02083 - [CACOP006] LAPTOP / MRQ/2025/02870-_x0009_LCL/HO/155-ROBERT ELIUD JOB"/>
    <s v="CM/MTI/2025/02083 - [CACOP006] LAPTOP / MRQ/2025/02870"/>
    <m/>
    <m/>
    <s v="MATERIAL COST"/>
    <s v="Expenses"/>
    <s v="731003"/>
    <s v="731003 STORE SPARES &amp; CONSUMABLE-CA"/>
    <s v="Fixed Asset"/>
    <s v="HO"/>
    <s v="ACCOUNTS"/>
    <n v="1150000"/>
    <n v="0"/>
    <n v="1150000"/>
    <s v="TZS"/>
    <s v="[CACOP006] LAPTOP"/>
    <m/>
    <n v="-1"/>
    <s v="NOS"/>
    <x v="0"/>
    <x v="2"/>
    <x v="6"/>
    <x v="1"/>
    <n v="450.98039215686276"/>
    <n v="0"/>
  </r>
  <r>
    <n v="702"/>
    <d v="2025-07-28T00:00:00"/>
    <x v="75"/>
    <s v="STJ/2025/07/13819"/>
    <s v="Inventory Valuation"/>
    <s v="CM/MTI/2025/02082 - [CACOP006] LAPTOP / MRQ/2025/02957-LCL/HO/098-PUNIT ASAWLA"/>
    <s v="CM/MTI/2025/02082 - [CACOP006] LAPTOP / MRQ/2025/02957"/>
    <m/>
    <m/>
    <s v="MATERIAL COST"/>
    <s v="Expenses"/>
    <s v="731003"/>
    <s v="731003 STORE SPARES &amp; CONSUMABLE-CA"/>
    <s v="Fixed Asset"/>
    <s v="HO"/>
    <s v="ADMIN"/>
    <n v="1150000"/>
    <n v="0"/>
    <n v="1150000"/>
    <s v="TZS"/>
    <s v="[CACOP006] LAPTOP"/>
    <m/>
    <n v="-1"/>
    <s v="NOS"/>
    <x v="0"/>
    <x v="2"/>
    <x v="6"/>
    <x v="1"/>
    <n v="450.98039215686276"/>
    <n v="0"/>
  </r>
  <r>
    <n v="703"/>
    <d v="2025-07-28T00:00:00"/>
    <x v="75"/>
    <s v="STJ/2025/07/13817"/>
    <s v="Inventory Valuation"/>
    <s v="CM/MTI/2025/02080 - [CAFRF010] CABINET STEEL / MRQ/2025/02955"/>
    <s v="CM/MTI/2025/02080 - [CAFRF010] CABINET STEEL / MRQ/2025/02955"/>
    <m/>
    <m/>
    <s v="MATERIAL COST"/>
    <s v="Expenses"/>
    <s v="731003"/>
    <s v="731003 STORE SPARES &amp; CONSUMABLE-CA"/>
    <s v="Fixed Asset"/>
    <s v="HO"/>
    <s v="ADMIN"/>
    <n v="338983.05"/>
    <n v="0"/>
    <n v="338983.05"/>
    <s v="TZS"/>
    <s v="[CAFRF010] CABINET STEEL"/>
    <m/>
    <n v="-1"/>
    <s v="NOS"/>
    <x v="0"/>
    <x v="3"/>
    <x v="7"/>
    <x v="1"/>
    <n v="132.93452941176471"/>
    <n v="0"/>
  </r>
  <r>
    <n v="704"/>
    <d v="2025-07-28T00:00:00"/>
    <x v="75"/>
    <s v="STJ/2025/07/13802"/>
    <s v="Inventory Valuation"/>
    <s v="CM/MTI/2025/02078 - [CAOFE002] AIR CONDITION UNIT 18000 BTU SPLIT TYPE / MRQ/2025/02869"/>
    <s v="CM/MTI/2025/02078 - [CAOFE002] AIR CONDITION UNIT 18000 BTU SPLIT TYPE / MRQ/2025/02869"/>
    <m/>
    <m/>
    <s v="MATERIAL COST"/>
    <s v="Expenses"/>
    <s v="731003"/>
    <s v="731003 STORE SPARES &amp; CONSUMABLES - CA"/>
    <s v="Fixed Asset"/>
    <s v="HO"/>
    <s v="ADMIN"/>
    <n v="2605084.7400000002"/>
    <n v="0"/>
    <n v="2605084.7400000002"/>
    <s v="TZS"/>
    <s v="[CAOFE002] AIR CONDITION UNIT 18000 BTU SPLIT TYPE"/>
    <m/>
    <n v="-2"/>
    <s v="NOS"/>
    <x v="0"/>
    <x v="2"/>
    <x v="16"/>
    <x v="1"/>
    <n v="1021.6018588235295"/>
    <n v="0"/>
  </r>
  <r>
    <n v="705"/>
    <d v="2025-07-28T00:00:00"/>
    <x v="75"/>
    <s v="STJ/2025/07/13858"/>
    <s v="Inventory Valuation"/>
    <s v="CM/MTI/2025/02100 - [CWCGC041] CUTTING WHEEL 7'' / MRQ/2025/02903_x000a_Rounding Adjustment: +0.01 TSh"/>
    <s v="CM/MTI/2025/02100 - [CWCGC041] CUTTING WHEEL 7'' / MRQ/2025/02903_x000a_Rounding Adjustment: +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2584.16"/>
    <n v="0"/>
    <n v="22584.16"/>
    <s v="TZS"/>
    <s v="[CWCGC041] CUTTING WHEEL 7''"/>
    <m/>
    <n v="-7"/>
    <s v="NOS"/>
    <x v="0"/>
    <x v="0"/>
    <x v="8"/>
    <x v="3"/>
    <n v="8.8565333333333331"/>
    <n v="0"/>
  </r>
  <r>
    <n v="706"/>
    <d v="2025-07-28T00:00:00"/>
    <x v="75"/>
    <s v="STJ/2025/07/13859"/>
    <s v="Inventory Valuation"/>
    <s v="CM/MTI/2025/02100 - [CWCWR003] WELDING ELECTRODE MS 6013 SIZE 4 MM X 450 MM / MRQ/2025/02903_x000a_Rounding Adjustment: -0.01 TSh"/>
    <s v="CM/MTI/2025/02100 - [CWCWR003] WELDING ELECTRODE MS 6013 SIZE 4 MM X 450 MM / MRQ/2025/02903_x000a_Rounding Adjustment: -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0975.1"/>
    <n v="0"/>
    <n v="40975.1"/>
    <s v="TZS"/>
    <s v="[CWCWR003] WELDING ELECTRODE MS 6013 SIZE 4 MM X 450 MM"/>
    <m/>
    <n v="-10"/>
    <s v="KG"/>
    <x v="0"/>
    <x v="0"/>
    <x v="8"/>
    <x v="3"/>
    <n v="16.068666666666665"/>
    <n v="0"/>
  </r>
  <r>
    <n v="707"/>
    <d v="2025-07-28T00:00:00"/>
    <x v="75"/>
    <s v="STJ/2025/07/13825"/>
    <s v="Inventory Valuation"/>
    <s v="CM/MTI/2025/02087 - [EFSHB096] BOLT HT HEX HEAD M12 X 50MM FULL THREAD WITH NUT AND WASHER GRADE 8.8 / MRQ/2025/02948_x000a_Rounding Adjustment: +0.01 TSh"/>
    <s v="CM/MTI/2025/02087 - [EFSHB096] BOLT HT HEX HEAD M12 X 50MM FULL THREAD WITH NUT AND WASHER GRADE 8.8 / MRQ/2025/02948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946.66"/>
    <n v="0"/>
    <n v="4946.66"/>
    <s v="TZS"/>
    <s v="[EFSHB096] BOLT HT HEX HEAD M12 X 50MM FULL THREAD WITH NUT AND WASHER GRADE 8.8"/>
    <m/>
    <n v="-9"/>
    <s v="NOS"/>
    <x v="0"/>
    <x v="0"/>
    <x v="9"/>
    <x v="4"/>
    <n v="1.9398666666666666"/>
    <n v="0"/>
  </r>
  <r>
    <n v="708"/>
    <d v="2025-07-28T00:00:00"/>
    <x v="75"/>
    <s v="STJ/2025/07/13856"/>
    <s v="Inventory Valuation"/>
    <s v="CM/MTI/2025/02098 - [CPALD001] VISOLITE POWDER / MRQ/2025/02922"/>
    <s v="CM/MTI/2025/02098 - [CPALD001] VISOLITE POWDER / MRQ/2025/0292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80991.8"/>
    <n v="0"/>
    <n v="180991.8"/>
    <s v="TZS"/>
    <s v="[CPALD001] VISOLITE POWDER"/>
    <m/>
    <n v="-10"/>
    <s v="KG"/>
    <x v="0"/>
    <x v="0"/>
    <x v="9"/>
    <x v="4"/>
    <n v="70.977176470588233"/>
    <n v="0"/>
  </r>
  <r>
    <n v="709"/>
    <d v="2025-07-28T00:00:00"/>
    <x v="75"/>
    <s v="STJ/2025/07/13593"/>
    <s v="Inventory Valuation"/>
    <s v="LOG/MTI/2025/00665 - [LGS0079] CUTTING WHEEL - 9'' / MRQ/2025/02831"/>
    <s v="LOG/MTI/2025/00665 - [LGS0079] CUTTING WHEEL - 9'' / MRQ/2025/02831"/>
    <m/>
    <m/>
    <s v="MATERIAL COST"/>
    <s v="Expenses"/>
    <s v="731002"/>
    <s v="731002 STORE SPARES &amp; CONSUMABLES - GENERAL"/>
    <s v="CWIP-FABRICATION OF INHOUSE TRAILOR"/>
    <s v="LOGISTIC DIVISION"/>
    <s v="LOGISTIC DIVISION"/>
    <n v="7118.64"/>
    <n v="0"/>
    <n v="7118.64"/>
    <s v="TZS"/>
    <s v="[LGS0079] CUTTING WHEEL - 9''"/>
    <m/>
    <n v="-2"/>
    <s v="NOS"/>
    <x v="0"/>
    <x v="0"/>
    <x v="12"/>
    <x v="1"/>
    <n v="2.7916235294117646"/>
    <n v="0"/>
  </r>
  <r>
    <n v="710"/>
    <d v="2025-07-28T00:00:00"/>
    <x v="75"/>
    <s v="STJ/2025/07/13839"/>
    <s v="Inventory Valuation"/>
    <s v="CM/MTI/2025/02091 - [EFSSC017] SCREW SLOTTED HEAD SIZE 3&quot; MODEL 4BA / MRQ/2025/02892"/>
    <s v="CM/MTI/2025/02091 - [EFSSC017] SCREW SLOTTED HEAD SIZE 3&quot; MODEL 4BA / MRQ/2025/02892"/>
    <m/>
    <m/>
    <s v="MATERIAL COST"/>
    <s v="Expenses"/>
    <s v="731002"/>
    <s v="731002 STORE SPARES &amp; CONSUMABLES - GENERAL"/>
    <s v="Inventory Spares Consumable"/>
    <s v="RAW MILL-2"/>
    <s v="ELECTRICAL"/>
    <n v="1084.8"/>
    <n v="0"/>
    <n v="1084.8"/>
    <s v="TZS"/>
    <s v="[EFSSC017] SCREW SLOTTED HEAD SIZE 3&quot; MODEL 4BA"/>
    <m/>
    <n v="-20"/>
    <s v="NOS"/>
    <x v="0"/>
    <x v="0"/>
    <x v="9"/>
    <x v="4"/>
    <n v="0.42541176470588232"/>
    <n v="0"/>
  </r>
  <r>
    <n v="711"/>
    <d v="2025-07-28T00:00:00"/>
    <x v="75"/>
    <s v="STJ/2025/07/13838"/>
    <s v="Inventory Valuation"/>
    <s v="CM/MTI/2025/02091 - [EFSHB211] BOLT HT HEX HEAD M5 X 20 FULL THREAD WITH NUT AND WASHER GRADE 8.8 / MRQ/2025/02892"/>
    <s v="CM/MTI/2025/02091 - [EFSHB211] BOLT HT HEX HEAD M5 X 20 FULL THREAD WITH NUT AND WASHER GRADE 8.8 / MRQ/2025/02892"/>
    <m/>
    <m/>
    <s v="MATERIAL COST"/>
    <s v="Expenses"/>
    <s v="731002"/>
    <s v="731002 STORE SPARES &amp; CONSUMABLES - GENERAL"/>
    <s v="Inventory Spares Consumable"/>
    <s v="RAW MILL-2"/>
    <s v="ELECTRICAL"/>
    <n v="2760"/>
    <n v="0"/>
    <n v="2760"/>
    <s v="TZS"/>
    <s v="[EFSHB211] BOLT HT HEX HEAD M5 X 20 FULL THREAD WITH NUT AND WASHER GRADE 8.8"/>
    <m/>
    <n v="-20"/>
    <s v="NOS"/>
    <x v="0"/>
    <x v="0"/>
    <x v="9"/>
    <x v="4"/>
    <n v="1.0823529411764705"/>
    <n v="0"/>
  </r>
  <r>
    <n v="712"/>
    <d v="2025-07-28T00:00:00"/>
    <x v="75"/>
    <s v="STJ/2025/07/13837"/>
    <s v="Inventory Valuation"/>
    <s v="CM/MTI/2025/02091 - [EFSAL009] BOLT HT ALLEN HEAD M8 X 25MM FULL THREAD GRADE 10.9  / MRQ/2025/02892"/>
    <s v="CM/MTI/2025/02091 - [EFSAL009] BOLT HT ALLEN HEAD M8 X 25MM FULL THREAD GRADE 10.9  / MRQ/2025/02892"/>
    <m/>
    <m/>
    <s v="MATERIAL COST"/>
    <s v="Expenses"/>
    <s v="731002"/>
    <s v="731002 STORE SPARES &amp; CONSUMABLES - GENERAL"/>
    <s v="Inventory Spares Consumable"/>
    <s v="RAW MILL-2"/>
    <s v="ELECTRICAL"/>
    <n v="322618.11"/>
    <n v="0"/>
    <n v="322618.11"/>
    <s v="TZS"/>
    <s v="[EFSAL009] BOLT HT ALLEN HEAD M8 X 25MM FULL THREAD GRADE 10.9 "/>
    <m/>
    <n v="-20"/>
    <s v="NOS"/>
    <x v="0"/>
    <x v="0"/>
    <x v="9"/>
    <x v="4"/>
    <n v="126.51690588235293"/>
    <n v="0"/>
  </r>
  <r>
    <n v="713"/>
    <d v="2025-07-28T00:00:00"/>
    <x v="75"/>
    <s v="STJ/2025/07/13836"/>
    <s v="Inventory Valuation"/>
    <s v="CM/MTI/2025/02091 - [EFSAL002] BOLT HT ALLEN HEAD M6 X 25MM FULL THREAD GRADE 8.8 / MRQ/2025/02892"/>
    <s v="CM/MTI/2025/02091 - [EFSAL002] BOLT HT ALLEN HEAD M6 X 25MM FULL THREAD GRADE 8.8 / MRQ/2025/02892"/>
    <m/>
    <m/>
    <s v="MATERIAL COST"/>
    <s v="Expenses"/>
    <s v="731002"/>
    <s v="731002 STORE SPARES &amp; CONSUMABLES - GENERAL"/>
    <s v="Inventory Spares Consumable"/>
    <s v="RAW MILL-2"/>
    <s v="ELECTRICAL"/>
    <n v="2750"/>
    <n v="0"/>
    <n v="2750"/>
    <s v="TZS"/>
    <s v="[EFSAL002] BOLT HT ALLEN HEAD M6 X 25MM FULL THREAD GRADE 8.8"/>
    <m/>
    <n v="-11"/>
    <s v="NOS"/>
    <x v="0"/>
    <x v="0"/>
    <x v="9"/>
    <x v="4"/>
    <n v="1.0784313725490196"/>
    <n v="0"/>
  </r>
  <r>
    <n v="714"/>
    <d v="2025-07-28T00:00:00"/>
    <x v="75"/>
    <s v="STJ/2025/07/13829"/>
    <s v="Inventory Valuation"/>
    <s v="CM/MTI/2025/02089 - [EELPC073] CONTACTOR POWER 3RT2026-1AL20 COIL VOLTAGE 230VAC WITH 1NO+1NC MAKE SIEMENS / MRQ/2025/02898"/>
    <s v="CM/MTI/2025/02089 - [EELPC073] CONTACTOR POWER 3RT2026-1AL20 COIL VOLTAGE 230VAC WITH 1NO+1NC MAKE SIEMENS / MRQ/2025/02898"/>
    <m/>
    <m/>
    <s v="MATERIAL COST"/>
    <s v="Expenses"/>
    <s v="731002"/>
    <s v="731002 STORE SPARES &amp; CONSUMABLES - GENERAL"/>
    <s v="Inventory Spares Consumable"/>
    <s v="RAW MILL-2"/>
    <s v="ELECTRICAL"/>
    <n v="146255.16"/>
    <n v="0"/>
    <n v="146255.16"/>
    <s v="TZS"/>
    <s v="[EELPC073] CONTACTOR POWER 3RT2026-1AL20 COIL VOLTAGE 230VAC WITH 1NO+1NC MAKE SIEMENS"/>
    <m/>
    <n v="-3"/>
    <s v="NOS"/>
    <x v="0"/>
    <x v="0"/>
    <x v="9"/>
    <x v="4"/>
    <n v="57.354964705882352"/>
    <n v="0"/>
  </r>
  <r>
    <n v="715"/>
    <d v="2025-07-29T13:42:02"/>
    <x v="76"/>
    <s v="PCVHO/2025/07/0214"/>
    <s v="PCV (PETTY CASH HO)"/>
    <s v="LAND COST "/>
    <s v="Being payment for purchase of land at Kimbiji Plot No. LC/KIM/25-626 for 0.13Acres - Boniphace S. Masele"/>
    <m/>
    <m/>
    <s v="LAND &amp; SITE DEVELOPMENT"/>
    <s v="Fixed Assets"/>
    <s v="301003"/>
    <s v="301003 LAND COST"/>
    <s v="Kimbiji Factory"/>
    <s v="QUARRY"/>
    <s v="QUARRYING"/>
    <n v="4500000"/>
    <n v="0"/>
    <n v="4500000"/>
    <s v="TZS"/>
    <m/>
    <m/>
    <n v="1"/>
    <m/>
    <x v="0"/>
    <x v="1"/>
    <x v="4"/>
    <x v="2"/>
    <n v="1764.7058823529412"/>
    <n v="0"/>
  </r>
  <r>
    <n v="716"/>
    <d v="2025-07-29T13:36:33"/>
    <x v="76"/>
    <s v="PCVHO/2025/07/0212"/>
    <s v="PCV (PETTY CASH HO)"/>
    <s v="TARAWANDA EXPENSES "/>
    <s v="Being payment for travelling allowance for Talawanda visit - Sajivkumar"/>
    <m/>
    <m/>
    <s v="CAPITAL WORK IN PROGRESS"/>
    <s v="Fixed Assets"/>
    <s v="371056"/>
    <s v="371056 MINERAL EXPLORATION &amp; DEVELOPMENT-TARAWANDA"/>
    <s v="Corporate"/>
    <s v="HO"/>
    <s v="ADMIN"/>
    <n v="743000"/>
    <n v="0"/>
    <n v="743000"/>
    <s v="TZS"/>
    <m/>
    <m/>
    <n v="1"/>
    <m/>
    <x v="0"/>
    <x v="0"/>
    <x v="1"/>
    <x v="1"/>
    <n v="291.37254901960785"/>
    <n v="0"/>
  </r>
  <r>
    <n v="717"/>
    <d v="2025-07-29T00:00:00"/>
    <x v="76"/>
    <s v="STJ/2025/07/15080"/>
    <s v="Inventory Valuation"/>
    <s v="CM/MTI/2025/02115 - [CIGGS005] GAS LIQUEFIED PETROLEUM FULL CYLINDER, LPG CAPACITY 15KG / MRQ/2025/02970"/>
    <s v="CM/MTI/2025/02115 - [CIGGS005] GAS LIQUEFIED PETROLEUM FULL CYLINDER, LPG CAPACITY 15KG / MRQ/2025/0297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8000"/>
    <n v="0"/>
    <n v="48000"/>
    <s v="TZS"/>
    <s v="[CIGGS005] GAS LIQUEFIED PETROLEUM FULL CYLINDER, LPG CAPACITY 15KG"/>
    <m/>
    <n v="-1"/>
    <s v="NOS"/>
    <x v="0"/>
    <x v="0"/>
    <x v="8"/>
    <x v="3"/>
    <n v="18.823529411764707"/>
    <n v="0"/>
  </r>
  <r>
    <n v="718"/>
    <d v="2025-07-29T00:00:00"/>
    <x v="76"/>
    <s v="STJ/2025/07/15081"/>
    <s v="Inventory Valuation"/>
    <s v="CM/MTI/2025/02115 - [CWCGC041] CUTTING WHEEL 7'' / MRQ/2025/02970"/>
    <s v="CM/MTI/2025/02115 - [CWCGC041] CUTTING WHEEL 7'' / MRQ/2025/0297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9678.93"/>
    <n v="0"/>
    <n v="9678.93"/>
    <s v="TZS"/>
    <s v="[CWCGC041] CUTTING WHEEL 7''"/>
    <m/>
    <n v="-3"/>
    <s v="NOS"/>
    <x v="0"/>
    <x v="0"/>
    <x v="8"/>
    <x v="3"/>
    <n v="3.7956588235294118"/>
    <n v="0"/>
  </r>
  <r>
    <n v="719"/>
    <d v="2025-07-29T00:00:00"/>
    <x v="76"/>
    <s v="STJ/2025/07/15106"/>
    <s v="Inventory Valuation"/>
    <s v="CM/MTI/2025/02128 - [EMERM096] COLLECTOR PAPER FOR ELECTROSTATIC OIL CLEANER MODEL ELC 50 / MRQ/2025/02991"/>
    <s v="CM/MTI/2025/02128 - [EMERM096] COLLECTOR PAPER FOR ELECTROSTATIC OIL CLEANER MODEL ELC 50 / MRQ/2025/0299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9659.87"/>
    <n v="0"/>
    <n v="69659.87"/>
    <s v="TZS"/>
    <s v="[EMERM096] COLLECTOR PAPER FOR ELECTROSTATIC OIL CLEANER MODEL ELC 50"/>
    <m/>
    <n v="-1"/>
    <s v="NOS"/>
    <x v="0"/>
    <x v="0"/>
    <x v="9"/>
    <x v="4"/>
    <n v="27.317596078431372"/>
    <n v="0"/>
  </r>
  <r>
    <n v="720"/>
    <d v="2025-07-29T00:00:00"/>
    <x v="76"/>
    <s v="STJ/2025/07/14928"/>
    <s v="Inventory Valuation"/>
    <s v="LOG/MTI/2025/00669 - [LGS0038] METAL CONNECTOR 12MM / MRQ/2025/02828"/>
    <s v="LOG/MTI/2025/00669 - [LGS0038] METAL CONNECTOR 12MM / MRQ/2025/02828"/>
    <m/>
    <m/>
    <s v="MATERIAL COST"/>
    <s v="Expenses"/>
    <s v="731002"/>
    <s v="731002 STORE SPARES &amp; CONSUMABLES - GENERAL"/>
    <s v="CWIP-FABRICATION OF INHOUSE TRAILOR"/>
    <s v="LOGISTIC DIVISION"/>
    <s v="LOGISTIC DIVISION"/>
    <n v="8000"/>
    <n v="0"/>
    <n v="8000"/>
    <s v="TZS"/>
    <s v="[LGS0038] METAL CONNECTOR 12MM"/>
    <m/>
    <n v="-4"/>
    <s v="NOS"/>
    <x v="0"/>
    <x v="0"/>
    <x v="12"/>
    <x v="1"/>
    <n v="3.1372549019607843"/>
    <n v="0"/>
  </r>
  <r>
    <n v="721"/>
    <d v="2025-07-29T00:00:00"/>
    <x v="76"/>
    <s v="STJ/2025/07/14930"/>
    <s v="Inventory Valuation"/>
    <s v="LOG/MTI/2025/00669 - [LGS0053] PLASTIC PU PIPE - 12MM / MRQ/2025/02828_x000a_Rounding Adjustment: +0.01 TSh"/>
    <s v="LOG/MTI/2025/00669 - [LGS0053] PLASTIC PU PIPE - 12MM / MRQ/2025/02828_x000a_Rounding Adjustment: +0.01 TSh"/>
    <m/>
    <m/>
    <s v="MATERIAL COST"/>
    <s v="Expenses"/>
    <s v="731002"/>
    <s v="731002 STORE SPARES &amp; CONSUMABLES - GENERAL"/>
    <s v="CWIP-FABRICATION OF INHOUSE TRAILOR"/>
    <s v="LOGISTIC DIVISION"/>
    <s v="LOGISTIC DIVISION"/>
    <n v="4034.94"/>
    <n v="0"/>
    <n v="4034.94"/>
    <s v="TZS"/>
    <s v="[LGS0053] PLASTIC PU PIPE - 12MM"/>
    <m/>
    <n v="-4"/>
    <s v="MTR"/>
    <x v="0"/>
    <x v="0"/>
    <x v="12"/>
    <x v="1"/>
    <n v="1.582329411764706"/>
    <n v="0"/>
  </r>
  <r>
    <n v="722"/>
    <d v="2025-07-29T00:00:00"/>
    <x v="76"/>
    <s v="STJ/2025/07/14978"/>
    <s v="Inventory Valuation"/>
    <s v="LOG/MTI/2025/00677 - [LGS0079] CUTTING WHEEL - 9'' / MRQ/2025/02795"/>
    <s v="LOG/MTI/2025/00677 - [LGS0079] CUTTING WHEEL - 9'' / MRQ/2025/02795"/>
    <m/>
    <m/>
    <s v="MATERIAL COST"/>
    <s v="Expenses"/>
    <s v="731002"/>
    <s v="731002 STORE SPARES &amp; CONSUMABLES - GENERAL"/>
    <s v="CWIP-FABRICATION OF INHOUSE TRAILOR"/>
    <s v="LOGISTIC DIVISION"/>
    <s v="LOGISTIC DIVISION"/>
    <n v="10677.96"/>
    <n v="0"/>
    <n v="10677.96"/>
    <s v="TZS"/>
    <s v="[LGS0079] CUTTING WHEEL - 9''"/>
    <m/>
    <n v="-3"/>
    <s v="NOS"/>
    <x v="0"/>
    <x v="0"/>
    <x v="12"/>
    <x v="1"/>
    <n v="4.1874352941176465"/>
    <n v="0"/>
  </r>
  <r>
    <n v="723"/>
    <d v="2025-07-29T00:00:00"/>
    <x v="76"/>
    <s v="STJ/2025/07/15079"/>
    <s v="Inventory Valuation"/>
    <s v="CM/MTI/2025/02115 - [CIGGS001] GAS OXYGEN FULL CYLINDER, O2 / MRQ/2025/02970"/>
    <s v="CM/MTI/2025/02115 - [CIGGS001] GAS OXYGEN FULL CYLINDER, O2 / MRQ/2025/02970"/>
    <m/>
    <m/>
    <s v="MATERIAL COST"/>
    <s v="Expenses"/>
    <s v="731002"/>
    <s v="731002 STORE SPARES &amp; CONSUMABLES - GENERAL"/>
    <s v="CWIP-INSTALLATION OF NEW WEIGHBRIDGE AT QUARRY(2NOS)"/>
    <s v="PROJECT"/>
    <s v="MECHANICAL"/>
    <n v="75000"/>
    <n v="0"/>
    <n v="75000"/>
    <s v="TZS"/>
    <s v="[CIGGS001] GAS OXYGEN FULL CYLINDER, O2"/>
    <m/>
    <n v="-5"/>
    <s v="NOS"/>
    <x v="0"/>
    <x v="0"/>
    <x v="14"/>
    <x v="3"/>
    <n v="29.411764705882351"/>
    <n v="0"/>
  </r>
  <r>
    <n v="724"/>
    <d v="2025-07-29T00:00:00"/>
    <x v="76"/>
    <s v="STJ/2025/07/15068"/>
    <s v="Inventory Valuation"/>
    <s v="CM/MTI/2025/02112 - [CCLGC002] AGGREGATE GRANITE SIZE 14 MM TO 20 MM  / MRQ/2025/02966"/>
    <s v="CM/MTI/2025/02112 - [CCLGC002] AGGREGATE GRANITE SIZE 14 MM TO 20 MM  / MRQ/2025/02966"/>
    <m/>
    <m/>
    <s v="MATERIAL COST"/>
    <s v="Expenses"/>
    <s v="731002"/>
    <s v="731002 STORE SPARES &amp; CONSUMABLES - GENERAL"/>
    <s v="CWIP-INSTALLATION OF NEW WEIGHBRIDGE AT QUARRY(2NOS)"/>
    <s v="QUARRY"/>
    <s v="MECHANICAL"/>
    <n v="2725000"/>
    <n v="0"/>
    <n v="2725000"/>
    <s v="TZS"/>
    <s v="[CCLGC002] AGGREGATE GRANITE SIZE 14 MM TO 20 MM "/>
    <m/>
    <n v="-25"/>
    <s v="CUM"/>
    <x v="0"/>
    <x v="0"/>
    <x v="14"/>
    <x v="3"/>
    <n v="1068.6274509803923"/>
    <n v="0"/>
  </r>
  <r>
    <n v="725"/>
    <d v="2025-07-29T00:00:00"/>
    <x v="76"/>
    <s v="STJ/2025/07/15069"/>
    <s v="Inventory Valuation"/>
    <s v="CM/MTI/2025/02113 - [CCLGC002] AGGREGATE GRANITE SIZE 14 MM TO 20 MM  / MRQ/2025/02967"/>
    <s v="CM/MTI/2025/02113 - [CCLGC002] AGGREGATE GRANITE SIZE 14 MM TO 20 MM  / MRQ/2025/02967"/>
    <m/>
    <m/>
    <s v="MATERIAL COST"/>
    <s v="Expenses"/>
    <s v="731002"/>
    <s v="731002 STORE SPARES &amp; CONSUMABLES - GENERAL"/>
    <s v="CWIP-ROAD PHASE 07"/>
    <s v="PROJECT"/>
    <s v="MECHANICAL"/>
    <n v="8087800"/>
    <n v="0"/>
    <n v="8087800"/>
    <s v="TZS"/>
    <s v="[CCLGC002] AGGREGATE GRANITE SIZE 14 MM TO 20 MM "/>
    <m/>
    <n v="-74.2"/>
    <s v="CUM"/>
    <x v="0"/>
    <x v="0"/>
    <x v="17"/>
    <x v="6"/>
    <n v="3171.6862745098038"/>
    <n v="0"/>
  </r>
  <r>
    <n v="726"/>
    <d v="2025-07-29T00:00:00"/>
    <x v="76"/>
    <s v="STJ/2025/07/15090"/>
    <s v="Inventory Valuation"/>
    <s v="CM/MTI/2025/02122 - [EELSW063] PRESSURE SWITCH RANGE 2 TO 20KG/CM2  MODEL NO. GM 201 02 ATK 22 BZ / MRQ/2025/02980"/>
    <s v="CM/MTI/2025/02122 - [EELSW063] PRESSURE SWITCH RANGE 2 TO 20KG/CM2  MODEL NO. GM 201 02 ATK 22 BZ / MRQ/2025/02980"/>
    <m/>
    <m/>
    <s v="MATERIAL COST"/>
    <s v="Expenses"/>
    <s v="731002"/>
    <s v="731002 STORE SPARES &amp; CONSUMABLES - GENERAL"/>
    <s v="Inventory Spares Consumable"/>
    <s v="RAW MILL-2"/>
    <s v="INSTRUMENTATION"/>
    <n v="168827.87"/>
    <n v="0"/>
    <n v="168827.87"/>
    <s v="TZS"/>
    <s v="[EELSW063] PRESSURE SWITCH RANGE 2 TO 20KG/CM2  MODEL NO. GM 201 02 ATK 22 BZ"/>
    <m/>
    <n v="-1"/>
    <s v="NOS"/>
    <x v="0"/>
    <x v="0"/>
    <x v="9"/>
    <x v="4"/>
    <n v="66.207007843137248"/>
    <n v="0"/>
  </r>
  <r>
    <n v="727"/>
    <d v="2025-07-29T00:00:00"/>
    <x v="76"/>
    <s v="STJ/2025/07/15102"/>
    <s v="Inventory Valuation"/>
    <s v="CM/MTI/2025/02125 - [CFLOL002] OIL GEAR 320 S2 G / MRQ/2025/02986"/>
    <s v="CM/MTI/2025/02125 - [CFLOL002] OIL GEAR 320 S2 G / MRQ/2025/02986"/>
    <m/>
    <m/>
    <s v="MATERIAL COST"/>
    <s v="Expenses"/>
    <s v="731002"/>
    <s v="731002 STORE SPARES &amp; CONSUMABLES - GENERAL"/>
    <s v="Lubricants"/>
    <s v="RAW MILL-2"/>
    <s v="MECHANICAL"/>
    <n v="1432736.25"/>
    <n v="0"/>
    <n v="1432736.25"/>
    <s v="TZS"/>
    <s v="[CFLOL002] OIL GEAR 320 S2 G"/>
    <m/>
    <n v="-200"/>
    <s v="LTR"/>
    <x v="0"/>
    <x v="0"/>
    <x v="9"/>
    <x v="4"/>
    <n v="561.85735294117649"/>
    <n v="0"/>
  </r>
  <r>
    <n v="728"/>
    <d v="2025-07-30T14:15:39"/>
    <x v="77"/>
    <s v="STJ/2025/07/15579"/>
    <s v="Inventory Valuation"/>
    <s v="CM/MTI/2025/02153 - [PROCM156] BRAZING TOURCH,TORCH SET ALLGAS ACETYLENE,MAKE:MESSERS / MRQ/2025/03026"/>
    <s v="CM/MTI/2025/02153 - [PROCM156] BRAZING TOURCH,TORCH SET ALLGAS ACETYLENE,MAKE:MESSERS / MRQ/2025/03026"/>
    <m/>
    <m/>
    <s v="CAPITAL WORK IN PROGRESS"/>
    <s v="Fixed Assets"/>
    <s v="371023"/>
    <s v="371023 CWIP-CEMENT MILL 50TPH NEW"/>
    <s v="Inventory Spares Consumable"/>
    <s v="QUARRY"/>
    <s v="QUARRYING"/>
    <n v="145000"/>
    <n v="0"/>
    <n v="145000"/>
    <s v="TZS"/>
    <s v="[PROCM156] BRAZING TOURCH,TORCH SET ALLGAS ACETYLENE,MAKE:MESSERS"/>
    <s v="CEMENT MILL"/>
    <n v="-1"/>
    <s v="NOS"/>
    <x v="0"/>
    <x v="0"/>
    <x v="9"/>
    <x v="4"/>
    <n v="56.862745098039213"/>
    <n v="0"/>
  </r>
  <r>
    <n v="729"/>
    <d v="2025-07-30T14:08:33"/>
    <x v="77"/>
    <s v="STJ/2025/07/15564"/>
    <s v="Inventory Valuation"/>
    <s v="CM/MTI/2025/02148 - [PROCM204] SHEET ALUMINIUM SIZE 24 SWG FOR INSULATION / MRQ/2025/03022"/>
    <s v="CM/MTI/2025/02148 - [PROCM204] SHEET ALUMINIUM SIZE 24 SWG FOR INSULATION / MRQ/2025/03022"/>
    <m/>
    <m/>
    <s v="CAPITAL WORK IN PROGRESS"/>
    <s v="Fixed Assets"/>
    <s v="371023"/>
    <s v="371023 CWIP-CEMENT MILL 50TPH NEW"/>
    <s v="Inventory Spares Consumable"/>
    <s v="UTILITY"/>
    <s v="MECHANICAL"/>
    <n v="5605600"/>
    <n v="0"/>
    <n v="5605600"/>
    <s v="TZS"/>
    <s v="[PROCM204] SHEET ALUMINIUM SIZE 24 SWG FOR INSULATION"/>
    <s v="CEMENT MILL"/>
    <n v="-325"/>
    <s v="KG"/>
    <x v="0"/>
    <x v="0"/>
    <x v="9"/>
    <x v="4"/>
    <n v="2198.2745098039218"/>
    <n v="0"/>
  </r>
  <r>
    <n v="730"/>
    <d v="2025-07-30T00:00:00"/>
    <x v="77"/>
    <s v="STJ/2025/07/15560"/>
    <s v="Inventory Valuation"/>
    <s v="CM/MTI/2025/02147 - [EFSHB096] BOLT HT HEX HEAD M12 X 50MM FULL THREAD WITH NUT AND WASHER GRADE 8.8 / MRQ/2025/03027"/>
    <s v="CM/MTI/2025/02147 - [EFSHB096] BOLT HT HEX HEAD M12 X 50MM FULL THREAD WITH NUT AND WASHER GRADE 8.8 / MRQ/2025/0302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5000"/>
    <n v="0"/>
    <n v="45000"/>
    <s v="TZS"/>
    <s v="[EFSHB096] BOLT HT HEX HEAD M12 X 50MM FULL THREAD WITH NUT AND WASHER GRADE 8.8"/>
    <m/>
    <n v="-50"/>
    <s v="NOS"/>
    <x v="0"/>
    <x v="0"/>
    <x v="9"/>
    <x v="4"/>
    <n v="17.647058823529413"/>
    <n v="0"/>
  </r>
  <r>
    <n v="731"/>
    <d v="2025-07-30T00:00:00"/>
    <x v="77"/>
    <s v="STJ/2025/07/15561"/>
    <s v="Inventory Valuation"/>
    <s v="CM/MTI/2025/02147 - [EFSHB140] BOLT HT HEX HEAD M20 X 80MM FULL THREAD WITH NUT AND WASHER GRADE 8.8 / MRQ/2025/03027"/>
    <s v="CM/MTI/2025/02147 - [EFSHB140] BOLT HT HEX HEAD M20 X 80MM FULL THREAD WITH NUT AND WASHER GRADE 8.8 / MRQ/2025/0302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1137.42"/>
    <n v="0"/>
    <n v="71137.42"/>
    <s v="TZS"/>
    <s v="[EFSHB140] BOLT HT HEX HEAD M20 X 80MM FULL THREAD WITH NUT AND WASHER GRADE 8.8"/>
    <m/>
    <n v="-30"/>
    <s v="NOS"/>
    <x v="0"/>
    <x v="0"/>
    <x v="9"/>
    <x v="4"/>
    <n v="27.897027450980392"/>
    <n v="0"/>
  </r>
  <r>
    <n v="732"/>
    <d v="2025-07-30T00:00:00"/>
    <x v="77"/>
    <s v="STJ/2025/07/15562"/>
    <s v="Inventory Valuation"/>
    <s v="CM/MTI/2025/02147 - [EPFCL007] CLAMP SIZE 3'' FOR HOSE  / MRQ/2025/03027"/>
    <s v="CM/MTI/2025/02147 - [EPFCL007] CLAMP SIZE 3'' FOR HOSE  / MRQ/2025/0302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4779.44"/>
    <n v="0"/>
    <n v="14779.44"/>
    <s v="TZS"/>
    <s v="[EPFCL007] CLAMP SIZE 3'' FOR HOSE "/>
    <m/>
    <n v="-10"/>
    <s v="NOS"/>
    <x v="0"/>
    <x v="0"/>
    <x v="9"/>
    <x v="4"/>
    <n v="5.7958588235294117"/>
    <n v="0"/>
  </r>
  <r>
    <n v="733"/>
    <d v="2025-07-30T00:00:00"/>
    <x v="77"/>
    <s v="STJ/2025/07/15563"/>
    <s v="Inventory Valuation"/>
    <s v="CM/MTI/2025/02147 - [EVLBV012] VALVE BALL TYPE SIZE 1'' / MRQ/2025/03027"/>
    <s v="CM/MTI/2025/02147 - [EVLBV012] VALVE BALL TYPE SIZE 1'' / MRQ/2025/0302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6000"/>
    <n v="0"/>
    <n v="36000"/>
    <s v="TZS"/>
    <s v="[EVLBV012] VALVE BALL TYPE SIZE 1''"/>
    <m/>
    <n v="-2"/>
    <s v="NOS"/>
    <x v="0"/>
    <x v="0"/>
    <x v="9"/>
    <x v="4"/>
    <n v="14.117647058823529"/>
    <n v="0"/>
  </r>
  <r>
    <n v="734"/>
    <d v="2025-07-30T00:00:00"/>
    <x v="77"/>
    <s v="STJ/2025/07/15587"/>
    <s v="Inventory Valuation"/>
    <s v="CM/MTI/2025/02157 - [CCLGC328] TMT BAR SIZE 10 MM GRADE FY500. / MRQ/2025/02978"/>
    <s v="CM/MTI/2025/02157 - [CCLGC328] TMT BAR SIZE 10 MM GRADE FY500. / MRQ/2025/02978"/>
    <m/>
    <m/>
    <s v="MATERIAL COST"/>
    <s v="Expenses"/>
    <s v="731002"/>
    <s v="731002 STORE SPARES &amp; CONSUMABLES - GENERAL"/>
    <s v="CWIP-INSTALLATION OF NEW WEIGHBRIDGE AT QUARRY(2NOS)"/>
    <s v="QUARRY"/>
    <s v="MECHANICAL"/>
    <n v="220805.82"/>
    <n v="0"/>
    <n v="220805.82"/>
    <s v="TZS"/>
    <s v="[CCLGC328] TMT BAR SIZE 10 MM GRADE FY500."/>
    <m/>
    <n v="-15"/>
    <s v="PCS"/>
    <x v="0"/>
    <x v="0"/>
    <x v="14"/>
    <x v="3"/>
    <n v="86.590517647058832"/>
    <n v="0"/>
  </r>
  <r>
    <n v="735"/>
    <d v="2025-07-30T00:00:00"/>
    <x v="77"/>
    <s v="STJ/2025/07/15588"/>
    <s v="Inventory Valuation"/>
    <s v="CM/MTI/2025/02157 - [CCLGC330] TMT BAR SIZE 16 MM GRADE FY500. / MRQ/2025/02978"/>
    <s v="CM/MTI/2025/02157 - [CCLGC330] TMT BAR SIZE 16 MM GRADE FY500. / MRQ/2025/02978"/>
    <m/>
    <m/>
    <s v="MATERIAL COST"/>
    <s v="Expenses"/>
    <s v="731002"/>
    <s v="731002 STORE SPARES &amp; CONSUMABLES - GENERAL"/>
    <s v="CWIP-INSTALLATION OF NEW WEIGHBRIDGE AT QUARRY(2NOS)"/>
    <s v="QUARRY"/>
    <s v="MECHANICAL"/>
    <n v="552155.85"/>
    <n v="0"/>
    <n v="552155.85"/>
    <s v="TZS"/>
    <s v="[CCLGC330] TMT BAR SIZE 16 MM GRADE FY500."/>
    <m/>
    <n v="-15"/>
    <s v="PCS"/>
    <x v="0"/>
    <x v="0"/>
    <x v="14"/>
    <x v="3"/>
    <n v="216.53170588235292"/>
    <n v="0"/>
  </r>
  <r>
    <n v="736"/>
    <d v="2025-07-30T00:00:00"/>
    <x v="77"/>
    <s v="PCVFY/2025/07/0108"/>
    <s v="PCV (PETTY CASH FACTORY)"/>
    <m/>
    <s v="BEING PAYMENTS FOR VISA PAYMENT FOR SWAPNIL MANOHAR KHOBRAGADE (CPW EXPERT)-NATHA GODHANIA"/>
    <m/>
    <m/>
    <s v="AMENITIES &amp; OTHER RELATED EXP"/>
    <s v="Expenses"/>
    <s v="801015"/>
    <s v="801015 VISA &amp; PERMITS"/>
    <s v="CWIP-CONSTRUCTION OF NEW RAW MILL FEEDING AND UPGRADATION"/>
    <s v="PROJECT"/>
    <s v="PROJECT"/>
    <n v="654582.5"/>
    <n v="0"/>
    <n v="654582.5"/>
    <s v="TZS"/>
    <m/>
    <m/>
    <n v="1"/>
    <m/>
    <x v="0"/>
    <x v="0"/>
    <x v="9"/>
    <x v="4"/>
    <n v="256.69901960784313"/>
    <n v="0"/>
  </r>
  <r>
    <n v="737"/>
    <d v="2025-07-30T00:00:00"/>
    <x v="77"/>
    <s v="STJ/2025/07/15589"/>
    <s v="Inventory Valuation"/>
    <s v="CM/MTI/2025/02158 - [EELCB010] CABLE ARMOURED DOUBLE LAYER TAPE ALUMINIUM 95 SQMM X 3.5 CORE 1.1KV / MRQ/2025/02993"/>
    <s v="CM/MTI/2025/02158 - [EELCB010] CABLE ARMOURED DOUBLE LAYER TAPE ALUMINIUM 95 SQMM X 3.5 CORE 1.1KV / MRQ/2025/02993"/>
    <m/>
    <m/>
    <s v="MATERIAL COST"/>
    <s v="Expenses"/>
    <s v="731002"/>
    <s v="731002 STORE SPARES &amp; CONSUMABLES - GENERAL"/>
    <s v="Inventory Spares Consumable"/>
    <s v="CEMENT MILL -1"/>
    <s v="ELECTRICAL"/>
    <n v="15246706.939999999"/>
    <n v="0"/>
    <n v="15246706.939999999"/>
    <s v="TZS"/>
    <s v="[EELCB010] CABLE ARMOURED DOUBLE LAYER TAPE ALUMINIUM 95 SQMM X 3.5 CORE 1.1KV"/>
    <m/>
    <n v="-980"/>
    <s v="MTR"/>
    <x v="0"/>
    <x v="0"/>
    <x v="8"/>
    <x v="3"/>
    <n v="5979.1007607843139"/>
    <n v="0"/>
  </r>
  <r>
    <n v="738"/>
    <d v="2025-07-31T14:25:24"/>
    <x v="78"/>
    <s v="STJ/2025/07/16304"/>
    <s v="Inventory Valuation"/>
    <s v="CM/MTI/2025/02173 - [PROPKL0337] CONNECTORS PROFIBUS RELAY WITH ACCESSORIES FOR PYRO SECTION / MRQ/2025/03048"/>
    <s v="CM/MTI/2025/02173 - [PROPKL0337] CONNECTORS PROFIBUS RELAY WITH ACCESSORIES FOR PYRO SECTION / MRQ/2025/03048"/>
    <m/>
    <m/>
    <s v="CAPITAL WORK IN PROGRESS"/>
    <s v="Fixed Assets"/>
    <s v="371021"/>
    <s v="371021 CWIP-PYRO UPGRADATION"/>
    <s v="Inventory Spares Consumable"/>
    <s v="PROJECT"/>
    <s v="ELECTRICAL"/>
    <n v="29608082.23"/>
    <n v="0"/>
    <n v="29608082.23"/>
    <s v="TZS"/>
    <s v="[PROPKL0337] CONNECTORS PROFIBUS RELAY WITH ACCESSORIES FOR PYRO SECTION"/>
    <s v="PYRO KILN"/>
    <n v="-1"/>
    <s v="SET"/>
    <x v="0"/>
    <x v="0"/>
    <x v="0"/>
    <x v="0"/>
    <n v="11611.012639215687"/>
    <n v="0"/>
  </r>
  <r>
    <n v="739"/>
    <d v="2025-07-31T07:31:29"/>
    <x v="78"/>
    <s v="SERBL/2025/07/0196"/>
    <s v="Service Bills"/>
    <s v="LPORD/2025/00623: SUPPLY OF CRANE OPERATOR FOR THE MONTH OF JUNE 2025 USED FOR RAWMILL 2 CONVERTION "/>
    <s v="28907"/>
    <s v="CMLT1217"/>
    <s v="Gibs Developers Company"/>
    <s v="CAPITAL WORK IN PROGRESS"/>
    <s v="Fixed Assets"/>
    <s v="371045"/>
    <s v="371045 CWIP-CONSTRUCTION OF NEW RAW MILL FEEDING AND UPGRADATION"/>
    <s v="CWIP-CONSTRUCTION OF NEW RAW MILL FEEDING AND UPGRADATION"/>
    <s v="RAW MILL-2"/>
    <s v="MECHANICAL"/>
    <n v="1800000"/>
    <n v="0"/>
    <n v="1800000"/>
    <s v="TZS"/>
    <s v="[SER006] Job Contract"/>
    <s v="Misc. Income"/>
    <n v="1"/>
    <s v="NOS"/>
    <x v="0"/>
    <x v="0"/>
    <x v="9"/>
    <x v="4"/>
    <n v="705.88235294117646"/>
    <n v="0"/>
  </r>
  <r>
    <n v="740"/>
    <d v="2025-07-31T07:31:29"/>
    <x v="78"/>
    <s v="SERBL/2025/07/0196"/>
    <s v="Service Bills"/>
    <s v="LPORD/2025/00623: SUPPLY OF BACKHOE OPERATOR FOR THE MONTH OF JUNE 2025 "/>
    <s v="28907"/>
    <s v="CMLT1217"/>
    <s v="Gibs Developers Company"/>
    <s v="CAPITAL WORK IN PROGRESS"/>
    <s v="Fixed Assets"/>
    <s v="371045"/>
    <s v="371045 CWIP-CONSTRUCTION OF NEW RAW MILL FEEDING AND UPGRADATION"/>
    <s v="CWIP-CONSTRUCTION OF NEW RAW MILL FEEDING AND UPGRADATION"/>
    <s v="RAW MILL-2"/>
    <s v="MECHANICAL"/>
    <n v="1200000"/>
    <n v="0"/>
    <n v="1200000"/>
    <s v="TZS"/>
    <s v="[SER006] Job Contract"/>
    <s v="Misc. Income"/>
    <n v="1"/>
    <s v="NOS"/>
    <x v="0"/>
    <x v="0"/>
    <x v="9"/>
    <x v="4"/>
    <n v="470.58823529411762"/>
    <n v="0"/>
  </r>
  <r>
    <n v="741"/>
    <d v="2025-07-31T07:31:29"/>
    <x v="78"/>
    <s v="SERBL/2025/07/0196"/>
    <s v="Service Bills"/>
    <s v="LPORD/2025/00623: SUPPLY OF HYDRA OPERATOR FOR THE MONTH OF JUNE USED FOR RAWMILL 2 CONVERTATION "/>
    <s v="28907"/>
    <s v="CMLT1217"/>
    <s v="Gibs Developers Company"/>
    <s v="CAPITAL WORK IN PROGRESS"/>
    <s v="Fixed Assets"/>
    <s v="371045"/>
    <s v="371045 CWIP-CONSTRUCTION OF NEW RAW MILL FEEDING AND UPGRADATION"/>
    <s v="CWIP-CONSTRUCTION OF NEW RAW MILL FEEDING AND UPGRADATION"/>
    <s v="RAW MILL-2"/>
    <s v="MECHANICAL"/>
    <n v="2400000"/>
    <n v="0"/>
    <n v="2400000"/>
    <s v="TZS"/>
    <s v="[SER006] Job Contract"/>
    <s v="Misc. Income"/>
    <n v="2"/>
    <s v="NOS"/>
    <x v="0"/>
    <x v="0"/>
    <x v="9"/>
    <x v="4"/>
    <n v="941.17647058823525"/>
    <n v="0"/>
  </r>
  <r>
    <n v="742"/>
    <d v="2025-08-06T12:20:52"/>
    <x v="78"/>
    <s v="DBN/2025/07/0078"/>
    <s v="Vendor Bills"/>
    <m/>
    <s v="DBN:-205/206/374"/>
    <s v="CMLT1217"/>
    <s v="Gibs Developers Company"/>
    <s v="CAPITAL WORK IN PROGRESS"/>
    <s v="Fixed Assets"/>
    <s v="371037"/>
    <s v="371037 CWIP-CONSTRUCTION OF PACKING PLANT AND BIG BAG LOADING"/>
    <s v="CWIP-CONSTRUCTION OF PACKING PLANT AND BIG BAG LOADING"/>
    <s v="PROJECT"/>
    <s v="PROJECT"/>
    <n v="0"/>
    <n v="69105000"/>
    <n v="-69105000"/>
    <s v="TZS"/>
    <m/>
    <m/>
    <n v="1"/>
    <m/>
    <x v="0"/>
    <x v="0"/>
    <x v="9"/>
    <x v="4"/>
    <n v="-27100"/>
    <n v="0"/>
  </r>
  <r>
    <n v="743"/>
    <d v="2025-08-06T12:20:52"/>
    <x v="78"/>
    <s v="DBN/2025/07/0078"/>
    <s v="Vendor Bills"/>
    <m/>
    <s v="DBN:-205/206/374"/>
    <s v="CMLT1217"/>
    <s v="Gibs Developers Company"/>
    <s v="CAPITAL WORK IN PROGRESS"/>
    <s v="Fixed Assets"/>
    <s v="371041"/>
    <s v="371041 CWIP-ESP UPGRADATION"/>
    <s v="CWIP-ESP UPGRADATION"/>
    <s v="PROJECT"/>
    <s v="PROJECT"/>
    <n v="0"/>
    <n v="350000"/>
    <n v="-350000"/>
    <s v="TZS"/>
    <m/>
    <m/>
    <n v="1"/>
    <m/>
    <x v="0"/>
    <x v="0"/>
    <x v="2"/>
    <x v="0"/>
    <n v="-137.25490196078431"/>
    <n v="0"/>
  </r>
  <r>
    <n v="744"/>
    <d v="2025-08-06T12:20:52"/>
    <x v="78"/>
    <s v="DBN/2025/07/0078"/>
    <s v="Vendor Bills"/>
    <m/>
    <s v="DBN:-205/206/374"/>
    <s v="CMLT1217"/>
    <s v="Gibs Developers Company"/>
    <s v="CAPITAL WORK IN PROGRESS"/>
    <s v="Fixed Assets"/>
    <s v="371021"/>
    <s v="371021 CWIP-PYRO UPGRADATION"/>
    <s v="CWIP-Pyro Upgradation"/>
    <s v="PROJECT"/>
    <s v="PROJECT"/>
    <n v="0"/>
    <n v="376461643.38999999"/>
    <n v="-376461643.38999999"/>
    <s v="TZS"/>
    <m/>
    <m/>
    <n v="1"/>
    <m/>
    <x v="0"/>
    <x v="0"/>
    <x v="0"/>
    <x v="0"/>
    <n v="-147632.01701568626"/>
    <n v="0"/>
  </r>
  <r>
    <n v="745"/>
    <d v="2025-08-06T12:20:52"/>
    <x v="78"/>
    <s v="DBN/2025/07/0078"/>
    <s v="Vendor Bills"/>
    <m/>
    <s v="DBN:-205/206/374"/>
    <s v="CMLT1217"/>
    <s v="Gibs Developers Company"/>
    <s v="CAPITAL WORK IN PROGRESS"/>
    <s v="Fixed Assets"/>
    <s v="371024"/>
    <s v="371024 CWIP-BAG HOUSE UPGRADE"/>
    <s v="CWIP-Bag House Upgrade"/>
    <s v="PROJECT"/>
    <s v="PROJECT"/>
    <n v="0"/>
    <n v="1800000"/>
    <n v="-1800000"/>
    <s v="TZS"/>
    <m/>
    <m/>
    <n v="1"/>
    <m/>
    <x v="0"/>
    <x v="0"/>
    <x v="15"/>
    <x v="0"/>
    <n v="-705.88235294117646"/>
    <n v="0"/>
  </r>
  <r>
    <n v="746"/>
    <d v="2025-08-06T12:20:52"/>
    <x v="78"/>
    <s v="DBN/2025/07/0078"/>
    <s v="Vendor Bills"/>
    <m/>
    <s v="DBN:-205/206/374"/>
    <s v="CMLT1217"/>
    <s v="Gibs Developers Company"/>
    <s v="CAPITAL WORK IN PROGRESS"/>
    <s v="Fixed Assets"/>
    <s v="371023"/>
    <s v="371023 CWIP-CEMENT MILL 50TPH NEW"/>
    <s v="CWIP-Cement Mill 50TPH New"/>
    <s v="PROJECT"/>
    <s v="PROJECT"/>
    <n v="0"/>
    <n v="22283356.609999999"/>
    <n v="-22283356.609999999"/>
    <s v="TZS"/>
    <m/>
    <m/>
    <n v="1"/>
    <m/>
    <x v="0"/>
    <x v="0"/>
    <x v="9"/>
    <x v="4"/>
    <n v="-8738.5712196078421"/>
    <n v="0"/>
  </r>
  <r>
    <n v="747"/>
    <d v="2025-07-31T00:00:00"/>
    <x v="78"/>
    <s v="STJ/2025/07/16270"/>
    <s v="Inventory Valuation"/>
    <s v="CM/MTI/2025/02160 - [CWCWR003] WELDING ELECTRODE MS 6013 SIZE 4 MM X 450 MM / MRQ/2025/03045"/>
    <s v="CM/MTI/2025/02160 - [CWCWR003] WELDING ELECTRODE MS 6013 SIZE 4 MM X 450 MM / MRQ/2025/0304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0975.089999999997"/>
    <n v="0"/>
    <n v="40975.089999999997"/>
    <s v="TZS"/>
    <s v="[CWCWR003] WELDING ELECTRODE MS 6013 SIZE 4 MM X 450 MM"/>
    <m/>
    <n v="-10"/>
    <s v="KG"/>
    <x v="0"/>
    <x v="0"/>
    <x v="9"/>
    <x v="4"/>
    <n v="16.068662745098038"/>
    <n v="0"/>
  </r>
  <r>
    <n v="748"/>
    <d v="2025-07-31T00:00:00"/>
    <x v="78"/>
    <s v="STJ/2025/07/16342"/>
    <s v="Inventory Valuation"/>
    <s v="LOG/MTI/2025/00732 - [LGS0079] CUTTING WHEEL - 9'' / MRQ/2025/03068"/>
    <s v="LOG/MTI/2025/00732 - [LGS0079] CUTTING WHEEL - 9'' / MRQ/2025/03068"/>
    <m/>
    <m/>
    <s v="MATERIAL COST"/>
    <s v="Expenses"/>
    <s v="731002"/>
    <s v="731002 STORE SPARES &amp; CONSUMABLES - GENERAL"/>
    <s v="CWIP-FABRICATION OF INHOUSE TRAILOR"/>
    <s v="LOGISTIC DIVISION"/>
    <s v="LOGISTIC DIVISION"/>
    <n v="7118.64"/>
    <n v="0"/>
    <n v="7118.64"/>
    <s v="TZS"/>
    <s v="[LGS0079] CUTTING WHEEL - 9''"/>
    <m/>
    <n v="-2"/>
    <s v="NOS"/>
    <x v="0"/>
    <x v="0"/>
    <x v="12"/>
    <x v="1"/>
    <n v="2.7916235294117646"/>
    <n v="0"/>
  </r>
  <r>
    <n v="749"/>
    <d v="2025-07-31T00:00:00"/>
    <x v="78"/>
    <s v="STJ/2025/07/16268"/>
    <s v="Inventory Valuation"/>
    <s v="CM/MTI/2025/02159 - [CPMBG002] BAG EMPTY FOR CEMENT PACKING GRADE 42.5R MATERIAL WOVEN POLYPROPYLENE CAPACITY 50KG COLOR ORANGE / MRQ/2025/02859"/>
    <s v="CM/MTI/2025/02159 - [CPMBG002] BAG EMPTY FOR CEMENT PACKING GRADE 42.5R MATERIAL WOVEN POLYPROPYLENE CAPACITY 50KG COLOR ORANGE / MRQ/2025/02859"/>
    <m/>
    <m/>
    <s v="MATERIAL COST"/>
    <s v="Expenses"/>
    <s v="731006"/>
    <s v="731006 PACKING BAGS CONSUMED"/>
    <s v="CWIP-INSTALLATION OF NEW WEIGHBRIDGE AT QUARRY(2NOS)"/>
    <s v="QUARRY"/>
    <s v="MECHANICAL"/>
    <n v="12600.1"/>
    <n v="0"/>
    <n v="12600.1"/>
    <s v="TZS"/>
    <s v="[CPMBG002] BAG EMPTY FOR CEMENT PACKING GRADE 42.5R MATERIAL WOVEN POLYPROPYLENE CAPACITY 50KG COLOR ORANGE"/>
    <m/>
    <n v="-30"/>
    <s v="NOS"/>
    <x v="0"/>
    <x v="0"/>
    <x v="14"/>
    <x v="3"/>
    <n v="4.9412156862745098"/>
    <n v="0"/>
  </r>
  <r>
    <n v="750"/>
    <d v="2025-07-31T00:00:00"/>
    <x v="78"/>
    <s v="STJ/2025/07/16284"/>
    <s v="Inventory Valuation"/>
    <s v="CM/MTI/2025/02167 - [CPMBG002] BAG EMPTY FOR CEMENT PACKING GRADE 42.5R MATERIAL WOVEN POLYPROPYLENE CAPACITY 50KG COLOR ORANGE / MRQ/2025/02813"/>
    <s v="CM/MTI/2025/02167 - [CPMBG002] BAG EMPTY FOR CEMENT PACKING GRADE 42.5R MATERIAL WOVEN POLYPROPYLENE CAPACITY 50KG COLOR ORANGE / MRQ/2025/02813"/>
    <m/>
    <m/>
    <s v="MATERIAL COST"/>
    <s v="Expenses"/>
    <s v="731006"/>
    <s v="731006 PACKING BAGS CONSUMED"/>
    <s v="CWIP-INSTALLATION OF NEW WEIGHBRIDGE AT QUARRY(2NOS)"/>
    <s v="QUARRY"/>
    <s v="MECHANICAL"/>
    <n v="25200.2"/>
    <n v="0"/>
    <n v="25200.2"/>
    <s v="TZS"/>
    <s v="[CPMBG002] BAG EMPTY FOR CEMENT PACKING GRADE 42.5R MATERIAL WOVEN POLYPROPYLENE CAPACITY 50KG COLOR ORANGE"/>
    <m/>
    <n v="-60"/>
    <s v="NOS"/>
    <x v="0"/>
    <x v="0"/>
    <x v="14"/>
    <x v="3"/>
    <n v="9.8824313725490196"/>
    <n v="0"/>
  </r>
  <r>
    <n v="751"/>
    <d v="2025-07-31T00:00:00"/>
    <x v="78"/>
    <s v="STJ/2025/07/16277"/>
    <s v="Inventory Valuation"/>
    <s v="CM/MTI/2025/02163 - [CPMBG006] BAG EMPTY FOR CEMENT PACKING GRADE 42.5N MATERIAL WOVEN POLYPROPYLENE CAPACITY 1MT COLOR RED / MRQ/2025/02843"/>
    <s v="CM/MTI/2025/02163 - [CPMBG006] BAG EMPTY FOR CEMENT PACKING GRADE 42.5N MATERIAL WOVEN POLYPROPYLENE CAPACITY 1MT COLOR RED / MRQ/2025/02843"/>
    <m/>
    <m/>
    <s v="MATERIAL COST"/>
    <s v="Expenses"/>
    <s v="731006"/>
    <s v="731006 PACKING BAGS CONSUMED"/>
    <s v="CWIP-ROAD PHASE 07"/>
    <s v="PROJECT"/>
    <s v="MECHANICAL"/>
    <n v="40348.22"/>
    <n v="0"/>
    <n v="40348.22"/>
    <s v="TZS"/>
    <s v="[CPMBG006] BAG EMPTY FOR CEMENT PACKING GRADE 42.5N MATERIAL WOVEN POLYPROPYLENE CAPACITY 1MT COLOR RED"/>
    <m/>
    <n v="-2"/>
    <s v="NOS"/>
    <x v="0"/>
    <x v="0"/>
    <x v="17"/>
    <x v="6"/>
    <n v="15.82283137254902"/>
    <n v="0"/>
  </r>
  <r>
    <n v="752"/>
    <d v="2025-08-01T07:21:35"/>
    <x v="79"/>
    <s v="PCVLG/2025/08/0004"/>
    <s v="PCV (PETTY CASH LOGISTIC)"/>
    <m/>
    <s v="CASH PAID FOR PURCHASING OF FLAT BAR 5 PCS 6X50MM @36000 FOR SIDE BODY REPAIRS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180000"/>
    <n v="0"/>
    <n v="180000"/>
    <s v="TZS"/>
    <m/>
    <m/>
    <n v="1"/>
    <m/>
    <x v="0"/>
    <x v="0"/>
    <x v="12"/>
    <x v="1"/>
    <n v="70.588235294117652"/>
    <n v="0"/>
  </r>
  <r>
    <n v="753"/>
    <d v="2025-08-01T00:00:00"/>
    <x v="79"/>
    <s v="STJ/2025/08/00177"/>
    <s v="Inventory Valuation"/>
    <s v="CM/MTI/2025/02191 - [CIGGS001] GAS OXYGEN FULL CYLINDER, O2 / MRQ/2025/03074"/>
    <s v="CM/MTI/2025/02191 - [CIGGS001] GAS OXYGEN FULL CYLINDER, O2 / MRQ/2025/03074"/>
    <m/>
    <m/>
    <s v="MATERIAL COST"/>
    <s v="Expenses"/>
    <s v="731002"/>
    <s v="731002 STORE SPARES &amp; CONSUMABLES - GENERAL"/>
    <s v="CWIP-INSTALLATION OF NEW WEIGHBRIDGE AT QUARRY(2NOS)"/>
    <s v="PROJECT"/>
    <s v="MECHANICAL"/>
    <n v="45000"/>
    <n v="0"/>
    <n v="45000"/>
    <s v="TZS"/>
    <s v="[CIGGS001] GAS OXYGEN FULL CYLINDER, O2"/>
    <m/>
    <n v="-3"/>
    <s v="NOS"/>
    <x v="0"/>
    <x v="0"/>
    <x v="14"/>
    <x v="3"/>
    <n v="17.647058823529413"/>
    <n v="0"/>
  </r>
  <r>
    <n v="754"/>
    <d v="2025-08-01T00:00:00"/>
    <x v="79"/>
    <s v="STJ/2025/08/00178"/>
    <s v="Inventory Valuation"/>
    <s v="CM/MTI/2025/02191 - [CWCWR003] WELDING ELECTRODE MS 6013 SIZE 4 MM X 450 MM / MRQ/2025/03074"/>
    <s v="CM/MTI/2025/02191 - [CWCWR003] WELDING ELECTRODE MS 6013 SIZE 4 MM X 450 MM / MRQ/2025/03074"/>
    <m/>
    <m/>
    <s v="MATERIAL COST"/>
    <s v="Expenses"/>
    <s v="731002"/>
    <s v="731002 STORE SPARES &amp; CONSUMABLES - GENERAL"/>
    <s v="CWIP-INSTALLATION OF NEW WEIGHBRIDGE AT QUARRY(2NOS)"/>
    <s v="PROJECT"/>
    <s v="MECHANICAL"/>
    <n v="40975.089999999997"/>
    <n v="0"/>
    <n v="40975.089999999997"/>
    <s v="TZS"/>
    <s v="[CWCWR003] WELDING ELECTRODE MS 6013 SIZE 4 MM X 450 MM"/>
    <m/>
    <n v="-10"/>
    <s v="KG"/>
    <x v="0"/>
    <x v="0"/>
    <x v="14"/>
    <x v="3"/>
    <n v="16.068662745098038"/>
    <n v="0"/>
  </r>
  <r>
    <n v="755"/>
    <d v="2025-08-01T00:00:00"/>
    <x v="79"/>
    <s v="STJ/2025/08/00174"/>
    <s v="Inventory Valuation"/>
    <s v="CM/MTI/2025/02188 - [CCLGC317] WALL PUTTY/WALL PLASTER / MRQ/2025/03081"/>
    <s v="CM/MTI/2025/02188 - [CCLGC317] WALL PUTTY/WALL PLASTER / MRQ/2025/03081"/>
    <m/>
    <m/>
    <s v="MATERIAL COST"/>
    <s v="Expenses"/>
    <s v="731002"/>
    <s v="731002 STORE SPARES &amp; CONSUMABLES - GENERAL"/>
    <s v="CWIP-INSTALLATION OF NEW WEIGHBRIDGE AT QUARRY(2NOS)"/>
    <s v="QUARRY"/>
    <s v="MECHANICAL"/>
    <n v="40000"/>
    <n v="0"/>
    <n v="40000"/>
    <s v="TZS"/>
    <s v="[CCLGC317] WALL PUTTY/WALL PLASTER"/>
    <m/>
    <n v="-50"/>
    <s v="KG"/>
    <x v="0"/>
    <x v="0"/>
    <x v="14"/>
    <x v="3"/>
    <n v="15.686274509803921"/>
    <n v="0"/>
  </r>
  <r>
    <n v="756"/>
    <d v="2025-08-01T00:00:00"/>
    <x v="79"/>
    <s v="STJ/2025/08/00175"/>
    <s v="Inventory Valuation"/>
    <s v="CM/MTI/2025/02189 - [CCLGC225] DOOR ALUMINIUM MADE WITH ALUMINIUM PROFILE 10CM BODY SHEET &amp; CLEAR GLASS SIZE 91 CM WIDTH X H 215 CM HEIGHT / MRQ/2025/03056"/>
    <s v="CM/MTI/2025/02189 - [CCLGC225] DOOR ALUMINIUM MADE WITH ALUMINIUM PROFILE 10CM BODY SHEET &amp; CLEAR GLASS SIZE 91 CM WIDTH X H 215 CM HEIGHT / MRQ/2025/03056"/>
    <m/>
    <m/>
    <s v="MATERIAL COST"/>
    <s v="Expenses"/>
    <s v="731002"/>
    <s v="731002 STORE SPARES &amp; CONSUMABLES - GENERAL"/>
    <s v="CWIP-INSTALLATION OF NEW WEIGHBRIDGE AT QUARRY(2NOS)"/>
    <s v="QUARRY"/>
    <s v="MECHANICAL"/>
    <n v="800000"/>
    <n v="0"/>
    <n v="800000"/>
    <s v="TZS"/>
    <s v="[CCLGC225] DOOR ALUMINIUM MADE WITH ALUMINIUM PROFILE 10CM BODY SHEET &amp; CLEAR GLASS SIZE 91 CM WIDTH X H 215 CM HEIGHT"/>
    <m/>
    <n v="-1"/>
    <s v="NOS"/>
    <x v="0"/>
    <x v="0"/>
    <x v="14"/>
    <x v="3"/>
    <n v="313.72549019607845"/>
    <n v="0"/>
  </r>
  <r>
    <n v="757"/>
    <d v="2025-08-01T00:00:00"/>
    <x v="79"/>
    <s v="STJ/2025/08/00179"/>
    <s v="Inventory Valuation"/>
    <s v="CM/MTI/2025/02192 - [CCLGC004] SAND / MRQ/2025/03057"/>
    <s v="CM/MTI/2025/02192 - [CCLGC004] SAND / MRQ/2025/03057"/>
    <m/>
    <m/>
    <s v="MATERIAL COST"/>
    <s v="Expenses"/>
    <s v="731002"/>
    <s v="731002 STORE SPARES &amp; CONSUMABLES - GENERAL"/>
    <s v="CWIP-ROAD PHASE 07"/>
    <s v="PROJECT"/>
    <s v="MECHANICAL"/>
    <n v="7859000"/>
    <n v="0"/>
    <n v="7859000"/>
    <s v="TZS"/>
    <s v="[CCLGC004] SAND"/>
    <m/>
    <n v="-157180"/>
    <s v="KG"/>
    <x v="0"/>
    <x v="0"/>
    <x v="17"/>
    <x v="6"/>
    <n v="3081.9607843137255"/>
    <n v="0"/>
  </r>
  <r>
    <n v="758"/>
    <d v="2025-08-02T00:00:00"/>
    <x v="80"/>
    <s v="STJ/2025/08/00725"/>
    <s v="Inventory Valuation"/>
    <s v="CM/MTI/2025/02209 - [CIGGS001] GAS OXYGEN FULL CYLINDER, O2 / MRQ/2025/03115"/>
    <s v="CM/MTI/2025/02209 - [CIGGS001] GAS OXYGEN FULL CYLINDER, O2 / MRQ/2025/03115"/>
    <m/>
    <m/>
    <s v="MATERIAL COST"/>
    <s v="Expenses"/>
    <s v="731002"/>
    <s v="731002 STORE SPARES &amp; CONSUMABLES - GENERAL"/>
    <s v="CWIP-INSTALLATION OF NEW WEIGHBRIDGE AT QUARRY(2NOS)"/>
    <s v="QUARRY"/>
    <s v="MECHANICAL"/>
    <n v="75000"/>
    <n v="0"/>
    <n v="75000"/>
    <s v="TZS"/>
    <s v="[CIGGS001] GAS OXYGEN FULL CYLINDER, O2"/>
    <m/>
    <n v="-5"/>
    <s v="NOS"/>
    <x v="0"/>
    <x v="0"/>
    <x v="14"/>
    <x v="3"/>
    <n v="29.411764705882351"/>
    <n v="0"/>
  </r>
  <r>
    <n v="759"/>
    <d v="2025-08-04T00:00:00"/>
    <x v="81"/>
    <s v="STJ/2025/08/01656"/>
    <s v="Inventory Valuation"/>
    <s v="CM/MTI/2025/02226 - [EMECO201] AIR RECEIVER 2M3 WITH ALL ACCESSORIES / MRQ/2025/03160"/>
    <s v="CM/MTI/2025/02226 - [EMECO201] AIR RECEIVER 2M3 WITH ALL ACCESSORIES / MRQ/2025/0316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020070.5199999996"/>
    <n v="0"/>
    <n v="5020070.5199999996"/>
    <s v="TZS"/>
    <s v="[EMECO201] AIR RECEIVER 2M3 WITH ALL ACCESSORIES"/>
    <m/>
    <n v="-1"/>
    <s v="NOS"/>
    <x v="0"/>
    <x v="0"/>
    <x v="9"/>
    <x v="4"/>
    <n v="1968.6551058823527"/>
    <n v="0"/>
  </r>
  <r>
    <n v="760"/>
    <d v="2025-08-04T00:00:00"/>
    <x v="81"/>
    <s v="STJ/2025/08/01657"/>
    <s v="Inventory Valuation"/>
    <s v="CM/MTI/2025/02226 - [EVLBV025] VALVE BALL TYPE SIZE 3&quot; / MRQ/2025/03160"/>
    <s v="CM/MTI/2025/02226 - [EVLBV025] VALVE BALL TYPE SIZE 3&quot; / MRQ/2025/0316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15000"/>
    <n v="0"/>
    <n v="215000"/>
    <s v="TZS"/>
    <s v="[EVLBV025] VALVE BALL TYPE SIZE 3&quot;"/>
    <m/>
    <n v="-1"/>
    <s v="NOS"/>
    <x v="0"/>
    <x v="0"/>
    <x v="9"/>
    <x v="4"/>
    <n v="84.313725490196077"/>
    <n v="0"/>
  </r>
  <r>
    <n v="761"/>
    <d v="2025-08-04T00:00:00"/>
    <x v="81"/>
    <s v="STJ/2025/08/01658"/>
    <s v="Inventory Valuation"/>
    <s v="CM/MTI/2025/02226 - [EVLBV030] VALVE BALL TYPE SIZE 50MM / MRQ/2025/03160"/>
    <s v="CM/MTI/2025/02226 - [EVLBV030] VALVE BALL TYPE SIZE 50MM / MRQ/2025/03160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5000"/>
    <n v="0"/>
    <n v="55000"/>
    <s v="TZS"/>
    <s v="[EVLBV030] VALVE BALL TYPE SIZE 50MM"/>
    <m/>
    <n v="-1"/>
    <s v="NOS"/>
    <x v="0"/>
    <x v="0"/>
    <x v="9"/>
    <x v="4"/>
    <n v="21.568627450980394"/>
    <n v="0"/>
  </r>
  <r>
    <n v="762"/>
    <d v="2025-08-04T00:00:00"/>
    <x v="81"/>
    <s v="STJ/2025/08/01521"/>
    <s v="Inventory Valuation"/>
    <s v="LOG/MTI/2025/00739 - [EPSSP038] PLATE MS 2400 X 1200 X 1.5 MM THICK / MRQ/2025/03154"/>
    <s v="LOG/MTI/2025/00739 - [EPSSP038] PLATE MS 2400 X 1200 X 1.5 MM THICK / MRQ/2025/03154"/>
    <m/>
    <m/>
    <s v="MATERIAL COST"/>
    <s v="Expenses"/>
    <s v="731002"/>
    <s v="731002 STORE SPARES &amp; CONSUMABLES - GENERAL"/>
    <s v="CWIP-FABRICATION OF INHOUSE TRAILOR"/>
    <s v="LOGISTIC DIVISION"/>
    <s v="LOGISTIC DIVISION"/>
    <n v="3930000"/>
    <n v="0"/>
    <n v="3930000"/>
    <s v="TZS"/>
    <s v="[EPSSP038] PLATE MS 2400 X 1200 X 1.5 MM THICK"/>
    <m/>
    <n v="-60"/>
    <s v="NOS"/>
    <x v="0"/>
    <x v="0"/>
    <x v="12"/>
    <x v="1"/>
    <n v="1541.1764705882354"/>
    <n v="0"/>
  </r>
  <r>
    <n v="763"/>
    <d v="2025-08-04T00:00:00"/>
    <x v="81"/>
    <s v="STJ/2025/08/01522"/>
    <s v="Inventory Valuation"/>
    <s v="LOG/MTI/2025/00739 - [ESSAG005] ISA 50 X 50 X 5 / MRQ/2025/03154"/>
    <s v="LOG/MTI/2025/00739 - [ESSAG005] ISA 50 X 50 X 5 / MRQ/2025/03154"/>
    <m/>
    <m/>
    <s v="MATERIAL COST"/>
    <s v="Expenses"/>
    <s v="731002"/>
    <s v="731002 STORE SPARES &amp; CONSUMABLES - GENERAL"/>
    <s v="CWIP-FABRICATION OF INHOUSE TRAILOR"/>
    <s v="LOGISTIC DIVISION"/>
    <s v="LOGISTIC DIVISION"/>
    <n v="1500000"/>
    <n v="0"/>
    <n v="1500000"/>
    <s v="TZS"/>
    <s v="[ESSAG005] ISA 50 X 50 X 5"/>
    <m/>
    <n v="-30"/>
    <s v="NOS"/>
    <x v="0"/>
    <x v="0"/>
    <x v="12"/>
    <x v="1"/>
    <n v="588.23529411764707"/>
    <n v="0"/>
  </r>
  <r>
    <n v="764"/>
    <d v="2025-08-04T00:00:00"/>
    <x v="81"/>
    <s v="STJ/2025/08/01587"/>
    <s v="Inventory Valuation"/>
    <s v="LOG/MTI/2025/00756 - [LGS0079] CUTTING WHEEL - 9'' / MRQ/2025/03130"/>
    <s v="LOG/MTI/2025/00756 - [LGS0079] CUTTING WHEEL - 9'' / MRQ/2025/03130"/>
    <m/>
    <m/>
    <s v="MATERIAL COST"/>
    <s v="Expenses"/>
    <s v="731002"/>
    <s v="731002 STORE SPARES &amp; CONSUMABLES - GENERAL"/>
    <s v="CWIP-FABRICATION OF INHOUSE TRAILOR"/>
    <s v="LOGISTIC DIVISION"/>
    <s v="LOGISTIC DIVISION"/>
    <n v="3559.32"/>
    <n v="0"/>
    <n v="3559.32"/>
    <s v="TZS"/>
    <s v="[LGS0079] CUTTING WHEEL - 9''"/>
    <m/>
    <n v="-1"/>
    <s v="NOS"/>
    <x v="0"/>
    <x v="0"/>
    <x v="12"/>
    <x v="1"/>
    <n v="1.3958117647058823"/>
    <n v="0"/>
  </r>
  <r>
    <n v="765"/>
    <d v="2025-08-04T00:00:00"/>
    <x v="81"/>
    <s v="STJ/2025/08/01631"/>
    <s v="Inventory Valuation"/>
    <s v="CM/MTI/2025/02215 - [CWCGC041] CUTTING WHEEL 7'' / MRQ/2025/03099_x000a_Rounding Adjustment: +0.01 TSh"/>
    <s v="CM/MTI/2025/02215 - [CWCGC041] CUTTING WHEEL 7'' / MRQ/2025/03099_x000a_Rounding Adjustment: +0.01 TSh"/>
    <m/>
    <m/>
    <s v="MATERIAL COST"/>
    <s v="Expenses"/>
    <s v="731002"/>
    <s v="731002 STORE SPARES &amp; CONSUMABLES - GENERAL"/>
    <s v="CWIP-FABRICATION OF INHOUSE TRAILOR"/>
    <s v="LOGISTIC DIVISION"/>
    <s v="LOGISTIC DIVISION"/>
    <n v="64526.18"/>
    <n v="0"/>
    <n v="64526.18"/>
    <s v="TZS"/>
    <s v="[CWCGC041] CUTTING WHEEL 7''"/>
    <m/>
    <n v="-20"/>
    <s v="NOS"/>
    <x v="0"/>
    <x v="0"/>
    <x v="12"/>
    <x v="1"/>
    <n v="25.304384313725489"/>
    <n v="0"/>
  </r>
  <r>
    <n v="766"/>
    <d v="2025-08-04T00:00:00"/>
    <x v="81"/>
    <s v="STJ/2025/08/01635"/>
    <s v="Inventory Valuation"/>
    <s v="CM/MTI/2025/02216 - [CWCGC079] GRINDING WHEEL 5'' / MRQ/2025/03148"/>
    <s v="CM/MTI/2025/02216 - [CWCGC079] GRINDING WHEEL 5'' / MRQ/2025/03148"/>
    <m/>
    <m/>
    <s v="MATERIAL COST"/>
    <s v="Expenses"/>
    <s v="731002"/>
    <s v="731002 STORE SPARES &amp; CONSUMABLES - GENERAL"/>
    <s v="CWIP-FABRICATION OF INHOUSE TRAILOR"/>
    <s v="LOGISTIC DIVISION"/>
    <s v="LOGISTIC DIVISION"/>
    <n v="54025.35"/>
    <n v="0"/>
    <n v="54025.35"/>
    <s v="TZS"/>
    <s v="[CWCGC079] GRINDING WHEEL 5''"/>
    <m/>
    <n v="-15"/>
    <s v="NOS"/>
    <x v="0"/>
    <x v="0"/>
    <x v="12"/>
    <x v="1"/>
    <n v="21.186411764705881"/>
    <n v="0"/>
  </r>
  <r>
    <n v="767"/>
    <d v="2025-08-04T00:00:00"/>
    <x v="81"/>
    <s v="STJ/2025/08/01646"/>
    <s v="Inventory Valuation"/>
    <s v="CM/MTI/2025/02220 - [CCLGC317] WALL PUTTY/WALL PLASTER / MRQ/2025/03149"/>
    <s v="CM/MTI/2025/02220 - [CCLGC317] WALL PUTTY/WALL PLASTER / MRQ/2025/03149"/>
    <m/>
    <m/>
    <s v="MATERIAL COST"/>
    <s v="Expenses"/>
    <s v="731002"/>
    <s v="731002 STORE SPARES &amp; CONSUMABLES - GENERAL"/>
    <s v="CWIP-INSTALLATION OF NEW WEIGHBRIDGE AT QUARRY(2NOS)"/>
    <s v="QUARRY"/>
    <s v="MECHANICAL"/>
    <n v="40000"/>
    <n v="0"/>
    <n v="40000"/>
    <s v="TZS"/>
    <s v="[CCLGC317] WALL PUTTY/WALL PLASTER"/>
    <m/>
    <n v="-50"/>
    <s v="KG"/>
    <x v="0"/>
    <x v="0"/>
    <x v="14"/>
    <x v="3"/>
    <n v="15.686274509803921"/>
    <n v="0"/>
  </r>
  <r>
    <n v="768"/>
    <d v="2025-08-04T00:00:00"/>
    <x v="81"/>
    <s v="STJ/2025/08/01647"/>
    <s v="Inventory Valuation"/>
    <s v="CM/MTI/2025/02220 - [CCLGC328] TMT BAR SIZE 10 MM GRADE FY500. / MRQ/2025/03149"/>
    <s v="CM/MTI/2025/02220 - [CCLGC328] TMT BAR SIZE 10 MM GRADE FY500. / MRQ/2025/03149"/>
    <m/>
    <m/>
    <s v="MATERIAL COST"/>
    <s v="Expenses"/>
    <s v="731002"/>
    <s v="731002 STORE SPARES &amp; CONSUMABLES - GENERAL"/>
    <s v="CWIP-INSTALLATION OF NEW WEIGHBRIDGE AT QUARRY(2NOS)"/>
    <s v="QUARRY"/>
    <s v="MECHANICAL"/>
    <n v="73601.94"/>
    <n v="0"/>
    <n v="73601.94"/>
    <s v="TZS"/>
    <s v="[CCLGC328] TMT BAR SIZE 10 MM GRADE FY500."/>
    <m/>
    <n v="-5"/>
    <s v="PCS"/>
    <x v="0"/>
    <x v="0"/>
    <x v="14"/>
    <x v="3"/>
    <n v="28.863505882352943"/>
    <n v="0"/>
  </r>
  <r>
    <n v="769"/>
    <d v="2025-08-04T00:00:00"/>
    <x v="81"/>
    <s v="STJ/2025/08/01652"/>
    <s v="Inventory Valuation"/>
    <s v="CM/MTI/2025/02223 - [CPMBG002] BAG EMPTY FOR CEMENT PACKING GRADE 42.5R MATERIAL WOVEN POLYPROPYLENE CAPACITY 50KG COLOR ORANGE / MRQ/2025/03079"/>
    <s v="CM/MTI/2025/02223 - [CPMBG002] BAG EMPTY FOR CEMENT PACKING GRADE 42.5R MATERIAL WOVEN POLYPROPYLENE CAPACITY 50KG COLOR ORANGE / MRQ/2025/03079"/>
    <m/>
    <m/>
    <s v="MATERIAL COST"/>
    <s v="Expenses"/>
    <s v="731006"/>
    <s v="731006 PACKING BAGS CONSUMED"/>
    <s v="CWIP-INSTALLATION OF NEW WEIGHBRIDGE AT QUARRY(2NOS)"/>
    <s v="QUARRY"/>
    <s v="MECHANICAL"/>
    <n v="25200.17"/>
    <n v="0"/>
    <n v="25200.17"/>
    <s v="TZS"/>
    <s v="[CPMBG002] BAG EMPTY FOR CEMENT PACKING GRADE 42.5R MATERIAL WOVEN POLYPROPYLENE CAPACITY 50KG COLOR ORANGE"/>
    <m/>
    <n v="-60"/>
    <s v="NOS"/>
    <x v="0"/>
    <x v="0"/>
    <x v="14"/>
    <x v="3"/>
    <n v="9.8824196078431363"/>
    <n v="0"/>
  </r>
  <r>
    <n v="770"/>
    <d v="2025-08-05T14:51:42"/>
    <x v="82"/>
    <s v="STJ/2025/08/02057"/>
    <s v="Inventory Valuation"/>
    <s v="CM/MTI/2025/02257 - [PROPCO0105] COOLING FAN / MRQ/2025/03182"/>
    <s v="CM/MTI/2025/02257 - [PROPCO0105] COOLING FAN / MRQ/2025/03182"/>
    <m/>
    <m/>
    <s v="CAPITAL WORK IN PROGRESS"/>
    <s v="Fixed Assets"/>
    <s v="371021"/>
    <s v="371021 CWIP-PYRO UPGRADATION"/>
    <s v="WHEEL LOADER T963DTP"/>
    <s v="QUARRY"/>
    <s v="QUARRYING"/>
    <n v="396400"/>
    <n v="0"/>
    <n v="396400"/>
    <s v="TZS"/>
    <s v="[PROPCO0105] COOLING FAN"/>
    <s v="PYRO COOLER"/>
    <n v="-2"/>
    <s v="NOS"/>
    <x v="0"/>
    <x v="0"/>
    <x v="0"/>
    <x v="0"/>
    <n v="155.45098039215685"/>
    <n v="0"/>
  </r>
  <r>
    <n v="771"/>
    <d v="2025-08-05T12:06:41"/>
    <x v="82"/>
    <s v="SERBL/2025/08/0022"/>
    <s v="Service Bills"/>
    <s v="AIR TICKET CHARGES "/>
    <s v="DTI00001834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71528"/>
    <n v="0"/>
    <n v="171528"/>
    <s v="TZS"/>
    <m/>
    <m/>
    <n v="1"/>
    <m/>
    <x v="0"/>
    <x v="0"/>
    <x v="3"/>
    <x v="0"/>
    <n v="67.265882352941176"/>
    <n v="0"/>
  </r>
  <r>
    <n v="772"/>
    <d v="2025-08-05T12:03:47"/>
    <x v="82"/>
    <s v="SERBL/2025/08/0021"/>
    <s v="Service Bills"/>
    <s v="AIR TIUCKET CHARGES "/>
    <s v="DTI00001835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94500.5"/>
    <n v="0"/>
    <n v="194500.5"/>
    <s v="TZS"/>
    <m/>
    <m/>
    <n v="1"/>
    <m/>
    <x v="0"/>
    <x v="0"/>
    <x v="3"/>
    <x v="0"/>
    <n v="76.274705882352947"/>
    <n v="0"/>
  </r>
  <r>
    <n v="773"/>
    <d v="2025-08-05T12:00:40"/>
    <x v="82"/>
    <s v="SERBL/2025/08/0020"/>
    <s v="Service Bills"/>
    <s v="AIR TICKET CHARGES "/>
    <s v="ITI00001452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814827.5"/>
    <n v="0"/>
    <n v="1814827.5"/>
    <s v="TZS"/>
    <m/>
    <m/>
    <n v="1"/>
    <m/>
    <x v="0"/>
    <x v="0"/>
    <x v="3"/>
    <x v="0"/>
    <n v="711.69705882352946"/>
    <n v="0"/>
  </r>
  <r>
    <n v="774"/>
    <d v="2025-08-05T11:57:06"/>
    <x v="82"/>
    <s v="SERBL/2025/08/0019"/>
    <s v="Service Bills"/>
    <s v="AIR TICKET CHARGES "/>
    <s v="ITI0000130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624239.4"/>
    <n v="0"/>
    <n v="624239.4"/>
    <s v="TZS"/>
    <m/>
    <m/>
    <n v="1"/>
    <m/>
    <x v="0"/>
    <x v="0"/>
    <x v="3"/>
    <x v="0"/>
    <n v="244.79976470588235"/>
    <n v="0"/>
  </r>
  <r>
    <n v="775"/>
    <d v="2025-08-05T11:33:02"/>
    <x v="82"/>
    <s v="SERBL/2025/08/0018"/>
    <s v="Service Bills"/>
    <s v="AIR TICKET CHARGES "/>
    <s v="DTI00001681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81023.3"/>
    <n v="0"/>
    <n v="181023.3"/>
    <s v="TZS"/>
    <m/>
    <m/>
    <n v="1"/>
    <m/>
    <x v="0"/>
    <x v="0"/>
    <x v="3"/>
    <x v="0"/>
    <n v="70.989529411764707"/>
    <n v="0"/>
  </r>
  <r>
    <n v="776"/>
    <d v="2025-08-05T11:29:42"/>
    <x v="82"/>
    <s v="SERBL/2025/08/0017"/>
    <s v="Service Bills"/>
    <s v="AIR TICKET CHARGES "/>
    <s v="ITI00001299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976484.4"/>
    <n v="0"/>
    <n v="976484.4"/>
    <s v="TZS"/>
    <m/>
    <m/>
    <n v="1"/>
    <m/>
    <x v="0"/>
    <x v="0"/>
    <x v="3"/>
    <x v="0"/>
    <n v="382.9350588235294"/>
    <n v="0"/>
  </r>
  <r>
    <n v="777"/>
    <d v="2025-08-05T11:11:44"/>
    <x v="82"/>
    <s v="SERBL/2025/08/0015"/>
    <s v="Service Bills"/>
    <s v="AIR TICKET CHARGES "/>
    <s v="ITI00001241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2440537.14"/>
    <n v="0"/>
    <n v="2440537.14"/>
    <s v="TZS"/>
    <m/>
    <m/>
    <n v="1"/>
    <m/>
    <x v="0"/>
    <x v="0"/>
    <x v="3"/>
    <x v="0"/>
    <n v="957.07338823529415"/>
    <n v="0"/>
  </r>
  <r>
    <n v="778"/>
    <d v="2025-08-05T08:51:45"/>
    <x v="82"/>
    <s v="SERBL/2025/08/0011"/>
    <s v="Service Bills"/>
    <s v="AIR TICKET CHARGES "/>
    <s v="ITI00001472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392133.5"/>
    <n v="0"/>
    <n v="1392133.5"/>
    <s v="TZS"/>
    <m/>
    <m/>
    <n v="1"/>
    <m/>
    <x v="0"/>
    <x v="0"/>
    <x v="3"/>
    <x v="0"/>
    <n v="545.93470588235289"/>
    <n v="0"/>
  </r>
  <r>
    <n v="779"/>
    <d v="2025-08-05T08:26:02"/>
    <x v="82"/>
    <s v="SERBL/2025/08/0006"/>
    <s v="Service Bills"/>
    <s v="AIR TICKET CHARGES "/>
    <s v="ITI00001229"/>
    <s v="CMMI1985"/>
    <s v="Blueberry Travel India Private Limited"/>
    <s v="CAPITAL WORK IN PROGRESS"/>
    <s v="Fixed Assets"/>
    <s v="371056"/>
    <s v="371056 MINERAL EXPLORATION &amp; DEVELOPMENT-TARAWANDA"/>
    <s v="Corporate"/>
    <s v="HO"/>
    <s v="ADMIN"/>
    <n v="2378419.5"/>
    <n v="0"/>
    <n v="2378419.5"/>
    <s v="TZS"/>
    <m/>
    <m/>
    <n v="1"/>
    <m/>
    <x v="0"/>
    <x v="0"/>
    <x v="1"/>
    <x v="1"/>
    <n v="932.71352941176474"/>
    <n v="0"/>
  </r>
  <r>
    <n v="780"/>
    <d v="2025-08-05T08:20:45"/>
    <x v="82"/>
    <s v="SERBL/2025/08/0005"/>
    <s v="Service Bills"/>
    <s v="AIR TICKET CHARGES "/>
    <s v="ITI00001669"/>
    <s v="CMMI1985"/>
    <s v="Blueberry Travel India Private Limited"/>
    <s v="CAPITAL WORK IN PROGRESS"/>
    <s v="Fixed Assets"/>
    <s v="371056"/>
    <s v="371056 MINERAL EXPLORATION &amp; DEVELOPMENT-TARAWANDA"/>
    <s v="Corporate"/>
    <s v="HO"/>
    <s v="ADMIN"/>
    <n v="578907"/>
    <n v="0"/>
    <n v="578907"/>
    <s v="TZS"/>
    <m/>
    <m/>
    <n v="1"/>
    <m/>
    <x v="0"/>
    <x v="0"/>
    <x v="1"/>
    <x v="1"/>
    <n v="227.02235294117648"/>
    <n v="0"/>
  </r>
  <r>
    <n v="781"/>
    <d v="2025-08-05T07:22:02"/>
    <x v="82"/>
    <s v="PCVLG/2025/08/0035"/>
    <s v="PCV (PETTY CASH LOGISTIC)"/>
    <m/>
    <s v="CASH PAID FOR FABRICATION OF SIDE WALLS FOR SECOND NEW TRAILERS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800000"/>
    <n v="0"/>
    <n v="800000"/>
    <s v="TZS"/>
    <m/>
    <m/>
    <n v="1"/>
    <m/>
    <x v="0"/>
    <x v="0"/>
    <x v="12"/>
    <x v="1"/>
    <n v="313.72549019607845"/>
    <n v="0"/>
  </r>
  <r>
    <n v="782"/>
    <d v="2025-08-05T11:25:13"/>
    <x v="82"/>
    <s v="DBN/2025/08/0002"/>
    <s v="Service Bills"/>
    <s v="DBN AGAINST AIR TICKET CHARGES "/>
    <s v="ITC00000191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0"/>
    <n v="2379277.14"/>
    <n v="-2379277.14"/>
    <s v="TZS"/>
    <m/>
    <m/>
    <n v="1"/>
    <m/>
    <x v="0"/>
    <x v="0"/>
    <x v="3"/>
    <x v="0"/>
    <n v="-933.04985882352946"/>
    <n v="0"/>
  </r>
  <r>
    <n v="783"/>
    <d v="2025-08-05T00:00:00"/>
    <x v="82"/>
    <s v="STJ/2025/08/02025"/>
    <s v="Inventory Valuation"/>
    <s v="CM/MTI/2025/02252 - [CPAPT037] THINNER SOLVENT / MRQ/2025/03172"/>
    <s v="CM/MTI/2025/02252 - [CPAPT037] THINNER SOLVENT / MRQ/2025/0317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0580.810000000001"/>
    <n v="0"/>
    <n v="20580.810000000001"/>
    <s v="TZS"/>
    <s v="[CPAPT037] THINNER SOLVENT"/>
    <m/>
    <n v="-5"/>
    <s v="LTR"/>
    <x v="0"/>
    <x v="0"/>
    <x v="9"/>
    <x v="4"/>
    <n v="8.0709058823529425"/>
    <n v="0"/>
  </r>
  <r>
    <n v="784"/>
    <d v="2025-08-05T00:00:00"/>
    <x v="82"/>
    <s v="STJ/2025/08/02058"/>
    <s v="Inventory Valuation"/>
    <s v="CM/MTI/2025/02258 - [CIGGS001] GAS OXYGEN FULL CYLINDER, O2 / MRQ/2025/03135"/>
    <s v="CM/MTI/2025/02258 - [CIGGS001] GAS OXYGEN FULL CYLINDER, O2 / MRQ/2025/031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5000"/>
    <n v="0"/>
    <n v="105000"/>
    <s v="TZS"/>
    <s v="[CIGGS001] GAS OXYGEN FULL CYLINDER, O2"/>
    <m/>
    <n v="-7"/>
    <s v="NOS"/>
    <x v="0"/>
    <x v="0"/>
    <x v="9"/>
    <x v="4"/>
    <n v="41.176470588235297"/>
    <n v="0"/>
  </r>
  <r>
    <n v="785"/>
    <d v="2025-08-05T00:00:00"/>
    <x v="82"/>
    <s v="STJ/2025/08/02059"/>
    <s v="Inventory Valuation"/>
    <s v="CM/MTI/2025/02258 - [CWCWR003] WELDING ELECTRODE MS 6013 SIZE 4 MM X 450 MM / MRQ/2025/03135"/>
    <s v="CM/MTI/2025/02258 - [CWCWR003] WELDING ELECTRODE MS 6013 SIZE 4 MM X 450 MM / MRQ/2025/031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0975.089999999997"/>
    <n v="0"/>
    <n v="40975.089999999997"/>
    <s v="TZS"/>
    <s v="[CWCWR003] WELDING ELECTRODE MS 6013 SIZE 4 MM X 450 MM"/>
    <m/>
    <n v="-10"/>
    <s v="KG"/>
    <x v="0"/>
    <x v="0"/>
    <x v="9"/>
    <x v="4"/>
    <n v="16.068662745098038"/>
    <n v="0"/>
  </r>
  <r>
    <n v="786"/>
    <d v="2025-08-05T00:00:00"/>
    <x v="82"/>
    <s v="STJ/2025/08/02026"/>
    <s v="Inventory Valuation"/>
    <s v="CM/MTI/2025/02253 - [CPAPT007] PAINT RED OXIDE / MRQ/2025/03174"/>
    <s v="CM/MTI/2025/02253 - [CPAPT007] PAINT RED OXIDE / MRQ/2025/03174"/>
    <m/>
    <m/>
    <s v="MATERIAL COST"/>
    <s v="Expenses"/>
    <s v="731002"/>
    <s v="731002 STORE SPARES &amp; CONSUMABLES - GENERAL"/>
    <s v="CWIP-CONSTRUCTION OF PACKING PLANT AND BIG BAG LOADING"/>
    <s v="PACKING-2"/>
    <s v="MECHANICAL"/>
    <n v="38102"/>
    <n v="0"/>
    <n v="38102"/>
    <s v="TZS"/>
    <s v="[CPAPT007] PAINT RED OXIDE"/>
    <m/>
    <n v="-8"/>
    <s v="LTR"/>
    <x v="0"/>
    <x v="0"/>
    <x v="9"/>
    <x v="4"/>
    <n v="14.941960784313725"/>
    <n v="0"/>
  </r>
  <r>
    <n v="787"/>
    <d v="2025-08-05T00:00:00"/>
    <x v="82"/>
    <s v="STJ/2025/08/02027"/>
    <s v="Inventory Valuation"/>
    <s v="CM/MTI/2025/02253 - [CPAPT037] THINNER SOLVENT / MRQ/2025/03174"/>
    <s v="CM/MTI/2025/02253 - [CPAPT037] THINNER SOLVENT / MRQ/2025/03174"/>
    <m/>
    <m/>
    <s v="MATERIAL COST"/>
    <s v="Expenses"/>
    <s v="731002"/>
    <s v="731002 STORE SPARES &amp; CONSUMABLES - GENERAL"/>
    <s v="CWIP-CONSTRUCTION OF PACKING PLANT AND BIG BAG LOADING"/>
    <s v="PACKING-2"/>
    <s v="MECHANICAL"/>
    <n v="20580.810000000001"/>
    <n v="0"/>
    <n v="20580.810000000001"/>
    <s v="TZS"/>
    <s v="[CPAPT037] THINNER SOLVENT"/>
    <m/>
    <n v="-5"/>
    <s v="LTR"/>
    <x v="0"/>
    <x v="0"/>
    <x v="9"/>
    <x v="4"/>
    <n v="8.0709058823529425"/>
    <n v="0"/>
  </r>
  <r>
    <n v="788"/>
    <d v="2025-08-05T00:00:00"/>
    <x v="82"/>
    <s v="STJ/2025/08/02013"/>
    <s v="Inventory Valuation"/>
    <s v="CM/MTI/2025/02243 - [EFSHB115] BOLT HT HEX HEAD M16 X 50MM FULL THREAD WITH NUT AND WASHER GRADE 8.8 / MRQ/2025/03170"/>
    <s v="CM/MTI/2025/02243 - [EFSHB115] BOLT HT HEX HEAD M16 X 50MM FULL THREAD WITH NUT AND WASHER GRADE 8.8 / MRQ/2025/03170"/>
    <m/>
    <m/>
    <s v="MATERIAL COST"/>
    <s v="Expenses"/>
    <s v="731002"/>
    <s v="731002 STORE SPARES &amp; CONSUMABLES - GENERAL"/>
    <s v="CWIP-INSTALLATION OF NEW WEIGHBRIDGE AT QUARRY(2NOS)"/>
    <s v="QUARRY"/>
    <s v="MECHANICAL"/>
    <n v="16253.23"/>
    <n v="0"/>
    <n v="16253.23"/>
    <s v="TZS"/>
    <s v="[EFSHB115] BOLT HT HEX HEAD M16 X 50MM FULL THREAD WITH NUT AND WASHER GRADE 8.8"/>
    <m/>
    <n v="-10"/>
    <s v="NOS"/>
    <x v="0"/>
    <x v="0"/>
    <x v="14"/>
    <x v="3"/>
    <n v="6.3738156862745097"/>
    <n v="0"/>
  </r>
  <r>
    <n v="789"/>
    <d v="2025-08-05T00:00:00"/>
    <x v="82"/>
    <s v="STJ/2025/08/02028"/>
    <s v="Inventory Valuation"/>
    <s v="CM/MTI/2025/02254 - [CIGGS001] GAS OXYGEN FULL CYLINDER, O2 / MRQ/2025/03136"/>
    <s v="CM/MTI/2025/02254 - [CIGGS001] GAS OXYGEN FULL CYLINDER, O2 / MRQ/2025/03136"/>
    <m/>
    <m/>
    <s v="MATERIAL COST"/>
    <s v="Expenses"/>
    <s v="731002"/>
    <s v="731002 STORE SPARES &amp; CONSUMABLES - GENERAL"/>
    <s v="CWIP-INSTALLATION OF NEW WEIGHBRIDGE AT QUARRY(2NOS)"/>
    <s v="QUARRY"/>
    <s v="MECHANICAL"/>
    <n v="45000"/>
    <n v="0"/>
    <n v="45000"/>
    <s v="TZS"/>
    <s v="[CIGGS001] GAS OXYGEN FULL CYLINDER, O2"/>
    <m/>
    <n v="-3"/>
    <s v="NOS"/>
    <x v="0"/>
    <x v="0"/>
    <x v="14"/>
    <x v="3"/>
    <n v="17.647058823529413"/>
    <n v="0"/>
  </r>
  <r>
    <n v="790"/>
    <d v="2025-08-06T00:00:00"/>
    <x v="83"/>
    <s v="STJ/2025/08/02866"/>
    <s v="Inventory Valuation"/>
    <s v="CM/MTI/2025/02270 - [CWCWR003] WELDING ELECTRODE MS 6013 SIZE 4 MM X 450 MM / MRQ/2025/03173_x000a_Rounding Adjustment: -0.01 TSh"/>
    <s v="CM/MTI/2025/02270 - [CWCWR003] WELDING ELECTRODE MS 6013 SIZE 4 MM X 450 MM / MRQ/2025/03173_x000a_Rounding Adjustment: -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0975.1"/>
    <n v="0"/>
    <n v="40975.1"/>
    <s v="TZS"/>
    <s v="[CWCWR003] WELDING ELECTRODE MS 6013 SIZE 4 MM X 450 MM"/>
    <m/>
    <n v="-10"/>
    <s v="KG"/>
    <x v="0"/>
    <x v="0"/>
    <x v="8"/>
    <x v="3"/>
    <n v="16.068666666666665"/>
    <n v="0"/>
  </r>
  <r>
    <n v="791"/>
    <d v="2025-08-06T00:00:00"/>
    <x v="83"/>
    <s v="STJ/2025/08/02867"/>
    <s v="Inventory Valuation"/>
    <s v="CM/MTI/2025/02270 - [EPFPI030] PIPE MS SIZE 4&quot; DIA X 6000 MM LONG CLASS C / MRQ/2025/03173"/>
    <s v="CM/MTI/2025/02270 - [EPFPI030] PIPE MS SIZE 4&quot; DIA X 6000 MM LONG CLASS C / MRQ/2025/03173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500000"/>
    <n v="0"/>
    <n v="500000"/>
    <s v="TZS"/>
    <s v="[EPFPI030] PIPE MS SIZE 4&quot; DIA X 6000 MM LONG CLASS C"/>
    <m/>
    <n v="-2"/>
    <s v="NOS"/>
    <x v="0"/>
    <x v="0"/>
    <x v="8"/>
    <x v="3"/>
    <n v="196.07843137254903"/>
    <n v="0"/>
  </r>
  <r>
    <n v="792"/>
    <d v="2025-08-06T00:00:00"/>
    <x v="83"/>
    <s v="STJ/2025/08/02859"/>
    <s v="Inventory Valuation"/>
    <s v="CM/MTI/2025/02264 - [CPAPT007] PAINT RED OXIDE / MRQ/2025/03190"/>
    <s v="CM/MTI/2025/02264 - [CPAPT007] PAINT RED OXIDE / MRQ/2025/03190"/>
    <m/>
    <m/>
    <s v="MATERIAL COST"/>
    <s v="Expenses"/>
    <s v="731002"/>
    <s v="731002 STORE SPARES &amp; CONSUMABLES - GENERAL"/>
    <s v="CWIP-FABRICATION OF INHOUSE TRAILOR"/>
    <s v="LOGISTIC DIVISION"/>
    <s v="LOGISTIC DIVISION"/>
    <n v="95255"/>
    <n v="0"/>
    <n v="95255"/>
    <s v="TZS"/>
    <s v="[CPAPT007] PAINT RED OXIDE"/>
    <m/>
    <n v="-20"/>
    <s v="LTR"/>
    <x v="0"/>
    <x v="0"/>
    <x v="12"/>
    <x v="1"/>
    <n v="37.354901960784311"/>
    <n v="0"/>
  </r>
  <r>
    <n v="793"/>
    <d v="2025-08-07T00:00:00"/>
    <x v="84"/>
    <s v="STJ/2025/08/03367"/>
    <s v="Inventory Valuation"/>
    <s v="CM/MTI/2025/02292 - [CACOP007] PRINTER / MRQ/2025/03238"/>
    <s v="CM/MTI/2025/02292 - [CACOP007] PRINTER / MRQ/2025/03238"/>
    <m/>
    <m/>
    <s v="MATERIAL COST"/>
    <s v="Expenses"/>
    <s v="731003"/>
    <s v="731003 STORE SPARES &amp; CONSUMABLE-CA"/>
    <s v="Fixed Asset"/>
    <s v="DISPATCH"/>
    <s v="INSTRUMENTATION"/>
    <n v="650000"/>
    <n v="0"/>
    <n v="650000"/>
    <s v="TZS"/>
    <s v="[CACOP007] PRINTER"/>
    <m/>
    <n v="-1"/>
    <s v="NOS"/>
    <x v="0"/>
    <x v="2"/>
    <x v="6"/>
    <x v="1"/>
    <n v="254.90196078431373"/>
    <n v="0"/>
  </r>
  <r>
    <n v="794"/>
    <d v="2025-08-07T00:00:00"/>
    <x v="84"/>
    <s v="STJ/2025/08/03292"/>
    <s v="Inventory Valuation"/>
    <s v="CM/MTI/2025/02283 - [CAOFE005] AIR CONDITION UNIT 24000 BTU SPLIT TYPE  / MRQ/2025/03248"/>
    <s v="CM/MTI/2025/02283 - [CAOFE005] AIR CONDITION UNIT 24000 BTU SPLIT TYPE  / MRQ/2025/03248"/>
    <m/>
    <m/>
    <s v="MATERIAL COST"/>
    <s v="Expenses"/>
    <s v="731003"/>
    <s v="731003 STORE SPARES &amp; CONSUMABLES - CA"/>
    <s v="Fixed Asset"/>
    <s v="ADMIN"/>
    <s v="ADMIN"/>
    <n v="1572033.9"/>
    <n v="0"/>
    <n v="1572033.9"/>
    <s v="TZS"/>
    <s v="[CAOFE005] AIR CONDITION UNIT 24000 BTU SPLIT TYPE "/>
    <m/>
    <n v="-1"/>
    <s v="NOS"/>
    <x v="0"/>
    <x v="2"/>
    <x v="16"/>
    <x v="1"/>
    <n v="616.48388235294112"/>
    <n v="0"/>
  </r>
  <r>
    <n v="795"/>
    <d v="2025-08-07T00:00:00"/>
    <x v="84"/>
    <s v="STJ/2025/08/03288"/>
    <s v="Inventory Valuation"/>
    <s v="CM/MTI/2025/02280 - [EFSHB122] BOLT HT HEX HEAD M16 X 100MM FULL THREAD WITH NUT AND WASHER GRADE 8.8 / MRQ/2025/03230"/>
    <s v="CM/MTI/2025/02280 - [EFSHB122] BOLT HT HEX HEAD M16 X 100MM FULL THREAD WITH NUT AND WASHER GRADE 8.8 / MRQ/2025/0323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31945.09"/>
    <n v="0"/>
    <n v="31945.09"/>
    <s v="TZS"/>
    <s v="[EFSHB122] BOLT HT HEX HEAD M16 X 100MM FULL THREAD WITH NUT AND WASHER GRADE 8.8"/>
    <m/>
    <n v="-20"/>
    <s v="NOS"/>
    <x v="0"/>
    <x v="0"/>
    <x v="8"/>
    <x v="3"/>
    <n v="12.527486274509805"/>
    <n v="0"/>
  </r>
  <r>
    <n v="796"/>
    <d v="2025-08-07T00:00:00"/>
    <x v="84"/>
    <s v="STJ/2025/08/03322"/>
    <s v="Inventory Valuation"/>
    <s v="CM/MTI/2025/02287 - [CWCWR003] WELDING ELECTRODE MS 6013 SIZE 4 MM X 450 MM / MRQ/2025/03235"/>
    <s v="CM/MTI/2025/02287 - [CWCWR003] WELDING ELECTRODE MS 6013 SIZE 4 MM X 450 MM / MRQ/2025/03235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0975.089999999997"/>
    <n v="0"/>
    <n v="40975.089999999997"/>
    <s v="TZS"/>
    <s v="[CWCWR003] WELDING ELECTRODE MS 6013 SIZE 4 MM X 450 MM"/>
    <m/>
    <n v="-10"/>
    <s v="KG"/>
    <x v="0"/>
    <x v="0"/>
    <x v="8"/>
    <x v="3"/>
    <n v="16.068662745098038"/>
    <n v="0"/>
  </r>
  <r>
    <n v="797"/>
    <d v="2025-08-07T00:00:00"/>
    <x v="84"/>
    <s v="STJ/2025/08/03320"/>
    <s v="Inventory Valuation"/>
    <s v="CM/MTI/2025/02287 - [CIGGS001] GAS OXYGEN FULL CYLINDER, O2 / MRQ/2025/03235"/>
    <s v="CM/MTI/2025/02287 - [CIGGS001] GAS OXYGEN FULL CYLINDER, O2 / MRQ/2025/032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5000"/>
    <n v="0"/>
    <n v="105000"/>
    <s v="TZS"/>
    <s v="[CIGGS001] GAS OXYGEN FULL CYLINDER, O2"/>
    <m/>
    <n v="-7"/>
    <s v="NOS"/>
    <x v="0"/>
    <x v="0"/>
    <x v="9"/>
    <x v="4"/>
    <n v="41.176470588235297"/>
    <n v="0"/>
  </r>
  <r>
    <n v="798"/>
    <d v="2025-08-07T00:00:00"/>
    <x v="84"/>
    <s v="STJ/2025/08/03321"/>
    <s v="Inventory Valuation"/>
    <s v="CM/MTI/2025/02287 - [CIGGS005] GAS LIQUEFIED PETROLEUM FULL CYLINDER, LPG CAPACITY 15KG / MRQ/2025/03235"/>
    <s v="CM/MTI/2025/02287 - [CIGGS005] GAS LIQUEFIED PETROLEUM FULL CYLINDER, LPG CAPACITY 15KG / MRQ/2025/032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000"/>
    <n v="0"/>
    <n v="96000"/>
    <s v="TZS"/>
    <s v="[CIGGS005] GAS LIQUEFIED PETROLEUM FULL CYLINDER, LPG CAPACITY 15KG"/>
    <m/>
    <n v="-2"/>
    <s v="NOS"/>
    <x v="0"/>
    <x v="0"/>
    <x v="9"/>
    <x v="4"/>
    <n v="37.647058823529413"/>
    <n v="0"/>
  </r>
  <r>
    <n v="799"/>
    <d v="2025-08-07T00:00:00"/>
    <x v="84"/>
    <s v="STJ/2025/08/03323"/>
    <s v="Inventory Valuation"/>
    <s v="CM/MTI/2025/02287 - [EFSSC003] SCREW 63MM FOR ROOFING SHEET / MRQ/2025/03235"/>
    <s v="CM/MTI/2025/02287 - [EFSSC003] SCREW 63MM FOR ROOFING SHEET / MRQ/2025/032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9000"/>
    <n v="0"/>
    <n v="29000"/>
    <s v="TZS"/>
    <s v="[EFSSC003] SCREW 63MM FOR ROOFING SHEET"/>
    <m/>
    <n v="-100"/>
    <s v="NOS"/>
    <x v="0"/>
    <x v="0"/>
    <x v="9"/>
    <x v="4"/>
    <n v="11.372549019607844"/>
    <n v="0"/>
  </r>
  <r>
    <n v="800"/>
    <d v="2025-08-07T00:00:00"/>
    <x v="84"/>
    <s v="STJ/2025/08/03324"/>
    <s v="Inventory Valuation"/>
    <s v="CM/MTI/2025/02287 - [EPSSH013] SHEET FOR ROOFING 920 X 6.0 X 0.4 MM GREEN COLOR / MRQ/2025/03235"/>
    <s v="CM/MTI/2025/02287 - [EPSSH013] SHEET FOR ROOFING 920 X 6.0 X 0.4 MM GREEN COLOR / MRQ/2025/0323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628000"/>
    <n v="0"/>
    <n v="2628000"/>
    <s v="TZS"/>
    <s v="[EPSSH013] SHEET FOR ROOFING 920 X 6.0 X 0.4 MM GREEN COLOR"/>
    <m/>
    <n v="-30"/>
    <s v="NOS"/>
    <x v="0"/>
    <x v="0"/>
    <x v="9"/>
    <x v="4"/>
    <n v="1030.5882352941176"/>
    <n v="0"/>
  </r>
  <r>
    <n v="801"/>
    <d v="2025-08-07T00:00:00"/>
    <x v="84"/>
    <s v="STJ/2025/08/03126"/>
    <s v="Inventory Valuation"/>
    <s v="LOG/MTI/2025/00782 - [EFSHB219] BOLT HT HEX HEAD M16 X 70MM HALF THREAD WITH NUT AND WASHER GRADE 10.9 / MRQ/2025/03204"/>
    <s v="LOG/MTI/2025/00782 - [EFSHB219] BOLT HT HEX HEAD M16 X 70MM HALF THREAD WITH NUT AND WASHER GRADE 10.9 / MRQ/2025/03204"/>
    <m/>
    <m/>
    <s v="MATERIAL COST"/>
    <s v="Expenses"/>
    <s v="731002"/>
    <s v="731002 STORE SPARES &amp; CONSUMABLES - GENERAL"/>
    <s v="CWIP-FABRICATION OF INHOUSE TRAILOR"/>
    <s v="LOGISTIC DIVISION"/>
    <s v="LOGISTIC DIVISION"/>
    <n v="15903.9"/>
    <n v="0"/>
    <n v="15903.9"/>
    <s v="TZS"/>
    <s v="[EFSHB219] BOLT HT HEX HEAD M16 X 70MM HALF THREAD WITH NUT AND WASHER GRADE 10.9"/>
    <m/>
    <n v="-8"/>
    <s v="NOS"/>
    <x v="0"/>
    <x v="0"/>
    <x v="12"/>
    <x v="1"/>
    <n v="6.2368235294117644"/>
    <n v="0"/>
  </r>
  <r>
    <n v="802"/>
    <d v="2025-08-09T00:00:00"/>
    <x v="85"/>
    <s v="STJ/2025/08/03962"/>
    <s v="Inventory Valuation"/>
    <s v="CM/MTI/2025/02311 - [CIGGS005] GAS LIQUEFIED PETROLEUM FULL CYLINDER, LPG CAPACITY 15KG / MRQ/2025/03279"/>
    <s v="CM/MTI/2025/02311 - [CIGGS005] GAS LIQUEFIED PETROLEUM FULL CYLINDER, LPG CAPACITY 15KG / MRQ/2025/0327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8000"/>
    <n v="0"/>
    <n v="48000"/>
    <s v="TZS"/>
    <s v="[CIGGS005] GAS LIQUEFIED PETROLEUM FULL CYLINDER, LPG CAPACITY 15KG"/>
    <m/>
    <n v="-1"/>
    <s v="NOS"/>
    <x v="0"/>
    <x v="0"/>
    <x v="9"/>
    <x v="4"/>
    <n v="18.823529411764707"/>
    <n v="0"/>
  </r>
  <r>
    <n v="803"/>
    <d v="2025-08-09T00:00:00"/>
    <x v="85"/>
    <s v="STJ/2025/08/03963"/>
    <s v="Inventory Valuation"/>
    <s v="CM/MTI/2025/02311 - [CWCGC041] CUTTING WHEEL 7'' / MRQ/2025/03279"/>
    <s v="CM/MTI/2025/02311 - [CWCGC041] CUTTING WHEEL 7'' / MRQ/2025/0327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131.55"/>
    <n v="0"/>
    <n v="16131.55"/>
    <s v="TZS"/>
    <s v="[CWCGC041] CUTTING WHEEL 7''"/>
    <m/>
    <n v="-5"/>
    <s v="NOS"/>
    <x v="0"/>
    <x v="0"/>
    <x v="9"/>
    <x v="4"/>
    <n v="6.3260980392156858"/>
    <n v="0"/>
  </r>
  <r>
    <n v="804"/>
    <d v="2025-08-09T00:00:00"/>
    <x v="85"/>
    <s v="STJ/2025/08/03964"/>
    <s v="Inventory Valuation"/>
    <s v="CM/MTI/2025/02311 - [CWCWR003] WELDING ELECTRODE MS 6013 SIZE 4 MM X 450 MM / MRQ/2025/03279"/>
    <s v="CM/MTI/2025/02311 - [CWCWR003] WELDING ELECTRODE MS 6013 SIZE 4 MM X 450 MM / MRQ/2025/0327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1462.64"/>
    <n v="0"/>
    <n v="61462.64"/>
    <s v="TZS"/>
    <s v="[CWCWR003] WELDING ELECTRODE MS 6013 SIZE 4 MM X 450 MM"/>
    <m/>
    <n v="-15"/>
    <s v="KG"/>
    <x v="0"/>
    <x v="0"/>
    <x v="9"/>
    <x v="4"/>
    <n v="24.102996078431371"/>
    <n v="0"/>
  </r>
  <r>
    <n v="805"/>
    <d v="2025-08-09T00:00:00"/>
    <x v="85"/>
    <s v="STJ/2025/08/03965"/>
    <s v="Inventory Valuation"/>
    <s v="CM/MTI/2025/02311 - [EFSSC003] SCREW 63MM FOR ROOFING SHEET / MRQ/2025/03279"/>
    <s v="CM/MTI/2025/02311 - [EFSSC003] SCREW 63MM FOR ROOFING SHEET / MRQ/2025/0327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4500"/>
    <n v="0"/>
    <n v="14500"/>
    <s v="TZS"/>
    <s v="[EFSSC003] SCREW 63MM FOR ROOFING SHEET"/>
    <m/>
    <n v="-50"/>
    <s v="NOS"/>
    <x v="0"/>
    <x v="0"/>
    <x v="9"/>
    <x v="4"/>
    <n v="5.6862745098039218"/>
    <n v="0"/>
  </r>
  <r>
    <n v="806"/>
    <d v="2025-08-09T00:00:00"/>
    <x v="85"/>
    <s v="STJ/2025/08/03795"/>
    <s v="Inventory Valuation"/>
    <s v="LOG/MTI/2025/00794 - [CPAPT033] THINNER HR / MRQ/2025/03262"/>
    <s v="LOG/MTI/2025/00794 - [CPAPT033] THINNER HR / MRQ/2025/03262"/>
    <m/>
    <m/>
    <s v="MATERIAL COST"/>
    <s v="Expenses"/>
    <s v="731002"/>
    <s v="731002 STORE SPARES &amp; CONSUMABLES - GENERAL"/>
    <s v="CWIP-FABRICATION OF INHOUSE TRAILOR"/>
    <s v="LOGISTIC DIVISION"/>
    <s v="LOGISTIC DIVISION"/>
    <n v="98517"/>
    <n v="0"/>
    <n v="98517"/>
    <s v="TZS"/>
    <s v="[CPAPT033] THINNER HR"/>
    <m/>
    <n v="-15"/>
    <s v="LTR"/>
    <x v="0"/>
    <x v="0"/>
    <x v="12"/>
    <x v="1"/>
    <n v="38.634117647058822"/>
    <n v="0"/>
  </r>
  <r>
    <n v="807"/>
    <d v="2025-08-09T00:00:00"/>
    <x v="85"/>
    <s v="STJ/2025/08/03949"/>
    <s v="Inventory Valuation"/>
    <s v="CM/MTI/2025/02304 - [CIGGS001] GAS OXYGEN FULL CYLINDER, O2 / MRQ/2025/03245"/>
    <s v="CM/MTI/2025/02304 - [CIGGS001] GAS OXYGEN FULL CYLINDER, O2 / MRQ/2025/03245"/>
    <m/>
    <m/>
    <s v="MATERIAL COST"/>
    <s v="Expenses"/>
    <s v="731002"/>
    <s v="731002 STORE SPARES &amp; CONSUMABLES - GENERAL"/>
    <s v="CWIP-INSTALLATION OF NEW WEIGHBRIDGE AT QUARRY(2NOS)"/>
    <s v="PROJECT"/>
    <s v="MECHANICAL"/>
    <n v="75000"/>
    <n v="0"/>
    <n v="75000"/>
    <s v="TZS"/>
    <s v="[CIGGS001] GAS OXYGEN FULL CYLINDER, O2"/>
    <m/>
    <n v="-5"/>
    <s v="NOS"/>
    <x v="0"/>
    <x v="0"/>
    <x v="14"/>
    <x v="3"/>
    <n v="29.411764705882351"/>
    <n v="0"/>
  </r>
  <r>
    <n v="808"/>
    <d v="2025-08-11T06:41:32"/>
    <x v="86"/>
    <s v="SERBL/2025/08/0052"/>
    <s v="Service Bills"/>
    <s v="LPORD/2025/00684: REQUIRED 10 HELPERS FOR 30 DAYS FOR NEW RAW MILL COMMISSIONING "/>
    <s v="29015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RAW MILL-2"/>
    <s v="ELECTRICAL"/>
    <n v="3900000"/>
    <n v="0"/>
    <n v="3900000"/>
    <s v="TZS"/>
    <s v="[SER037] Job Contract-15"/>
    <s v="Misc. Income"/>
    <n v="300"/>
    <s v="MANDAY"/>
    <x v="0"/>
    <x v="0"/>
    <x v="9"/>
    <x v="4"/>
    <n v="1529.4117647058824"/>
    <n v="0"/>
  </r>
  <r>
    <n v="809"/>
    <d v="2025-08-11T06:41:32"/>
    <x v="86"/>
    <s v="SERBL/2025/08/0052"/>
    <s v="Service Bills"/>
    <s v="LPORD/2025/00684: REQUIRED  2-FITTER FOR NEW RAW MILL"/>
    <s v="29015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RAW MILL-2"/>
    <s v="ELECTRICAL"/>
    <n v="2100000"/>
    <n v="0"/>
    <n v="2100000"/>
    <s v="TZS"/>
    <s v="[SER037] Job Contract-15"/>
    <s v="Misc. Income"/>
    <n v="30"/>
    <s v="MANDAY"/>
    <x v="0"/>
    <x v="0"/>
    <x v="9"/>
    <x v="4"/>
    <n v="823.52941176470586"/>
    <n v="0"/>
  </r>
  <r>
    <n v="810"/>
    <d v="2025-08-11T06:41:32"/>
    <x v="86"/>
    <s v="SERBL/2025/08/0052"/>
    <s v="Service Bills"/>
    <s v="LPORD/2025/00684: REQUIRED  2-WELDERS FOR  NEW RAW MILL"/>
    <s v="29015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RAW MILL-2"/>
    <s v="ELECTRICAL"/>
    <n v="4200000"/>
    <n v="0"/>
    <n v="4200000"/>
    <s v="TZS"/>
    <s v="[SER037] Job Contract-15"/>
    <s v="Misc. Income"/>
    <n v="60"/>
    <s v="MANDAY"/>
    <x v="0"/>
    <x v="0"/>
    <x v="9"/>
    <x v="4"/>
    <n v="1647.0588235294117"/>
    <n v="0"/>
  </r>
  <r>
    <n v="811"/>
    <d v="2025-08-11T12:28:54"/>
    <x v="86"/>
    <s v="PCVHO/2025/08/0098"/>
    <s v="PCV (PETTY CASH HO)"/>
    <s v="TARAWANDA WORK EXPENSES "/>
    <s v="Being settlement against imprest taken by Shadrack Sanga for various ref numbers - Shadrack"/>
    <m/>
    <m/>
    <s v="CAPITAL WORK IN PROGRESS"/>
    <s v="Fixed Assets"/>
    <s v="371056"/>
    <s v="371056 MINERAL EXPLORATION &amp; DEVELOPMENT-TARAWANDA"/>
    <s v="Corporate"/>
    <s v="HO"/>
    <s v="ADMIN"/>
    <n v="2700000"/>
    <n v="0"/>
    <n v="2700000"/>
    <s v="TZS"/>
    <m/>
    <m/>
    <n v="1"/>
    <m/>
    <x v="0"/>
    <x v="0"/>
    <x v="1"/>
    <x v="1"/>
    <n v="1058.8235294117646"/>
    <n v="0"/>
  </r>
  <r>
    <n v="812"/>
    <d v="2025-08-11T00:00:00"/>
    <x v="86"/>
    <s v="STJ/2025/08/04750"/>
    <s v="Inventory Valuation"/>
    <s v="CM/MTI/2025/02329 - [EPFPI027] PIPE MS SIZE 2&quot; DIA X 6000 MM LONG CLASS C / MRQ/2025/03305"/>
    <s v="CM/MTI/2025/02329 - [EPFPI027] PIPE MS SIZE 2&quot; DIA X 6000 MM LONG CLASS C / MRQ/2025/0330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99018"/>
    <n v="0"/>
    <n v="499018"/>
    <s v="TZS"/>
    <s v="[EPFPI027] PIPE MS SIZE 2&quot; DIA X 6000 MM LONG CLASS C"/>
    <m/>
    <n v="-5"/>
    <s v="NOS"/>
    <x v="0"/>
    <x v="0"/>
    <x v="9"/>
    <x v="4"/>
    <n v="195.69333333333333"/>
    <n v="0"/>
  </r>
  <r>
    <n v="813"/>
    <d v="2025-08-11T00:00:00"/>
    <x v="86"/>
    <s v="STJ/2025/08/04751"/>
    <s v="Inventory Valuation"/>
    <s v="CM/MTI/2025/02329 - [EVLBV030] VALVE BALL TYPE SIZE 50MM / MRQ/2025/03305"/>
    <s v="CM/MTI/2025/02329 - [EVLBV030] VALVE BALL TYPE SIZE 50MM / MRQ/2025/0330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5000"/>
    <n v="0"/>
    <n v="55000"/>
    <s v="TZS"/>
    <s v="[EVLBV030] VALVE BALL TYPE SIZE 50MM"/>
    <m/>
    <n v="-1"/>
    <s v="NOS"/>
    <x v="0"/>
    <x v="0"/>
    <x v="9"/>
    <x v="4"/>
    <n v="21.568627450980394"/>
    <n v="0"/>
  </r>
  <r>
    <n v="814"/>
    <d v="2025-08-11T00:00:00"/>
    <x v="86"/>
    <s v="STJ/2025/08/04734"/>
    <s v="Inventory Valuation"/>
    <s v="CM/MTI/2025/02326 - [CPAPT007] PAINT RED OXIDE / MRQ/2025/03313"/>
    <s v="CM/MTI/2025/02326 - [CPAPT007] PAINT RED OXIDE / MRQ/2025/03313"/>
    <m/>
    <m/>
    <s v="MATERIAL COST"/>
    <s v="Expenses"/>
    <s v="731002"/>
    <s v="731002 STORE SPARES &amp; CONSUMABLES - GENERAL"/>
    <s v="CWIP-INSTALLATION OF NEW WEIGHBRIDGE AT QUARRY(2NOS)"/>
    <s v="PROJECT"/>
    <s v="MECHANICAL"/>
    <n v="38102"/>
    <n v="0"/>
    <n v="38102"/>
    <s v="TZS"/>
    <s v="[CPAPT007] PAINT RED OXIDE"/>
    <m/>
    <n v="-8"/>
    <s v="LTR"/>
    <x v="0"/>
    <x v="0"/>
    <x v="14"/>
    <x v="3"/>
    <n v="14.941960784313725"/>
    <n v="0"/>
  </r>
  <r>
    <n v="815"/>
    <d v="2025-08-11T00:00:00"/>
    <x v="86"/>
    <s v="STJ/2025/08/04735"/>
    <s v="Inventory Valuation"/>
    <s v="CM/MTI/2025/02326 - [CPAPT037] THINNER SOLVENT / MRQ/2025/03313_x000a_Rounding Adjustment: -0.01 TSh"/>
    <s v="CM/MTI/2025/02326 - [CPAPT037] THINNER SOLVENT / MRQ/2025/03313_x000a_Rounding Adjustment: -0.01 TSh"/>
    <m/>
    <m/>
    <s v="MATERIAL COST"/>
    <s v="Expenses"/>
    <s v="731002"/>
    <s v="731002 STORE SPARES &amp; CONSUMABLES - GENERAL"/>
    <s v="CWIP-INSTALLATION OF NEW WEIGHBRIDGE AT QUARRY(2NOS)"/>
    <s v="PROJECT"/>
    <s v="MECHANICAL"/>
    <n v="20580.82"/>
    <n v="0"/>
    <n v="20580.82"/>
    <s v="TZS"/>
    <s v="[CPAPT037] THINNER SOLVENT"/>
    <m/>
    <n v="-5"/>
    <s v="LTR"/>
    <x v="0"/>
    <x v="0"/>
    <x v="14"/>
    <x v="3"/>
    <n v="8.0709098039215679"/>
    <n v="0"/>
  </r>
  <r>
    <n v="816"/>
    <d v="2025-08-11T00:00:00"/>
    <x v="86"/>
    <s v="STJ/2025/08/04736"/>
    <s v="Inventory Valuation"/>
    <s v="CM/MTI/2025/02326 - [EFSHB118] BOLT HT HEX HEAD M16 X 75MM FULL THREAD WITH NUT AND WASHER GRADE 8.8 / MRQ/2025/03313"/>
    <s v="CM/MTI/2025/02326 - [EFSHB118] BOLT HT HEX HEAD M16 X 75MM FULL THREAD WITH NUT AND WASHER GRADE 8.8 / MRQ/2025/03313"/>
    <m/>
    <m/>
    <s v="MATERIAL COST"/>
    <s v="Expenses"/>
    <s v="731002"/>
    <s v="731002 STORE SPARES &amp; CONSUMABLES - GENERAL"/>
    <s v="CWIP-INSTALLATION OF NEW WEIGHBRIDGE AT QUARRY(2NOS)"/>
    <s v="PROJECT"/>
    <s v="MECHANICAL"/>
    <n v="26868.959999999999"/>
    <n v="0"/>
    <n v="26868.959999999999"/>
    <s v="TZS"/>
    <s v="[EFSHB118] BOLT HT HEX HEAD M16 X 75MM FULL THREAD WITH NUT AND WASHER GRADE 8.8"/>
    <m/>
    <n v="-20"/>
    <s v="NOS"/>
    <x v="0"/>
    <x v="0"/>
    <x v="14"/>
    <x v="3"/>
    <n v="10.536847058823529"/>
    <n v="0"/>
  </r>
  <r>
    <n v="817"/>
    <d v="2025-08-11T00:00:00"/>
    <x v="86"/>
    <s v="STJ/2025/08/04763"/>
    <s v="Inventory Valuation"/>
    <s v="CM/MTI/2025/02336 - [CWCGC041] CUTTING WHEEL 7'' / MRQ/2025/03278"/>
    <s v="CM/MTI/2025/02336 - [CWCGC041] CUTTING WHEEL 7'' / MRQ/2025/03278"/>
    <m/>
    <m/>
    <s v="MATERIAL COST"/>
    <s v="Expenses"/>
    <s v="731002"/>
    <s v="731002 STORE SPARES &amp; CONSUMABLES - GENERAL"/>
    <s v="CWIP-INSTALLATION OF NEW WEIGHBRIDGE AT QUARRY(2NOS)"/>
    <s v="PROJECT"/>
    <s v="MECHANICAL"/>
    <n v="16131.55"/>
    <n v="0"/>
    <n v="16131.55"/>
    <s v="TZS"/>
    <s v="[CWCGC041] CUTTING WHEEL 7''"/>
    <m/>
    <n v="-5"/>
    <s v="NOS"/>
    <x v="0"/>
    <x v="0"/>
    <x v="14"/>
    <x v="3"/>
    <n v="6.3260980392156858"/>
    <n v="0"/>
  </r>
  <r>
    <n v="818"/>
    <d v="2025-08-11T00:00:00"/>
    <x v="86"/>
    <s v="STJ/2025/08/04721"/>
    <s v="Inventory Valuation"/>
    <s v="CM/MTI/2025/02323 - [CPMBG002] BAG EMPTY FOR CEMENT PACKING GRADE 42.5R MATERIAL WOVEN POLYPROPYLENE CAPACITY 50KG COLOR ORANGE / MRQ/2025/03171"/>
    <s v="CM/MTI/2025/02323 - [CPMBG002] BAG EMPTY FOR CEMENT PACKING GRADE 42.5R MATERIAL WOVEN POLYPROPYLENE CAPACITY 50KG COLOR ORANGE / MRQ/2025/03171"/>
    <m/>
    <m/>
    <s v="MATERIAL COST"/>
    <s v="Expenses"/>
    <s v="731006"/>
    <s v="731006 PACKING BAGS CONSUMED"/>
    <s v="CWIP-INSTALLATION OF NEW WEIGHBRIDGE AT QUARRY(2NOS)"/>
    <s v="QUARRY"/>
    <s v="MECHANICAL"/>
    <n v="25200.17"/>
    <n v="0"/>
    <n v="25200.17"/>
    <s v="TZS"/>
    <s v="[CPMBG002] BAG EMPTY FOR CEMENT PACKING GRADE 42.5R MATERIAL WOVEN POLYPROPYLENE CAPACITY 50KG COLOR ORANGE"/>
    <m/>
    <n v="-60"/>
    <s v="NOS"/>
    <x v="0"/>
    <x v="0"/>
    <x v="14"/>
    <x v="3"/>
    <n v="9.8824196078431363"/>
    <n v="0"/>
  </r>
  <r>
    <n v="819"/>
    <d v="2025-08-12T12:11:46"/>
    <x v="87"/>
    <s v="SERBL/2025/08/0069"/>
    <s v="Service Bills"/>
    <s v="LPORD/2025/00547: Charges of Machinery JCB 215 (3 Days)"/>
    <s v="0002"/>
    <s v="CMLT2205"/>
    <s v="Tuff Rock Limited"/>
    <s v="CAPITAL WORK IN PROGRESS"/>
    <s v="Fixed Assets"/>
    <s v="371056"/>
    <s v="371056 MINERAL EXPLORATION &amp; DEVELOPMENT-TARAWANDA"/>
    <s v="TARAWANDA EXPENSE"/>
    <s v="QUARRY"/>
    <s v="QUARRYING"/>
    <n v="3810000"/>
    <n v="0"/>
    <n v="3810000"/>
    <s v="TZS"/>
    <s v="[SER006] Job Contract"/>
    <s v="Misc. Income"/>
    <n v="3"/>
    <s v="NOS"/>
    <x v="0"/>
    <x v="0"/>
    <x v="1"/>
    <x v="1"/>
    <n v="1494.1176470588234"/>
    <n v="0"/>
  </r>
  <r>
    <n v="820"/>
    <d v="2025-08-12T12:11:46"/>
    <x v="87"/>
    <s v="SERBL/2025/08/0069"/>
    <s v="Service Bills"/>
    <s v="LPORD/2025/00547: Charges of Machinery CAT-320D OR Kamatsu PC220 (3 Days)"/>
    <s v="0002"/>
    <s v="CMLT2205"/>
    <s v="Tuff Rock Limited"/>
    <s v="CAPITAL WORK IN PROGRESS"/>
    <s v="Fixed Assets"/>
    <s v="371056"/>
    <s v="371056 MINERAL EXPLORATION &amp; DEVELOPMENT-TARAWANDA"/>
    <s v="TARAWANDA EXPENSE"/>
    <s v="QUARRY"/>
    <s v="QUARRYING"/>
    <n v="2610000"/>
    <n v="0"/>
    <n v="2610000"/>
    <s v="TZS"/>
    <s v="[SER006] Job Contract"/>
    <s v="Misc. Income"/>
    <n v="3"/>
    <s v="NOS"/>
    <x v="0"/>
    <x v="0"/>
    <x v="1"/>
    <x v="1"/>
    <n v="1023.5294117647059"/>
    <n v="0"/>
  </r>
  <r>
    <n v="821"/>
    <d v="2025-08-12T12:11:46"/>
    <x v="87"/>
    <s v="SERBL/2025/08/0069"/>
    <s v="Service Bills"/>
    <s v="LPORD/2025/00547: Mobilization Charges of Machinery CAT-320D OR Kamatsu PC220"/>
    <s v="0002"/>
    <s v="CMLT2205"/>
    <s v="Tuff Rock Limited"/>
    <s v="CAPITAL WORK IN PROGRESS"/>
    <s v="Fixed Assets"/>
    <s v="371056"/>
    <s v="371056 MINERAL EXPLORATION &amp; DEVELOPMENT-TARAWANDA"/>
    <s v="TARAWANDA EXPENSE"/>
    <s v="QUARRY"/>
    <s v="QUARRYING"/>
    <n v="1750000"/>
    <n v="0"/>
    <n v="1750000"/>
    <s v="TZS"/>
    <s v="[SER006] Job Contract"/>
    <s v="Misc. Income"/>
    <n v="1"/>
    <s v="NOS"/>
    <x v="0"/>
    <x v="0"/>
    <x v="1"/>
    <x v="1"/>
    <n v="686.27450980392155"/>
    <n v="0"/>
  </r>
  <r>
    <n v="822"/>
    <d v="2025-08-12T12:11:46"/>
    <x v="87"/>
    <s v="SERBL/2025/08/0069"/>
    <s v="Service Bills"/>
    <s v="LPORD/2025/00547: DE Mobilization Charges of Machinery CAT-320D OR Kamatsu PC220"/>
    <s v="0002"/>
    <s v="CMLT2205"/>
    <s v="Tuff Rock Limited"/>
    <s v="CAPITAL WORK IN PROGRESS"/>
    <s v="Fixed Assets"/>
    <s v="371056"/>
    <s v="371056 MINERAL EXPLORATION &amp; DEVELOPMENT-TARAWANDA"/>
    <s v="TARAWANDA EXPENSE"/>
    <s v="QUARRY"/>
    <s v="QUARRYING"/>
    <n v="1750000"/>
    <n v="0"/>
    <n v="1750000"/>
    <s v="TZS"/>
    <s v="[SER006] Job Contract"/>
    <s v="Misc. Income"/>
    <n v="1"/>
    <s v="NOS"/>
    <x v="0"/>
    <x v="0"/>
    <x v="1"/>
    <x v="1"/>
    <n v="686.27450980392155"/>
    <n v="0"/>
  </r>
  <r>
    <n v="823"/>
    <d v="2025-08-12T11:51:57"/>
    <x v="87"/>
    <s v="SERBL/2025/08/0068"/>
    <s v="Service Bills"/>
    <s v="LPORD/2025/00547: Charges of Machinery JCB 215 (3 Days)"/>
    <s v="0004"/>
    <s v="CMLT2205"/>
    <s v="Tuff Rock Limited"/>
    <s v="CAPITAL WORK IN PROGRESS"/>
    <s v="Fixed Assets"/>
    <s v="371056"/>
    <s v="371056 MINERAL EXPLORATION &amp; DEVELOPMENT-TARAWANDA"/>
    <s v="TARAWANDA EXPENSE"/>
    <s v="QUARRY"/>
    <s v="QUARRYING"/>
    <n v="3810000"/>
    <n v="0"/>
    <n v="3810000"/>
    <s v="TZS"/>
    <s v="[SER006] Job Contract"/>
    <s v="Misc. Income"/>
    <n v="3"/>
    <s v="NOS"/>
    <x v="0"/>
    <x v="0"/>
    <x v="1"/>
    <x v="1"/>
    <n v="1494.1176470588234"/>
    <n v="0"/>
  </r>
  <r>
    <n v="824"/>
    <d v="2025-08-12T09:28:12"/>
    <x v="87"/>
    <s v="SERBL/2025/08/0066"/>
    <s v="Service Bills"/>
    <s v="LPORD/2025/00704: Welders for Raw mill-2 project work"/>
    <s v="TAZ-0015"/>
    <s v="CMLT2186"/>
    <s v="Taz Engineering Company Limited"/>
    <s v="CAPITAL WORK IN PROGRESS"/>
    <s v="Fixed Assets"/>
    <s v="371038"/>
    <s v="371038 CWIP-CONSTRUCTION OF NEW RAW MILL FEEDING AND UPGRADATION"/>
    <s v="CWIP-CONSTRUCTION OF NEW RAW MILL FEEDING AND UPGRADATION"/>
    <s v="RAW MILL-2"/>
    <s v="MECHANICAL"/>
    <n v="11460000"/>
    <n v="0"/>
    <n v="11460000"/>
    <s v="TZS"/>
    <s v="[SER037] Job Contract-15"/>
    <s v="Misc. Income"/>
    <n v="191"/>
    <s v="MANDAY"/>
    <x v="0"/>
    <x v="0"/>
    <x v="9"/>
    <x v="4"/>
    <n v="4494.1176470588234"/>
    <n v="0"/>
  </r>
  <r>
    <n v="825"/>
    <d v="2025-08-12T00:00:00"/>
    <x v="87"/>
    <s v="STJ/2025/08/06117"/>
    <s v="Inventory Valuation"/>
    <s v="CM/MTI/2025/02357 - [EELSW013] SWITCH VISUAL CUT OFF 40 AMP 3 PHASE / MRQ/2025/03345"/>
    <s v="CM/MTI/2025/02357 - [EELSW013] SWITCH VISUAL CUT OFF 40 AMP 3 PHASE / MRQ/2025/03345"/>
    <m/>
    <m/>
    <s v="MATERIAL COST"/>
    <s v="Expenses"/>
    <s v="731002"/>
    <s v="731002 STORE SPARES &amp; CONSUMABLES - GENERAL"/>
    <s v="CWIP-CONSTRUCTION OF LIME STONE AND GYPSUM FEEDING SYSTEM IN CEMENT MILL"/>
    <s v="CEMENT MILL -2"/>
    <s v="ELECTRICAL"/>
    <n v="1201990.73"/>
    <n v="0"/>
    <n v="1201990.73"/>
    <s v="TZS"/>
    <s v="[EELSW013] SWITCH VISUAL CUT OFF 40 AMP 3 PHASE"/>
    <m/>
    <n v="-1"/>
    <s v="NOS"/>
    <x v="0"/>
    <x v="0"/>
    <x v="8"/>
    <x v="3"/>
    <n v="471.36891372549019"/>
    <n v="0"/>
  </r>
  <r>
    <n v="826"/>
    <d v="2025-08-12T00:00:00"/>
    <x v="87"/>
    <s v="STJ/2025/08/06127"/>
    <s v="Inventory Valuation"/>
    <s v="CM/MTI/2025/02361 - [CIGGS001] GAS OXYGEN FULL CYLINDER, O2 / MRQ/2025/03314"/>
    <s v="CM/MTI/2025/02361 - [CIGGS001] GAS OXYGEN FULL CYLINDER, O2 / MRQ/2025/03314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75000"/>
    <n v="0"/>
    <n v="75000"/>
    <s v="TZS"/>
    <s v="[CIGGS001] GAS OXYGEN FULL CYLINDER, O2"/>
    <m/>
    <n v="-5"/>
    <s v="NOS"/>
    <x v="0"/>
    <x v="0"/>
    <x v="8"/>
    <x v="3"/>
    <n v="29.411764705882351"/>
    <n v="0"/>
  </r>
  <r>
    <n v="827"/>
    <d v="2025-08-12T00:00:00"/>
    <x v="87"/>
    <s v="STJ/2025/08/06128"/>
    <s v="Inventory Valuation"/>
    <s v="CM/MTI/2025/02361 - [CWCGC041] CUTTING WHEEL 7'' / MRQ/2025/03314"/>
    <s v="CM/MTI/2025/02361 - [CWCGC041] CUTTING WHEEL 7'' / MRQ/2025/0331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131.55"/>
    <n v="0"/>
    <n v="16131.55"/>
    <s v="TZS"/>
    <s v="[CWCGC041] CUTTING WHEEL 7''"/>
    <m/>
    <n v="-5"/>
    <s v="NOS"/>
    <x v="0"/>
    <x v="0"/>
    <x v="9"/>
    <x v="4"/>
    <n v="6.3260980392156858"/>
    <n v="0"/>
  </r>
  <r>
    <n v="828"/>
    <d v="2025-08-12T00:00:00"/>
    <x v="87"/>
    <s v="STJ/2025/08/06129"/>
    <s v="Inventory Valuation"/>
    <s v="CM/MTI/2025/02361 - [CWCWR003] WELDING ELECTRODE MS 6013 SIZE 4 MM X 450 MM / MRQ/2025/03314_x000a_Rounding Adjustment: +0.01 TSh"/>
    <s v="CM/MTI/2025/02361 - [CWCWR003] WELDING ELECTRODE MS 6013 SIZE 4 MM X 450 MM / MRQ/2025/03314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0975.08"/>
    <n v="0"/>
    <n v="40975.08"/>
    <s v="TZS"/>
    <s v="[CWCWR003] WELDING ELECTRODE MS 6013 SIZE 4 MM X 450 MM"/>
    <m/>
    <n v="-10"/>
    <s v="KG"/>
    <x v="0"/>
    <x v="0"/>
    <x v="9"/>
    <x v="4"/>
    <n v="16.068658823529411"/>
    <n v="0"/>
  </r>
  <r>
    <n v="829"/>
    <d v="2025-08-12T00:00:00"/>
    <x v="87"/>
    <s v="STJ/2025/08/06141"/>
    <s v="Inventory Valuation"/>
    <s v="CM/MTI/2025/02367 - [EPFNP013] NIPPLE SIZE 3/4&quot; MATERIAL MS / MRQ/2025/03368"/>
    <s v="CM/MTI/2025/02367 - [EPFNP013] NIPPLE SIZE 3/4&quot; MATERIAL MS / MRQ/2025/0336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548.17"/>
    <n v="0"/>
    <n v="6548.17"/>
    <s v="TZS"/>
    <s v="[EPFNP013] NIPPLE SIZE 3/4&quot; MATERIAL MS"/>
    <m/>
    <n v="-3"/>
    <s v="NOS"/>
    <x v="0"/>
    <x v="0"/>
    <x v="9"/>
    <x v="4"/>
    <n v="2.5679098039215686"/>
    <n v="0"/>
  </r>
  <r>
    <n v="830"/>
    <d v="2025-08-12T00:00:00"/>
    <x v="87"/>
    <s v="STJ/2025/08/06142"/>
    <s v="Inventory Valuation"/>
    <s v="CM/MTI/2025/02367 - [EVLBV010] VALVE BALL TYPE SIZE 3/4'' / MRQ/2025/03368"/>
    <s v="CM/MTI/2025/02367 - [EVLBV010] VALVE BALL TYPE SIZE 3/4'' / MRQ/2025/0336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32000"/>
    <n v="0"/>
    <n v="32000"/>
    <s v="TZS"/>
    <s v="[EVLBV010] VALVE BALL TYPE SIZE 3/4''"/>
    <m/>
    <n v="-2"/>
    <s v="NOS"/>
    <x v="0"/>
    <x v="0"/>
    <x v="9"/>
    <x v="4"/>
    <n v="12.549019607843137"/>
    <n v="0"/>
  </r>
  <r>
    <n v="831"/>
    <d v="2025-08-12T00:00:00"/>
    <x v="87"/>
    <s v="STJ/2025/08/06140"/>
    <s v="Inventory Valuation"/>
    <s v="CM/MTI/2025/02366 - [CAPME016] JAW CRUSHER LINE PE400 X 600 WITH JAW CRUSHER MAIN UNIT VIBRATING FEEDER CONTROL CABINET AND ADDITIONAL ACCESSORIES / MRQ/2025/03360"/>
    <s v="CM/MTI/2025/02366 - [CAPME016] JAW CRUSHER LINE PE400 X 600 WITH JAW CRUSHER MAIN UNIT VIBRATING FEEDER CONTROL CABINET AND ADDITIONAL ACCESSORIES / MRQ/2025/03360"/>
    <m/>
    <m/>
    <s v="MATERIAL COST"/>
    <s v="Expenses"/>
    <s v="731003"/>
    <s v="731003 STORE SPARES &amp; CONSUMABLES - CA"/>
    <s v="CWIP-CONSTRUCTION OF LIME STONE AND GYPSUM FEEDING SYSTEM IN CEMENT MILL"/>
    <s v="PROJECT"/>
    <s v="MECHANICAL"/>
    <n v="56583264.990000002"/>
    <n v="0"/>
    <n v="56583264.990000002"/>
    <s v="TZS"/>
    <s v="[CAPME016] JAW CRUSHER LINE PE400 X 600 WITH JAW CRUSHER MAIN UNIT VIBRATING FEEDER CONTROL CABINET AND ADDITIONAL ACCESSORIES"/>
    <m/>
    <n v="-1"/>
    <s v="SET"/>
    <x v="0"/>
    <x v="0"/>
    <x v="8"/>
    <x v="3"/>
    <n v="22189.515682352943"/>
    <n v="0"/>
  </r>
  <r>
    <n v="832"/>
    <d v="2025-08-13T11:41:03"/>
    <x v="88"/>
    <s v="PCVLG/2025/08/0095"/>
    <s v="PCV (PETTY CASH LOGISTIC)"/>
    <m/>
    <s v="CASH PAID FOR FITTING OF SUSPENSTION SYSTEM AND AXILS FOR NEW TRAILER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300000"/>
    <n v="0"/>
    <n v="300000"/>
    <s v="TZS"/>
    <m/>
    <m/>
    <n v="1"/>
    <m/>
    <x v="0"/>
    <x v="0"/>
    <x v="12"/>
    <x v="1"/>
    <n v="117.64705882352941"/>
    <n v="0"/>
  </r>
  <r>
    <n v="833"/>
    <d v="2025-08-13T09:34:30"/>
    <x v="88"/>
    <s v="PCVLG/2025/08/0089"/>
    <s v="PCV (PETTY CASH LOGISTIC)"/>
    <m/>
    <s v="CASH PAID FOR PAINTING PREPARATION AND PAINTING OF NEW TRAILER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400000"/>
    <n v="0"/>
    <n v="400000"/>
    <s v="TZS"/>
    <m/>
    <m/>
    <n v="1"/>
    <m/>
    <x v="0"/>
    <x v="0"/>
    <x v="12"/>
    <x v="1"/>
    <n v="156.86274509803923"/>
    <n v="0"/>
  </r>
  <r>
    <n v="834"/>
    <d v="2025-08-13T00:00:00"/>
    <x v="88"/>
    <s v="STJ/2025/08/06450"/>
    <s v="Inventory Valuation"/>
    <s v="CM/MTI/2025/02379 - [CWCGC041] CUTTING WHEEL 7'' / MRQ/2025/03386"/>
    <s v="CM/MTI/2025/02379 - [CWCGC041] CUTTING WHEEL 7'' / MRQ/2025/0338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131.55"/>
    <n v="0"/>
    <n v="16131.55"/>
    <s v="TZS"/>
    <s v="[CWCGC041] CUTTING WHEEL 7''"/>
    <m/>
    <n v="-5"/>
    <s v="NOS"/>
    <x v="0"/>
    <x v="0"/>
    <x v="9"/>
    <x v="4"/>
    <n v="6.3260980392156858"/>
    <n v="0"/>
  </r>
  <r>
    <n v="835"/>
    <d v="2025-08-13T00:00:00"/>
    <x v="88"/>
    <s v="STJ/2025/08/06451"/>
    <s v="Inventory Valuation"/>
    <s v="CM/MTI/2025/02379 - [EFSSC003] SCREW 63MM FOR ROOFING SHEET / MRQ/2025/03386"/>
    <s v="CM/MTI/2025/02379 - [EFSSC003] SCREW 63MM FOR ROOFING SHEET / MRQ/2025/0338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3500"/>
    <n v="0"/>
    <n v="43500"/>
    <s v="TZS"/>
    <s v="[EFSSC003] SCREW 63MM FOR ROOFING SHEET"/>
    <m/>
    <n v="-150"/>
    <s v="NOS"/>
    <x v="0"/>
    <x v="0"/>
    <x v="9"/>
    <x v="4"/>
    <n v="17.058823529411764"/>
    <n v="0"/>
  </r>
  <r>
    <n v="836"/>
    <d v="2025-08-13T00:00:00"/>
    <x v="88"/>
    <s v="STJ/2025/08/06452"/>
    <s v="Inventory Valuation"/>
    <s v="CM/MTI/2025/02379 - [EPSSH013] SHEET FOR ROOFING 920 X 6.0 X 0.4 MM GREEN COLOR / MRQ/2025/03386"/>
    <s v="CM/MTI/2025/02379 - [EPSSH013] SHEET FOR ROOFING 920 X 6.0 X 0.4 MM GREEN COLOR / MRQ/2025/0338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190000"/>
    <n v="0"/>
    <n v="2190000"/>
    <s v="TZS"/>
    <s v="[EPSSH013] SHEET FOR ROOFING 920 X 6.0 X 0.4 MM GREEN COLOR"/>
    <m/>
    <n v="-25"/>
    <s v="NOS"/>
    <x v="0"/>
    <x v="0"/>
    <x v="9"/>
    <x v="4"/>
    <n v="858.82352941176475"/>
    <n v="0"/>
  </r>
  <r>
    <n v="837"/>
    <d v="2025-08-13T00:00:00"/>
    <x v="88"/>
    <s v="STJ/2025/08/06448"/>
    <s v="Inventory Valuation"/>
    <s v="CM/MTI/2025/02377 - [EELLT072] PLUG TOP 3 PIN 13 AMPS 230VAC / MRQ/2025/03392"/>
    <s v="CM/MTI/2025/02377 - [EELLT072] PLUG TOP 3 PIN 13 AMPS 230VAC / MRQ/2025/03392"/>
    <m/>
    <m/>
    <s v="MATERIAL COST"/>
    <s v="Expenses"/>
    <s v="731002"/>
    <s v="731002 STORE SPARES &amp; CONSUMABLES - GENERAL"/>
    <s v="CWIP-INSTALLATION OF NEW WEIGHBRIDGE AT QUARRY(2NOS)"/>
    <s v="QUARRY"/>
    <s v="ELECTRICAL"/>
    <n v="8250"/>
    <n v="0"/>
    <n v="8250"/>
    <s v="TZS"/>
    <s v="[EELLT072] PLUG TOP 3 PIN 13 AMPS 230VAC"/>
    <m/>
    <n v="-5"/>
    <s v="PCS"/>
    <x v="0"/>
    <x v="0"/>
    <x v="14"/>
    <x v="3"/>
    <n v="3.2352941176470589"/>
    <n v="0"/>
  </r>
  <r>
    <n v="838"/>
    <d v="2025-08-14T14:25:29"/>
    <x v="89"/>
    <s v="STJ/2025/08/06842"/>
    <s v="Inventory Valuation"/>
    <s v="CM/MTI/2025/02406 - [PROPCO0105] COOLING FAN / MRQ/2025/03423"/>
    <s v="CM/MTI/2025/02406 - [PROPCO0105] COOLING FAN / MRQ/2025/03423"/>
    <m/>
    <m/>
    <s v="CAPITAL WORK IN PROGRESS"/>
    <s v="Fixed Assets"/>
    <s v="371021"/>
    <s v="371021 CWIP-PYRO UPGRADATION"/>
    <s v="Inventory Spares Consumable"/>
    <s v="PLANT VEHICLES"/>
    <s v="QUARRYING"/>
    <n v="594600"/>
    <n v="0"/>
    <n v="594600"/>
    <s v="TZS"/>
    <s v="[PROPCO0105] COOLING FAN"/>
    <s v="PYRO COOLER"/>
    <n v="-3"/>
    <s v="NOS"/>
    <x v="0"/>
    <x v="0"/>
    <x v="0"/>
    <x v="0"/>
    <n v="233.1764705882353"/>
    <n v="0"/>
  </r>
  <r>
    <n v="839"/>
    <d v="2025-08-15T11:42:12"/>
    <x v="90"/>
    <s v="PCVLG/2025/08/0108"/>
    <s v="PCV (PETTY CASH LOGISTIC)"/>
    <m/>
    <s v="CASH PAID FOR BENDING OF MS SHEETS 1.5MM 20 PCS FOR FABRICATION OF SIDE BODY FOR NEW TRAILER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400000"/>
    <n v="0"/>
    <n v="400000"/>
    <s v="TZS"/>
    <m/>
    <m/>
    <n v="1"/>
    <m/>
    <x v="0"/>
    <x v="0"/>
    <x v="12"/>
    <x v="1"/>
    <n v="156.86274509803923"/>
    <n v="0"/>
  </r>
  <r>
    <n v="840"/>
    <d v="2025-08-15T11:19:26"/>
    <x v="90"/>
    <s v="PCVLG/2025/08/0107"/>
    <s v="PCV (PETTY CASH LOGISTIC)"/>
    <m/>
    <s v="CASH PAID FOR FIXING OF HANGERS ,6 PCS AND SUSPENSTION SYSTEM 6 PCS AND 3 AXILS FOR NEW TRAILERS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400000"/>
    <n v="0"/>
    <n v="400000"/>
    <s v="TZS"/>
    <m/>
    <m/>
    <n v="1"/>
    <m/>
    <x v="0"/>
    <x v="0"/>
    <x v="12"/>
    <x v="1"/>
    <n v="156.86274509803923"/>
    <n v="0"/>
  </r>
  <r>
    <n v="841"/>
    <d v="2025-08-15T00:00:00"/>
    <x v="90"/>
    <s v="STJ/2025/08/07695"/>
    <s v="Inventory Valuation"/>
    <s v="CM/MTI/2025/02428 - [CAFRF006] CHAIR WITHOUT WHEELS / MRQ/2025/03453"/>
    <s v="CM/MTI/2025/02428 - [CAFRF006] CHAIR WITHOUT WHEELS / MRQ/2025/03453"/>
    <m/>
    <m/>
    <s v="MATERIAL COST"/>
    <s v="Expenses"/>
    <s v="731003"/>
    <s v="731003 STORE SPARES &amp; CONSUMABLE-CA"/>
    <s v="Fixed Asset"/>
    <s v="ADMIN"/>
    <s v="HR"/>
    <n v="589830.52"/>
    <n v="0"/>
    <n v="589830.52"/>
    <s v="TZS"/>
    <s v="[CAFRF006] CHAIR WITHOUT WHEELS"/>
    <m/>
    <n v="-2"/>
    <s v="NOS"/>
    <x v="0"/>
    <x v="3"/>
    <x v="7"/>
    <x v="1"/>
    <n v="231.30608627450982"/>
    <n v="0"/>
  </r>
  <r>
    <n v="842"/>
    <d v="2025-08-15T00:00:00"/>
    <x v="90"/>
    <s v="STJ/2025/08/07662"/>
    <s v="Inventory Valuation"/>
    <s v="CM/MTI/2025/02421 - [CITGC030] RFID READER WEIGH BRIDGE IMAGIC SOFTWARE 12VDC / MRQ/2025/03446"/>
    <s v="CM/MTI/2025/02421 - [CITGC030] RFID READER WEIGH BRIDGE IMAGIC SOFTWARE 12VDC / MRQ/2025/03446"/>
    <m/>
    <m/>
    <s v="MATERIAL COST"/>
    <s v="Expenses"/>
    <s v="731002"/>
    <s v="731002 STORE SPARES &amp; CONSUMABLES - GENERAL"/>
    <s v="CWIP-INSTALLATION OF NEW WEIGHBRIDGE AT QUARRY(2NOS)"/>
    <s v="QUARRY"/>
    <s v="INSTRUMENTATION"/>
    <n v="6090044.3399999999"/>
    <n v="0"/>
    <n v="6090044.3399999999"/>
    <s v="TZS"/>
    <s v="[CITGC030] RFID READER WEIGH BRIDGE IMAGIC SOFTWARE 12VDC"/>
    <m/>
    <n v="-3"/>
    <s v="NOS"/>
    <x v="0"/>
    <x v="0"/>
    <x v="14"/>
    <x v="3"/>
    <n v="2388.2526823529411"/>
    <n v="0"/>
  </r>
  <r>
    <n v="843"/>
    <d v="2025-08-15T00:00:00"/>
    <x v="90"/>
    <s v="STJ/2025/08/07663"/>
    <s v="Inventory Valuation"/>
    <s v="CM/MTI/2025/02421 - [CITGC099] RFID READER/WRITER IP BASED HF MODEL IMS-HFR-0016 POWER SUPPLY 5VDC WITH ADOPTER CLAMP MOUNTING MAKE OME-IMAGIC / MRQ/2025/03446"/>
    <s v="CM/MTI/2025/02421 - [CITGC099] RFID READER/WRITER IP BASED HF MODEL IMS-HFR-0016 POWER SUPPLY 5VDC WITH ADOPTER CLAMP MOUNTING MAKE OME-IMAGIC / MRQ/2025/03446"/>
    <m/>
    <m/>
    <s v="MATERIAL COST"/>
    <s v="Expenses"/>
    <s v="731002"/>
    <s v="731002 STORE SPARES &amp; CONSUMABLES - GENERAL"/>
    <s v="CWIP-INSTALLATION OF NEW WEIGHBRIDGE AT QUARRY(2NOS)"/>
    <s v="QUARRY"/>
    <s v="INSTRUMENTATION"/>
    <n v="645165.62"/>
    <n v="0"/>
    <n v="645165.62"/>
    <s v="TZS"/>
    <s v="[CITGC099] RFID READER/WRITER IP BASED HF MODEL IMS-HFR-0016 POWER SUPPLY 5VDC WITH ADOPTER CLAMP MOUNTING MAKE OME-IMAGIC"/>
    <m/>
    <n v="-1"/>
    <s v="NOS"/>
    <x v="0"/>
    <x v="0"/>
    <x v="14"/>
    <x v="3"/>
    <n v="253.00612549019607"/>
    <n v="0"/>
  </r>
  <r>
    <n v="844"/>
    <d v="2025-08-15T00:00:00"/>
    <x v="90"/>
    <s v="STJ/2025/08/07664"/>
    <s v="Inventory Valuation"/>
    <s v="CM/MTI/2025/02421 - [EELLT138] TRAFFIC LIGHT COLOUR RED/GREEN MODEL IMS-TRF-GR10 POWER SUPPLY 24 VDC POLYCARBONATE HOUSING OUTDOOR TYPE / MRQ/2025/03446"/>
    <s v="CM/MTI/2025/02421 - [EELLT138] TRAFFIC LIGHT COLOUR RED/GREEN MODEL IMS-TRF-GR10 POWER SUPPLY 24 VDC POLYCARBONATE HOUSING OUTDOOR TYPE / MRQ/2025/03446"/>
    <m/>
    <m/>
    <s v="MATERIAL COST"/>
    <s v="Expenses"/>
    <s v="731002"/>
    <s v="731002 STORE SPARES &amp; CONSUMABLES - GENERAL"/>
    <s v="CWIP-INSTALLATION OF NEW WEIGHBRIDGE AT QUARRY(2NOS)"/>
    <s v="QUARRY"/>
    <s v="INSTRUMENTATION"/>
    <n v="1035914.93"/>
    <n v="0"/>
    <n v="1035914.93"/>
    <s v="TZS"/>
    <s v="[EELLT138] TRAFFIC LIGHT COLOUR RED/GREEN MODEL IMS-TRF-GR10 POWER SUPPLY 24 VDC POLYCARBONATE HOUSING OUTDOOR TYPE"/>
    <m/>
    <n v="-2"/>
    <s v="NOS"/>
    <x v="0"/>
    <x v="0"/>
    <x v="14"/>
    <x v="3"/>
    <n v="406.24114901960786"/>
    <n v="0"/>
  </r>
  <r>
    <n v="845"/>
    <d v="2025-08-15T00:00:00"/>
    <x v="90"/>
    <s v="STJ/2025/08/07665"/>
    <s v="Inventory Valuation"/>
    <s v="CM/MTI/2025/02421 - [EELLT139] LED FOR WEIGHT DISPLAY REMOTE TYPE MODEL IMS-LED-LN02,2 LINE LED DISPLAY WITH 12 CHART PER LINE,100 FEET VISIBILITY WITH CHAR SIZE 4.5&quot;WEATHERPROOF OUTDOOR TYPE POWER SUPLY 230 VAC COMMUNICATION  RS485 SIZE 40 X 18 INCH / MRQ/2025/03446"/>
    <s v="CM/MTI/2025/02421 - [EELLT139] LED FOR WEIGHT DISPLAY REMOTE TYPE MODEL IMS-LED-LN02,2 LINE LED DISPLAY WITH 12 CHART PER LINE,100 FEET VISIBILITY WITH CHAR SIZE 4.5&quot;WEATHERPROOF OUTDOOR TYPE POWER SUPLY 230 VAC COMMUNICATION  RS485 SIZE 40 X 18 INCH / MRQ/2025/03446"/>
    <m/>
    <m/>
    <s v="MATERIAL COST"/>
    <s v="Expenses"/>
    <s v="731002"/>
    <s v="731002 STORE SPARES &amp; CONSUMABLES - GENERAL"/>
    <s v="CWIP-INSTALLATION OF NEW WEIGHBRIDGE AT QUARRY(2NOS)"/>
    <s v="QUARRY"/>
    <s v="INSTRUMENTATION"/>
    <n v="1949833.85"/>
    <n v="0"/>
    <n v="1949833.85"/>
    <s v="TZS"/>
    <s v="[EELLT139] LED FOR WEIGHT DISPLAY REMOTE TYPE MODEL IMS-LED-LN02,2 LINE LED DISPLAY WITH 12 CHART PER LINE,100 FEET VISIBILITY WITH CHAR SIZE 4.5&quot;WEATHERPROOF OUTDOOR TYPE POWER SUPLY 230 VAC COMMUNICATION  RS485 SIZE 40 X 18 INCH"/>
    <m/>
    <n v="-1"/>
    <s v="NOS"/>
    <x v="0"/>
    <x v="0"/>
    <x v="14"/>
    <x v="3"/>
    <n v="764.64072549019613"/>
    <n v="0"/>
  </r>
  <r>
    <n v="846"/>
    <d v="2025-08-15T00:00:00"/>
    <x v="90"/>
    <s v="STJ/2025/08/07666"/>
    <s v="Inventory Valuation"/>
    <s v="CM/MTI/2025/02421 - [EISGS022] SMPS MODULE / INPUT 100-240 VOLT AC 50HZ/ OUT PUT V1 +5VOLT  4 AMPS V2  +24 VOLT  1.4AMPS / MRQ/2025/03446"/>
    <s v="CM/MTI/2025/02421 - [EISGS022] SMPS MODULE / INPUT 100-240 VOLT AC 50HZ/ OUT PUT V1 +5VOLT  4 AMPS V2  +24 VOLT  1.4AMPS / MRQ/2025/03446"/>
    <m/>
    <m/>
    <s v="MATERIAL COST"/>
    <s v="Expenses"/>
    <s v="731002"/>
    <s v="731002 STORE SPARES &amp; CONSUMABLES - GENERAL"/>
    <s v="CWIP-INSTALLATION OF NEW WEIGHBRIDGE AT QUARRY(2NOS)"/>
    <s v="QUARRY"/>
    <s v="INSTRUMENTATION"/>
    <n v="390177.78"/>
    <n v="0"/>
    <n v="390177.78"/>
    <s v="TZS"/>
    <s v="[EISGS022] SMPS MODULE / INPUT 100-240 VOLT AC 50HZ/ OUT PUT V1 +5VOLT  4 AMPS V2  +24 VOLT  1.4AMPS"/>
    <m/>
    <n v="-3"/>
    <s v="NOS"/>
    <x v="0"/>
    <x v="0"/>
    <x v="14"/>
    <x v="3"/>
    <n v="153.01089411764707"/>
    <n v="0"/>
  </r>
  <r>
    <n v="847"/>
    <d v="2025-08-16T12:18:58"/>
    <x v="91"/>
    <s v="STJ/2025/08/08034"/>
    <s v="Inventory Valuation"/>
    <s v="CM/MTI/2025/02433 - [PROCM204] SHEET ALUMINIUM SIZE 24 SWG FOR INSULATION / MRQ/2025/03457"/>
    <s v="CM/MTI/2025/02433 - [PROCM204] SHEET ALUMINIUM SIZE 24 SWG FOR INSULATION / MRQ/2025/03457"/>
    <m/>
    <m/>
    <s v="CAPITAL WORK IN PROGRESS"/>
    <s v="Fixed Assets"/>
    <s v="371023"/>
    <s v="371023 CWIP-CEMENT MILL 50TPH NEW"/>
    <s v="CWIP-CONSTRUCTION OF NEW RAW MILL FEEDING AND UPGRADATION"/>
    <s v="PROJECT"/>
    <s v="MECHANICAL"/>
    <n v="1724800"/>
    <n v="0"/>
    <n v="1724800"/>
    <s v="TZS"/>
    <s v="[PROCM204] SHEET ALUMINIUM SIZE 24 SWG FOR INSULATION"/>
    <s v="CEMENT MILL"/>
    <n v="-100"/>
    <s v="KG"/>
    <x v="0"/>
    <x v="0"/>
    <x v="9"/>
    <x v="4"/>
    <n v="676.39215686274508"/>
    <n v="0"/>
  </r>
  <r>
    <n v="848"/>
    <d v="2025-08-16T00:00:00"/>
    <x v="91"/>
    <s v="STJ/2025/08/08045"/>
    <s v="Inventory Valuation"/>
    <s v="CM/MTI/2025/02439 - [CWCGC041] CUTTING WHEEL 7'' / MRQ/2025/03463_x000a_Rounding Adjustment: +0.01 TSh"/>
    <s v="CM/MTI/2025/02439 - [CWCGC041] CUTTING WHEEL 7'' / MRQ/2025/03463_x000a_Rounding Adjustment: +0.01 TSh"/>
    <m/>
    <m/>
    <s v="MATERIAL COST"/>
    <s v="Expenses"/>
    <s v="731002"/>
    <s v="731002 STORE SPARES &amp; CONSUMABLES - GENERAL"/>
    <s v="CWIP-CONSTRUCTION OF PACKING PLANT AND BIG BAG LOADING"/>
    <s v="PACKING-2"/>
    <s v="MECHANICAL"/>
    <n v="32263.09"/>
    <n v="0"/>
    <n v="32263.09"/>
    <s v="TZS"/>
    <s v="[CWCGC041] CUTTING WHEEL 7''"/>
    <m/>
    <n v="-10"/>
    <s v="NOS"/>
    <x v="0"/>
    <x v="0"/>
    <x v="9"/>
    <x v="4"/>
    <n v="12.652192156862744"/>
    <n v="0"/>
  </r>
  <r>
    <n v="849"/>
    <d v="2025-08-16T00:00:00"/>
    <x v="91"/>
    <s v="STJ/2025/08/08046"/>
    <s v="Inventory Valuation"/>
    <s v="CM/MTI/2025/02439 - [CWCWR003] WELDING ELECTRODE MS 6013 SIZE 4 MM X 450 MM / MRQ/2025/03463"/>
    <s v="CM/MTI/2025/02439 - [CWCWR003] WELDING ELECTRODE MS 6013 SIZE 4 MM X 450 MM / MRQ/2025/03463"/>
    <m/>
    <m/>
    <s v="MATERIAL COST"/>
    <s v="Expenses"/>
    <s v="731002"/>
    <s v="731002 STORE SPARES &amp; CONSUMABLES - GENERAL"/>
    <s v="CWIP-CONSTRUCTION OF PACKING PLANT AND BIG BAG LOADING"/>
    <s v="PACKING-2"/>
    <s v="MECHANICAL"/>
    <n v="40975.089999999997"/>
    <n v="0"/>
    <n v="40975.089999999997"/>
    <s v="TZS"/>
    <s v="[CWCWR003] WELDING ELECTRODE MS 6013 SIZE 4 MM X 450 MM"/>
    <m/>
    <n v="-10"/>
    <s v="KG"/>
    <x v="0"/>
    <x v="0"/>
    <x v="9"/>
    <x v="4"/>
    <n v="16.068662745098038"/>
    <n v="0"/>
  </r>
  <r>
    <n v="850"/>
    <d v="2025-08-16T00:00:00"/>
    <x v="91"/>
    <s v="STJ/2025/08/08032"/>
    <s v="Inventory Valuation"/>
    <s v="CM/MTI/2025/02432 - [EELLT091] CONDUIT PIPE MS 25 X 16 SWG LENGTH 6 MTR / MRQ/2025/03481"/>
    <s v="CM/MTI/2025/02432 - [EELLT091] CONDUIT PIPE MS 25 X 16 SWG LENGTH 6 MTR / MRQ/2025/03481"/>
    <m/>
    <m/>
    <s v="MATERIAL COST"/>
    <s v="Expenses"/>
    <s v="731002"/>
    <s v="731002 STORE SPARES &amp; CONSUMABLES - GENERAL"/>
    <s v="CWIP-INSTALLATION OF NEW WEIGHBRIDGE AT QUARRY(2NOS)"/>
    <s v="QUARRY"/>
    <s v="INSTRUMENTATION"/>
    <n v="283575"/>
    <n v="0"/>
    <n v="283575"/>
    <s v="TZS"/>
    <s v="[EELLT091] CONDUIT PIPE MS 25 X 16 SWG LENGTH 6 MTR"/>
    <m/>
    <n v="-15"/>
    <s v="NOS"/>
    <x v="0"/>
    <x v="0"/>
    <x v="14"/>
    <x v="3"/>
    <n v="111.20588235294117"/>
    <n v="0"/>
  </r>
  <r>
    <n v="851"/>
    <d v="2025-08-16T00:00:00"/>
    <x v="91"/>
    <s v="STJ/2025/08/08037"/>
    <s v="Inventory Valuation"/>
    <s v="CM/MTI/2025/02436 - [CITGC014] CABINET FOR NETWORK SWITCH 12 RACK MOUNT DEVICE SIZE 590 X 600 X 440 WORKING DEPTH 370MM / MRQ/2025/03464"/>
    <s v="CM/MTI/2025/02436 - [CITGC014] CABINET FOR NETWORK SWITCH 12 RACK MOUNT DEVICE SIZE 590 X 600 X 440 WORKING DEPTH 370MM / MRQ/2025/03464"/>
    <m/>
    <m/>
    <s v="MATERIAL COST"/>
    <s v="Expenses"/>
    <s v="731002"/>
    <s v="731002 STORE SPARES &amp; CONSUMABLES - GENERAL"/>
    <s v="CWIP-INSTALLATION OF NEW WEIGHBRIDGE AT QUARRY(2NOS)"/>
    <s v="QUARRY"/>
    <s v="INSTRUMENTATION"/>
    <n v="324360"/>
    <n v="0"/>
    <n v="324360"/>
    <s v="TZS"/>
    <s v="[CITGC014] CABINET FOR NETWORK SWITCH 12 RACK MOUNT DEVICE SIZE 590 X 600 X 440 WORKING DEPTH 370MM"/>
    <m/>
    <n v="-1"/>
    <s v="NOS"/>
    <x v="0"/>
    <x v="0"/>
    <x v="14"/>
    <x v="3"/>
    <n v="127.2"/>
    <n v="0"/>
  </r>
  <r>
    <n v="852"/>
    <d v="2025-08-16T00:00:00"/>
    <x v="91"/>
    <s v="STJ/2025/08/08038"/>
    <s v="Inventory Valuation"/>
    <s v="CM/MTI/2025/02436 - [CITGC099] RFID READER/WRITER IP BASED HF MODEL IMS-HFR-0016 POWER SUPPLY 5VDC WITH ADOPTER CLAMP MOUNTING MAKE OME-IMAGIC / MRQ/2025/03464"/>
    <s v="CM/MTI/2025/02436 - [CITGC099] RFID READER/WRITER IP BASED HF MODEL IMS-HFR-0016 POWER SUPPLY 5VDC WITH ADOPTER CLAMP MOUNTING MAKE OME-IMAGIC / MRQ/2025/03464"/>
    <m/>
    <m/>
    <s v="MATERIAL COST"/>
    <s v="Expenses"/>
    <s v="731002"/>
    <s v="731002 STORE SPARES &amp; CONSUMABLES - GENERAL"/>
    <s v="CWIP-INSTALLATION OF NEW WEIGHBRIDGE AT QUARRY(2NOS)"/>
    <s v="QUARRY"/>
    <s v="INSTRUMENTATION"/>
    <n v="1290331.24"/>
    <n v="0"/>
    <n v="1290331.24"/>
    <s v="TZS"/>
    <s v="[CITGC099] RFID READER/WRITER IP BASED HF MODEL IMS-HFR-0016 POWER SUPPLY 5VDC WITH ADOPTER CLAMP MOUNTING MAKE OME-IMAGIC"/>
    <m/>
    <n v="-2"/>
    <s v="NOS"/>
    <x v="0"/>
    <x v="0"/>
    <x v="14"/>
    <x v="3"/>
    <n v="506.01225098039214"/>
    <n v="0"/>
  </r>
  <r>
    <n v="853"/>
    <d v="2025-08-16T00:00:00"/>
    <x v="91"/>
    <s v="STJ/2025/08/08039"/>
    <s v="Inventory Valuation"/>
    <s v="CM/MTI/2025/02436 - [EISGS022] SMPS MODULE / INPUT 100-240 VOLT AC 50HZ/ OUT PUT V1 +5VOLT  4 AMPS V2  +24 VOLT  1.4AMPS / MRQ/2025/03464"/>
    <s v="CM/MTI/2025/02436 - [EISGS022] SMPS MODULE / INPUT 100-240 VOLT AC 50HZ/ OUT PUT V1 +5VOLT  4 AMPS V2  +24 VOLT  1.4AMPS / MRQ/2025/03464"/>
    <m/>
    <m/>
    <s v="MATERIAL COST"/>
    <s v="Expenses"/>
    <s v="731002"/>
    <s v="731002 STORE SPARES &amp; CONSUMABLES - GENERAL"/>
    <s v="CWIP-INSTALLATION OF NEW WEIGHBRIDGE AT QUARRY(2NOS)"/>
    <s v="QUARRY"/>
    <s v="INSTRUMENTATION"/>
    <n v="130059.26"/>
    <n v="0"/>
    <n v="130059.26"/>
    <s v="TZS"/>
    <s v="[EISGS022] SMPS MODULE / INPUT 100-240 VOLT AC 50HZ/ OUT PUT V1 +5VOLT  4 AMPS V2  +24 VOLT  1.4AMPS"/>
    <m/>
    <n v="-1"/>
    <s v="NOS"/>
    <x v="0"/>
    <x v="0"/>
    <x v="14"/>
    <x v="3"/>
    <n v="51.003631372549016"/>
    <n v="0"/>
  </r>
  <r>
    <n v="854"/>
    <d v="2025-08-18T07:09:48"/>
    <x v="92"/>
    <s v="SERBL/2025/08/0107"/>
    <s v="Service Bills"/>
    <s v="IPORD/2025/00056: Service Charges of Engineer - DCS Engineer for Pyro upgradation "/>
    <s v="P/0108/25-26"/>
    <s v="CMMU0685"/>
    <s v="Chanderpur Works Private Limited"/>
    <s v="CAPITAL WORK IN PROGRESS"/>
    <s v="Fixed Assets"/>
    <s v="371050"/>
    <s v="371050 CWIP-TECHNICAL CONSULTATION AND EXPERTS HIRING FOR PROJECT WORK"/>
    <s v="CWIP-TECHNICAL CONSULTATION AND EXPERTS HIRING FOR PROJECT WORK"/>
    <s v="PROJECT"/>
    <s v="ELECTRICAL"/>
    <n v="7105000"/>
    <n v="0"/>
    <n v="7105000"/>
    <s v="TZS"/>
    <s v="[SER037] Job Contract-15"/>
    <s v="Misc. Income"/>
    <n v="7"/>
    <s v="MANDAY"/>
    <x v="0"/>
    <x v="0"/>
    <x v="11"/>
    <x v="4"/>
    <n v="2786.2745098039218"/>
    <n v="0"/>
  </r>
  <r>
    <n v="855"/>
    <d v="2025-08-18T06:58:57"/>
    <x v="92"/>
    <s v="SERBL/2025/08/0106"/>
    <s v="Service Bills"/>
    <s v="IPORD/2025/00052: ENGINEERING SERVICE CHARGES FOR EXPANSION OF CEMENT PRODUCTION PLANT (Per Day 20000 INR ,for 30 day total -600000 INR)"/>
    <s v="P/0050/25-26"/>
    <s v="CMMU0685"/>
    <s v="Chanderpur Works Private Limited"/>
    <s v="CAPITAL WORK IN PROGRESS"/>
    <s v="Fixed Assets"/>
    <s v="371050"/>
    <s v="371050 CWIP-TECHNICAL CONSULTATION AND EXPERTS HIRING FOR PROJECT WORK"/>
    <s v="CWIP-TECHNICAL CONSULTATION AND EXPERTS HIRING FOR PROJECT WORK"/>
    <s v="PROJECT"/>
    <s v="PROJECT"/>
    <n v="17400000"/>
    <n v="0"/>
    <n v="17400000"/>
    <s v="TZS"/>
    <s v="[SER027] Job Contract-5"/>
    <s v="Misc. Income"/>
    <n v="1"/>
    <s v="Lumpsum"/>
    <x v="0"/>
    <x v="0"/>
    <x v="11"/>
    <x v="4"/>
    <n v="6823.5294117647063"/>
    <n v="0"/>
  </r>
  <r>
    <n v="856"/>
    <d v="2025-08-18T05:41:30"/>
    <x v="92"/>
    <s v="SERBL/2025/08/0104"/>
    <s v="Service Bills"/>
    <s v="IPORD/2025/00053: ENGINEERING SERVICE CHARGES FOR EXPANSION OF CEMENT PRODUCTION PLANT (Per day 35000 INR, for 81 days, total 2835000 INR)"/>
    <s v="P/0051/25-26"/>
    <s v="CMMU0685"/>
    <s v="Chanderpur Works Private Limited"/>
    <s v="CAPITAL WORK IN PROGRESS"/>
    <s v="Fixed Assets"/>
    <s v="371050"/>
    <s v="371050 CWIP-TECHNICAL CONSULTATION AND EXPERTS HIRING FOR PROJECT WORK"/>
    <s v="CWIP-TECHNICAL CONSULTATION AND EXPERTS HIRING FOR PROJECT WORK"/>
    <s v="PROJECT"/>
    <s v="PROJECT"/>
    <n v="82215000"/>
    <n v="0"/>
    <n v="82215000"/>
    <s v="TZS"/>
    <s v="[SER027] Job Contract-5"/>
    <s v="Misc. Income"/>
    <n v="1"/>
    <s v="Lumpsum"/>
    <x v="0"/>
    <x v="0"/>
    <x v="11"/>
    <x v="4"/>
    <n v="32241.176470588234"/>
    <n v="0"/>
  </r>
  <r>
    <n v="857"/>
    <d v="2025-08-18T00:00:00"/>
    <x v="92"/>
    <s v="STJ/2025/08/08876"/>
    <s v="Inventory Valuation"/>
    <s v="CM/MTI/2025/02456 - [CPAPT037] THINNER SOLVENT / MRQ/2025/03491"/>
    <s v="CM/MTI/2025/02456 - [CPAPT037] THINNER SOLVENT / MRQ/2025/03491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0580.810000000001"/>
    <n v="0"/>
    <n v="20580.810000000001"/>
    <s v="TZS"/>
    <s v="[CPAPT037] THINNER SOLVENT"/>
    <m/>
    <n v="-5"/>
    <s v="LTR"/>
    <x v="0"/>
    <x v="0"/>
    <x v="8"/>
    <x v="3"/>
    <n v="8.0709058823529425"/>
    <n v="0"/>
  </r>
  <r>
    <n v="858"/>
    <d v="2025-08-18T00:00:00"/>
    <x v="92"/>
    <s v="STJ/2025/08/08702"/>
    <s v="Inventory Valuation"/>
    <s v="LOG/MTI/2025/00848 - [CPAPT002] PAINT GREY AUTOMOBILE / MRQ/2025/03428"/>
    <s v="LOG/MTI/2025/00848 - [CPAPT002] PAINT GREY AUTOMOBILE / MRQ/2025/03428"/>
    <m/>
    <m/>
    <s v="MATERIAL COST"/>
    <s v="Expenses"/>
    <s v="731002"/>
    <s v="731002 STORE SPARES &amp; CONSUMABLES - GENERAL"/>
    <s v="CWIP-FABRICATION OF INHOUSE TRAILOR"/>
    <s v="LOGISTIC DIVISION"/>
    <s v="LOGISTIC DIVISION"/>
    <n v="91124"/>
    <n v="0"/>
    <n v="91124"/>
    <s v="TZS"/>
    <s v="[CPAPT002] PAINT GREY AUTOMOBILE"/>
    <m/>
    <n v="-8"/>
    <s v="LTR"/>
    <x v="0"/>
    <x v="0"/>
    <x v="12"/>
    <x v="1"/>
    <n v="35.734901960784313"/>
    <n v="0"/>
  </r>
  <r>
    <n v="859"/>
    <d v="2025-08-18T00:00:00"/>
    <x v="92"/>
    <s v="STJ/2025/08/08760"/>
    <s v="Inventory Valuation"/>
    <s v="LOG/MTI/2025/00829 - [CPAPT033] THINNER HR / MRQ/2025/03405"/>
    <s v="LOG/MTI/2025/00829 - [CPAPT033] THINNER HR / MRQ/2025/03405"/>
    <m/>
    <m/>
    <s v="MATERIAL COST"/>
    <s v="Expenses"/>
    <s v="731002"/>
    <s v="731002 STORE SPARES &amp; CONSUMABLES - GENERAL"/>
    <s v="CWIP-FABRICATION OF INHOUSE TRAILOR"/>
    <s v="LOGISTIC DIVISION"/>
    <s v="LOGISTIC DIVISION"/>
    <n v="32839"/>
    <n v="0"/>
    <n v="32839"/>
    <s v="TZS"/>
    <s v="[CPAPT033] THINNER HR"/>
    <m/>
    <n v="-5"/>
    <s v="LTR"/>
    <x v="0"/>
    <x v="0"/>
    <x v="12"/>
    <x v="1"/>
    <n v="12.878039215686275"/>
    <n v="0"/>
  </r>
  <r>
    <n v="860"/>
    <d v="2025-08-18T00:00:00"/>
    <x v="92"/>
    <s v="STJ/2025/08/08901"/>
    <s v="Inventory Valuation"/>
    <s v="CM/MTI/2025/02464 - [CITGC011] SWITCH ETHERNET  16PORT MAKE DLINK 16PORT GIGABIT ETHERNET UNMANAGED NETWORK SWITCH DESKTOP/RACKMOUNT PLUG IN PLAY (DGS1016C) / MRQ/2025/03486"/>
    <s v="CM/MTI/2025/02464 - [CITGC011] SWITCH ETHERNET  16PORT MAKE DLINK 16PORT GIGABIT ETHERNET UNMANAGED NETWORK SWITCH DESKTOP/RACKMOUNT PLUG IN PLAY (DGS1016C) / MRQ/2025/03486"/>
    <m/>
    <m/>
    <s v="MATERIAL COST"/>
    <s v="Expenses"/>
    <s v="731002"/>
    <s v="731002 STORE SPARES &amp; CONSUMABLES - GENERAL"/>
    <s v="CWIP-INSTALLATION OF NEW WEIGHBRIDGE AT QUARRY(2NOS)"/>
    <s v="QUARRY"/>
    <s v="INSTRUMENTATION"/>
    <n v="145000"/>
    <n v="0"/>
    <n v="145000"/>
    <s v="TZS"/>
    <s v="[CITGC011] SWITCH ETHERNET  16PORT MAKE DLINK 16PORT GIGABIT ETHERNET UNMANAGED NETWORK SWITCH DESKTOP/RACKMOUNT PLUG IN PLAY (DGS1016C)"/>
    <m/>
    <n v="-1"/>
    <s v="NOS"/>
    <x v="0"/>
    <x v="0"/>
    <x v="14"/>
    <x v="3"/>
    <n v="56.862745098039213"/>
    <n v="0"/>
  </r>
  <r>
    <n v="861"/>
    <d v="2025-08-18T00:00:00"/>
    <x v="92"/>
    <s v="STJ/2025/08/08902"/>
    <s v="Inventory Valuation"/>
    <s v="CM/MTI/2025/02464 - [CITGC068] CAMERA BULLET  4MP / MRQ/2025/03486"/>
    <s v="CM/MTI/2025/02464 - [CITGC068] CAMERA BULLET  4MP / MRQ/2025/03486"/>
    <m/>
    <m/>
    <s v="MATERIAL COST"/>
    <s v="Expenses"/>
    <s v="731002"/>
    <s v="731002 STORE SPARES &amp; CONSUMABLES - GENERAL"/>
    <s v="CWIP-INSTALLATION OF NEW WEIGHBRIDGE AT QUARRY(2NOS)"/>
    <s v="QUARRY"/>
    <s v="INSTRUMENTATION"/>
    <n v="620000"/>
    <n v="0"/>
    <n v="620000"/>
    <s v="TZS"/>
    <s v="[CITGC068] CAMERA BULLET  4MP"/>
    <m/>
    <n v="-4"/>
    <s v="NOS"/>
    <x v="0"/>
    <x v="0"/>
    <x v="14"/>
    <x v="3"/>
    <n v="243.13725490196077"/>
    <n v="0"/>
  </r>
  <r>
    <n v="862"/>
    <d v="2025-08-18T00:00:00"/>
    <x v="92"/>
    <s v="STJ/2025/08/08903"/>
    <s v="Inventory Valuation"/>
    <s v="CM/MTI/2025/02464 - [CITGC126] CABLE CAT6 4PAIR INSULATION SIZE 0.33MM THICK X 6.5MM OD JACKET CLOUR GREY FRAME RATING CM INDOOR / MRQ/2025/03486"/>
    <s v="CM/MTI/2025/02464 - [CITGC126] CABLE CAT6 4PAIR INSULATION SIZE 0.33MM THICK X 6.5MM OD JACKET CLOUR GREY FRAME RATING CM INDOOR / MRQ/2025/03486"/>
    <m/>
    <m/>
    <s v="MATERIAL COST"/>
    <s v="Expenses"/>
    <s v="731002"/>
    <s v="731002 STORE SPARES &amp; CONSUMABLES - GENERAL"/>
    <s v="CWIP-INSTALLATION OF NEW WEIGHBRIDGE AT QUARRY(2NOS)"/>
    <s v="QUARRY"/>
    <s v="INSTRUMENTATION"/>
    <n v="230000.5"/>
    <n v="0"/>
    <n v="230000.5"/>
    <s v="TZS"/>
    <s v="[CITGC126] CABLE CAT6 4PAIR INSULATION SIZE 0.33MM THICK X 6.5MM OD JACKET CLOUR GREY FRAME RATING CM INDOOR"/>
    <m/>
    <n v="-305"/>
    <s v="MTR"/>
    <x v="0"/>
    <x v="0"/>
    <x v="14"/>
    <x v="3"/>
    <n v="90.196274509803928"/>
    <n v="0"/>
  </r>
  <r>
    <n v="863"/>
    <d v="2025-08-18T00:00:00"/>
    <x v="92"/>
    <s v="STJ/2025/08/08904"/>
    <s v="Inventory Valuation"/>
    <s v="CM/MTI/2025/02464 - [EELSW120] SWITCH 8 PORT 2.5 GIGABIT POE COMPATIBLE WITH 10/100/1000MBPS / MRQ/2025/03486"/>
    <s v="CM/MTI/2025/02464 - [EELSW120] SWITCH 8 PORT 2.5 GIGABIT POE COMPATIBLE WITH 10/100/1000MBPS / MRQ/2025/03486"/>
    <m/>
    <m/>
    <s v="MATERIAL COST"/>
    <s v="Expenses"/>
    <s v="731002"/>
    <s v="731002 STORE SPARES &amp; CONSUMABLES - GENERAL"/>
    <s v="CWIP-INSTALLATION OF NEW WEIGHBRIDGE AT QUARRY(2NOS)"/>
    <s v="QUARRY"/>
    <s v="INSTRUMENTATION"/>
    <n v="126000"/>
    <n v="0"/>
    <n v="126000"/>
    <s v="TZS"/>
    <s v="[EELSW120] SWITCH 8 PORT 2.5 GIGABIT POE COMPATIBLE WITH 10/100/1000MBPS"/>
    <m/>
    <n v="-1"/>
    <s v="NOS"/>
    <x v="0"/>
    <x v="0"/>
    <x v="14"/>
    <x v="3"/>
    <n v="49.411764705882355"/>
    <n v="0"/>
  </r>
  <r>
    <n v="864"/>
    <d v="2025-08-18T00:00:00"/>
    <x v="92"/>
    <s v="STJ/2025/08/08932"/>
    <s v="Inventory Valuation"/>
    <s v="CM/MTI/2025/02471 - [CCLGC002] AGGREGATE GRANITE SIZE 14 MM TO 20 MM  / MRQ/2025/03498"/>
    <s v="CM/MTI/2025/02471 - [CCLGC002] AGGREGATE GRANITE SIZE 14 MM TO 20 MM  / MRQ/2025/03498"/>
    <m/>
    <m/>
    <s v="MATERIAL COST"/>
    <s v="Expenses"/>
    <s v="731002"/>
    <s v="731002 STORE SPARES &amp; CONSUMABLES - GENERAL"/>
    <s v="CWIP-QUARRY RAW MATERIAL SHED EXTENSION"/>
    <s v="QUARRY"/>
    <s v="MECHANICAL"/>
    <n v="22755200"/>
    <n v="0"/>
    <n v="22755200"/>
    <s v="TZS"/>
    <s v="[CCLGC002] AGGREGATE GRANITE SIZE 14 MM TO 20 MM "/>
    <m/>
    <n v="-218.8"/>
    <s v="CUM"/>
    <x v="0"/>
    <x v="0"/>
    <x v="18"/>
    <x v="7"/>
    <n v="8923.6078431372553"/>
    <n v="300000"/>
  </r>
  <r>
    <n v="865"/>
    <d v="2025-08-19T11:31:08"/>
    <x v="93"/>
    <s v="SERBL/2025/08/0110"/>
    <s v="Service Bills"/>
    <s v="LPORD/2025/00547: Charges of Machinery JCB 215 (3 Days)"/>
    <s v="0005"/>
    <s v="CMLT2205"/>
    <s v="Tuff Rock Limited"/>
    <s v="CAPITAL WORK IN PROGRESS"/>
    <s v="Fixed Assets"/>
    <s v="371056"/>
    <s v="371056 MINERAL EXPLORATION &amp; DEVELOPMENT-TARAWANDA"/>
    <s v="TARAWANDA EXPENSE"/>
    <s v="QUARRY"/>
    <s v="QUARRYING"/>
    <n v="3175000"/>
    <n v="0"/>
    <n v="3175000"/>
    <s v="TZS"/>
    <s v="[SER006] Job Contract"/>
    <s v="Misc. Income"/>
    <n v="2.5"/>
    <s v="NOS"/>
    <x v="0"/>
    <x v="0"/>
    <x v="1"/>
    <x v="1"/>
    <n v="1245.0980392156862"/>
    <n v="0"/>
  </r>
  <r>
    <n v="866"/>
    <d v="2025-08-19T08:44:53"/>
    <x v="93"/>
    <s v="PCVFY/2025/08/0064"/>
    <s v="PCV (PETTY CASH FACTORY)"/>
    <m/>
    <s v="BEING LABOUR CHARGES FOR UNLOADING OF MIRUNDA FOR NEW SHED EXTENSION OF RAW MATERIALS-GOVIND SINGH"/>
    <m/>
    <m/>
    <s v="CAPITAL WORK IN PROGRESS"/>
    <s v="Fixed Assets"/>
    <s v="371012"/>
    <s v="371012 CWIP-QUARRY RAW MATERIAL SHED EXTENSION"/>
    <s v="CWIP-QUARRY RAW MATERIAL SHED EXTENSION"/>
    <s v="UTILITY"/>
    <s v="STORE"/>
    <n v="20000"/>
    <n v="0"/>
    <n v="20000"/>
    <s v="TZS"/>
    <m/>
    <m/>
    <n v="1"/>
    <m/>
    <x v="0"/>
    <x v="0"/>
    <x v="18"/>
    <x v="7"/>
    <n v="7.8431372549019605"/>
    <n v="0"/>
  </r>
  <r>
    <n v="867"/>
    <d v="2025-08-19T00:00:00"/>
    <x v="93"/>
    <s v="STJ/2025/08/09911"/>
    <s v="Inventory Valuation"/>
    <s v="CM/MTI/2025/02488 - [CIGGS001] GAS OXYGEN FULL CYLINDER, O2 / MRQ/2025/03529"/>
    <s v="CM/MTI/2025/02488 - [CIGGS001] GAS OXYGEN FULL CYLINDER, O2 / MRQ/2025/03529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75000"/>
    <n v="0"/>
    <n v="75000"/>
    <s v="TZS"/>
    <s v="[CIGGS001] GAS OXYGEN FULL CYLINDER, O2"/>
    <m/>
    <n v="-5"/>
    <s v="NOS"/>
    <x v="0"/>
    <x v="0"/>
    <x v="8"/>
    <x v="3"/>
    <n v="29.411764705882351"/>
    <n v="0"/>
  </r>
  <r>
    <n v="868"/>
    <d v="2025-08-19T00:00:00"/>
    <x v="93"/>
    <s v="STJ/2025/08/09912"/>
    <s v="Inventory Valuation"/>
    <s v="CM/MTI/2025/02488 - [CWCWR003] WELDING ELECTRODE MS 6013 SIZE 4 MM X 450 MM / MRQ/2025/03529_x000a_Rounding Adjustment: +0.01 TSh"/>
    <s v="CM/MTI/2025/02488 - [CWCWR003] WELDING ELECTRODE MS 6013 SIZE 4 MM X 450 MM / MRQ/2025/03529_x000a_Rounding Adjustment: +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0975.08"/>
    <n v="0"/>
    <n v="40975.08"/>
    <s v="TZS"/>
    <s v="[CWCWR003] WELDING ELECTRODE MS 6013 SIZE 4 MM X 450 MM"/>
    <m/>
    <n v="-10"/>
    <s v="KG"/>
    <x v="0"/>
    <x v="0"/>
    <x v="8"/>
    <x v="3"/>
    <n v="16.068658823529411"/>
    <n v="0"/>
  </r>
  <r>
    <n v="869"/>
    <d v="2025-08-19T00:00:00"/>
    <x v="93"/>
    <s v="STJ/2025/08/09899"/>
    <s v="Inventory Valuation"/>
    <s v="CM/MTI/2025/02481 - [EVLBV030] VALVE BALL TYPE SIZE 50MM / MRQ/2025/03552"/>
    <s v="CM/MTI/2025/02481 - [EVLBV030] VALVE BALL TYPE SIZE 50MM / MRQ/2025/0355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5000"/>
    <n v="0"/>
    <n v="55000"/>
    <s v="TZS"/>
    <s v="[EVLBV030] VALVE BALL TYPE SIZE 50MM"/>
    <m/>
    <n v="-1"/>
    <s v="NOS"/>
    <x v="0"/>
    <x v="0"/>
    <x v="9"/>
    <x v="4"/>
    <n v="21.568627450980394"/>
    <n v="0"/>
  </r>
  <r>
    <n v="870"/>
    <d v="2025-08-19T00:00:00"/>
    <x v="93"/>
    <s v="STJ/2025/08/09916"/>
    <s v="Inventory Valuation"/>
    <s v="CM/MTI/2025/02491 - [EPFPI027] PIPE MS SIZE 2&quot; DIA X 6000 MM LONG CLASS C / MRQ/2025/03487"/>
    <s v="CM/MTI/2025/02491 - [EPFPI027] PIPE MS SIZE 2&quot; DIA X 6000 MM LONG CLASS C / MRQ/2025/0348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598821.6"/>
    <n v="0"/>
    <n v="598821.6"/>
    <s v="TZS"/>
    <s v="[EPFPI027] PIPE MS SIZE 2&quot; DIA X 6000 MM LONG CLASS C"/>
    <m/>
    <n v="-6"/>
    <s v="NOS"/>
    <x v="0"/>
    <x v="0"/>
    <x v="9"/>
    <x v="4"/>
    <n v="234.83199999999999"/>
    <n v="0"/>
  </r>
  <r>
    <n v="871"/>
    <d v="2025-08-20T11:50:18"/>
    <x v="94"/>
    <s v="PCVFY/2025/08/0070"/>
    <s v="PCV (PETTY CASH FACTORY)"/>
    <m/>
    <s v="BEING PAYMENTS FOR SURVEING CHARGE FOR RAWMILL ROLLER NO. 3 BASE LEVELLING DURING LONG SHUT DOWN WORK-GRIVIN KITANA"/>
    <m/>
    <m/>
    <s v="CAPITAL WORK IN PROGRESS"/>
    <s v="Fixed Assets"/>
    <s v="371021"/>
    <s v="371021 CWIP-PYRO UPGRADATION"/>
    <s v="CWIP-Pyro Upgradation"/>
    <s v="PROJECT"/>
    <s v="PROJECT"/>
    <n v="400000"/>
    <n v="0"/>
    <n v="400000"/>
    <s v="TZS"/>
    <m/>
    <m/>
    <n v="1"/>
    <m/>
    <x v="0"/>
    <x v="0"/>
    <x v="0"/>
    <x v="0"/>
    <n v="156.86274509803923"/>
    <n v="0"/>
  </r>
  <r>
    <n v="872"/>
    <d v="2025-08-20T00:00:00"/>
    <x v="94"/>
    <s v="STJ/2025/08/10471"/>
    <s v="Inventory Valuation"/>
    <s v="CM/MTI/2025/02503 - [EISWE094] AMPLIFIER AUDIO 15 WATT POWER SUPPLY 230 VAC MAKE AHUJA / MRQ/2025/03569"/>
    <s v="CM/MTI/2025/02503 - [EISWE094] AMPLIFIER AUDIO 15 WATT POWER SUPPLY 230 VAC MAKE AHUJA / MRQ/2025/03569"/>
    <m/>
    <m/>
    <s v="MATERIAL COST"/>
    <s v="Expenses"/>
    <s v="731002"/>
    <s v="731002 STORE SPARES &amp; CONSUMABLES - GENERAL"/>
    <s v="CWIP-INSTALLATION OF NEW WEIGHBRIDGE AT QUARRY(2NOS)"/>
    <s v="QUARRY"/>
    <s v="INSTRUMENTATION"/>
    <n v="534143.65"/>
    <n v="0"/>
    <n v="534143.65"/>
    <s v="TZS"/>
    <s v="[EISWE094] AMPLIFIER AUDIO 15 WATT POWER SUPPLY 230 VAC MAKE AHUJA"/>
    <m/>
    <n v="-1"/>
    <s v="NOS"/>
    <x v="0"/>
    <x v="0"/>
    <x v="14"/>
    <x v="3"/>
    <n v="209.4680980392157"/>
    <n v="0"/>
  </r>
  <r>
    <n v="873"/>
    <d v="2025-08-21T08:33:02"/>
    <x v="95"/>
    <s v="SERBL/2025/08/0122"/>
    <s v="Service Bills"/>
    <s v="LPORD/2025/00736: Insulation work at ducting area in plant"/>
    <s v="29022"/>
    <s v="CMLT1217"/>
    <s v="Gibs Developers Company"/>
    <s v="CAPITAL WORK IN PROGRESS"/>
    <s v="Fixed Assets"/>
    <s v="371021"/>
    <s v="371021 CWIP-PYRO UPGRADATION"/>
    <s v="CWIP-Pyro Upgradation"/>
    <s v="PROJECT"/>
    <s v="PROJECT"/>
    <n v="19323150"/>
    <n v="0"/>
    <n v="19323150"/>
    <s v="TZS"/>
    <s v="[SER034] Job Contract-12"/>
    <s v="Misc. Income"/>
    <n v="501.9"/>
    <s v="SM"/>
    <x v="0"/>
    <x v="0"/>
    <x v="0"/>
    <x v="0"/>
    <n v="7577.7058823529414"/>
    <n v="0"/>
  </r>
  <r>
    <n v="874"/>
    <d v="2025-08-21T08:30:08"/>
    <x v="95"/>
    <s v="SERBL/2025/08/0121"/>
    <s v="Service Bills"/>
    <s v="LPORD/2025/00785: RECLAIMER SHED EXTENSION SIDE GLADING,SHEET FIXING AND REPARING JOB "/>
    <s v="TAZ-00014"/>
    <s v="CMLT2186"/>
    <s v="Taz Engineering Company Limited"/>
    <s v="CAPITAL WORK IN PROGRESS"/>
    <s v="Fixed Assets"/>
    <s v="371039"/>
    <s v="371039 CWIP-CONSTRUCTION OF LIME STONE AND GYPSUM FEEDING SYSTEM IN CEMENT MILL"/>
    <s v="CWIP-CONSTRUCTION OF LIME STONE AND GYPSUM FEEDING SYSTEM IN CEMENT MILL"/>
    <s v="PROJECT"/>
    <s v="MECHANICAL"/>
    <n v="5000000"/>
    <n v="0"/>
    <n v="5000000"/>
    <s v="TZS"/>
    <s v="[SER027] Job Contract-5"/>
    <s v="Misc. Income"/>
    <n v="1"/>
    <s v="Lumpsum"/>
    <x v="0"/>
    <x v="0"/>
    <x v="8"/>
    <x v="3"/>
    <n v="1960.7843137254902"/>
    <n v="0"/>
  </r>
  <r>
    <n v="875"/>
    <d v="2025-08-21T08:20:08"/>
    <x v="95"/>
    <s v="SERBL/2025/08/0120"/>
    <s v="Service Bills"/>
    <s v="LPORD/2025/00782: SKILLED SCAFOLDER TO REMOVE THE SCAFOLDING PIPE AT RAWMILL AREA AND PREHEATER BUILDING "/>
    <s v="TAZ-0016"/>
    <s v="CMLT2186"/>
    <s v="Taz Engineering Company Limited"/>
    <s v="CAPITAL WORK IN PROGRESS"/>
    <s v="Fixed Assets"/>
    <s v="371021"/>
    <s v="371021 CWIP-PYRO UPGRADATION"/>
    <s v="CWIP-Pyro Upgradation"/>
    <s v="PROJECT"/>
    <s v="MECHANICAL"/>
    <n v="1620000"/>
    <n v="0"/>
    <n v="1620000"/>
    <s v="TZS"/>
    <s v="[SER037] Job Contract-15"/>
    <s v="Misc. Income"/>
    <n v="27"/>
    <s v="MANDAY"/>
    <x v="0"/>
    <x v="0"/>
    <x v="0"/>
    <x v="0"/>
    <n v="635.29411764705878"/>
    <n v="0"/>
  </r>
  <r>
    <n v="876"/>
    <d v="2025-08-21T08:20:08"/>
    <x v="95"/>
    <s v="SERBL/2025/08/0120"/>
    <s v="Service Bills"/>
    <s v="LPORD/2025/00782: UNSKILLED HELPER  TO REMOVE THE SCAFOLDING PIPE AT RAWMILL AREA AND PREHEATER BUILDING "/>
    <s v="TAZ-0016"/>
    <s v="CMLT2186"/>
    <s v="Taz Engineering Company Limited"/>
    <s v="CAPITAL WORK IN PROGRESS"/>
    <s v="Fixed Assets"/>
    <s v="371021"/>
    <s v="371021 CWIP-PYRO UPGRADATION"/>
    <s v="CWIP-Pyro Upgradation"/>
    <s v="PROJECT"/>
    <s v="MECHANICAL"/>
    <n v="283500"/>
    <n v="0"/>
    <n v="283500"/>
    <s v="TZS"/>
    <s v="[SER037] Job Contract-15"/>
    <s v="Misc. Income"/>
    <n v="27"/>
    <s v="MANDAY"/>
    <x v="0"/>
    <x v="0"/>
    <x v="0"/>
    <x v="0"/>
    <n v="111.17647058823529"/>
    <n v="0"/>
  </r>
  <r>
    <n v="877"/>
    <d v="2025-08-21T08:06:55"/>
    <x v="95"/>
    <s v="SERBL/2025/08/0118"/>
    <s v="Service Bills"/>
    <s v="LPORD/2024/01243: Insulation work for duct, chutes, Cyclone, Bag filters etc with material provided by Lake cement as Glass wool, Aluminum/ GI sheeting, Bids and ribs."/>
    <s v="CN-0334"/>
    <s v="CMLT1838"/>
    <s v="Caneth Engineering Company Limited"/>
    <s v="CAPITAL WORK IN PROGRESS"/>
    <s v="Fixed Assets"/>
    <s v="371021"/>
    <s v="371021 CWIP-PYRO UPGRADATION"/>
    <s v="CWIP-Pyro Upgradation"/>
    <s v="PROJECT"/>
    <s v="PROJECT"/>
    <n v="26166140"/>
    <n v="0"/>
    <n v="26166140"/>
    <s v="TZS"/>
    <s v="[SER034] Job Contract-12"/>
    <s v="Misc. Income"/>
    <n v="679.64"/>
    <s v="SM"/>
    <x v="0"/>
    <x v="0"/>
    <x v="0"/>
    <x v="0"/>
    <n v="10261.23137254902"/>
    <n v="0"/>
  </r>
  <r>
    <n v="878"/>
    <d v="2025-08-21T06:42:37"/>
    <x v="95"/>
    <s v="SERBL/2025/08/0115"/>
    <s v="Service Bills"/>
    <s v="LPORD/2025/00783: SUPPLY OF SKILLED FITTER FOR RAWMILL 2  COMMISSIONING ACTIVITIES "/>
    <s v="TAZ-0018"/>
    <s v="CMLT2186"/>
    <s v="Taz Engineering Company Limited"/>
    <s v="CAPITAL WORK IN PROGRESS"/>
    <s v="Fixed Assets"/>
    <s v="371038"/>
    <s v="371038 CWIP-CONSTRUCTION OF NEW RAW MILL FEEDING AND UPGRADATION"/>
    <s v="CWIP-CONSTRUCTION OF NEW RAW MILL FEEDING AND UPGRADATION"/>
    <s v="PROJECT"/>
    <s v="MECHANICAL"/>
    <n v="1440000"/>
    <n v="0"/>
    <n v="1440000"/>
    <s v="TZS"/>
    <s v="[SER037] Job Contract-15"/>
    <s v="Misc. Income"/>
    <n v="24"/>
    <s v="MANDAY"/>
    <x v="0"/>
    <x v="0"/>
    <x v="9"/>
    <x v="4"/>
    <n v="564.70588235294122"/>
    <n v="0"/>
  </r>
  <r>
    <n v="879"/>
    <d v="2025-08-21T06:42:37"/>
    <x v="95"/>
    <s v="SERBL/2025/08/0115"/>
    <s v="Service Bills"/>
    <s v="LPORD/2025/00783: SUPPLY OF SKILLED WELDER FOR RAWMILL 2  COMMISSIONING ACTIVITIES "/>
    <s v="TAZ-0018"/>
    <s v="CMLT2186"/>
    <s v="Taz Engineering Company Limited"/>
    <s v="CAPITAL WORK IN PROGRESS"/>
    <s v="Fixed Assets"/>
    <s v="371038"/>
    <s v="371038 CWIP-CONSTRUCTION OF NEW RAW MILL FEEDING AND UPGRADATION"/>
    <s v="CWIP-CONSTRUCTION OF NEW RAW MILL FEEDING AND UPGRADATION"/>
    <s v="PROJECT"/>
    <s v="MECHANICAL"/>
    <n v="1440000"/>
    <n v="0"/>
    <n v="1440000"/>
    <s v="TZS"/>
    <s v="[SER037] Job Contract-15"/>
    <s v="Misc. Income"/>
    <n v="24"/>
    <s v="MANDAY"/>
    <x v="0"/>
    <x v="0"/>
    <x v="9"/>
    <x v="4"/>
    <n v="564.70588235294122"/>
    <n v="0"/>
  </r>
  <r>
    <n v="880"/>
    <d v="2025-08-21T06:42:37"/>
    <x v="95"/>
    <s v="SERBL/2025/08/0115"/>
    <s v="Service Bills"/>
    <s v="LPORD/2025/00783: SUPPLY OF UNSKILLED HELPER FOR RAWMILL 2  COMMISSIONING ACTIVITIES "/>
    <s v="TAZ-0018"/>
    <s v="CMLT2186"/>
    <s v="Taz Engineering Company Limited"/>
    <s v="CAPITAL WORK IN PROGRESS"/>
    <s v="Fixed Assets"/>
    <s v="371038"/>
    <s v="371038 CWIP-CONSTRUCTION OF NEW RAW MILL FEEDING AND UPGRADATION"/>
    <s v="CWIP-CONSTRUCTION OF NEW RAW MILL FEEDING AND UPGRADATION"/>
    <s v="PROJECT"/>
    <s v="MECHANICAL"/>
    <n v="504000"/>
    <n v="0"/>
    <n v="504000"/>
    <s v="TZS"/>
    <s v="[SER037] Job Contract-15"/>
    <s v="Misc. Income"/>
    <n v="48"/>
    <s v="MANDAY"/>
    <x v="0"/>
    <x v="0"/>
    <x v="9"/>
    <x v="4"/>
    <n v="197.64705882352942"/>
    <n v="0"/>
  </r>
  <r>
    <n v="881"/>
    <d v="2025-08-21T00:00:00"/>
    <x v="95"/>
    <s v="STJ/2025/08/10967"/>
    <s v="Inventory Valuation"/>
    <s v="CM/MTI/2025/02529 - [CACOP006] LAPTOP / MRQ/2025/03540-KISHORE"/>
    <s v="CM/MTI/2025/02529 - [CACOP006] LAPTOP / MRQ/2025/03540"/>
    <m/>
    <m/>
    <s v="MATERIAL COST"/>
    <s v="Expenses"/>
    <s v="731003"/>
    <s v="731003 STORE SPARES &amp; CONSUMABLE-CA"/>
    <s v="Fixed Asset"/>
    <s v="ADMIN"/>
    <s v="STORE"/>
    <n v="1397000"/>
    <n v="0"/>
    <n v="1397000"/>
    <s v="TZS"/>
    <s v="[CACOP006] LAPTOP"/>
    <m/>
    <n v="-1"/>
    <s v="NOS"/>
    <x v="0"/>
    <x v="2"/>
    <x v="6"/>
    <x v="1"/>
    <n v="547.84313725490199"/>
    <n v="0"/>
  </r>
  <r>
    <n v="882"/>
    <d v="2025-08-21T00:00:00"/>
    <x v="95"/>
    <s v="STJ/2025/08/10957"/>
    <s v="Inventory Valuation"/>
    <s v="CM/MTI/2025/02524 - [CAFRF007] OFFICE TABLE SIZE 120 X 60 CM / MRQ/2025/03613"/>
    <s v="CM/MTI/2025/02524 - [CAFRF007] OFFICE TABLE SIZE 120 X 60 CM / MRQ/2025/03613"/>
    <m/>
    <m/>
    <s v="MATERIAL COST"/>
    <s v="Expenses"/>
    <s v="731003"/>
    <s v="731003 STORE SPARES &amp; CONSUMABLE-CA"/>
    <s v="Fixed Asset"/>
    <s v="QUARRY"/>
    <s v="INSTRUMENTATION"/>
    <n v="391000"/>
    <n v="0"/>
    <n v="391000"/>
    <s v="TZS"/>
    <s v="[CAFRF007] OFFICE TABLE SIZE 120 X 60 CM"/>
    <m/>
    <n v="-1"/>
    <s v="NOS"/>
    <x v="0"/>
    <x v="3"/>
    <x v="7"/>
    <x v="1"/>
    <n v="153.33333333333334"/>
    <n v="0"/>
  </r>
  <r>
    <n v="883"/>
    <d v="2025-08-21T00:00:00"/>
    <x v="95"/>
    <s v="STJ/2025/08/10963"/>
    <s v="Inventory Valuation"/>
    <s v="CM/MTI/2025/02527 - [CCLGC184] PAINT BRUSH 1'' / MRQ/2025/03607"/>
    <s v="CM/MTI/2025/02527 - [CCLGC184] PAINT BRUSH 1'' / MRQ/2025/03607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5057.3100000000004"/>
    <n v="0"/>
    <n v="5057.3100000000004"/>
    <s v="TZS"/>
    <s v="[CCLGC184] PAINT BRUSH 1''"/>
    <m/>
    <n v="-5"/>
    <s v="NOS"/>
    <x v="0"/>
    <x v="0"/>
    <x v="8"/>
    <x v="3"/>
    <n v="1.983258823529412"/>
    <n v="0"/>
  </r>
  <r>
    <n v="884"/>
    <d v="2025-08-21T00:00:00"/>
    <x v="95"/>
    <s v="STJ/2025/08/10760"/>
    <s v="Inventory Valuation"/>
    <s v="LOG/MTI/2025/00891 - [CCLGC330] TMT BAR SIZE 16 MM GRADE FY500. / MRQ/2025/03550"/>
    <s v="LOG/MTI/2025/00891 - [CCLGC330] TMT BAR SIZE 16 MM GRADE FY500. / MRQ/2025/03550"/>
    <m/>
    <m/>
    <s v="MATERIAL COST"/>
    <s v="Expenses"/>
    <s v="731002"/>
    <s v="731002 STORE SPARES &amp; CONSUMABLES - GENERAL"/>
    <s v="CWIP-FABRICATION OF INHOUSE TRAILOR"/>
    <s v="LOGISTIC DIVISION"/>
    <s v="LOGISTIC DIVISION"/>
    <n v="182947.96"/>
    <n v="0"/>
    <n v="182947.96"/>
    <s v="TZS"/>
    <s v="[CCLGC330] TMT BAR SIZE 16 MM GRADE FY500."/>
    <m/>
    <n v="-5"/>
    <s v="PCS"/>
    <x v="0"/>
    <x v="0"/>
    <x v="12"/>
    <x v="1"/>
    <n v="71.744298039215678"/>
    <n v="0"/>
  </r>
  <r>
    <n v="885"/>
    <d v="2025-08-22T07:37:32"/>
    <x v="96"/>
    <s v="SERBL/2025/08/0126"/>
    <s v="Service Bills"/>
    <s v="LPORD/2025/00786: FABRICATION OF PALTE AND STRUCTURE WORK FOR HOT AIR DUCT PREHATER DUCT TO NEW AND OLD COAL MILL INLET DUCT "/>
    <s v="28991"/>
    <s v="CMLT1217"/>
    <s v="Gibs Developers Company"/>
    <s v="CAPITAL WORK IN PROGRESS"/>
    <s v="Fixed Assets"/>
    <s v="371021"/>
    <s v="371021 CWIP-PYRO UPGRADATION"/>
    <s v="CWIP-Pyro Upgradation"/>
    <s v="PROJECT"/>
    <s v="PROJECT"/>
    <n v="7282650"/>
    <n v="0"/>
    <n v="7282650"/>
    <s v="TZS"/>
    <s v="[SER025] Job Contract-3"/>
    <s v="Misc. Income"/>
    <n v="10.33"/>
    <s v="MT"/>
    <x v="0"/>
    <x v="0"/>
    <x v="0"/>
    <x v="0"/>
    <n v="2855.9411764705883"/>
    <n v="0"/>
  </r>
  <r>
    <n v="886"/>
    <d v="2025-08-22T07:37:32"/>
    <x v="96"/>
    <s v="SERBL/2025/08/0126"/>
    <s v="Service Bills"/>
    <s v="LPORD/2025/00786: ERECTION OF PALTE AND STRUCTURE WORK FOR HOT AIR DUCT PREHATER DUCT TO NEW AND OLD COAL MILL INLET DUCT "/>
    <s v="28991"/>
    <s v="CMLT1217"/>
    <s v="Gibs Developers Company"/>
    <s v="CAPITAL WORK IN PROGRESS"/>
    <s v="Fixed Assets"/>
    <s v="371021"/>
    <s v="371021 CWIP-PYRO UPGRADATION"/>
    <s v="CWIP-Pyro Upgradation"/>
    <s v="PROJECT"/>
    <s v="PROJECT"/>
    <n v="7282650"/>
    <n v="0"/>
    <n v="7282650"/>
    <s v="TZS"/>
    <s v="[SER025] Job Contract-3"/>
    <s v="Misc. Income"/>
    <n v="10.33"/>
    <s v="MT"/>
    <x v="0"/>
    <x v="0"/>
    <x v="0"/>
    <x v="0"/>
    <n v="2855.9411764705883"/>
    <n v="0"/>
  </r>
  <r>
    <n v="887"/>
    <d v="2025-08-22T12:11:19"/>
    <x v="96"/>
    <s v="PCVHO/2025/08/0217"/>
    <s v="PCV (PETTY CASH HO)"/>
    <s v="CONVAYANCE CHARGES "/>
    <s v="Being payment for lunch with TANESCO team during meeting for Tarawanda project - Sajivkumar"/>
    <m/>
    <m/>
    <s v="CAPITAL WORK IN PROGRESS"/>
    <s v="Fixed Assets"/>
    <s v="371056"/>
    <s v="371056 MINERAL EXPLORATION &amp; DEVELOPMENT-TARAWANDA"/>
    <s v="Corporate"/>
    <s v="HO"/>
    <s v="ADMIN"/>
    <n v="160000"/>
    <n v="0"/>
    <n v="160000"/>
    <s v="TZS"/>
    <m/>
    <m/>
    <n v="1"/>
    <m/>
    <x v="0"/>
    <x v="0"/>
    <x v="1"/>
    <x v="1"/>
    <n v="62.745098039215684"/>
    <n v="0"/>
  </r>
  <r>
    <n v="888"/>
    <d v="2025-08-22T00:00:00"/>
    <x v="96"/>
    <s v="STJ/2025/08/11877"/>
    <s v="Inventory Valuation"/>
    <s v="CM/MTI/2025/02560 - [EFSHB096] BOLT HT HEX HEAD M12 X 50MM FULL THREAD WITH NUT AND WASHER GRADE 8.8 / MRQ/2025/03624"/>
    <s v="CM/MTI/2025/02560 - [EFSHB096] BOLT HT HEX HEAD M12 X 50MM FULL THREAD WITH NUT AND WASHER GRADE 8.8 / MRQ/2025/03624"/>
    <m/>
    <m/>
    <s v="MATERIAL COST"/>
    <s v="Expenses"/>
    <s v="731002"/>
    <s v="731002 STORE SPARES &amp; CONSUMABLES - GENERAL"/>
    <s v="CWIP-CONSTRUCTION OF LIME STONE AND GYPSUM FEEDING SYSTEM IN CEMENT MILL"/>
    <s v="CEMENT MILL -2"/>
    <s v="MECHANICAL"/>
    <n v="108000"/>
    <n v="0"/>
    <n v="108000"/>
    <s v="TZS"/>
    <s v="[EFSHB096] BOLT HT HEX HEAD M12 X 50MM FULL THREAD WITH NUT AND WASHER GRADE 8.8"/>
    <m/>
    <n v="-120"/>
    <s v="NOS"/>
    <x v="0"/>
    <x v="0"/>
    <x v="8"/>
    <x v="3"/>
    <n v="42.352941176470587"/>
    <n v="0"/>
  </r>
  <r>
    <n v="889"/>
    <d v="2025-08-22T00:00:00"/>
    <x v="96"/>
    <s v="STJ/2025/08/11878"/>
    <s v="Inventory Valuation"/>
    <s v="CM/MTI/2025/02560 - [EFSHB118] BOLT HT HEX HEAD M16 X 75MM FULL THREAD WITH NUT AND WASHER GRADE 8.8 / MRQ/2025/03624"/>
    <s v="CM/MTI/2025/02560 - [EFSHB118] BOLT HT HEX HEAD M16 X 75MM FULL THREAD WITH NUT AND WASHER GRADE 8.8 / MRQ/2025/03624"/>
    <m/>
    <m/>
    <s v="MATERIAL COST"/>
    <s v="Expenses"/>
    <s v="731002"/>
    <s v="731002 STORE SPARES &amp; CONSUMABLES - GENERAL"/>
    <s v="CWIP-CONSTRUCTION OF LIME STONE AND GYPSUM FEEDING SYSTEM IN CEMENT MILL"/>
    <s v="CEMENT MILL -2"/>
    <s v="MECHANICAL"/>
    <n v="37616.550000000003"/>
    <n v="0"/>
    <n v="37616.550000000003"/>
    <s v="TZS"/>
    <s v="[EFSHB118] BOLT HT HEX HEAD M16 X 75MM FULL THREAD WITH NUT AND WASHER GRADE 8.8"/>
    <m/>
    <n v="-28"/>
    <s v="NOS"/>
    <x v="0"/>
    <x v="0"/>
    <x v="8"/>
    <x v="3"/>
    <n v="14.751588235294118"/>
    <n v="0"/>
  </r>
  <r>
    <n v="890"/>
    <d v="2025-08-22T00:00:00"/>
    <x v="96"/>
    <s v="STJ/2025/08/11860"/>
    <s v="Inventory Valuation"/>
    <s v="CM/MTI/2025/02554 - [CIGGS001] GAS OXYGEN FULL CYLINDER, O2 / MRQ/2025/03630"/>
    <s v="CM/MTI/2025/02554 - [CIGGS001] GAS OXYGEN FULL CYLINDER, O2 / MRQ/2025/03630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5000"/>
    <n v="0"/>
    <n v="45000"/>
    <s v="TZS"/>
    <s v="[CIGGS001] GAS OXYGEN FULL CYLINDER, O2"/>
    <m/>
    <n v="-3"/>
    <s v="NOS"/>
    <x v="0"/>
    <x v="0"/>
    <x v="8"/>
    <x v="3"/>
    <n v="17.647058823529413"/>
    <n v="0"/>
  </r>
  <r>
    <n v="891"/>
    <d v="2025-08-22T00:00:00"/>
    <x v="96"/>
    <s v="STJ/2025/08/11884"/>
    <s v="Inventory Valuation"/>
    <s v="CM/MTI/2025/02563 - [CIGGS001] GAS OXYGEN FULL CYLINDER, O2 / MRQ/2025/03621"/>
    <s v="CM/MTI/2025/02563 - [CIGGS001] GAS OXYGEN FULL CYLINDER, O2 / MRQ/2025/0362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50000"/>
    <n v="0"/>
    <n v="150000"/>
    <s v="TZS"/>
    <s v="[CIGGS001] GAS OXYGEN FULL CYLINDER, O2"/>
    <m/>
    <n v="-10"/>
    <s v="NOS"/>
    <x v="0"/>
    <x v="0"/>
    <x v="9"/>
    <x v="4"/>
    <n v="58.823529411764703"/>
    <n v="0"/>
  </r>
  <r>
    <n v="892"/>
    <d v="2025-08-22T00:00:00"/>
    <x v="96"/>
    <s v="STJ/2025/08/11885"/>
    <s v="Inventory Valuation"/>
    <s v="CM/MTI/2025/02563 - [CIGGS005] GAS LIQUEFIED PETROLEUM FULL CYLINDER, LPG CAPACITY 15KG / MRQ/2025/03621"/>
    <s v="CM/MTI/2025/02563 - [CIGGS005] GAS LIQUEFIED PETROLEUM FULL CYLINDER, LPG CAPACITY 15KG / MRQ/2025/0362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000"/>
    <n v="0"/>
    <n v="96000"/>
    <s v="TZS"/>
    <s v="[CIGGS005] GAS LIQUEFIED PETROLEUM FULL CYLINDER, LPG CAPACITY 15KG"/>
    <m/>
    <n v="-2"/>
    <s v="NOS"/>
    <x v="0"/>
    <x v="0"/>
    <x v="9"/>
    <x v="4"/>
    <n v="37.647058823529413"/>
    <n v="0"/>
  </r>
  <r>
    <n v="893"/>
    <d v="2025-08-22T00:00:00"/>
    <x v="96"/>
    <s v="STJ/2025/08/11886"/>
    <s v="Inventory Valuation"/>
    <s v="CM/MTI/2025/02563 - [CWCGC041] CUTTING WHEEL 7'' / MRQ/2025/03621"/>
    <s v="CM/MTI/2025/02563 - [CWCGC041] CUTTING WHEEL 7'' / MRQ/2025/0362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325.93"/>
    <n v="0"/>
    <n v="19325.93"/>
    <s v="TZS"/>
    <s v="[CWCGC041] CUTTING WHEEL 7''"/>
    <m/>
    <n v="-6"/>
    <s v="NOS"/>
    <x v="0"/>
    <x v="0"/>
    <x v="9"/>
    <x v="4"/>
    <n v="7.578796078431373"/>
    <n v="0"/>
  </r>
  <r>
    <n v="894"/>
    <d v="2025-08-22T00:00:00"/>
    <x v="96"/>
    <s v="STJ/2025/08/11887"/>
    <s v="Inventory Valuation"/>
    <s v="CM/MTI/2025/02563 - [CWCWR003] WELDING ELECTRODE MS 6013 SIZE 4 MM X 450 MM / MRQ/2025/03621_x000a_Rounding Adjustment: -0.01 TSh"/>
    <s v="CM/MTI/2025/02563 - [CWCWR003] WELDING ELECTRODE MS 6013 SIZE 4 MM X 450 MM / MRQ/2025/03621_x000a_Rounding Adjustment: -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2"/>
    <n v="0"/>
    <n v="81950.2"/>
    <s v="TZS"/>
    <s v="[CWCWR003] WELDING ELECTRODE MS 6013 SIZE 4 MM X 450 MM"/>
    <m/>
    <n v="-20"/>
    <s v="KG"/>
    <x v="0"/>
    <x v="0"/>
    <x v="9"/>
    <x v="4"/>
    <n v="32.137333333333331"/>
    <n v="0"/>
  </r>
  <r>
    <n v="895"/>
    <d v="2025-08-22T00:00:00"/>
    <x v="96"/>
    <s v="STJ/2025/08/11862"/>
    <s v="Inventory Valuation"/>
    <s v="CM/MTI/2025/02556 - [EELSW006] SOCKET TWIN TYPE 13 AMP 230V / MRQ/2025/03625"/>
    <s v="CM/MTI/2025/02556 - [EELSW006] SOCKET TWIN TYPE 13 AMP 230V / MRQ/2025/03625"/>
    <m/>
    <m/>
    <s v="MATERIAL COST"/>
    <s v="Expenses"/>
    <s v="731002"/>
    <s v="731002 STORE SPARES &amp; CONSUMABLES - GENERAL"/>
    <s v="CWIP-INSTALLATION OF NEW WEIGHBRIDGE AT QUARRY(2NOS)"/>
    <s v="QUARRY"/>
    <s v="INSTRUMENTATION"/>
    <n v="8681.0400000000009"/>
    <n v="0"/>
    <n v="8681.0400000000009"/>
    <s v="TZS"/>
    <s v="[EELSW006] SOCKET TWIN TYPE 13 AMP 230V"/>
    <m/>
    <n v="-2"/>
    <s v="PCS"/>
    <x v="0"/>
    <x v="0"/>
    <x v="14"/>
    <x v="3"/>
    <n v="3.404329411764706"/>
    <n v="0"/>
  </r>
  <r>
    <n v="896"/>
    <d v="2025-08-22T00:00:00"/>
    <x v="96"/>
    <s v="STJ/2025/08/11863"/>
    <s v="Inventory Valuation"/>
    <s v="CM/MTI/2025/02556 - [EELSW111] SWITCH SOCKET TWIN TYPE 13 AMP 230V MULT PLUG TYPE / MRQ/2025/03625"/>
    <s v="CM/MTI/2025/02556 - [EELSW111] SWITCH SOCKET TWIN TYPE 13 AMP 230V MULT PLUG TYPE / MRQ/2025/03625"/>
    <m/>
    <m/>
    <s v="MATERIAL COST"/>
    <s v="Expenses"/>
    <s v="731002"/>
    <s v="731002 STORE SPARES &amp; CONSUMABLES - GENERAL"/>
    <s v="CWIP-INSTALLATION OF NEW WEIGHBRIDGE AT QUARRY(2NOS)"/>
    <s v="QUARRY"/>
    <s v="INSTRUMENTATION"/>
    <n v="13000"/>
    <n v="0"/>
    <n v="13000"/>
    <s v="TZS"/>
    <s v="[EELSW111] SWITCH SOCKET TWIN TYPE 13 AMP 230V MULT PLUG TYPE"/>
    <m/>
    <n v="-2"/>
    <s v="NOS"/>
    <x v="0"/>
    <x v="0"/>
    <x v="14"/>
    <x v="3"/>
    <n v="5.0980392156862742"/>
    <n v="0"/>
  </r>
  <r>
    <n v="897"/>
    <d v="2025-08-23T11:52:23"/>
    <x v="97"/>
    <s v="STJ/2025/08/12263"/>
    <s v="Inventory Valuation"/>
    <s v="CM/MTI/2025/02572 - [PROCM204] SHEET ALUMINIUM SIZE 24 SWG FOR INSULATION / MRQ/2025/03663"/>
    <s v="CM/MTI/2025/02572 - [PROCM204] SHEET ALUMINIUM SIZE 24 SWG FOR INSULATION / MRQ/2025/03663"/>
    <m/>
    <m/>
    <s v="CAPITAL WORK IN PROGRESS"/>
    <s v="Fixed Assets"/>
    <s v="371023"/>
    <s v="371023 CWIP-CEMENT MILL 50TPH NEW"/>
    <s v="CWIP-CONSTRUCTION OF NEW RAW MILL FEEDING AND UPGRADATION"/>
    <s v="RAW MILL-2"/>
    <s v="MECHANICAL"/>
    <n v="1724800"/>
    <n v="0"/>
    <n v="1724800"/>
    <s v="TZS"/>
    <s v="[PROCM204] SHEET ALUMINIUM SIZE 24 SWG FOR INSULATION"/>
    <s v="CEMENT MILL"/>
    <n v="-100"/>
    <s v="KG"/>
    <x v="0"/>
    <x v="0"/>
    <x v="9"/>
    <x v="4"/>
    <n v="676.39215686274508"/>
    <n v="0"/>
  </r>
  <r>
    <n v="898"/>
    <d v="2025-08-23T00:00:00"/>
    <x v="97"/>
    <s v="STJ/2025/08/12264"/>
    <s v="Inventory Valuation"/>
    <s v="CM/MTI/2025/02573 - [CPAPT037] THINNER SOLVENT / MRQ/2025/03671"/>
    <s v="CM/MTI/2025/02573 - [CPAPT037] THINNER SOLVENT / MRQ/2025/03671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0580.810000000001"/>
    <n v="0"/>
    <n v="20580.810000000001"/>
    <s v="TZS"/>
    <s v="[CPAPT037] THINNER SOLVENT"/>
    <m/>
    <n v="-5"/>
    <s v="LTR"/>
    <x v="0"/>
    <x v="0"/>
    <x v="8"/>
    <x v="3"/>
    <n v="8.0709058823529425"/>
    <n v="0"/>
  </r>
  <r>
    <n v="899"/>
    <d v="2025-08-23T00:00:00"/>
    <x v="97"/>
    <s v="STJ/2025/08/12265"/>
    <s v="Inventory Valuation"/>
    <s v="CM/MTI/2025/02573 - [CWCWR003] WELDING ELECTRODE MS 6013 SIZE 4 MM X 450 MM / MRQ/2025/03671_x000a_Rounding Adjustment: +0.01 TSh"/>
    <s v="CM/MTI/2025/02573 - [CWCWR003] WELDING ELECTRODE MS 6013 SIZE 4 MM X 450 MM / MRQ/2025/03671_x000a_Rounding Adjustment: +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0975.08"/>
    <n v="0"/>
    <n v="40975.08"/>
    <s v="TZS"/>
    <s v="[CWCWR003] WELDING ELECTRODE MS 6013 SIZE 4 MM X 450 MM"/>
    <m/>
    <n v="-10"/>
    <s v="KG"/>
    <x v="0"/>
    <x v="0"/>
    <x v="8"/>
    <x v="3"/>
    <n v="16.068658823529411"/>
    <n v="0"/>
  </r>
  <r>
    <n v="900"/>
    <d v="2025-08-23T00:00:00"/>
    <x v="97"/>
    <s v="STJ/2025/08/12254"/>
    <s v="Inventory Valuation"/>
    <s v="CM/MTI/2025/02569 - [CITGC100] CARD RFID MODEL IMS-HF-C017 MATERIAL PVC WITH 1 K MEMORY WITH PLASTIC PROTECTIVE CASE MAKE OMEC-IMAGIC / MRQ/2025/03670"/>
    <s v="CM/MTI/2025/02569 - [CITGC100] CARD RFID MODEL IMS-HF-C017 MATERIAL PVC WITH 1 K MEMORY WITH PLASTIC PROTECTIVE CASE MAKE OMEC-IMAGIC / MRQ/2025/03670"/>
    <m/>
    <m/>
    <s v="MATERIAL COST"/>
    <s v="Expenses"/>
    <s v="731002"/>
    <s v="731002 STORE SPARES &amp; CONSUMABLES - GENERAL"/>
    <s v="CWIP-INSTALLATION OF NEW WEIGHBRIDGE AT QUARRY(2NOS)"/>
    <s v="QUARRY"/>
    <s v="INSTRUMENTATION"/>
    <n v="286740.27"/>
    <n v="0"/>
    <n v="286740.27"/>
    <s v="TZS"/>
    <s v="[CITGC100] CARD RFID MODEL IMS-HF-C017 MATERIAL PVC WITH 1 K MEMORY WITH PLASTIC PROTECTIVE CASE MAKE OMEC-IMAGIC"/>
    <m/>
    <n v="-50"/>
    <s v="NOS"/>
    <x v="0"/>
    <x v="0"/>
    <x v="14"/>
    <x v="3"/>
    <n v="112.44716470588236"/>
    <n v="0"/>
  </r>
  <r>
    <n v="901"/>
    <d v="2025-08-23T00:00:00"/>
    <x v="97"/>
    <s v="STJ/2025/08/12255"/>
    <s v="Inventory Valuation"/>
    <s v="CM/MTI/2025/02569 - [CITGC113] SOFTWARE RFID TRIP COUNTING FOR WEIGHBRIDGE / MRQ/2025/03670"/>
    <s v="CM/MTI/2025/02569 - [CITGC113] SOFTWARE RFID TRIP COUNTING FOR WEIGHBRIDGE / MRQ/2025/03670"/>
    <m/>
    <m/>
    <s v="MATERIAL COST"/>
    <s v="Expenses"/>
    <s v="731002"/>
    <s v="731002 STORE SPARES &amp; CONSUMABLES - GENERAL"/>
    <s v="CWIP-INSTALLATION OF NEW WEIGHBRIDGE AT QUARRY(2NOS)"/>
    <s v="QUARRY"/>
    <s v="INSTRUMENTATION"/>
    <n v="6712145.3899999997"/>
    <n v="0"/>
    <n v="6712145.3899999997"/>
    <s v="TZS"/>
    <s v="[CITGC113] SOFTWARE RFID TRIP COUNTING FOR WEIGHBRIDGE"/>
    <m/>
    <n v="-1"/>
    <s v="NOS"/>
    <x v="0"/>
    <x v="0"/>
    <x v="14"/>
    <x v="3"/>
    <n v="2632.2138784313724"/>
    <n v="0"/>
  </r>
  <r>
    <n v="902"/>
    <d v="2025-08-25T14:09:39"/>
    <x v="98"/>
    <s v="PCVHO/2025/08/0250"/>
    <s v="PCV (PETTY CASH HO)"/>
    <s v="LOCAL TRANSPORTATION "/>
    <s v="Being payment for transport charges for the limestone sample from tarawanda to Kimbiji plant - Stivene Richard"/>
    <m/>
    <m/>
    <s v="CAPITAL WORK IN PROGRESS"/>
    <s v="Fixed Assets"/>
    <s v="371056"/>
    <s v="371056 MINERAL EXPLORATION &amp; DEVELOPMENT-TARAWANDA"/>
    <s v="Corporate"/>
    <s v="HO"/>
    <s v="PURCHASE"/>
    <n v="1400000"/>
    <n v="0"/>
    <n v="1400000"/>
    <s v="TZS"/>
    <m/>
    <m/>
    <n v="1"/>
    <m/>
    <x v="0"/>
    <x v="0"/>
    <x v="1"/>
    <x v="1"/>
    <n v="549.01960784313724"/>
    <n v="0"/>
  </r>
  <r>
    <n v="903"/>
    <d v="2025-08-25T00:00:00"/>
    <x v="98"/>
    <s v="STJ/2025/08/12995"/>
    <s v="Inventory Valuation"/>
    <s v="CM/MTI/2025/02587 - [CPAPT037] THINNER SOLVENT / MRQ/2025/03683_x000a_Rounding Adjustment: -0.01 TSh"/>
    <s v="CM/MTI/2025/02587 - [CPAPT037] THINNER SOLVENT / MRQ/2025/03683_x000a_Rounding Adjustment: -0.01 TSh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0580.82"/>
    <n v="0"/>
    <n v="20580.82"/>
    <s v="TZS"/>
    <s v="[CPAPT037] THINNER SOLVENT"/>
    <m/>
    <n v="-5"/>
    <s v="LTR"/>
    <x v="0"/>
    <x v="0"/>
    <x v="8"/>
    <x v="3"/>
    <n v="8.0709098039215679"/>
    <n v="0"/>
  </r>
  <r>
    <n v="904"/>
    <d v="2025-08-25T00:00:00"/>
    <x v="98"/>
    <s v="STJ/2025/08/13002"/>
    <s v="Inventory Valuation"/>
    <s v="CM/MTI/2025/02589 - [CITGC100] CARD RFID MODEL IMS-HF-C017 MATERIAL PVC WITH 1 K MEMORY WITH PLASTIC PROTECTIVE CASE MAKE OMEC-IMAGIC / MRQ/2025/03679"/>
    <s v="CM/MTI/2025/02589 - [CITGC100] CARD RFID MODEL IMS-HF-C017 MATERIAL PVC WITH 1 K MEMORY WITH PLASTIC PROTECTIVE CASE MAKE OMEC-IMAGIC / MRQ/2025/03679"/>
    <m/>
    <m/>
    <s v="MATERIAL COST"/>
    <s v="Expenses"/>
    <s v="731002"/>
    <s v="731002 STORE SPARES &amp; CONSUMABLES - GENERAL"/>
    <s v="CWIP-INSTALLATION OF NEW WEIGHBRIDGE AT QUARRY(2NOS)"/>
    <s v="QUARRY"/>
    <s v="INSTRUMENTATION"/>
    <n v="114696.11"/>
    <n v="0"/>
    <n v="114696.11"/>
    <s v="TZS"/>
    <s v="[CITGC100] CARD RFID MODEL IMS-HF-C017 MATERIAL PVC WITH 1 K MEMORY WITH PLASTIC PROTECTIVE CASE MAKE OMEC-IMAGIC"/>
    <m/>
    <n v="-20"/>
    <s v="NOS"/>
    <x v="0"/>
    <x v="0"/>
    <x v="14"/>
    <x v="3"/>
    <n v="44.978866666666669"/>
    <n v="0"/>
  </r>
  <r>
    <n v="905"/>
    <d v="2025-08-26T00:00:00"/>
    <x v="99"/>
    <s v="STJ/2025/08/13343"/>
    <s v="Inventory Valuation"/>
    <s v="CM/MTI/2025/02609 - [CACOP007] PRINTER / MRQ/2025/03704"/>
    <s v="CM/MTI/2025/02609 - [CACOP007] PRINTER / MRQ/2025/03704"/>
    <m/>
    <m/>
    <s v="MATERIAL COST"/>
    <s v="Expenses"/>
    <s v="731003"/>
    <s v="731003 STORE SPARES &amp; CONSUMABLE-CA"/>
    <s v="Fixed Asset"/>
    <s v="ADMIN"/>
    <s v="INSTRUMENTATION"/>
    <n v="740112.99"/>
    <n v="0"/>
    <n v="740112.99"/>
    <s v="TZS"/>
    <s v="[CACOP007] PRINTER"/>
    <m/>
    <n v="-1"/>
    <s v="NOS"/>
    <x v="0"/>
    <x v="2"/>
    <x v="6"/>
    <x v="1"/>
    <n v="290.24038823529412"/>
    <n v="0"/>
  </r>
  <r>
    <n v="906"/>
    <d v="2025-08-26T00:00:00"/>
    <x v="99"/>
    <s v="STJ/2025/08/13346"/>
    <s v="Inventory Valuation"/>
    <s v="CM/MTI/2025/02611 - [CWCWR003] WELDING ELECTRODE MS 6013 SIZE 4 MM X 450 MM / MRQ/2025/03691_x000a_Rounding Adjustment: +0.01 TSh"/>
    <s v="CM/MTI/2025/02611 - [CWCWR003] WELDING ELECTRODE MS 6013 SIZE 4 MM X 450 MM / MRQ/2025/03691_x000a_Rounding Adjustment: +0.01 TSh"/>
    <m/>
    <m/>
    <s v="MATERIAL COST"/>
    <s v="Expenses"/>
    <s v="731002"/>
    <s v="731002 STORE SPARES &amp; CONSUMABLES - GENERAL"/>
    <s v="CWIP-FABRICATION OF INHOUSE TRAILOR"/>
    <s v="LOGISTIC DIVISION"/>
    <s v="LOGISTIC DIVISION"/>
    <n v="409750.93"/>
    <n v="0"/>
    <n v="409750.93"/>
    <s v="TZS"/>
    <s v="[CWCWR003] WELDING ELECTRODE MS 6013 SIZE 4 MM X 450 MM"/>
    <m/>
    <n v="-100"/>
    <s v="KG"/>
    <x v="0"/>
    <x v="0"/>
    <x v="12"/>
    <x v="1"/>
    <n v="160.68663921568628"/>
    <n v="0"/>
  </r>
  <r>
    <n v="907"/>
    <d v="2025-08-26T00:00:00"/>
    <x v="99"/>
    <s v="STJ/2025/08/13340"/>
    <s v="Inventory Valuation"/>
    <s v="CM/MTI/2025/02608 - [CITGC030] RFID READER WEIGH BRIDGE IMAGIC SOFTWARE 12VDC / MRQ/2025/03707"/>
    <s v="CM/MTI/2025/02608 - [CITGC030] RFID READER WEIGH BRIDGE IMAGIC SOFTWARE 12VDC / MRQ/2025/03707"/>
    <m/>
    <m/>
    <s v="MATERIAL COST"/>
    <s v="Expenses"/>
    <s v="731002"/>
    <s v="731002 STORE SPARES &amp; CONSUMABLES - GENERAL"/>
    <s v="CWIP-INSTALLATION OF NEW WEIGHBRIDGE AT QUARRY(2NOS)"/>
    <s v="QUARRY"/>
    <s v="INSTRUMENTATION"/>
    <n v="4060029.56"/>
    <n v="0"/>
    <n v="4060029.56"/>
    <s v="TZS"/>
    <s v="[CITGC030] RFID READER WEIGH BRIDGE IMAGIC SOFTWARE 12VDC"/>
    <m/>
    <n v="-2"/>
    <s v="NOS"/>
    <x v="0"/>
    <x v="0"/>
    <x v="14"/>
    <x v="3"/>
    <n v="1592.1684549019608"/>
    <n v="0"/>
  </r>
  <r>
    <n v="908"/>
    <d v="2025-08-26T00:00:00"/>
    <x v="99"/>
    <s v="STJ/2025/08/13341"/>
    <s v="Inventory Valuation"/>
    <s v="CM/MTI/2025/02608 - [EELLT138] TRAFFIC LIGHT COLOUR RED/GREEN MODEL IMS-TRF-GR10 POWER SUPPLY 24 VDC POLYCARBONATE HOUSING OUTDOOR TYPE / MRQ/2025/03707"/>
    <s v="CM/MTI/2025/02608 - [EELLT138] TRAFFIC LIGHT COLOUR RED/GREEN MODEL IMS-TRF-GR10 POWER SUPPLY 24 VDC POLYCARBONATE HOUSING OUTDOOR TYPE / MRQ/2025/03707"/>
    <m/>
    <m/>
    <s v="MATERIAL COST"/>
    <s v="Expenses"/>
    <s v="731002"/>
    <s v="731002 STORE SPARES &amp; CONSUMABLES - GENERAL"/>
    <s v="CWIP-INSTALLATION OF NEW WEIGHBRIDGE AT QUARRY(2NOS)"/>
    <s v="QUARRY"/>
    <s v="INSTRUMENTATION"/>
    <n v="1553872.39"/>
    <n v="0"/>
    <n v="1553872.39"/>
    <s v="TZS"/>
    <s v="[EELLT138] TRAFFIC LIGHT COLOUR RED/GREEN MODEL IMS-TRF-GR10 POWER SUPPLY 24 VDC POLYCARBONATE HOUSING OUTDOOR TYPE"/>
    <m/>
    <n v="-3"/>
    <s v="NOS"/>
    <x v="0"/>
    <x v="0"/>
    <x v="14"/>
    <x v="3"/>
    <n v="609.36172156862744"/>
    <n v="0"/>
  </r>
  <r>
    <n v="909"/>
    <d v="2025-08-26T00:00:00"/>
    <x v="99"/>
    <s v="STJ/2025/08/13342"/>
    <s v="Inventory Valuation"/>
    <s v="CM/MTI/2025/02608 - [EISGS022] SMPS MODULE / INPUT 100-240 VOLT AC 50HZ/ OUT PUT V1 +5VOLT  4 AMPS V2  +24 VOLT  1.4AMPS / MRQ/2025/03707"/>
    <s v="CM/MTI/2025/02608 - [EISGS022] SMPS MODULE / INPUT 100-240 VOLT AC 50HZ/ OUT PUT V1 +5VOLT  4 AMPS V2  +24 VOLT  1.4AMPS / MRQ/2025/03707"/>
    <m/>
    <m/>
    <s v="MATERIAL COST"/>
    <s v="Expenses"/>
    <s v="731002"/>
    <s v="731002 STORE SPARES &amp; CONSUMABLES - GENERAL"/>
    <s v="CWIP-INSTALLATION OF NEW WEIGHBRIDGE AT QUARRY(2NOS)"/>
    <s v="QUARRY"/>
    <s v="INSTRUMENTATION"/>
    <n v="130059.26"/>
    <n v="0"/>
    <n v="130059.26"/>
    <s v="TZS"/>
    <s v="[EISGS022] SMPS MODULE / INPUT 100-240 VOLT AC 50HZ/ OUT PUT V1 +5VOLT  4 AMPS V2  +24 VOLT  1.4AMPS"/>
    <m/>
    <n v="-1"/>
    <s v="NOS"/>
    <x v="0"/>
    <x v="0"/>
    <x v="14"/>
    <x v="3"/>
    <n v="51.003631372549016"/>
    <n v="0"/>
  </r>
  <r>
    <n v="910"/>
    <d v="2025-08-26T00:00:00"/>
    <x v="99"/>
    <s v="STJ/2025/08/13337"/>
    <s v="Inventory Valuation"/>
    <s v="CM/MTI/2025/02607 - [CIGGS001] GAS OXYGEN FULL CYLINDER, O2 / MRQ/2025/03682"/>
    <s v="CM/MTI/2025/02607 - [CIGGS001] GAS OXYGEN FULL CYLINDER, O2 / MRQ/2025/03682"/>
    <m/>
    <m/>
    <s v="MATERIAL COST"/>
    <s v="Expenses"/>
    <s v="731002"/>
    <s v="731002 STORE SPARES &amp; CONSUMABLES - GENERAL"/>
    <s v="CWIP-INSTALLATION OF NEW WEIGHBRIDGE AT QUARRY(2NOS)"/>
    <s v="PROJECT"/>
    <s v="MECHANICAL"/>
    <n v="105000"/>
    <n v="0"/>
    <n v="105000"/>
    <s v="TZS"/>
    <s v="[CIGGS001] GAS OXYGEN FULL CYLINDER, O2"/>
    <m/>
    <n v="-7"/>
    <s v="NOS"/>
    <x v="0"/>
    <x v="0"/>
    <x v="14"/>
    <x v="3"/>
    <n v="41.176470588235297"/>
    <n v="0"/>
  </r>
  <r>
    <n v="911"/>
    <d v="2025-08-26T00:00:00"/>
    <x v="99"/>
    <s v="STJ/2025/08/13338"/>
    <s v="Inventory Valuation"/>
    <s v="CM/MTI/2025/02607 - [CWCGC041] CUTTING WHEEL 7'' / MRQ/2025/03682"/>
    <s v="CM/MTI/2025/02607 - [CWCGC041] CUTTING WHEEL 7'' / MRQ/2025/03682"/>
    <m/>
    <m/>
    <s v="MATERIAL COST"/>
    <s v="Expenses"/>
    <s v="731002"/>
    <s v="731002 STORE SPARES &amp; CONSUMABLES - GENERAL"/>
    <s v="CWIP-INSTALLATION OF NEW WEIGHBRIDGE AT QUARRY(2NOS)"/>
    <s v="PROJECT"/>
    <s v="MECHANICAL"/>
    <n v="19325.93"/>
    <n v="0"/>
    <n v="19325.93"/>
    <s v="TZS"/>
    <s v="[CWCGC041] CUTTING WHEEL 7''"/>
    <m/>
    <n v="-6"/>
    <s v="NOS"/>
    <x v="0"/>
    <x v="0"/>
    <x v="14"/>
    <x v="3"/>
    <n v="7.578796078431373"/>
    <n v="0"/>
  </r>
  <r>
    <n v="912"/>
    <d v="2025-08-26T00:00:00"/>
    <x v="99"/>
    <s v="STJ/2025/08/13339"/>
    <s v="Inventory Valuation"/>
    <s v="CM/MTI/2025/02607 - [CWCWR003] WELDING ELECTRODE MS 6013 SIZE 4 MM X 450 MM / MRQ/2025/03682"/>
    <s v="CM/MTI/2025/02607 - [CWCWR003] WELDING ELECTRODE MS 6013 SIZE 4 MM X 450 MM / MRQ/2025/03682"/>
    <m/>
    <m/>
    <s v="MATERIAL COST"/>
    <s v="Expenses"/>
    <s v="731002"/>
    <s v="731002 STORE SPARES &amp; CONSUMABLES - GENERAL"/>
    <s v="CWIP-INSTALLATION OF NEW WEIGHBRIDGE AT QUARRY(2NOS)"/>
    <s v="PROJECT"/>
    <s v="MECHANICAL"/>
    <n v="81950.19"/>
    <n v="0"/>
    <n v="81950.19"/>
    <s v="TZS"/>
    <s v="[CWCWR003] WELDING ELECTRODE MS 6013 SIZE 4 MM X 450 MM"/>
    <m/>
    <n v="-20"/>
    <s v="KG"/>
    <x v="0"/>
    <x v="0"/>
    <x v="14"/>
    <x v="3"/>
    <n v="32.137329411764703"/>
    <n v="0"/>
  </r>
  <r>
    <n v="913"/>
    <d v="2025-08-26T00:00:00"/>
    <x v="99"/>
    <s v="STJ/2025/08/13318"/>
    <s v="Inventory Valuation"/>
    <s v="CM/MTI/2025/02604 - [CCLGC032] WIRE FOR BINDING / MRQ/2025/03719"/>
    <s v="CM/MTI/2025/02604 - [CCLGC032] WIRE FOR BINDING / MRQ/2025/03719"/>
    <m/>
    <m/>
    <s v="MATERIAL COST"/>
    <s v="Expenses"/>
    <s v="731002"/>
    <s v="731002 STORE SPARES &amp; CONSUMABLES - GENERAL"/>
    <s v="CWIP-ROAD PHASE 07"/>
    <s v="PROJECT"/>
    <s v="MECHANICAL"/>
    <n v="74250"/>
    <n v="0"/>
    <n v="74250"/>
    <s v="TZS"/>
    <s v="[CCLGC032] WIRE FOR BINDING"/>
    <m/>
    <n v="-14.85"/>
    <s v="KG"/>
    <x v="0"/>
    <x v="0"/>
    <x v="17"/>
    <x v="6"/>
    <n v="29.117647058823529"/>
    <n v="0"/>
  </r>
  <r>
    <n v="914"/>
    <d v="2025-08-26T00:00:00"/>
    <x v="99"/>
    <s v="STJ/2025/08/13319"/>
    <s v="Inventory Valuation"/>
    <s v="CM/MTI/2025/02604 - [CCLGC328] TMT BAR SIZE 10 MM GRADE FY500. / MRQ/2025/03719_x000a_Rounding Adjustment: -0.01 TSh"/>
    <s v="CM/MTI/2025/02604 - [CCLGC328] TMT BAR SIZE 10 MM GRADE FY500. / MRQ/2025/03719_x000a_Rounding Adjustment: -0.01 TSh"/>
    <m/>
    <m/>
    <s v="MATERIAL COST"/>
    <s v="Expenses"/>
    <s v="731002"/>
    <s v="731002 STORE SPARES &amp; CONSUMABLES - GENERAL"/>
    <s v="CWIP-ROAD PHASE 07"/>
    <s v="PROJECT"/>
    <s v="MECHANICAL"/>
    <n v="580843.31999999995"/>
    <n v="0"/>
    <n v="580843.31999999995"/>
    <s v="TZS"/>
    <s v="[CCLGC328] TMT BAR SIZE 10 MM GRADE FY500."/>
    <m/>
    <n v="-40"/>
    <s v="PCS"/>
    <x v="0"/>
    <x v="0"/>
    <x v="17"/>
    <x v="6"/>
    <n v="227.78169411764705"/>
    <n v="0"/>
  </r>
  <r>
    <n v="915"/>
    <d v="2025-08-27T00:00:00"/>
    <x v="100"/>
    <s v="STJ/2025/08/13864"/>
    <s v="Inventory Valuation"/>
    <s v="CM/MTI/2025/02623 - [CCLGC022] NAILS SIZE 3'' / MRQ/2025/03544"/>
    <s v="CM/MTI/2025/02623 - [CCLGC022] NAILS SIZE 3'' / MRQ/2025/03544"/>
    <m/>
    <m/>
    <s v="MATERIAL COST"/>
    <s v="Expenses"/>
    <s v="731002"/>
    <s v="731002 STORE SPARES &amp; CONSUMABLES - GENERAL"/>
    <s v="CWIP-QUARRY RAW MATERIAL SHED EXTENSION"/>
    <s v="QUARRY"/>
    <s v="MECHANICAL"/>
    <n v="28500"/>
    <n v="0"/>
    <n v="28500"/>
    <s v="TZS"/>
    <s v="[CCLGC022] NAILS SIZE 3''"/>
    <m/>
    <n v="-5"/>
    <s v="KG"/>
    <x v="0"/>
    <x v="0"/>
    <x v="18"/>
    <x v="7"/>
    <n v="11.176470588235293"/>
    <n v="0"/>
  </r>
  <r>
    <n v="916"/>
    <d v="2025-08-27T00:00:00"/>
    <x v="100"/>
    <s v="STJ/2025/08/13865"/>
    <s v="Inventory Valuation"/>
    <s v="CM/MTI/2025/02623 - [CCLGC023] NAILS SIZE 4'' / MRQ/2025/03544"/>
    <s v="CM/MTI/2025/02623 - [CCLGC023] NAILS SIZE 4'' / MRQ/2025/03544"/>
    <m/>
    <m/>
    <s v="MATERIAL COST"/>
    <s v="Expenses"/>
    <s v="731002"/>
    <s v="731002 STORE SPARES &amp; CONSUMABLES - GENERAL"/>
    <s v="CWIP-QUARRY RAW MATERIAL SHED EXTENSION"/>
    <s v="QUARRY"/>
    <s v="MECHANICAL"/>
    <n v="22800"/>
    <n v="0"/>
    <n v="22800"/>
    <s v="TZS"/>
    <s v="[CCLGC023] NAILS SIZE 4''"/>
    <m/>
    <n v="-4"/>
    <s v="KG"/>
    <x v="0"/>
    <x v="0"/>
    <x v="18"/>
    <x v="7"/>
    <n v="8.9411764705882355"/>
    <n v="0"/>
  </r>
  <r>
    <n v="917"/>
    <d v="2025-08-27T00:00:00"/>
    <x v="100"/>
    <s v="STJ/2025/08/13866"/>
    <s v="Inventory Valuation"/>
    <s v="CM/MTI/2025/02623 - [CCLGC038] TIMBER 2 INCH X 4 INCH UNTREATED / MRQ/2025/03544"/>
    <s v="CM/MTI/2025/02623 - [CCLGC038] TIMBER 2 INCH X 4 INCH UNTREATED / MRQ/2025/03544"/>
    <m/>
    <m/>
    <s v="MATERIAL COST"/>
    <s v="Expenses"/>
    <s v="731002"/>
    <s v="731002 STORE SPARES &amp; CONSUMABLES - GENERAL"/>
    <s v="CWIP-QUARRY RAW MATERIAL SHED EXTENSION"/>
    <s v="QUARRY"/>
    <s v="MECHANICAL"/>
    <n v="56000"/>
    <n v="0"/>
    <n v="56000"/>
    <s v="TZS"/>
    <s v="[CCLGC038] TIMBER 2 INCH X 4 INCH UNTREATED"/>
    <m/>
    <n v="-8"/>
    <s v="NOS"/>
    <x v="0"/>
    <x v="0"/>
    <x v="18"/>
    <x v="7"/>
    <n v="21.96078431372549"/>
    <n v="0"/>
  </r>
  <r>
    <n v="918"/>
    <d v="2025-08-27T00:00:00"/>
    <x v="100"/>
    <s v="STJ/2025/08/13867"/>
    <s v="Inventory Valuation"/>
    <s v="CM/MTI/2025/02623 - [CCLGC183] POLES WOODEN MIRUNDA  / MRQ/2025/03544"/>
    <s v="CM/MTI/2025/02623 - [CCLGC183] POLES WOODEN MIRUNDA  / MRQ/2025/03544"/>
    <m/>
    <m/>
    <s v="MATERIAL COST"/>
    <s v="Expenses"/>
    <s v="731002"/>
    <s v="731002 STORE SPARES &amp; CONSUMABLES - GENERAL"/>
    <s v="CWIP-QUARRY RAW MATERIAL SHED EXTENSION"/>
    <s v="QUARRY"/>
    <s v="MECHANICAL"/>
    <n v="40000"/>
    <n v="0"/>
    <n v="40000"/>
    <s v="TZS"/>
    <s v="[CCLGC183] POLES WOODEN MIRUNDA "/>
    <m/>
    <n v="-8"/>
    <s v="NOS"/>
    <x v="0"/>
    <x v="0"/>
    <x v="18"/>
    <x v="7"/>
    <n v="15.686274509803921"/>
    <n v="0"/>
  </r>
  <r>
    <n v="919"/>
    <d v="2025-08-28T13:03:39"/>
    <x v="101"/>
    <s v="SERBL/2025/08/0146"/>
    <s v="Service Bills"/>
    <s v="LPORD/2025/00809: SUPPLY OF SKILLED WELDER FOR PREHEATER FAN PLATFORM MODIFICATION AND HANDRAIL FIXING AT PREHETAER "/>
    <s v="TAZ-0020"/>
    <s v="CMLT2186"/>
    <s v="Taz Engineering Company Limited"/>
    <s v="CAPITAL WORK IN PROGRESS"/>
    <s v="Fixed Assets"/>
    <s v="371038"/>
    <s v="371038 CWIP-CONSTRUCTION OF NEW RAW MILL FEEDING AND UPGRADATION"/>
    <s v="JOBWORK-CONTRACT"/>
    <s v="RAW MILL-2"/>
    <s v="MECHANICAL"/>
    <n v="1800000"/>
    <n v="0"/>
    <n v="1800000"/>
    <s v="TZS"/>
    <s v="[SER037] Job Contract-15"/>
    <s v="Misc. Income"/>
    <n v="30"/>
    <s v="MANDAY"/>
    <x v="0"/>
    <x v="0"/>
    <x v="9"/>
    <x v="4"/>
    <n v="705.88235294117646"/>
    <n v="0"/>
  </r>
  <r>
    <n v="920"/>
    <d v="2025-08-28T13:03:39"/>
    <x v="101"/>
    <s v="SERBL/2025/08/0146"/>
    <s v="Service Bills"/>
    <s v="LPORD/2025/00809: SUPPLY OF SKILLED FITTER FOR PREHEATER FAN PLATFORM MODIFICATION AND HANDRAIL FIXING AT PREHETAER "/>
    <s v="TAZ-0020"/>
    <s v="CMLT2186"/>
    <s v="Taz Engineering Company Limited"/>
    <s v="CAPITAL WORK IN PROGRESS"/>
    <s v="Fixed Assets"/>
    <s v="371038"/>
    <s v="371038 CWIP-CONSTRUCTION OF NEW RAW MILL FEEDING AND UPGRADATION"/>
    <s v="JOBWORK-CONTRACT"/>
    <s v="RAW MILL-2"/>
    <s v="MECHANICAL"/>
    <n v="1800000"/>
    <n v="0"/>
    <n v="1800000"/>
    <s v="TZS"/>
    <s v="[SER037] Job Contract-15"/>
    <s v="Misc. Income"/>
    <n v="30"/>
    <s v="MANDAY"/>
    <x v="0"/>
    <x v="0"/>
    <x v="9"/>
    <x v="4"/>
    <n v="705.88235294117646"/>
    <n v="0"/>
  </r>
  <r>
    <n v="921"/>
    <d v="2025-08-28T13:03:39"/>
    <x v="101"/>
    <s v="SERBL/2025/08/0146"/>
    <s v="Service Bills"/>
    <s v="LPORD/2025/00809: SUPPLY OF UNSKILLED HELPER  FOR PREHEATER FAN PLATFORM MODIFICATION AND HANDRAIL FIXING AT PREHETAER "/>
    <s v="TAZ-0020"/>
    <s v="CMLT2186"/>
    <s v="Taz Engineering Company Limited"/>
    <s v="CAPITAL WORK IN PROGRESS"/>
    <s v="Fixed Assets"/>
    <s v="371038"/>
    <s v="371038 CWIP-CONSTRUCTION OF NEW RAW MILL FEEDING AND UPGRADATION"/>
    <s v="JOBWORK-CONTRACT"/>
    <s v="RAW MILL-2"/>
    <s v="MECHANICAL"/>
    <n v="630000"/>
    <n v="0"/>
    <n v="630000"/>
    <s v="TZS"/>
    <s v="[SER037] Job Contract-15"/>
    <s v="Misc. Income"/>
    <n v="60"/>
    <s v="MANDAY"/>
    <x v="0"/>
    <x v="0"/>
    <x v="9"/>
    <x v="4"/>
    <n v="247.05882352941177"/>
    <n v="0"/>
  </r>
  <r>
    <n v="922"/>
    <d v="2025-08-29T00:00:00"/>
    <x v="102"/>
    <s v="STJ/2025/08/15363"/>
    <s v="Inventory Valuation"/>
    <s v="CM/MTI/2025/02667 - [CAOFE002] AIR CONDITION UNIT 18000 BTU SPLIT TYPE / MRQ/2025/03808"/>
    <s v="CM/MTI/2025/02667 - [CAOFE002] AIR CONDITION UNIT 18000 BTU SPLIT TYPE / MRQ/2025/03808"/>
    <m/>
    <m/>
    <s v="MATERIAL COST"/>
    <s v="Expenses"/>
    <s v="731003"/>
    <s v="731003 STORE SPARES &amp; CONSUMABLES - CA"/>
    <s v="Fixed Asset"/>
    <s v="ADMIN"/>
    <s v="ADMIN"/>
    <n v="1302542.3700000001"/>
    <n v="0"/>
    <n v="1302542.3700000001"/>
    <s v="TZS"/>
    <s v="[CAOFE002] AIR CONDITION UNIT 18000 BTU SPLIT TYPE"/>
    <m/>
    <n v="-1"/>
    <s v="NOS"/>
    <x v="0"/>
    <x v="2"/>
    <x v="16"/>
    <x v="1"/>
    <n v="510.80092941176474"/>
    <n v="0"/>
  </r>
  <r>
    <n v="923"/>
    <d v="2025-08-29T00:00:00"/>
    <x v="102"/>
    <s v="STJ/2025/08/15393"/>
    <s v="Inventory Valuation"/>
    <s v="CM/MTI/2025/02680 - [EBRBL097] BEARING BALL 6218 / MRQ/2025/03781"/>
    <s v="CM/MTI/2025/02680 - [EBRBL097] BEARING BALL 6218 / MRQ/2025/03781"/>
    <m/>
    <m/>
    <s v="MATERIAL COST"/>
    <s v="Expenses"/>
    <s v="731002"/>
    <s v="731002 STORE SPARES &amp; CONSUMABLES - GENERAL"/>
    <s v="CWIP-CONSTRUCTION OF NEW RAW MILL FEEDING AND UPGRADATION"/>
    <s v="RAW MILL-2"/>
    <s v="ELECTRICAL"/>
    <n v="67895.149999999994"/>
    <n v="0"/>
    <n v="67895.149999999994"/>
    <s v="TZS"/>
    <s v="[EBRBL097] BEARING BALL 6218"/>
    <m/>
    <n v="-1"/>
    <s v="NOS"/>
    <x v="0"/>
    <x v="0"/>
    <x v="9"/>
    <x v="4"/>
    <n v="26.625549019607842"/>
    <n v="0"/>
  </r>
  <r>
    <n v="924"/>
    <d v="2025-08-29T00:00:00"/>
    <x v="102"/>
    <s v="STJ/2025/08/15394"/>
    <s v="Inventory Valuation"/>
    <s v="CM/MTI/2025/02680 - [EBRCR005] BEARING CYLINDRICAL ROLLER NU218 C3 / MRQ/2025/03781"/>
    <s v="CM/MTI/2025/02680 - [EBRCR005] BEARING CYLINDRICAL ROLLER NU218 C3 / MRQ/2025/03781"/>
    <m/>
    <m/>
    <s v="MATERIAL COST"/>
    <s v="Expenses"/>
    <s v="731002"/>
    <s v="731002 STORE SPARES &amp; CONSUMABLES - GENERAL"/>
    <s v="CWIP-CONSTRUCTION OF NEW RAW MILL FEEDING AND UPGRADATION"/>
    <s v="RAW MILL-2"/>
    <s v="ELECTRICAL"/>
    <n v="256074.07"/>
    <n v="0"/>
    <n v="256074.07"/>
    <s v="TZS"/>
    <s v="[EBRCR005] BEARING CYLINDRICAL ROLLER NU218 C3"/>
    <m/>
    <n v="-1"/>
    <s v="NOS"/>
    <x v="0"/>
    <x v="0"/>
    <x v="9"/>
    <x v="4"/>
    <n v="100.42120392156863"/>
    <n v="0"/>
  </r>
  <r>
    <n v="925"/>
    <d v="2025-08-29T00:00:00"/>
    <x v="102"/>
    <s v="STJ/2025/08/15395"/>
    <s v="Inventory Valuation"/>
    <s v="CM/MTI/2025/02680 - [EBRCR009] BEARING CYLINDRICAL ROLLER NU224 C3 / MRQ/2025/03781"/>
    <s v="CM/MTI/2025/02680 - [EBRCR009] BEARING CYLINDRICAL ROLLER NU224 C3 / MRQ/2025/03781"/>
    <m/>
    <m/>
    <s v="MATERIAL COST"/>
    <s v="Expenses"/>
    <s v="731002"/>
    <s v="731002 STORE SPARES &amp; CONSUMABLES - GENERAL"/>
    <s v="CWIP-CONSTRUCTION OF NEW RAW MILL FEEDING AND UPGRADATION"/>
    <s v="RAW MILL-2"/>
    <s v="ELECTRICAL"/>
    <n v="407862.17"/>
    <n v="0"/>
    <n v="407862.17"/>
    <s v="TZS"/>
    <s v="[EBRCR009] BEARING CYLINDRICAL ROLLER NU224 C3"/>
    <m/>
    <n v="-1"/>
    <s v="NOS"/>
    <x v="0"/>
    <x v="0"/>
    <x v="9"/>
    <x v="4"/>
    <n v="159.94594901960784"/>
    <n v="0"/>
  </r>
  <r>
    <n v="926"/>
    <d v="2025-08-29T00:00:00"/>
    <x v="102"/>
    <s v="STJ/2025/08/15382"/>
    <s v="Inventory Valuation"/>
    <s v="CM/MTI/2025/02675 - [CIGGS001] GAS OXYGEN FULL CYLINDER, O2 / MRQ/2025/03775"/>
    <s v="CM/MTI/2025/02675 - [CIGGS001] GAS OXYGEN FULL CYLINDER, O2 / MRQ/2025/0377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5000"/>
    <n v="0"/>
    <n v="105000"/>
    <s v="TZS"/>
    <s v="[CIGGS001] GAS OXYGEN FULL CYLINDER, O2"/>
    <m/>
    <n v="-7"/>
    <s v="NOS"/>
    <x v="0"/>
    <x v="0"/>
    <x v="9"/>
    <x v="4"/>
    <n v="41.176470588235297"/>
    <n v="0"/>
  </r>
  <r>
    <n v="927"/>
    <d v="2025-08-29T00:00:00"/>
    <x v="102"/>
    <s v="STJ/2025/08/15383"/>
    <s v="Inventory Valuation"/>
    <s v="CM/MTI/2025/02675 - [CWCGC041] CUTTING WHEEL 7'' / MRQ/2025/03775"/>
    <s v="CM/MTI/2025/02675 - [CWCGC041] CUTTING WHEEL 7'' / MRQ/2025/0377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325.93"/>
    <n v="0"/>
    <n v="19325.93"/>
    <s v="TZS"/>
    <s v="[CWCGC041] CUTTING WHEEL 7''"/>
    <m/>
    <n v="-6"/>
    <s v="NOS"/>
    <x v="0"/>
    <x v="0"/>
    <x v="9"/>
    <x v="4"/>
    <n v="7.578796078431373"/>
    <n v="0"/>
  </r>
  <r>
    <n v="928"/>
    <d v="2025-08-29T00:00:00"/>
    <x v="102"/>
    <s v="STJ/2025/08/15384"/>
    <s v="Inventory Valuation"/>
    <s v="CM/MTI/2025/02675 - [CWCWR003] WELDING ELECTRODE MS 6013 SIZE 4 MM X 450 MM / MRQ/2025/03775_x000a_Rounding Adjustment: +0.01 TSh"/>
    <s v="CM/MTI/2025/02675 - [CWCWR003] WELDING ELECTRODE MS 6013 SIZE 4 MM X 450 MM / MRQ/2025/03775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179999999993"/>
    <n v="0"/>
    <n v="81950.179999999993"/>
    <s v="TZS"/>
    <s v="[CWCWR003] WELDING ELECTRODE MS 6013 SIZE 4 MM X 450 MM"/>
    <m/>
    <n v="-20"/>
    <s v="KG"/>
    <x v="0"/>
    <x v="0"/>
    <x v="9"/>
    <x v="4"/>
    <n v="32.137325490196076"/>
    <n v="0"/>
  </r>
  <r>
    <n v="929"/>
    <d v="2025-08-29T00:00:00"/>
    <x v="102"/>
    <s v="STJ/2025/08/15385"/>
    <s v="Inventory Valuation"/>
    <s v="CM/MTI/2025/02675 - [EFSHB096] BOLT HT HEX HEAD M12 X 50MM FULL THREAD WITH NUT AND WASHER GRADE 8.8 / MRQ/2025/03775"/>
    <s v="CM/MTI/2025/02675 - [EFSHB096] BOLT HT HEX HEAD M12 X 50MM FULL THREAD WITH NUT AND WASHER GRADE 8.8 / MRQ/2025/0377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5000"/>
    <n v="0"/>
    <n v="45000"/>
    <s v="TZS"/>
    <s v="[EFSHB096] BOLT HT HEX HEAD M12 X 50MM FULL THREAD WITH NUT AND WASHER GRADE 8.8"/>
    <m/>
    <n v="-50"/>
    <s v="NOS"/>
    <x v="0"/>
    <x v="0"/>
    <x v="9"/>
    <x v="4"/>
    <n v="17.647058823529413"/>
    <n v="0"/>
  </r>
  <r>
    <n v="930"/>
    <d v="2025-08-29T00:00:00"/>
    <x v="102"/>
    <s v="STJ/2025/08/15206"/>
    <s v="Inventory Valuation"/>
    <s v="CM/MTI/2025/02649 - [CCLGC038] TIMBER 2 INCH X 4 INCH UNTREATED / MRQ/2025/03766"/>
    <s v="CM/MTI/2025/02649 - [CCLGC038] TIMBER 2 INCH X 4 INCH UNTREATED / MRQ/2025/03766"/>
    <m/>
    <m/>
    <s v="MATERIAL COST"/>
    <s v="Expenses"/>
    <s v="731002"/>
    <s v="731002 STORE SPARES &amp; CONSUMABLES - GENERAL"/>
    <s v="CWIP-QUARRY RAW MATERIAL SHED EXTENSION"/>
    <s v="QUARRY"/>
    <s v="MECHANICAL"/>
    <n v="70000"/>
    <n v="0"/>
    <n v="70000"/>
    <s v="TZS"/>
    <s v="[CCLGC038] TIMBER 2 INCH X 4 INCH UNTREATED"/>
    <m/>
    <n v="-10"/>
    <s v="NOS"/>
    <x v="0"/>
    <x v="0"/>
    <x v="18"/>
    <x v="7"/>
    <n v="27.450980392156861"/>
    <n v="0"/>
  </r>
  <r>
    <n v="931"/>
    <d v="2025-08-29T00:00:00"/>
    <x v="102"/>
    <s v="STJ/2025/08/15207"/>
    <s v="Inventory Valuation"/>
    <s v="CM/MTI/2025/02649 - [CCLGC183] POLES WOODEN MIRUNDA  / MRQ/2025/03766"/>
    <s v="CM/MTI/2025/02649 - [CCLGC183] POLES WOODEN MIRUNDA  / MRQ/2025/03766"/>
    <m/>
    <m/>
    <s v="MATERIAL COST"/>
    <s v="Expenses"/>
    <s v="731002"/>
    <s v="731002 STORE SPARES &amp; CONSUMABLES - GENERAL"/>
    <s v="CWIP-QUARRY RAW MATERIAL SHED EXTENSION"/>
    <s v="QUARRY"/>
    <s v="MECHANICAL"/>
    <n v="20000"/>
    <n v="0"/>
    <n v="20000"/>
    <s v="TZS"/>
    <s v="[CCLGC183] POLES WOODEN MIRUNDA "/>
    <m/>
    <n v="-4"/>
    <s v="NOS"/>
    <x v="0"/>
    <x v="0"/>
    <x v="18"/>
    <x v="7"/>
    <n v="7.8431372549019605"/>
    <n v="0"/>
  </r>
  <r>
    <n v="932"/>
    <d v="2025-08-29T00:00:00"/>
    <x v="102"/>
    <s v="STJ/2025/08/15208"/>
    <s v="Inventory Valuation"/>
    <s v="CM/MTI/2025/02649 - [CCLGC336] NAILS FOR ROOFING SIZE 3'' / MRQ/2025/03766"/>
    <s v="CM/MTI/2025/02649 - [CCLGC336] NAILS FOR ROOFING SIZE 3'' / MRQ/2025/03766"/>
    <m/>
    <m/>
    <s v="MATERIAL COST"/>
    <s v="Expenses"/>
    <s v="731002"/>
    <s v="731002 STORE SPARES &amp; CONSUMABLES - GENERAL"/>
    <s v="CWIP-QUARRY RAW MATERIAL SHED EXTENSION"/>
    <s v="QUARRY"/>
    <s v="MECHANICAL"/>
    <n v="24300"/>
    <n v="0"/>
    <n v="24300"/>
    <s v="TZS"/>
    <s v="[CCLGC336] NAILS FOR ROOFING SIZE 3''"/>
    <m/>
    <n v="-2"/>
    <s v="KG"/>
    <x v="0"/>
    <x v="0"/>
    <x v="18"/>
    <x v="7"/>
    <n v="9.5294117647058822"/>
    <n v="0"/>
  </r>
  <r>
    <n v="933"/>
    <d v="2025-08-29T00:00:00"/>
    <x v="102"/>
    <s v="STJ/2025/08/15357"/>
    <s v="Inventory Valuation"/>
    <s v="CM/MTI/2025/02665 - [CCLGC022] NAILS SIZE 3'' / MRQ/2025/03793"/>
    <s v="CM/MTI/2025/02665 - [CCLGC022] NAILS SIZE 3'' / MRQ/2025/03793"/>
    <m/>
    <m/>
    <s v="MATERIAL COST"/>
    <s v="Expenses"/>
    <s v="731002"/>
    <s v="731002 STORE SPARES &amp; CONSUMABLES - GENERAL"/>
    <s v="CWIP-QUARRY RAW MATERIAL SHED EXTENSION"/>
    <s v="QUARRY"/>
    <s v="MECHANICAL"/>
    <n v="34200"/>
    <n v="0"/>
    <n v="34200"/>
    <s v="TZS"/>
    <s v="[CCLGC022] NAILS SIZE 3''"/>
    <m/>
    <n v="-6"/>
    <s v="KG"/>
    <x v="0"/>
    <x v="0"/>
    <x v="18"/>
    <x v="7"/>
    <n v="13.411764705882353"/>
    <n v="0"/>
  </r>
  <r>
    <n v="934"/>
    <d v="2025-08-29T00:00:00"/>
    <x v="102"/>
    <s v="STJ/2025/08/15358"/>
    <s v="Inventory Valuation"/>
    <s v="CM/MTI/2025/02665 - [CCLGC023] NAILS SIZE 4'' / MRQ/2025/03793"/>
    <s v="CM/MTI/2025/02665 - [CCLGC023] NAILS SIZE 4'' / MRQ/2025/03793"/>
    <m/>
    <m/>
    <s v="MATERIAL COST"/>
    <s v="Expenses"/>
    <s v="731002"/>
    <s v="731002 STORE SPARES &amp; CONSUMABLES - GENERAL"/>
    <s v="CWIP-QUARRY RAW MATERIAL SHED EXTENSION"/>
    <s v="QUARRY"/>
    <s v="MECHANICAL"/>
    <n v="28500"/>
    <n v="0"/>
    <n v="28500"/>
    <s v="TZS"/>
    <s v="[CCLGC023] NAILS SIZE 4''"/>
    <m/>
    <n v="-5"/>
    <s v="KG"/>
    <x v="0"/>
    <x v="0"/>
    <x v="18"/>
    <x v="7"/>
    <n v="11.176470588235293"/>
    <n v="0"/>
  </r>
  <r>
    <n v="935"/>
    <d v="2025-08-29T00:00:00"/>
    <x v="102"/>
    <s v="STJ/2025/08/15359"/>
    <s v="Inventory Valuation"/>
    <s v="CM/MTI/2025/02665 - [CCLGC038] TIMBER 2 INCH X 4 INCH UNTREATED / MRQ/2025/03793"/>
    <s v="CM/MTI/2025/02665 - [CCLGC038] TIMBER 2 INCH X 4 INCH UNTREATED / MRQ/2025/03793"/>
    <m/>
    <m/>
    <s v="MATERIAL COST"/>
    <s v="Expenses"/>
    <s v="731002"/>
    <s v="731002 STORE SPARES &amp; CONSUMABLES - GENERAL"/>
    <s v="CWIP-QUARRY RAW MATERIAL SHED EXTENSION"/>
    <s v="QUARRY"/>
    <s v="MECHANICAL"/>
    <n v="210000"/>
    <n v="0"/>
    <n v="210000"/>
    <s v="TZS"/>
    <s v="[CCLGC038] TIMBER 2 INCH X 4 INCH UNTREATED"/>
    <m/>
    <n v="-30"/>
    <s v="NOS"/>
    <x v="0"/>
    <x v="0"/>
    <x v="18"/>
    <x v="7"/>
    <n v="82.352941176470594"/>
    <n v="0"/>
  </r>
  <r>
    <n v="936"/>
    <d v="2025-08-29T00:00:00"/>
    <x v="102"/>
    <s v="STJ/2025/08/15360"/>
    <s v="Inventory Valuation"/>
    <s v="CM/MTI/2025/02665 - [CCLGC183] POLES WOODEN MIRUNDA  / MRQ/2025/03793"/>
    <s v="CM/MTI/2025/02665 - [CCLGC183] POLES WOODEN MIRUNDA  / MRQ/2025/03793"/>
    <m/>
    <m/>
    <s v="MATERIAL COST"/>
    <s v="Expenses"/>
    <s v="731002"/>
    <s v="731002 STORE SPARES &amp; CONSUMABLES - GENERAL"/>
    <s v="CWIP-QUARRY RAW MATERIAL SHED EXTENSION"/>
    <s v="QUARRY"/>
    <s v="MECHANICAL"/>
    <n v="50000"/>
    <n v="0"/>
    <n v="50000"/>
    <s v="TZS"/>
    <s v="[CCLGC183] POLES WOODEN MIRUNDA "/>
    <m/>
    <n v="-10"/>
    <s v="NOS"/>
    <x v="0"/>
    <x v="0"/>
    <x v="18"/>
    <x v="7"/>
    <n v="19.607843137254903"/>
    <n v="0"/>
  </r>
  <r>
    <n v="937"/>
    <d v="2025-08-29T00:00:00"/>
    <x v="102"/>
    <s v="STJ/2025/08/15361"/>
    <s v="Inventory Valuation"/>
    <s v="CM/MTI/2025/02665 - [CWCGC041] CUTTING WHEEL 7'' / MRQ/2025/03793"/>
    <s v="CM/MTI/2025/02665 - [CWCGC041] CUTTING WHEEL 7'' / MRQ/2025/03793"/>
    <m/>
    <m/>
    <s v="MATERIAL COST"/>
    <s v="Expenses"/>
    <s v="731002"/>
    <s v="731002 STORE SPARES &amp; CONSUMABLES - GENERAL"/>
    <s v="CWIP-QUARRY RAW MATERIAL SHED EXTENSION"/>
    <s v="QUARRY"/>
    <s v="MECHANICAL"/>
    <n v="32209.89"/>
    <n v="0"/>
    <n v="32209.89"/>
    <s v="TZS"/>
    <s v="[CWCGC041] CUTTING WHEEL 7''"/>
    <m/>
    <n v="-10"/>
    <s v="NOS"/>
    <x v="0"/>
    <x v="0"/>
    <x v="18"/>
    <x v="7"/>
    <n v="12.631329411764705"/>
    <n v="0"/>
  </r>
  <r>
    <n v="938"/>
    <d v="2025-08-29T00:00:00"/>
    <x v="102"/>
    <s v="STJ/2025/08/15378"/>
    <s v="Inventory Valuation"/>
    <s v="CM/MTI/2025/02674 - [CCLGC328] TMT BAR SIZE 10 MM GRADE FY500. / MRQ/2025/03717"/>
    <s v="CM/MTI/2025/02674 - [CCLGC328] TMT BAR SIZE 10 MM GRADE FY500. / MRQ/2025/03717"/>
    <m/>
    <m/>
    <s v="MATERIAL COST"/>
    <s v="Expenses"/>
    <s v="731002"/>
    <s v="731002 STORE SPARES &amp; CONSUMABLES - GENERAL"/>
    <s v="CWIP-QUARRY RAW MATERIAL SHED EXTENSION"/>
    <s v="QUARRY"/>
    <s v="MECHANICAL"/>
    <n v="726054.14"/>
    <n v="0"/>
    <n v="726054.14"/>
    <s v="TZS"/>
    <s v="[CCLGC328] TMT BAR SIZE 10 MM GRADE FY500."/>
    <m/>
    <n v="-50"/>
    <s v="PCS"/>
    <x v="0"/>
    <x v="0"/>
    <x v="18"/>
    <x v="7"/>
    <n v="284.7271137254902"/>
    <n v="0"/>
  </r>
  <r>
    <n v="939"/>
    <d v="2025-08-29T00:00:00"/>
    <x v="102"/>
    <s v="STJ/2025/08/15379"/>
    <s v="Inventory Valuation"/>
    <s v="CM/MTI/2025/02674 - [CCLGC329] TMT BAR SIZE 12 MM GRADE FY500. / MRQ/2025/03717"/>
    <s v="CM/MTI/2025/02674 - [CCLGC329] TMT BAR SIZE 12 MM GRADE FY500. / MRQ/2025/03717"/>
    <m/>
    <m/>
    <s v="MATERIAL COST"/>
    <s v="Expenses"/>
    <s v="731002"/>
    <s v="731002 STORE SPARES &amp; CONSUMABLES - GENERAL"/>
    <s v="CWIP-QUARRY RAW MATERIAL SHED EXTENSION"/>
    <s v="QUARRY"/>
    <s v="MECHANICAL"/>
    <n v="1027792.35"/>
    <n v="0"/>
    <n v="1027792.35"/>
    <s v="TZS"/>
    <s v="[CCLGC329] TMT BAR SIZE 12 MM GRADE FY500."/>
    <m/>
    <n v="-50"/>
    <s v="PCS"/>
    <x v="0"/>
    <x v="0"/>
    <x v="18"/>
    <x v="7"/>
    <n v="403.05582352941178"/>
    <n v="0"/>
  </r>
  <r>
    <n v="940"/>
    <d v="2025-08-29T00:00:00"/>
    <x v="102"/>
    <s v="STJ/2025/08/15380"/>
    <s v="Inventory Valuation"/>
    <s v="CM/MTI/2025/02674 - [CCLGC330] TMT BAR SIZE 16 MM GRADE FY500. / MRQ/2025/03717_x000a_Rounding Adjustment: +0.01 TSh"/>
    <s v="CM/MTI/2025/02674 - [CCLGC330] TMT BAR SIZE 16 MM GRADE FY500. / MRQ/2025/03717_x000a_Rounding Adjustment: +0.01 TSh"/>
    <m/>
    <m/>
    <s v="MATERIAL COST"/>
    <s v="Expenses"/>
    <s v="731002"/>
    <s v="731002 STORE SPARES &amp; CONSUMABLES - GENERAL"/>
    <s v="CWIP-QUARRY RAW MATERIAL SHED EXTENSION"/>
    <s v="QUARRY"/>
    <s v="MECHANICAL"/>
    <n v="731791.81"/>
    <n v="0"/>
    <n v="731791.81"/>
    <s v="TZS"/>
    <s v="[CCLGC330] TMT BAR SIZE 16 MM GRADE FY500."/>
    <m/>
    <n v="-20"/>
    <s v="PCS"/>
    <x v="0"/>
    <x v="0"/>
    <x v="18"/>
    <x v="7"/>
    <n v="286.97718039215687"/>
    <n v="0"/>
  </r>
  <r>
    <n v="941"/>
    <d v="2025-08-29T00:00:00"/>
    <x v="102"/>
    <s v="STJ/2025/08/15381"/>
    <s v="Inventory Valuation"/>
    <s v="CM/MTI/2025/02674 - [CCLGC331] TMT BAR SIZE 20 MM GRADE FY500. / MRQ/2025/03717"/>
    <s v="CM/MTI/2025/02674 - [CCLGC331] TMT BAR SIZE 20 MM GRADE FY500. / MRQ/2025/03717"/>
    <m/>
    <m/>
    <s v="MATERIAL COST"/>
    <s v="Expenses"/>
    <s v="731002"/>
    <s v="731002 STORE SPARES &amp; CONSUMABLES - GENERAL"/>
    <s v="CWIP-QUARRY RAW MATERIAL SHED EXTENSION"/>
    <s v="QUARRY"/>
    <s v="MECHANICAL"/>
    <n v="568295.1"/>
    <n v="0"/>
    <n v="568295.1"/>
    <s v="TZS"/>
    <s v="[CCLGC331] TMT BAR SIZE 20 MM GRADE FY500."/>
    <m/>
    <n v="-10"/>
    <s v="PCS"/>
    <x v="0"/>
    <x v="0"/>
    <x v="18"/>
    <x v="7"/>
    <n v="222.86082352941176"/>
    <n v="0"/>
  </r>
  <r>
    <n v="942"/>
    <d v="2025-08-30T00:00:00"/>
    <x v="103"/>
    <s v="STJ/2025/08/15698"/>
    <s v="Inventory Valuation"/>
    <s v="CM/MTI/2025/02682 - [CWCGC041] CUTTING WHEEL 7'' / MRQ/2025/03814"/>
    <s v="CM/MTI/2025/02682 - [CWCGC041] CUTTING WHEEL 7'' / MRQ/2025/03814"/>
    <m/>
    <m/>
    <s v="MATERIAL COST"/>
    <s v="Expenses"/>
    <s v="731002"/>
    <s v="731002 STORE SPARES &amp; CONSUMABLES - GENERAL"/>
    <s v="CWIP-QUARRY RAW MATERIAL SHED EXTENSION"/>
    <s v="QUARRY"/>
    <s v="MECHANICAL"/>
    <n v="32209.89"/>
    <n v="0"/>
    <n v="32209.89"/>
    <s v="TZS"/>
    <s v="[CWCGC041] CUTTING WHEEL 7''"/>
    <m/>
    <n v="-10"/>
    <s v="NOS"/>
    <x v="0"/>
    <x v="0"/>
    <x v="18"/>
    <x v="7"/>
    <n v="12.631329411764705"/>
    <n v="0"/>
  </r>
  <r>
    <n v="943"/>
    <d v="2025-08-30T00:00:00"/>
    <x v="103"/>
    <s v="STJ/2025/08/15700"/>
    <s v="Inventory Valuation"/>
    <s v="CM/MTI/2025/02684 - [CCLGC032] WIRE FOR BINDING / MRQ/2025/03787"/>
    <s v="CM/MTI/2025/02684 - [CCLGC032] WIRE FOR BINDING / MRQ/2025/03787"/>
    <m/>
    <m/>
    <s v="MATERIAL COST"/>
    <s v="Expenses"/>
    <s v="731002"/>
    <s v="731002 STORE SPARES &amp; CONSUMABLES - GENERAL"/>
    <s v="CWIP-QUARRY RAW MATERIAL SHED EXTENSION"/>
    <s v="QUARRY"/>
    <s v="MECHANICAL"/>
    <n v="143750"/>
    <n v="0"/>
    <n v="143750"/>
    <s v="TZS"/>
    <s v="[CCLGC032] WIRE FOR BINDING"/>
    <m/>
    <n v="-28.75"/>
    <s v="KG"/>
    <x v="0"/>
    <x v="0"/>
    <x v="18"/>
    <x v="7"/>
    <n v="56.372549019607845"/>
    <n v="0"/>
  </r>
  <r>
    <n v="944"/>
    <d v="2025-08-30T00:00:00"/>
    <x v="103"/>
    <s v="STJ/2025/08/15701"/>
    <s v="Inventory Valuation"/>
    <s v="CM/MTI/2025/02684 - [CCLGC327] TMT BAR SIZE 8 MM GRADE FY500. / MRQ/2025/03787"/>
    <s v="CM/MTI/2025/02684 - [CCLGC327] TMT BAR SIZE 8 MM GRADE FY500. / MRQ/2025/03787"/>
    <m/>
    <m/>
    <s v="MATERIAL COST"/>
    <s v="Expenses"/>
    <s v="731002"/>
    <s v="731002 STORE SPARES &amp; CONSUMABLES - GENERAL"/>
    <s v="CWIP-QUARRY RAW MATERIAL SHED EXTENSION"/>
    <s v="QUARRY"/>
    <s v="MECHANICAL"/>
    <n v="2373575.7200000002"/>
    <n v="0"/>
    <n v="2373575.7200000002"/>
    <s v="TZS"/>
    <s v="[CCLGC327] TMT BAR SIZE 8 MM GRADE FY500."/>
    <m/>
    <n v="-250"/>
    <s v="PCS"/>
    <x v="0"/>
    <x v="0"/>
    <x v="18"/>
    <x v="7"/>
    <n v="930.81400784313735"/>
    <n v="0"/>
  </r>
  <r>
    <n v="945"/>
    <d v="2025-08-30T00:00:00"/>
    <x v="103"/>
    <s v="STJ/2025/08/15702"/>
    <s v="Inventory Valuation"/>
    <s v="CM/MTI/2025/02684 - [CCLGC328] TMT BAR SIZE 10 MM GRADE FY500. / MRQ/2025/03787"/>
    <s v="CM/MTI/2025/02684 - [CCLGC328] TMT BAR SIZE 10 MM GRADE FY500. / MRQ/2025/03787"/>
    <m/>
    <m/>
    <s v="MATERIAL COST"/>
    <s v="Expenses"/>
    <s v="731002"/>
    <s v="731002 STORE SPARES &amp; CONSUMABLES - GENERAL"/>
    <s v="CWIP-QUARRY RAW MATERIAL SHED EXTENSION"/>
    <s v="QUARRY"/>
    <s v="MECHANICAL"/>
    <n v="2904216.56"/>
    <n v="0"/>
    <n v="2904216.56"/>
    <s v="TZS"/>
    <s v="[CCLGC328] TMT BAR SIZE 10 MM GRADE FY500."/>
    <m/>
    <n v="-200"/>
    <s v="PCS"/>
    <x v="0"/>
    <x v="0"/>
    <x v="18"/>
    <x v="7"/>
    <n v="1138.9084549019608"/>
    <n v="0"/>
  </r>
  <r>
    <n v="946"/>
    <d v="2025-08-30T00:00:00"/>
    <x v="103"/>
    <s v="STJ/2025/08/15703"/>
    <s v="Inventory Valuation"/>
    <s v="CM/MTI/2025/02684 - [CCLGC329] TMT BAR SIZE 12 MM GRADE FY500. / MRQ/2025/03787"/>
    <s v="CM/MTI/2025/02684 - [CCLGC329] TMT BAR SIZE 12 MM GRADE FY500. / MRQ/2025/03787"/>
    <m/>
    <m/>
    <s v="MATERIAL COST"/>
    <s v="Expenses"/>
    <s v="731002"/>
    <s v="731002 STORE SPARES &amp; CONSUMABLES - GENERAL"/>
    <s v="CWIP-QUARRY RAW MATERIAL SHED EXTENSION"/>
    <s v="QUARRY"/>
    <s v="MECHANICAL"/>
    <n v="4111169.42"/>
    <n v="0"/>
    <n v="4111169.42"/>
    <s v="TZS"/>
    <s v="[CCLGC329] TMT BAR SIZE 12 MM GRADE FY500."/>
    <m/>
    <n v="-200"/>
    <s v="PCS"/>
    <x v="0"/>
    <x v="0"/>
    <x v="18"/>
    <x v="7"/>
    <n v="1612.2233019607843"/>
    <n v="0"/>
  </r>
  <r>
    <n v="947"/>
    <d v="2025-08-30T00:00:00"/>
    <x v="103"/>
    <s v="STJ/2025/08/15704"/>
    <s v="Inventory Valuation"/>
    <s v="CM/MTI/2025/02684 - [CCLGC330] TMT BAR SIZE 16 MM GRADE FY500. / MRQ/2025/03787"/>
    <s v="CM/MTI/2025/02684 - [CCLGC330] TMT BAR SIZE 16 MM GRADE FY500. / MRQ/2025/03787"/>
    <m/>
    <m/>
    <s v="MATERIAL COST"/>
    <s v="Expenses"/>
    <s v="731002"/>
    <s v="731002 STORE SPARES &amp; CONSUMABLES - GENERAL"/>
    <s v="CWIP-QUARRY RAW MATERIAL SHED EXTENSION"/>
    <s v="QUARRY"/>
    <s v="MECHANICAL"/>
    <n v="3658959.1"/>
    <n v="0"/>
    <n v="3658959.1"/>
    <s v="TZS"/>
    <s v="[CCLGC330] TMT BAR SIZE 16 MM GRADE FY500."/>
    <m/>
    <n v="-100"/>
    <s v="PCS"/>
    <x v="0"/>
    <x v="0"/>
    <x v="18"/>
    <x v="7"/>
    <n v="1434.8859215686275"/>
    <n v="0"/>
  </r>
  <r>
    <n v="948"/>
    <d v="2025-08-30T00:00:00"/>
    <x v="103"/>
    <s v="STJ/2025/08/15705"/>
    <s v="Inventory Valuation"/>
    <s v="CM/MTI/2025/02684 - [CCLGC331] TMT BAR SIZE 20 MM GRADE FY500. / MRQ/2025/03787"/>
    <s v="CM/MTI/2025/02684 - [CCLGC331] TMT BAR SIZE 20 MM GRADE FY500. / MRQ/2025/03787"/>
    <m/>
    <m/>
    <s v="MATERIAL COST"/>
    <s v="Expenses"/>
    <s v="731002"/>
    <s v="731002 STORE SPARES &amp; CONSUMABLES - GENERAL"/>
    <s v="CWIP-QUARRY RAW MATERIAL SHED EXTENSION"/>
    <s v="QUARRY"/>
    <s v="MECHANICAL"/>
    <n v="1136590.2"/>
    <n v="0"/>
    <n v="1136590.2"/>
    <s v="TZS"/>
    <s v="[CCLGC331] TMT BAR SIZE 20 MM GRADE FY500."/>
    <m/>
    <n v="-20"/>
    <s v="PCS"/>
    <x v="0"/>
    <x v="0"/>
    <x v="18"/>
    <x v="7"/>
    <n v="445.72164705882352"/>
    <n v="0"/>
  </r>
  <r>
    <n v="949"/>
    <d v="2025-09-01T14:21:18"/>
    <x v="104"/>
    <s v="STJ/2025/09/00341"/>
    <s v="Inventory Valuation"/>
    <s v="CM/MTI/2025/02709 - [PROCM204] SHEET ALUMINIUM SIZE 24 SWG FOR INSULATION / MRQ/2025/03822"/>
    <s v="CM/MTI/2025/02709 - [PROCM204] SHEET ALUMINIUM SIZE 24 SWG FOR INSULATION / MRQ/2025/03822"/>
    <m/>
    <m/>
    <s v="CAPITAL WORK IN PROGRESS"/>
    <s v="Fixed Assets"/>
    <s v="371023"/>
    <s v="371023 CWIP-CEMENT MILL 50TPH NEW"/>
    <s v="CWIP-CONSTRUCTION OF NEW RAW MILL FEEDING AND UPGRADATION"/>
    <s v="RAW MILL-2"/>
    <s v="MECHANICAL"/>
    <n v="3449600"/>
    <n v="0"/>
    <n v="3449600"/>
    <s v="TZS"/>
    <s v="[PROCM204] SHEET ALUMINIUM SIZE 24 SWG FOR INSULATION"/>
    <s v="CEMENT MILL"/>
    <n v="-200"/>
    <s v="KG"/>
    <x v="0"/>
    <x v="0"/>
    <x v="9"/>
    <x v="4"/>
    <n v="1352.7843137254902"/>
    <n v="0"/>
  </r>
  <r>
    <n v="950"/>
    <d v="2025-09-01T00:00:00"/>
    <x v="104"/>
    <s v="STJ/2025/09/00324"/>
    <s v="Inventory Valuation"/>
    <s v="CM/MTI/2025/02703 - [CIGGS001] GAS OXYGEN FULL CYLINDER, O2 / MRQ/2025/03837"/>
    <s v="CM/MTI/2025/02703 - [CIGGS001] GAS OXYGEN FULL CYLINDER, O2 / MRQ/2025/0383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5000"/>
    <n v="0"/>
    <n v="75000"/>
    <s v="TZS"/>
    <s v="[CIGGS001] GAS OXYGEN FULL CYLINDER, O2"/>
    <m/>
    <n v="-5"/>
    <s v="NOS"/>
    <x v="0"/>
    <x v="0"/>
    <x v="9"/>
    <x v="4"/>
    <n v="29.411764705882351"/>
    <n v="0"/>
  </r>
  <r>
    <n v="951"/>
    <d v="2025-09-01T00:00:00"/>
    <x v="104"/>
    <s v="STJ/2025/09/00340"/>
    <s v="Inventory Valuation"/>
    <s v="CM/MTI/2025/02709 - [CCLGC032] WIRE FOR BINDING / MRQ/2025/03822"/>
    <s v="CM/MTI/2025/02709 - [CCLGC032] WIRE FOR BINDING / MRQ/2025/03822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1750"/>
    <n v="0"/>
    <n v="71750"/>
    <s v="TZS"/>
    <s v="[CCLGC032] WIRE FOR BINDING"/>
    <m/>
    <n v="-14.35"/>
    <s v="KG"/>
    <x v="0"/>
    <x v="0"/>
    <x v="9"/>
    <x v="4"/>
    <n v="28.137254901960784"/>
    <n v="0"/>
  </r>
  <r>
    <n v="952"/>
    <d v="2025-09-01T00:00:00"/>
    <x v="104"/>
    <s v="STJ/2025/09/00325"/>
    <s v="Inventory Valuation"/>
    <s v="CM/MTI/2025/02704 - [CITGC100] CARD RFID MODEL IMS-HF-C017 MATERIAL PVC WITH 1 K MEMORY WITH PLASTIC PROTECTIVE CASE MAKE OMEC-IMAGIC / MRQ/2025/03831"/>
    <s v="CM/MTI/2025/02704 - [CITGC100] CARD RFID MODEL IMS-HF-C017 MATERIAL PVC WITH 1 K MEMORY WITH PLASTIC PROTECTIVE CASE MAKE OMEC-IMAGIC / MRQ/2025/03831"/>
    <m/>
    <m/>
    <s v="MATERIAL COST"/>
    <s v="Expenses"/>
    <s v="731002"/>
    <s v="731002 STORE SPARES &amp; CONSUMABLES - GENERAL"/>
    <s v="CWIP-INSTALLATION OF NEW WEIGHBRIDGE AT QUARRY(2NOS)"/>
    <s v="QUARRY"/>
    <s v="INSTRUMENTATION"/>
    <n v="1204309.1499999999"/>
    <n v="0"/>
    <n v="1204309.1499999999"/>
    <s v="TZS"/>
    <s v="[CITGC100] CARD RFID MODEL IMS-HF-C017 MATERIAL PVC WITH 1 K MEMORY WITH PLASTIC PROTECTIVE CASE MAKE OMEC-IMAGIC"/>
    <m/>
    <n v="-210"/>
    <s v="NOS"/>
    <x v="0"/>
    <x v="0"/>
    <x v="14"/>
    <x v="3"/>
    <n v="472.27809803921565"/>
    <n v="0"/>
  </r>
  <r>
    <n v="953"/>
    <d v="2025-09-01T00:00:00"/>
    <x v="104"/>
    <s v="STJ/2025/09/00326"/>
    <s v="Inventory Valuation"/>
    <s v="CM/MTI/2025/02705 - [CCLGC022] NAILS SIZE 3'' / MRQ/2025/03836"/>
    <s v="CM/MTI/2025/02705 - [CCLGC022] NAILS SIZE 3'' / MRQ/2025/03836"/>
    <m/>
    <m/>
    <s v="MATERIAL COST"/>
    <s v="Expenses"/>
    <s v="731002"/>
    <s v="731002 STORE SPARES &amp; CONSUMABLES - GENERAL"/>
    <s v="CWIP-QUARRY RAW MATERIAL SHED EXTENSION"/>
    <s v="QUARRY"/>
    <s v="MECHANICAL"/>
    <n v="28500"/>
    <n v="0"/>
    <n v="28500"/>
    <s v="TZS"/>
    <s v="[CCLGC022] NAILS SIZE 3''"/>
    <m/>
    <n v="-5"/>
    <s v="KG"/>
    <x v="0"/>
    <x v="0"/>
    <x v="18"/>
    <x v="7"/>
    <n v="11.176470588235293"/>
    <n v="0"/>
  </r>
  <r>
    <n v="954"/>
    <d v="2025-09-01T00:00:00"/>
    <x v="104"/>
    <s v="STJ/2025/09/00327"/>
    <s v="Inventory Valuation"/>
    <s v="CM/MTI/2025/02705 - [CCLGC023] NAILS SIZE 4'' / MRQ/2025/03836"/>
    <s v="CM/MTI/2025/02705 - [CCLGC023] NAILS SIZE 4'' / MRQ/2025/03836"/>
    <m/>
    <m/>
    <s v="MATERIAL COST"/>
    <s v="Expenses"/>
    <s v="731002"/>
    <s v="731002 STORE SPARES &amp; CONSUMABLES - GENERAL"/>
    <s v="CWIP-QUARRY RAW MATERIAL SHED EXTENSION"/>
    <s v="QUARRY"/>
    <s v="MECHANICAL"/>
    <n v="11400"/>
    <n v="0"/>
    <n v="11400"/>
    <s v="TZS"/>
    <s v="[CCLGC023] NAILS SIZE 4''"/>
    <m/>
    <n v="-2"/>
    <s v="KG"/>
    <x v="0"/>
    <x v="0"/>
    <x v="18"/>
    <x v="7"/>
    <n v="4.4705882352941178"/>
    <n v="0"/>
  </r>
  <r>
    <n v="955"/>
    <d v="2025-09-01T00:00:00"/>
    <x v="104"/>
    <s v="STJ/2025/09/00328"/>
    <s v="Inventory Valuation"/>
    <s v="CM/MTI/2025/02705 - [CCLGC038] TIMBER 2 INCH X 4 INCH UNTREATED / MRQ/2025/03836"/>
    <s v="CM/MTI/2025/02705 - [CCLGC038] TIMBER 2 INCH X 4 INCH UNTREATED / MRQ/2025/03836"/>
    <m/>
    <m/>
    <s v="MATERIAL COST"/>
    <s v="Expenses"/>
    <s v="731002"/>
    <s v="731002 STORE SPARES &amp; CONSUMABLES - GENERAL"/>
    <s v="CWIP-QUARRY RAW MATERIAL SHED EXTENSION"/>
    <s v="QUARRY"/>
    <s v="MECHANICAL"/>
    <n v="70000"/>
    <n v="0"/>
    <n v="70000"/>
    <s v="TZS"/>
    <s v="[CCLGC038] TIMBER 2 INCH X 4 INCH UNTREATED"/>
    <m/>
    <n v="-10"/>
    <s v="NOS"/>
    <x v="0"/>
    <x v="0"/>
    <x v="18"/>
    <x v="7"/>
    <n v="27.450980392156861"/>
    <n v="0"/>
  </r>
  <r>
    <n v="956"/>
    <d v="2025-09-01T00:00:00"/>
    <x v="104"/>
    <s v="STJ/2025/09/00329"/>
    <s v="Inventory Valuation"/>
    <s v="CM/MTI/2025/02705 - [CCLGC183] POLES WOODEN MIRUNDA  / MRQ/2025/03836"/>
    <s v="CM/MTI/2025/02705 - [CCLGC183] POLES WOODEN MIRUNDA  / MRQ/2025/03836"/>
    <m/>
    <m/>
    <s v="MATERIAL COST"/>
    <s v="Expenses"/>
    <s v="731002"/>
    <s v="731002 STORE SPARES &amp; CONSUMABLES - GENERAL"/>
    <s v="CWIP-QUARRY RAW MATERIAL SHED EXTENSION"/>
    <s v="QUARRY"/>
    <s v="MECHANICAL"/>
    <n v="25000"/>
    <n v="0"/>
    <n v="25000"/>
    <s v="TZS"/>
    <s v="[CCLGC183] POLES WOODEN MIRUNDA "/>
    <m/>
    <n v="-5"/>
    <s v="NOS"/>
    <x v="0"/>
    <x v="0"/>
    <x v="18"/>
    <x v="7"/>
    <n v="9.8039215686274517"/>
    <n v="0"/>
  </r>
  <r>
    <n v="957"/>
    <d v="2025-09-01T00:00:00"/>
    <x v="104"/>
    <s v="STJ/2025/09/00330"/>
    <s v="Inventory Valuation"/>
    <s v="CM/MTI/2025/02705 - [CCLGC336] NAILS FOR ROOFING SIZE 3'' / MRQ/2025/03836"/>
    <s v="CM/MTI/2025/02705 - [CCLGC336] NAILS FOR ROOFING SIZE 3'' / MRQ/2025/03836"/>
    <m/>
    <m/>
    <s v="MATERIAL COST"/>
    <s v="Expenses"/>
    <s v="731002"/>
    <s v="731002 STORE SPARES &amp; CONSUMABLES - GENERAL"/>
    <s v="CWIP-QUARRY RAW MATERIAL SHED EXTENSION"/>
    <s v="QUARRY"/>
    <s v="MECHANICAL"/>
    <n v="36450"/>
    <n v="0"/>
    <n v="36450"/>
    <s v="TZS"/>
    <s v="[CCLGC336] NAILS FOR ROOFING SIZE 3''"/>
    <m/>
    <n v="-3"/>
    <s v="KG"/>
    <x v="0"/>
    <x v="0"/>
    <x v="18"/>
    <x v="7"/>
    <n v="14.294117647058824"/>
    <n v="0"/>
  </r>
  <r>
    <n v="958"/>
    <d v="2025-09-01T00:00:00"/>
    <x v="104"/>
    <s v="STJ/2025/09/00331"/>
    <s v="Inventory Valuation"/>
    <s v="CM/MTI/2025/02705 - [CWCGC041] CUTTING WHEEL 7'' / MRQ/2025/03836_x000a_Rounding Adjustment: -0.01 TSh"/>
    <s v="CM/MTI/2025/02705 - [CWCGC041] CUTTING WHEEL 7'' / MRQ/2025/03836_x000a_Rounding Adjustment: -0.01 TSh"/>
    <m/>
    <m/>
    <s v="MATERIAL COST"/>
    <s v="Expenses"/>
    <s v="731002"/>
    <s v="731002 STORE SPARES &amp; CONSUMABLES - GENERAL"/>
    <s v="CWIP-QUARRY RAW MATERIAL SHED EXTENSION"/>
    <s v="QUARRY"/>
    <s v="MECHANICAL"/>
    <n v="25767.919999999998"/>
    <n v="0"/>
    <n v="25767.919999999998"/>
    <s v="TZS"/>
    <s v="[CWCGC041] CUTTING WHEEL 7''"/>
    <m/>
    <n v="-8"/>
    <s v="NOS"/>
    <x v="0"/>
    <x v="0"/>
    <x v="18"/>
    <x v="7"/>
    <n v="10.105066666666666"/>
    <n v="0"/>
  </r>
  <r>
    <n v="959"/>
    <d v="2025-09-02T06:57:28"/>
    <x v="105"/>
    <s v="MISC/2025/09/0125"/>
    <s v="Miscellaneous Operations"/>
    <s v="DRIVERS ALLOWANCES"/>
    <s v="BEING  SETTLEMENT EXPENSES FOR THE MONTH OF AUGUST 2025 FOR THE TARAWANDA PROJECT-MUKESH AGRAWAL"/>
    <s v="LCL/KIMB/071"/>
    <s v="ARNOLD KADURI"/>
    <s v="CAPITAL WORK IN PROGRESS"/>
    <s v="Fixed Assets"/>
    <s v="371056"/>
    <s v="371056 MINERAL EXPLORATION &amp; DEVELOPMENT-TARAWANDA"/>
    <s v="TARAWANDA EXPENSE"/>
    <s v="QUARRY"/>
    <s v="QUARRYING"/>
    <n v="690000"/>
    <n v="0"/>
    <n v="690000"/>
    <s v="TZS"/>
    <m/>
    <m/>
    <n v="1"/>
    <m/>
    <x v="0"/>
    <x v="0"/>
    <x v="1"/>
    <x v="1"/>
    <n v="270.58823529411762"/>
    <n v="0"/>
  </r>
  <r>
    <n v="960"/>
    <d v="2025-09-02T14:19:37"/>
    <x v="105"/>
    <s v="MISC/2025/09/0125"/>
    <s v="Miscellaneous Operations"/>
    <s v="DRIVERS ALLOWANCES"/>
    <s v="BEING  SETTLEMENT EXPENSES FOR THE MONTH OF AUGUST 2025 FOR THE TARAWANDA PROJECT-MUKESH AGRAWAL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30000"/>
    <n v="0"/>
    <n v="30000"/>
    <s v="TZS"/>
    <m/>
    <m/>
    <n v="1"/>
    <m/>
    <x v="0"/>
    <x v="0"/>
    <x v="1"/>
    <x v="1"/>
    <n v="11.764705882352942"/>
    <n v="0"/>
  </r>
  <r>
    <n v="961"/>
    <d v="2025-09-02T14:19:37"/>
    <x v="105"/>
    <s v="MISC/2025/09/0125"/>
    <s v="Miscellaneous Operations"/>
    <s v="MISCELLANEOUS"/>
    <s v="BEING  SETTLEMENT EXPENSES FOR THE MONTH OF AUGUST 2025 FOR THE TARAWANDA PROJECT-MUKESH AGRAWAL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20000"/>
    <n v="0"/>
    <n v="20000"/>
    <s v="TZS"/>
    <m/>
    <m/>
    <n v="1"/>
    <m/>
    <x v="0"/>
    <x v="0"/>
    <x v="1"/>
    <x v="1"/>
    <n v="7.8431372549019605"/>
    <n v="0"/>
  </r>
  <r>
    <n v="962"/>
    <d v="2025-09-02T06:57:28"/>
    <x v="105"/>
    <s v="MISC/2025/09/0125"/>
    <s v="Miscellaneous Operations"/>
    <s v="MISCELLANEOUS"/>
    <s v="BEING  SETTLEMENT EXPENSES FOR THE MONTH OF AUGUST 2025 FOR THE TARAWANDA PROJECT-MUKESH AGRAWAL"/>
    <s v="LCL/KIMB/071"/>
    <s v="ARNOLD KADURI"/>
    <s v="CAPITAL WORK IN PROGRESS"/>
    <s v="Fixed Assets"/>
    <s v="371056"/>
    <s v="371056 MINERAL EXPLORATION &amp; DEVELOPMENT-TARAWANDA"/>
    <s v="TARAWANDA EXPENSE"/>
    <s v="QUARRY"/>
    <s v="QUARRYING"/>
    <n v="381000"/>
    <n v="0"/>
    <n v="381000"/>
    <s v="TZS"/>
    <m/>
    <m/>
    <n v="1"/>
    <m/>
    <x v="0"/>
    <x v="0"/>
    <x v="1"/>
    <x v="1"/>
    <n v="149.41176470588235"/>
    <n v="0"/>
  </r>
  <r>
    <n v="963"/>
    <d v="2025-09-02T06:57:28"/>
    <x v="105"/>
    <s v="MISC/2025/09/0125"/>
    <s v="Miscellaneous Operations"/>
    <s v="ACCOMODATION AND FOOD"/>
    <s v="BEING  SETTLEMENT EXPENSES FOR THE MONTH OF AUGUST 2025 FOR THE TARAWANDA PROJECT-MUKESH AGRAWAL"/>
    <s v="LCL/KIMB/071"/>
    <s v="ARNOLD KADURI"/>
    <s v="CAPITAL WORK IN PROGRESS"/>
    <s v="Fixed Assets"/>
    <s v="371056"/>
    <s v="371056 MINERAL EXPLORATION &amp; DEVELOPMENT-TARAWANDA"/>
    <s v="TARAWANDA EXPENSE"/>
    <s v="QUARRY"/>
    <s v="QUARRYING"/>
    <n v="3595000"/>
    <n v="0"/>
    <n v="3595000"/>
    <s v="TZS"/>
    <m/>
    <m/>
    <n v="1"/>
    <m/>
    <x v="0"/>
    <x v="0"/>
    <x v="1"/>
    <x v="1"/>
    <n v="1409.8039215686274"/>
    <n v="0"/>
  </r>
  <r>
    <n v="964"/>
    <d v="2025-09-02T06:57:28"/>
    <x v="105"/>
    <s v="MISC/2025/09/0125"/>
    <s v="Miscellaneous Operations"/>
    <s v="DIESEL"/>
    <s v="BEING  SETTLEMENT EXPENSES FOR THE MONTH OF AUGUST 2025 FOR THE TARAWANDA PROJECT-MUKESH AGRAWAL"/>
    <s v="LCL/KIMB/071"/>
    <s v="ARNOLD KADURI"/>
    <s v="CAPITAL WORK IN PROGRESS"/>
    <s v="Fixed Assets"/>
    <s v="371056"/>
    <s v="371056 MINERAL EXPLORATION &amp; DEVELOPMENT-TARAWANDA"/>
    <s v="TARAWANDA EXPENSE"/>
    <s v="QUARRY"/>
    <s v="QUARRYING"/>
    <n v="2094836"/>
    <n v="0"/>
    <n v="2094836"/>
    <s v="TZS"/>
    <m/>
    <m/>
    <n v="1"/>
    <m/>
    <x v="0"/>
    <x v="0"/>
    <x v="1"/>
    <x v="1"/>
    <n v="821.50431372549019"/>
    <n v="0"/>
  </r>
  <r>
    <n v="965"/>
    <d v="2025-09-02T06:57:28"/>
    <x v="105"/>
    <s v="MISC/2025/09/0125"/>
    <s v="Miscellaneous Operations"/>
    <s v="CASH WITHDRAW CHARGES"/>
    <s v="BEING  SETTLEMENT EXPENSES FOR THE MONTH OF AUGUST 2025 FOR THE TARAWANDA PROJECT-MUKESH AGRAWAL"/>
    <s v="LCL/KIMB/071"/>
    <s v="ARNOLD KADURI"/>
    <s v="CAPITAL WORK IN PROGRESS"/>
    <s v="Fixed Assets"/>
    <s v="371056"/>
    <s v="371056 MINERAL EXPLORATION &amp; DEVELOPMENT-TARAWANDA"/>
    <s v="TARAWANDA EXPENSE"/>
    <s v="QUARRY"/>
    <s v="QUARRYING"/>
    <n v="136864"/>
    <n v="0"/>
    <n v="136864"/>
    <s v="TZS"/>
    <m/>
    <m/>
    <n v="1"/>
    <m/>
    <x v="0"/>
    <x v="0"/>
    <x v="1"/>
    <x v="1"/>
    <n v="53.672156862745098"/>
    <n v="0"/>
  </r>
  <r>
    <n v="966"/>
    <d v="2025-09-02T14:19:37"/>
    <x v="105"/>
    <s v="MISC/2025/09/0125"/>
    <s v="Miscellaneous Operations"/>
    <s v="DIESEL"/>
    <s v="BEING  SETTLEMENT EXPENSES FOR THE MONTH OF AUGUST 2025 FOR THE TARAWANDA PROJECT-MUKESH AGRAWAL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252627"/>
    <n v="0"/>
    <n v="1252627"/>
    <s v="TZS"/>
    <m/>
    <m/>
    <n v="1"/>
    <m/>
    <x v="0"/>
    <x v="0"/>
    <x v="1"/>
    <x v="1"/>
    <n v="491.22627450980394"/>
    <n v="0"/>
  </r>
  <r>
    <n v="967"/>
    <d v="2025-09-02T14:19:37"/>
    <x v="105"/>
    <s v="MISC/2025/09/0125"/>
    <s v="Miscellaneous Operations"/>
    <s v="ACCOMODATION AND FOOD"/>
    <s v="BEING  SETTLEMENT EXPENSES FOR THE MONTH OF AUGUST 2025 FOR THE TARAWANDA PROJECT-MUKESH AGRAWAL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3387740"/>
    <n v="0"/>
    <n v="3387740"/>
    <s v="TZS"/>
    <m/>
    <m/>
    <n v="1"/>
    <m/>
    <x v="0"/>
    <x v="0"/>
    <x v="1"/>
    <x v="1"/>
    <n v="1328.5254901960784"/>
    <n v="0"/>
  </r>
  <r>
    <n v="968"/>
    <d v="2025-09-02T06:57:28"/>
    <x v="105"/>
    <s v="MISC/2025/09/0125"/>
    <s v="Miscellaneous Operations"/>
    <s v="OPERATION EXPENSES"/>
    <s v="BEING  SETTLEMENT EXPENSES FOR THE MONTH OF AUGUST 2025 FOR THE TARAWANDA PROJECT-MUKESH AGRAWAL"/>
    <s v="LCL/KIMB/071"/>
    <s v="ARNOLD KADURI"/>
    <s v="CAPITAL WORK IN PROGRESS"/>
    <s v="Fixed Assets"/>
    <s v="371056"/>
    <s v="371056 MINERAL EXPLORATION &amp; DEVELOPMENT-TARAWANDA"/>
    <s v="TARAWANDA EXPENSE"/>
    <s v="QUARRY"/>
    <s v="QUARRYING"/>
    <n v="9387751"/>
    <n v="0"/>
    <n v="9387751"/>
    <s v="TZS"/>
    <m/>
    <m/>
    <n v="1"/>
    <m/>
    <x v="0"/>
    <x v="0"/>
    <x v="1"/>
    <x v="1"/>
    <n v="3681.4709803921569"/>
    <n v="0"/>
  </r>
  <r>
    <n v="969"/>
    <d v="2025-09-02T14:19:37"/>
    <x v="105"/>
    <s v="MISC/2025/09/0125"/>
    <s v="Miscellaneous Operations"/>
    <s v="OPERATION EXPENSES"/>
    <s v="BEING  SETTLEMENT EXPENSES FOR THE MONTH OF AUGUST 2025 FOR THE TARAWANDA PROJECT-MUKESH AGRAWAL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050000"/>
    <n v="0"/>
    <n v="1050000"/>
    <s v="TZS"/>
    <m/>
    <m/>
    <n v="1"/>
    <m/>
    <x v="0"/>
    <x v="0"/>
    <x v="1"/>
    <x v="1"/>
    <n v="411.76470588235293"/>
    <n v="0"/>
  </r>
  <r>
    <n v="970"/>
    <d v="2025-09-02T00:00:00"/>
    <x v="105"/>
    <s v="STJ/2025/09/00652"/>
    <s v="Inventory Valuation"/>
    <s v="CM/MTI/2025/02717 - [CIGGS001] GAS OXYGEN FULL CYLINDER, O2 / MRQ/2025/03869"/>
    <s v="CM/MTI/2025/02717 - [CIGGS001] GAS OXYGEN FULL CYLINDER, O2 / MRQ/2025/0386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5000"/>
    <n v="0"/>
    <n v="75000"/>
    <s v="TZS"/>
    <s v="[CIGGS001] GAS OXYGEN FULL CYLINDER, O2"/>
    <m/>
    <n v="-5"/>
    <s v="NOS"/>
    <x v="0"/>
    <x v="0"/>
    <x v="9"/>
    <x v="4"/>
    <n v="29.411764705882351"/>
    <n v="0"/>
  </r>
  <r>
    <n v="971"/>
    <d v="2025-09-02T00:00:00"/>
    <x v="105"/>
    <s v="STJ/2025/09/00653"/>
    <s v="Inventory Valuation"/>
    <s v="CM/MTI/2025/02717 - [CWCWR003] WELDING ELECTRODE MS 6013 SIZE 4 MM X 450 MM / MRQ/2025/03869"/>
    <s v="CM/MTI/2025/02717 - [CWCWR003] WELDING ELECTRODE MS 6013 SIZE 4 MM X 450 MM / MRQ/2025/03869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1462.64"/>
    <n v="0"/>
    <n v="61462.64"/>
    <s v="TZS"/>
    <s v="[CWCWR003] WELDING ELECTRODE MS 6013 SIZE 4 MM X 450 MM"/>
    <m/>
    <n v="-15"/>
    <s v="KG"/>
    <x v="0"/>
    <x v="0"/>
    <x v="9"/>
    <x v="4"/>
    <n v="24.102996078431371"/>
    <n v="0"/>
  </r>
  <r>
    <n v="972"/>
    <d v="2025-09-02T00:00:00"/>
    <x v="105"/>
    <s v="STJ/2025/09/00672"/>
    <s v="Inventory Valuation"/>
    <s v="CM/MTI/2025/02727 - [CCLGC022] NAILS SIZE 3'' / MRQ/2025/03867"/>
    <s v="CM/MTI/2025/02727 - [CCLGC022] NAILS SIZE 3'' / MRQ/2025/03867"/>
    <m/>
    <m/>
    <s v="MATERIAL COST"/>
    <s v="Expenses"/>
    <s v="731002"/>
    <s v="731002 STORE SPARES &amp; CONSUMABLES - GENERAL"/>
    <s v="CWIP-QUARRY RAW MATERIAL SHED EXTENSION"/>
    <s v="QUARRY"/>
    <s v="MECHANICAL"/>
    <n v="34200"/>
    <n v="0"/>
    <n v="34200"/>
    <s v="TZS"/>
    <s v="[CCLGC022] NAILS SIZE 3''"/>
    <m/>
    <n v="-6"/>
    <s v="KG"/>
    <x v="0"/>
    <x v="0"/>
    <x v="18"/>
    <x v="7"/>
    <n v="13.411764705882353"/>
    <n v="0"/>
  </r>
  <r>
    <n v="973"/>
    <d v="2025-09-02T00:00:00"/>
    <x v="105"/>
    <s v="STJ/2025/09/00673"/>
    <s v="Inventory Valuation"/>
    <s v="CM/MTI/2025/02727 - [CCLGC038] TIMBER 2 INCH X 4 INCH UNTREATED / MRQ/2025/03867"/>
    <s v="CM/MTI/2025/02727 - [CCLGC038] TIMBER 2 INCH X 4 INCH UNTREATED / MRQ/2025/03867"/>
    <m/>
    <m/>
    <s v="MATERIAL COST"/>
    <s v="Expenses"/>
    <s v="731002"/>
    <s v="731002 STORE SPARES &amp; CONSUMABLES - GENERAL"/>
    <s v="CWIP-QUARRY RAW MATERIAL SHED EXTENSION"/>
    <s v="QUARRY"/>
    <s v="MECHANICAL"/>
    <n v="490000"/>
    <n v="0"/>
    <n v="490000"/>
    <s v="TZS"/>
    <s v="[CCLGC038] TIMBER 2 INCH X 4 INCH UNTREATED"/>
    <m/>
    <n v="-70"/>
    <s v="NOS"/>
    <x v="0"/>
    <x v="0"/>
    <x v="18"/>
    <x v="7"/>
    <n v="192.15686274509804"/>
    <n v="0"/>
  </r>
  <r>
    <n v="974"/>
    <d v="2025-09-02T00:00:00"/>
    <x v="105"/>
    <s v="STJ/2025/09/00674"/>
    <s v="Inventory Valuation"/>
    <s v="CM/MTI/2025/02727 - [CWCGC041] CUTTING WHEEL 7'' / MRQ/2025/03867"/>
    <s v="CM/MTI/2025/02727 - [CWCGC041] CUTTING WHEEL 7'' / MRQ/2025/03867"/>
    <m/>
    <m/>
    <s v="MATERIAL COST"/>
    <s v="Expenses"/>
    <s v="731002"/>
    <s v="731002 STORE SPARES &amp; CONSUMABLES - GENERAL"/>
    <s v="CWIP-QUARRY RAW MATERIAL SHED EXTENSION"/>
    <s v="QUARRY"/>
    <s v="MECHANICAL"/>
    <n v="16104.95"/>
    <n v="0"/>
    <n v="16104.95"/>
    <s v="TZS"/>
    <s v="[CWCGC041] CUTTING WHEEL 7''"/>
    <m/>
    <n v="-5"/>
    <s v="NOS"/>
    <x v="0"/>
    <x v="0"/>
    <x v="18"/>
    <x v="7"/>
    <n v="6.315666666666667"/>
    <n v="0"/>
  </r>
  <r>
    <n v="975"/>
    <d v="2025-09-03T00:00:00"/>
    <x v="106"/>
    <s v="STJ/2025/09/01581"/>
    <s v="Inventory Valuation"/>
    <s v="CM/MTI/2025/02749 - [CIGGS001] GAS OXYGEN FULL CYLINDER, O2 / MRQ/2025/03846"/>
    <s v="CM/MTI/2025/02749 - [CIGGS001] GAS OXYGEN FULL CYLINDER, O2 / MRQ/2025/0384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75000"/>
    <n v="0"/>
    <n v="75000"/>
    <s v="TZS"/>
    <s v="[CIGGS001] GAS OXYGEN FULL CYLINDER, O2"/>
    <m/>
    <n v="-5"/>
    <s v="NOS"/>
    <x v="0"/>
    <x v="0"/>
    <x v="9"/>
    <x v="4"/>
    <n v="29.411764705882351"/>
    <n v="0"/>
  </r>
  <r>
    <n v="976"/>
    <d v="2025-09-03T00:00:00"/>
    <x v="106"/>
    <s v="STJ/2025/09/01582"/>
    <s v="Inventory Valuation"/>
    <s v="CM/MTI/2025/02749 - [CWCGC041] CUTTING WHEEL 7'' / MRQ/2025/03846"/>
    <s v="CM/MTI/2025/02749 - [CWCGC041] CUTTING WHEEL 7'' / MRQ/2025/0384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325.93"/>
    <n v="0"/>
    <n v="19325.93"/>
    <s v="TZS"/>
    <s v="[CWCGC041] CUTTING WHEEL 7''"/>
    <m/>
    <n v="-6"/>
    <s v="NOS"/>
    <x v="0"/>
    <x v="0"/>
    <x v="9"/>
    <x v="4"/>
    <n v="7.578796078431373"/>
    <n v="0"/>
  </r>
  <r>
    <n v="977"/>
    <d v="2025-09-03T00:00:00"/>
    <x v="106"/>
    <s v="STJ/2025/09/01583"/>
    <s v="Inventory Valuation"/>
    <s v="CM/MTI/2025/02749 - [CWCWR003] WELDING ELECTRODE MS 6013 SIZE 4 MM X 450 MM / MRQ/2025/03846"/>
    <s v="CM/MTI/2025/02749 - [CWCWR003] WELDING ELECTRODE MS 6013 SIZE 4 MM X 450 MM / MRQ/2025/0384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19"/>
    <n v="0"/>
    <n v="81950.19"/>
    <s v="TZS"/>
    <s v="[CWCWR003] WELDING ELECTRODE MS 6013 SIZE 4 MM X 450 MM"/>
    <m/>
    <n v="-20"/>
    <s v="KG"/>
    <x v="0"/>
    <x v="0"/>
    <x v="9"/>
    <x v="4"/>
    <n v="32.137329411764703"/>
    <n v="0"/>
  </r>
  <r>
    <n v="978"/>
    <d v="2025-09-04T00:00:00"/>
    <x v="107"/>
    <s v="STJ/2025/09/01886"/>
    <s v="Inventory Valuation"/>
    <s v="CM/MTI/2025/02767 - [CCLGC328] TMT BAR SIZE 10 MM GRADE FY500. / MRQ/2025/03941"/>
    <s v="CM/MTI/2025/02767 - [CCLGC328] TMT BAR SIZE 10 MM GRADE FY500. / MRQ/2025/03941"/>
    <m/>
    <m/>
    <s v="MATERIAL COST"/>
    <s v="Expenses"/>
    <s v="731002"/>
    <s v="731002 STORE SPARES &amp; CONSUMABLES - GENERAL"/>
    <s v="CWIP-QUARRY RAW MATERIAL SHED EXTENSION"/>
    <s v="QUARRY"/>
    <s v="MECHANICAL"/>
    <n v="726054.14"/>
    <n v="0"/>
    <n v="726054.14"/>
    <s v="TZS"/>
    <s v="[CCLGC328] TMT BAR SIZE 10 MM GRADE FY500."/>
    <m/>
    <n v="-50"/>
    <s v="PCS"/>
    <x v="0"/>
    <x v="0"/>
    <x v="18"/>
    <x v="7"/>
    <n v="284.7271137254902"/>
    <n v="0"/>
  </r>
  <r>
    <n v="979"/>
    <d v="2025-09-04T00:00:00"/>
    <x v="107"/>
    <s v="STJ/2025/09/01887"/>
    <s v="Inventory Valuation"/>
    <s v="CM/MTI/2025/02767 - [CCLGC329] TMT BAR SIZE 12 MM GRADE FY500. / MRQ/2025/03941"/>
    <s v="CM/MTI/2025/02767 - [CCLGC329] TMT BAR SIZE 12 MM GRADE FY500. / MRQ/2025/03941"/>
    <m/>
    <m/>
    <s v="MATERIAL COST"/>
    <s v="Expenses"/>
    <s v="731002"/>
    <s v="731002 STORE SPARES &amp; CONSUMABLES - GENERAL"/>
    <s v="CWIP-QUARRY RAW MATERIAL SHED EXTENSION"/>
    <s v="QUARRY"/>
    <s v="MECHANICAL"/>
    <n v="1438909.3"/>
    <n v="0"/>
    <n v="1438909.3"/>
    <s v="TZS"/>
    <s v="[CCLGC329] TMT BAR SIZE 12 MM GRADE FY500."/>
    <m/>
    <n v="-70"/>
    <s v="PCS"/>
    <x v="0"/>
    <x v="0"/>
    <x v="18"/>
    <x v="7"/>
    <n v="564.27815686274516"/>
    <n v="0"/>
  </r>
  <r>
    <n v="980"/>
    <d v="2025-09-04T00:00:00"/>
    <x v="107"/>
    <s v="STJ/2025/09/01888"/>
    <s v="Inventory Valuation"/>
    <s v="CM/MTI/2025/02767 - [CCLGC330] TMT BAR SIZE 16 MM GRADE FY500. / MRQ/2025/03941"/>
    <s v="CM/MTI/2025/02767 - [CCLGC330] TMT BAR SIZE 16 MM GRADE FY500. / MRQ/2025/03941"/>
    <m/>
    <m/>
    <s v="MATERIAL COST"/>
    <s v="Expenses"/>
    <s v="731002"/>
    <s v="731002 STORE SPARES &amp; CONSUMABLES - GENERAL"/>
    <s v="CWIP-QUARRY RAW MATERIAL SHED EXTENSION"/>
    <s v="QUARRY"/>
    <s v="MECHANICAL"/>
    <n v="1829479.55"/>
    <n v="0"/>
    <n v="1829479.55"/>
    <s v="TZS"/>
    <s v="[CCLGC330] TMT BAR SIZE 16 MM GRADE FY500."/>
    <m/>
    <n v="-50"/>
    <s v="PCS"/>
    <x v="0"/>
    <x v="0"/>
    <x v="18"/>
    <x v="7"/>
    <n v="717.44296078431375"/>
    <n v="0"/>
  </r>
  <r>
    <n v="981"/>
    <d v="2025-09-04T00:00:00"/>
    <x v="107"/>
    <s v="STJ/2025/09/01922"/>
    <s v="Inventory Valuation"/>
    <s v="CM/MTI/2025/02779 - [CCLGC032] WIRE FOR BINDING / MRQ/2025/03935"/>
    <s v="CM/MTI/2025/02779 - [CCLGC032] WIRE FOR BINDING / MRQ/2025/03935"/>
    <m/>
    <m/>
    <s v="MATERIAL COST"/>
    <s v="Expenses"/>
    <s v="731002"/>
    <s v="731002 STORE SPARES &amp; CONSUMABLES - GENERAL"/>
    <s v="CWIP-QUARRY RAW MATERIAL SHED EXTENSION"/>
    <s v="QUARRY"/>
    <s v="MECHANICAL"/>
    <n v="145000"/>
    <n v="0"/>
    <n v="145000"/>
    <s v="TZS"/>
    <s v="[CCLGC032] WIRE FOR BINDING"/>
    <m/>
    <n v="-29"/>
    <s v="KG"/>
    <x v="0"/>
    <x v="0"/>
    <x v="18"/>
    <x v="7"/>
    <n v="56.862745098039213"/>
    <n v="0"/>
  </r>
  <r>
    <n v="982"/>
    <d v="2025-09-04T00:00:00"/>
    <x v="107"/>
    <s v="STJ/2025/09/01923"/>
    <s v="Inventory Valuation"/>
    <s v="CM/MTI/2025/02779 - [CCLGC038] TIMBER 2 INCH X 4 INCH UNTREATED / MRQ/2025/03935"/>
    <s v="CM/MTI/2025/02779 - [CCLGC038] TIMBER 2 INCH X 4 INCH UNTREATED / MRQ/2025/03935"/>
    <m/>
    <m/>
    <s v="MATERIAL COST"/>
    <s v="Expenses"/>
    <s v="731002"/>
    <s v="731002 STORE SPARES &amp; CONSUMABLES - GENERAL"/>
    <s v="CWIP-QUARRY RAW MATERIAL SHED EXTENSION"/>
    <s v="QUARRY"/>
    <s v="MECHANICAL"/>
    <n v="560000"/>
    <n v="0"/>
    <n v="560000"/>
    <s v="TZS"/>
    <s v="[CCLGC038] TIMBER 2 INCH X 4 INCH UNTREATED"/>
    <m/>
    <n v="-80"/>
    <s v="NOS"/>
    <x v="0"/>
    <x v="0"/>
    <x v="18"/>
    <x v="7"/>
    <n v="219.60784313725489"/>
    <n v="0"/>
  </r>
  <r>
    <n v="983"/>
    <d v="2025-09-04T00:00:00"/>
    <x v="107"/>
    <s v="STJ/2025/09/01924"/>
    <s v="Inventory Valuation"/>
    <s v="CM/MTI/2025/02779 - [CCLGC052] PLYWOOD 8FEET X 4FEET X 18 MM THICK  / MRQ/2025/03935"/>
    <s v="CM/MTI/2025/02779 - [CCLGC052] PLYWOOD 8FEET X 4FEET X 18 MM THICK  / MRQ/2025/03935"/>
    <m/>
    <m/>
    <s v="MATERIAL COST"/>
    <s v="Expenses"/>
    <s v="731002"/>
    <s v="731002 STORE SPARES &amp; CONSUMABLES - GENERAL"/>
    <s v="CWIP-QUARRY RAW MATERIAL SHED EXTENSION"/>
    <s v="QUARRY"/>
    <s v="MECHANICAL"/>
    <n v="703389.8"/>
    <n v="0"/>
    <n v="703389.8"/>
    <s v="TZS"/>
    <s v="[CCLGC052] PLYWOOD 8FEET X 4FEET X 18 MM THICK "/>
    <m/>
    <n v="-20"/>
    <s v="NOS"/>
    <x v="0"/>
    <x v="0"/>
    <x v="18"/>
    <x v="7"/>
    <n v="275.83913725490197"/>
    <n v="0"/>
  </r>
  <r>
    <n v="984"/>
    <d v="2025-09-04T00:00:00"/>
    <x v="107"/>
    <s v="STJ/2025/09/01925"/>
    <s v="Inventory Valuation"/>
    <s v="CM/MTI/2025/02779 - [CWCGC041] CUTTING WHEEL 7'' / MRQ/2025/03935"/>
    <s v="CM/MTI/2025/02779 - [CWCGC041] CUTTING WHEEL 7'' / MRQ/2025/03935"/>
    <m/>
    <m/>
    <s v="MATERIAL COST"/>
    <s v="Expenses"/>
    <s v="731002"/>
    <s v="731002 STORE SPARES &amp; CONSUMABLES - GENERAL"/>
    <s v="CWIP-QUARRY RAW MATERIAL SHED EXTENSION"/>
    <s v="QUARRY"/>
    <s v="MECHANICAL"/>
    <n v="32209.89"/>
    <n v="0"/>
    <n v="32209.89"/>
    <s v="TZS"/>
    <s v="[CWCGC041] CUTTING WHEEL 7''"/>
    <m/>
    <n v="-10"/>
    <s v="NOS"/>
    <x v="0"/>
    <x v="0"/>
    <x v="18"/>
    <x v="7"/>
    <n v="12.631329411764705"/>
    <n v="0"/>
  </r>
  <r>
    <n v="985"/>
    <d v="2025-09-08T09:17:13"/>
    <x v="108"/>
    <s v="SERBL/2025/09/0054"/>
    <s v="Service Bills"/>
    <s v="AIR TICKET CHARGES "/>
    <s v="DTI0000225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322480"/>
    <n v="0"/>
    <n v="322480"/>
    <s v="TZS"/>
    <m/>
    <m/>
    <n v="1"/>
    <m/>
    <x v="0"/>
    <x v="0"/>
    <x v="3"/>
    <x v="0"/>
    <n v="126.46274509803922"/>
    <n v="0"/>
  </r>
  <r>
    <n v="986"/>
    <d v="2025-09-08T09:13:29"/>
    <x v="108"/>
    <s v="SERBL/2025/09/0053"/>
    <s v="Service Bills"/>
    <s v="AIR TICKET CHARGES "/>
    <s v="DTI00002672"/>
    <s v="CMMI1985"/>
    <s v="Blueberry Travel India Private Limited"/>
    <s v="CAPITAL WORK IN PROGRESS"/>
    <s v="Fixed Assets"/>
    <s v="371056"/>
    <s v="371056 MINERAL EXPLORATION &amp; DEVELOPMENT-TARAWANDA"/>
    <s v="Corporate"/>
    <s v="HO"/>
    <s v="ADMIN"/>
    <n v="716300"/>
    <n v="0"/>
    <n v="716300"/>
    <s v="TZS"/>
    <m/>
    <m/>
    <n v="1"/>
    <m/>
    <x v="0"/>
    <x v="0"/>
    <x v="1"/>
    <x v="1"/>
    <n v="280.9019607843137"/>
    <n v="0"/>
  </r>
  <r>
    <n v="987"/>
    <d v="2025-09-08T09:09:20"/>
    <x v="108"/>
    <s v="SERBL/2025/09/0052"/>
    <s v="Service Bills"/>
    <s v="AIR TICKET CHARGES "/>
    <s v="ITI00002214"/>
    <s v="CMMI1985"/>
    <s v="Blueberry Travel India Private Limited"/>
    <s v="CAPITAL WORK IN PROGRESS"/>
    <s v="Fixed Assets"/>
    <s v="371056"/>
    <s v="371056 MINERAL EXPLORATION &amp; DEVELOPMENT-TARAWANDA"/>
    <s v="Corporate"/>
    <s v="HO"/>
    <s v="ADMIN"/>
    <n v="3691700"/>
    <n v="0"/>
    <n v="3691700"/>
    <s v="TZS"/>
    <m/>
    <m/>
    <n v="1"/>
    <m/>
    <x v="0"/>
    <x v="0"/>
    <x v="1"/>
    <x v="1"/>
    <n v="1447.7254901960785"/>
    <n v="0"/>
  </r>
  <r>
    <n v="988"/>
    <d v="2025-09-08T08:54:42"/>
    <x v="108"/>
    <s v="SERBL/2025/09/0049"/>
    <s v="Service Bills"/>
    <s v="AIR TICKET CHARGES "/>
    <s v="ITI00002213"/>
    <s v="CMMI1985"/>
    <s v="Blueberry Travel India Private Limited"/>
    <s v="CAPITAL WORK IN PROGRESS"/>
    <s v="Fixed Assets"/>
    <s v="371056"/>
    <s v="371056 MINERAL EXPLORATION &amp; DEVELOPMENT-TARAWANDA"/>
    <s v="Corporate"/>
    <s v="HO"/>
    <s v="ADMIN"/>
    <n v="5537550"/>
    <n v="0"/>
    <n v="5537550"/>
    <s v="TZS"/>
    <m/>
    <m/>
    <n v="1"/>
    <m/>
    <x v="0"/>
    <x v="0"/>
    <x v="1"/>
    <x v="1"/>
    <n v="2171.5882352941176"/>
    <n v="0"/>
  </r>
  <r>
    <n v="989"/>
    <d v="2025-09-08T08:39:50"/>
    <x v="108"/>
    <s v="SERBL/2025/09/0047"/>
    <s v="Service Bills"/>
    <s v="AIR TICKET CHARGES "/>
    <s v="ITI00002127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2230042"/>
    <n v="0"/>
    <n v="2230042"/>
    <s v="TZS"/>
    <m/>
    <m/>
    <n v="1"/>
    <m/>
    <x v="0"/>
    <x v="0"/>
    <x v="3"/>
    <x v="0"/>
    <n v="874.5262745098039"/>
    <n v="0"/>
  </r>
  <r>
    <n v="990"/>
    <d v="2025-09-08T08:35:43"/>
    <x v="108"/>
    <s v="SERBL/2025/09/0046"/>
    <s v="Service Bills"/>
    <s v="AIR TICKET CHARGES "/>
    <s v="ITI00002216"/>
    <s v="CMMI1985"/>
    <s v="Blueberry Travel India Private Limited"/>
    <s v="CAPITAL WORK IN PROGRESS"/>
    <s v="Fixed Assets"/>
    <s v="371056"/>
    <s v="371056 MINERAL EXPLORATION &amp; DEVELOPMENT-TARAWANDA"/>
    <s v="Corporate"/>
    <s v="HO"/>
    <s v="ADMIN"/>
    <n v="1845850"/>
    <n v="0"/>
    <n v="1845850"/>
    <s v="TZS"/>
    <m/>
    <m/>
    <n v="1"/>
    <m/>
    <x v="0"/>
    <x v="0"/>
    <x v="1"/>
    <x v="1"/>
    <n v="723.86274509803923"/>
    <n v="0"/>
  </r>
  <r>
    <n v="991"/>
    <d v="2025-09-08T06:57:18"/>
    <x v="108"/>
    <s v="SERBL/2025/09/0040"/>
    <s v="Service Bills"/>
    <s v="AIR TICKET CHARGES "/>
    <s v="ITI00001748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120850"/>
    <n v="0"/>
    <n v="1120850"/>
    <s v="TZS"/>
    <m/>
    <m/>
    <n v="1"/>
    <m/>
    <x v="0"/>
    <x v="0"/>
    <x v="3"/>
    <x v="0"/>
    <n v="439.54901960784315"/>
    <n v="0"/>
  </r>
  <r>
    <n v="992"/>
    <d v="2025-09-08T06:43:01"/>
    <x v="108"/>
    <s v="SERBL/2025/09/0039"/>
    <s v="Service Bills"/>
    <s v="AIR TICKET CHARGES "/>
    <s v="ITI00001749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483350"/>
    <n v="0"/>
    <n v="1483350"/>
    <s v="TZS"/>
    <m/>
    <m/>
    <n v="1"/>
    <m/>
    <x v="0"/>
    <x v="0"/>
    <x v="3"/>
    <x v="0"/>
    <n v="581.70588235294122"/>
    <n v="0"/>
  </r>
  <r>
    <n v="993"/>
    <d v="2025-09-08T05:51:42"/>
    <x v="108"/>
    <s v="SERBL/2025/09/0030"/>
    <s v="Service Bills"/>
    <s v="AIR TICKET CHARGES "/>
    <s v="ITI00002041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134770"/>
    <n v="0"/>
    <n v="1134770"/>
    <s v="TZS"/>
    <m/>
    <m/>
    <n v="1"/>
    <m/>
    <x v="0"/>
    <x v="0"/>
    <x v="3"/>
    <x v="0"/>
    <n v="445.00784313725489"/>
    <n v="0"/>
  </r>
  <r>
    <n v="994"/>
    <d v="2025-09-08T09:48:59"/>
    <x v="108"/>
    <s v="PCVLG/2025/09/0049"/>
    <s v="PCV (PETTY CASH LOGISTIC)"/>
    <m/>
    <s v="CASH PAID FOR FABRICATION OF SIDDE WALLS FOR 3RD TRAILER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900000"/>
    <n v="0"/>
    <n v="900000"/>
    <s v="TZS"/>
    <m/>
    <m/>
    <n v="1"/>
    <m/>
    <x v="0"/>
    <x v="0"/>
    <x v="12"/>
    <x v="1"/>
    <n v="352.94117647058823"/>
    <n v="0"/>
  </r>
  <r>
    <n v="995"/>
    <d v="2025-09-08T05:56:55"/>
    <x v="108"/>
    <s v="DBN/2025/09/0002"/>
    <s v="Service Bills"/>
    <s v="DBN AGAINST AIR TICKET CHARGES "/>
    <s v="ITC00000316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0"/>
    <n v="2172042"/>
    <n v="-2172042"/>
    <s v="TZS"/>
    <m/>
    <m/>
    <n v="1"/>
    <m/>
    <x v="0"/>
    <x v="0"/>
    <x v="3"/>
    <x v="0"/>
    <n v="-851.78117647058821"/>
    <n v="0"/>
  </r>
  <r>
    <n v="996"/>
    <d v="2025-09-08T00:00:00"/>
    <x v="108"/>
    <s v="STJ/2025/09/03720"/>
    <s v="Inventory Valuation"/>
    <s v="CM/MTI/2025/02793 - [CIGGS001] GAS OXYGEN FULL CYLINDER, O2 / MRQ/2025/03971"/>
    <s v="CM/MTI/2025/02793 - [CIGGS001] GAS OXYGEN FULL CYLINDER, O2 / MRQ/2025/0397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0000"/>
    <n v="0"/>
    <n v="90000"/>
    <s v="TZS"/>
    <s v="[CIGGS001] GAS OXYGEN FULL CYLINDER, O2"/>
    <m/>
    <n v="-6"/>
    <s v="NOS"/>
    <x v="0"/>
    <x v="0"/>
    <x v="9"/>
    <x v="4"/>
    <n v="35.294117647058826"/>
    <n v="0"/>
  </r>
  <r>
    <n v="997"/>
    <d v="2025-09-08T00:00:00"/>
    <x v="108"/>
    <s v="STJ/2025/09/03721"/>
    <s v="Inventory Valuation"/>
    <s v="CM/MTI/2025/02793 - [CIGGS005] GAS LIQUEFIED PETROLEUM FULL CYLINDER, LPG CAPACITY 15KG / MRQ/2025/03971"/>
    <s v="CM/MTI/2025/02793 - [CIGGS005] GAS LIQUEFIED PETROLEUM FULL CYLINDER, LPG CAPACITY 15KG / MRQ/2025/0397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48000"/>
    <n v="0"/>
    <n v="48000"/>
    <s v="TZS"/>
    <s v="[CIGGS005] GAS LIQUEFIED PETROLEUM FULL CYLINDER, LPG CAPACITY 15KG"/>
    <m/>
    <n v="-1"/>
    <s v="NOS"/>
    <x v="0"/>
    <x v="0"/>
    <x v="9"/>
    <x v="4"/>
    <n v="18.823529411764707"/>
    <n v="0"/>
  </r>
  <r>
    <n v="998"/>
    <d v="2025-09-08T00:00:00"/>
    <x v="108"/>
    <s v="STJ/2025/09/03722"/>
    <s v="Inventory Valuation"/>
    <s v="CM/MTI/2025/02794 - [CITGC003] CABLE CAT6 4PAIR INSULATION SIZE 0.33MM THICK X 6.5MM OD JACKET CLOUR GREY FRAME RATING CM OUTDOOR / MRQ/2025/03975"/>
    <s v="CM/MTI/2025/02794 - [CITGC003] CABLE CAT6 4PAIR INSULATION SIZE 0.33MM THICK X 6.5MM OD JACKET CLOUR GREY FRAME RATING CM OUTDOOR / MRQ/2025/03975"/>
    <m/>
    <m/>
    <s v="MATERIAL COST"/>
    <s v="Expenses"/>
    <s v="731002"/>
    <s v="731002 STORE SPARES &amp; CONSUMABLES - GENERAL"/>
    <s v="CWIP-INSTALLATION OF NEW WEIGHBRIDGE AT QUARRY(2NOS)"/>
    <s v="QUARRY"/>
    <s v="INSTRUMENTATION"/>
    <n v="179236.3"/>
    <n v="0"/>
    <n v="179236.3"/>
    <s v="TZS"/>
    <s v="[CITGC003] CABLE CAT6 4PAIR INSULATION SIZE 0.33MM THICK X 6.5MM OD JACKET CLOUR GREY FRAME RATING CM OUTDOOR"/>
    <m/>
    <n v="-305"/>
    <s v="MTR"/>
    <x v="0"/>
    <x v="0"/>
    <x v="14"/>
    <x v="3"/>
    <n v="70.288745098039215"/>
    <n v="0"/>
  </r>
  <r>
    <n v="999"/>
    <d v="2025-09-08T00:00:00"/>
    <x v="108"/>
    <s v="STJ/2025/09/03723"/>
    <s v="Inventory Valuation"/>
    <s v="CM/MTI/2025/02794 - [CITGC038] NANO STATION MODEL NSM2,INDOOR/OUTDOOR AIRMAX WIRELESS ANTENNA / MRQ/2025/03975"/>
    <s v="CM/MTI/2025/02794 - [CITGC038] NANO STATION MODEL NSM2,INDOOR/OUTDOOR AIRMAX WIRELESS ANTENNA / MRQ/2025/03975"/>
    <m/>
    <m/>
    <s v="MATERIAL COST"/>
    <s v="Expenses"/>
    <s v="731002"/>
    <s v="731002 STORE SPARES &amp; CONSUMABLES - GENERAL"/>
    <s v="CWIP-INSTALLATION OF NEW WEIGHBRIDGE AT QUARRY(2NOS)"/>
    <s v="QUARRY"/>
    <s v="INSTRUMENTATION"/>
    <n v="560000"/>
    <n v="0"/>
    <n v="560000"/>
    <s v="TZS"/>
    <s v="[CITGC038] NANO STATION MODEL NSM2,INDOOR/OUTDOOR AIRMAX WIRELESS ANTENNA"/>
    <m/>
    <n v="-2"/>
    <s v="NOS"/>
    <x v="0"/>
    <x v="0"/>
    <x v="14"/>
    <x v="3"/>
    <n v="219.60784313725489"/>
    <n v="0"/>
  </r>
  <r>
    <n v="1000"/>
    <d v="2025-09-08T00:00:00"/>
    <x v="108"/>
    <s v="STJ/2025/09/03967"/>
    <s v="Inventory Valuation"/>
    <s v="CM/MTI/2025/02811 - [CITGC100] CARD RFID MODEL IMS-HF-C017 MATERIAL PVC WITH 1 K MEMORY WITH PLASTIC PROTECTIVE CASE MAKE OMEC-IMAGIC / MRQ/2025/03986"/>
    <s v="CM/MTI/2025/02811 - [CITGC100] CARD RFID MODEL IMS-HF-C017 MATERIAL PVC WITH 1 K MEMORY WITH PLASTIC PROTECTIVE CASE MAKE OMEC-IMAGIC / MRQ/2025/03986"/>
    <m/>
    <m/>
    <s v="MATERIAL COST"/>
    <s v="Expenses"/>
    <s v="731002"/>
    <s v="731002 STORE SPARES &amp; CONSUMABLES - GENERAL"/>
    <s v="CWIP-INSTALLATION OF NEW WEIGHBRIDGE AT QUARRY(2NOS)"/>
    <s v="QUARRY"/>
    <s v="INSTRUMENTATION"/>
    <n v="2408618.29"/>
    <n v="0"/>
    <n v="2408618.29"/>
    <s v="TZS"/>
    <s v="[CITGC100] CARD RFID MODEL IMS-HF-C017 MATERIAL PVC WITH 1 K MEMORY WITH PLASTIC PROTECTIVE CASE MAKE OMEC-IMAGIC"/>
    <m/>
    <n v="-420"/>
    <s v="NOS"/>
    <x v="0"/>
    <x v="0"/>
    <x v="14"/>
    <x v="3"/>
    <n v="944.55619215686272"/>
    <n v="0"/>
  </r>
  <r>
    <n v="1001"/>
    <d v="2025-09-08T00:00:00"/>
    <x v="108"/>
    <s v="STJ/2025/09/03978"/>
    <s v="Inventory Valuation"/>
    <s v="CM/MTI/2025/02817 - [CCLGC032] WIRE FOR BINDING / MRQ/2025/03999"/>
    <s v="CM/MTI/2025/02817 - [CCLGC032] WIRE FOR BINDING / MRQ/2025/03999"/>
    <m/>
    <m/>
    <s v="MATERIAL COST"/>
    <s v="Expenses"/>
    <s v="731002"/>
    <s v="731002 STORE SPARES &amp; CONSUMABLES - GENERAL"/>
    <s v="CWIP-ROAD PHASE 07"/>
    <s v="PROJECT"/>
    <s v="MECHANICAL"/>
    <n v="74000"/>
    <n v="0"/>
    <n v="74000"/>
    <s v="TZS"/>
    <s v="[CCLGC032] WIRE FOR BINDING"/>
    <m/>
    <n v="-14.8"/>
    <s v="KG"/>
    <x v="0"/>
    <x v="0"/>
    <x v="17"/>
    <x v="6"/>
    <n v="29.019607843137255"/>
    <n v="0"/>
  </r>
  <r>
    <n v="1002"/>
    <d v="2025-09-08T00:00:00"/>
    <x v="108"/>
    <s v="STJ/2025/09/03979"/>
    <s v="Inventory Valuation"/>
    <s v="CM/MTI/2025/02817 - [CCLGC328] TMT BAR SIZE 10 MM GRADE FY500. / MRQ/2025/03999"/>
    <s v="CM/MTI/2025/02817 - [CCLGC328] TMT BAR SIZE 10 MM GRADE FY500. / MRQ/2025/03999"/>
    <m/>
    <m/>
    <s v="MATERIAL COST"/>
    <s v="Expenses"/>
    <s v="731002"/>
    <s v="731002 STORE SPARES &amp; CONSUMABLES - GENERAL"/>
    <s v="CWIP-ROAD PHASE 07"/>
    <s v="PROJECT"/>
    <s v="MECHANICAL"/>
    <n v="580843.31000000006"/>
    <n v="0"/>
    <n v="580843.31000000006"/>
    <s v="TZS"/>
    <s v="[CCLGC328] TMT BAR SIZE 10 MM GRADE FY500."/>
    <m/>
    <n v="-40"/>
    <s v="PCS"/>
    <x v="0"/>
    <x v="0"/>
    <x v="17"/>
    <x v="6"/>
    <n v="227.78169019607844"/>
    <n v="0"/>
  </r>
  <r>
    <n v="1003"/>
    <d v="2025-09-09T13:41:10"/>
    <x v="109"/>
    <s v="PCVHO/2025/09/0087"/>
    <s v="PCV (PETTY CASH HO)"/>
    <s v="TARAWANDA EXPENSES "/>
    <s v="Being payment for medical insurance for six persons from ERCOM engineers - Tanmay Maitra"/>
    <m/>
    <m/>
    <s v="CAPITAL WORK IN PROGRESS"/>
    <s v="Fixed Assets"/>
    <s v="371056"/>
    <s v="371056 MINERAL EXPLORATION &amp; DEVELOPMENT-TARAWANDA"/>
    <s v="Corporate"/>
    <s v="HO"/>
    <s v="ADMIN"/>
    <n v="982678.8"/>
    <n v="0"/>
    <n v="982678.8"/>
    <s v="TZS"/>
    <m/>
    <m/>
    <n v="1"/>
    <m/>
    <x v="0"/>
    <x v="0"/>
    <x v="1"/>
    <x v="1"/>
    <n v="385.36423529411769"/>
    <n v="0"/>
  </r>
  <r>
    <n v="1004"/>
    <d v="2025-09-09T13:38:34"/>
    <x v="109"/>
    <s v="PCVHO/2025/09/0086"/>
    <s v="PCV (PETTY CASH HO)"/>
    <s v="TARAWANDA EXPENSES "/>
    <s v="Being payment for reimbursement for business visa for ERCOM team for six persons - Tanmay Maitra"/>
    <m/>
    <m/>
    <s v="CAPITAL WORK IN PROGRESS"/>
    <s v="Fixed Assets"/>
    <s v="371056"/>
    <s v="371056 MINERAL EXPLORATION &amp; DEVELOPMENT-TARAWANDA"/>
    <s v="Corporate"/>
    <s v="HO"/>
    <s v="ADMIN"/>
    <n v="3818700"/>
    <n v="0"/>
    <n v="3818700"/>
    <s v="TZS"/>
    <m/>
    <m/>
    <n v="1"/>
    <m/>
    <x v="0"/>
    <x v="0"/>
    <x v="1"/>
    <x v="1"/>
    <n v="1497.5294117647059"/>
    <n v="0"/>
  </r>
  <r>
    <n v="1005"/>
    <d v="2025-09-09T13:35:31"/>
    <x v="109"/>
    <s v="PCVHO/2025/09/0085"/>
    <s v="PCV (PETTY CASH HO)"/>
    <s v="TARAWANDA EXPENSES "/>
    <s v="Being payment for deim pocket expenses for six peoples for seven days - Tanmay Maitra"/>
    <m/>
    <m/>
    <s v="CAPITAL WORK IN PROGRESS"/>
    <s v="Fixed Assets"/>
    <s v="371056"/>
    <s v="371056 MINERAL EXPLORATION &amp; DEVELOPMENT-TARAWANDA"/>
    <s v="Corporate"/>
    <s v="HO"/>
    <s v="ADMIN"/>
    <n v="5346180"/>
    <n v="0"/>
    <n v="5346180"/>
    <s v="TZS"/>
    <m/>
    <m/>
    <n v="1"/>
    <m/>
    <x v="0"/>
    <x v="0"/>
    <x v="1"/>
    <x v="1"/>
    <n v="2096.5411764705882"/>
    <n v="0"/>
  </r>
  <r>
    <n v="1006"/>
    <d v="2025-09-09T00:00:00"/>
    <x v="109"/>
    <s v="STJ/2025/09/04311"/>
    <s v="Inventory Valuation"/>
    <s v="CM/MTI/2025/02832 - [CWCGC041] CUTTING WHEEL 7'' / MRQ/2025/04031"/>
    <s v="CM/MTI/2025/02832 - [CWCGC041] CUTTING WHEEL 7'' / MRQ/2025/0403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104.95"/>
    <n v="0"/>
    <n v="16104.95"/>
    <s v="TZS"/>
    <s v="[CWCGC041] CUTTING WHEEL 7''"/>
    <m/>
    <n v="-5"/>
    <s v="NOS"/>
    <x v="0"/>
    <x v="0"/>
    <x v="9"/>
    <x v="4"/>
    <n v="6.315666666666667"/>
    <n v="0"/>
  </r>
  <r>
    <n v="1007"/>
    <d v="2025-09-09T00:00:00"/>
    <x v="109"/>
    <s v="STJ/2025/09/04312"/>
    <s v="Inventory Valuation"/>
    <s v="CM/MTI/2025/02832 - [CWCWR003] WELDING ELECTRODE MS 6013 SIZE 4 MM X 450 MM / MRQ/2025/04031"/>
    <s v="CM/MTI/2025/02832 - [CWCWR003] WELDING ELECTRODE MS 6013 SIZE 4 MM X 450 MM / MRQ/2025/04031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61462.64"/>
    <n v="0"/>
    <n v="61462.64"/>
    <s v="TZS"/>
    <s v="[CWCWR003] WELDING ELECTRODE MS 6013 SIZE 4 MM X 450 MM"/>
    <m/>
    <n v="-15"/>
    <s v="KG"/>
    <x v="0"/>
    <x v="0"/>
    <x v="9"/>
    <x v="4"/>
    <n v="24.102996078431371"/>
    <n v="0"/>
  </r>
  <r>
    <n v="1008"/>
    <d v="2025-09-09T00:00:00"/>
    <x v="109"/>
    <s v="STJ/2025/09/04304"/>
    <s v="Inventory Valuation"/>
    <s v="CM/MTI/2025/02829 - [CPAPT007] PAINT RED OXIDE / MRQ/2025/04016"/>
    <s v="CM/MTI/2025/02829 - [CPAPT007] PAINT RED OXIDE / MRQ/2025/04016"/>
    <m/>
    <m/>
    <s v="MATERIAL COST"/>
    <s v="Expenses"/>
    <s v="731002"/>
    <s v="731002 STORE SPARES &amp; CONSUMABLES - GENERAL"/>
    <s v="CWIP-FABRICATION OF INHOUSE TRAILOR"/>
    <s v="LOGISTIC DIVISION"/>
    <s v="LOGISTIC DIVISION"/>
    <n v="76204"/>
    <n v="0"/>
    <n v="76204"/>
    <s v="TZS"/>
    <s v="[CPAPT007] PAINT RED OXIDE"/>
    <m/>
    <n v="-16"/>
    <s v="LTR"/>
    <x v="0"/>
    <x v="0"/>
    <x v="12"/>
    <x v="1"/>
    <n v="29.88392156862745"/>
    <n v="0"/>
  </r>
  <r>
    <n v="1009"/>
    <d v="2025-09-09T00:00:00"/>
    <x v="109"/>
    <s v="STJ/2025/09/04305"/>
    <s v="Inventory Valuation"/>
    <s v="CM/MTI/2025/02830 - [ESSCN004] ISMC 150 / MRQ/2025/04024"/>
    <s v="CM/MTI/2025/02830 - [ESSCN004] ISMC 150 / MRQ/2025/04024"/>
    <m/>
    <m/>
    <s v="MATERIAL COST"/>
    <s v="Expenses"/>
    <s v="731002"/>
    <s v="731002 STORE SPARES &amp; CONSUMABLES - GENERAL"/>
    <s v="CWIP-FABRICATION OF INHOUSE TRAILOR"/>
    <s v="LOGISTIC DIVISION"/>
    <s v="LOGISTIC DIVISION"/>
    <n v="540000"/>
    <n v="0"/>
    <n v="540000"/>
    <s v="TZS"/>
    <s v="[ESSCN004] ISMC 150"/>
    <m/>
    <n v="-3"/>
    <s v="NOS"/>
    <x v="0"/>
    <x v="0"/>
    <x v="12"/>
    <x v="1"/>
    <n v="211.76470588235293"/>
    <n v="0"/>
  </r>
  <r>
    <n v="1010"/>
    <d v="2025-09-09T00:00:00"/>
    <x v="109"/>
    <s v="STJ/2025/09/04298"/>
    <s v="Inventory Valuation"/>
    <s v="CM/MTI/2025/02824 - [CCLGC328] TMT BAR SIZE 10 MM GRADE FY500. / MRQ/2025/04043"/>
    <s v="CM/MTI/2025/02824 - [CCLGC328] TMT BAR SIZE 10 MM GRADE FY500. / MRQ/2025/04043"/>
    <m/>
    <m/>
    <s v="MATERIAL COST"/>
    <s v="Expenses"/>
    <s v="731002"/>
    <s v="731002 STORE SPARES &amp; CONSUMABLES - GENERAL"/>
    <s v="CWIP-ROAD PHASE 07"/>
    <s v="PROJECT"/>
    <s v="MECHANICAL"/>
    <n v="435632.48"/>
    <n v="0"/>
    <n v="435632.48"/>
    <s v="TZS"/>
    <s v="[CCLGC328] TMT BAR SIZE 10 MM GRADE FY500."/>
    <m/>
    <n v="-30"/>
    <s v="PCS"/>
    <x v="0"/>
    <x v="0"/>
    <x v="17"/>
    <x v="6"/>
    <n v="170.83626666666666"/>
    <n v="0"/>
  </r>
  <r>
    <n v="1011"/>
    <d v="2025-09-10T00:00:00"/>
    <x v="110"/>
    <s v="STJ/2025/09/05307"/>
    <s v="Inventory Valuation"/>
    <s v="CM/MTI/2025/02850 - [CPMBG005] BAG EMPTY FOR CEMENT PACKING GRADE 42.5R MATERIAL WOVEN POLYPROPYLENE CAPACITY 1MT COLOR BLUE / MRQ/2025/03788"/>
    <s v="CM/MTI/2025/02850 - [CPMBG005] BAG EMPTY FOR CEMENT PACKING GRADE 42.5R MATERIAL WOVEN POLYPROPYLENE CAPACITY 1MT COLOR BLUE / MRQ/2025/03788"/>
    <m/>
    <m/>
    <s v="MATERIAL COST"/>
    <s v="Expenses"/>
    <s v="731006"/>
    <s v="731006 PACKING BAGS CONSUMED"/>
    <s v="CWIP-QUARRY RAW MATERIAL SHED EXTENSION"/>
    <s v="QUARRY"/>
    <s v="MECHANICAL"/>
    <n v="84178.47"/>
    <n v="0"/>
    <n v="84178.47"/>
    <s v="TZS"/>
    <s v="[CPMBG005] BAG EMPTY FOR CEMENT PACKING GRADE 42.5R MATERIAL WOVEN POLYPROPYLENE CAPACITY 1MT COLOR BLUE"/>
    <m/>
    <n v="-4"/>
    <s v="NOS"/>
    <x v="0"/>
    <x v="0"/>
    <x v="18"/>
    <x v="7"/>
    <n v="33.011164705882351"/>
    <n v="0"/>
  </r>
  <r>
    <n v="1012"/>
    <d v="2025-09-10T00:00:00"/>
    <x v="110"/>
    <s v="STJ/2025/09/05305"/>
    <s v="Inventory Valuation"/>
    <s v="CM/MTI/2025/02849 - [CPMBG005] BAG EMPTY FOR CEMENT PACKING GRADE 42.5R MATERIAL WOVEN POLYPROPYLENE CAPACITY 1MT COLOR BLUE / MRQ/2025/03952_x000a_Rounding Adjustment: +0.01 TSh"/>
    <s v="CM/MTI/2025/02849 - [CPMBG005] BAG EMPTY FOR CEMENT PACKING GRADE 42.5R MATERIAL WOVEN POLYPROPYLENE CAPACITY 1MT COLOR BLUE / MRQ/2025/03952_x000a_Rounding Adjustment: +0.01 TSh"/>
    <m/>
    <m/>
    <s v="MATERIAL COST"/>
    <s v="Expenses"/>
    <s v="731006"/>
    <s v="731006 PACKING BAGS CONSUMED"/>
    <s v="CWIP-ROAD PHASE 07"/>
    <s v="PROJECT"/>
    <s v="MECHANICAL"/>
    <n v="105223.08"/>
    <n v="0"/>
    <n v="105223.08"/>
    <s v="TZS"/>
    <s v="[CPMBG005] BAG EMPTY FOR CEMENT PACKING GRADE 42.5R MATERIAL WOVEN POLYPROPYLENE CAPACITY 1MT COLOR BLUE"/>
    <m/>
    <n v="-5"/>
    <s v="NOS"/>
    <x v="0"/>
    <x v="0"/>
    <x v="17"/>
    <x v="6"/>
    <n v="41.26395294117647"/>
    <n v="0"/>
  </r>
  <r>
    <n v="1013"/>
    <d v="2025-09-10T00:00:00"/>
    <x v="110"/>
    <s v="STJ/2025/09/05339"/>
    <s v="Inventory Valuation"/>
    <s v="CM/MTI/2025/02863 - [CPMBG005] BAG EMPTY FOR CEMENT PACKING GRADE 42.5R MATERIAL WOVEN POLYPROPYLENE CAPACITY 1MT COLOR BLUE / MRQ/2025/04039"/>
    <s v="CM/MTI/2025/02863 - [CPMBG005] BAG EMPTY FOR CEMENT PACKING GRADE 42.5R MATERIAL WOVEN POLYPROPYLENE CAPACITY 1MT COLOR BLUE / MRQ/2025/04039"/>
    <m/>
    <m/>
    <s v="MATERIAL COST"/>
    <s v="Expenses"/>
    <s v="731006"/>
    <s v="731006 PACKING BAGS CONSUMED"/>
    <s v="CWIP-ROAD PHASE 07"/>
    <s v="PROJECT"/>
    <s v="MECHANICAL"/>
    <n v="84178.47"/>
    <n v="0"/>
    <n v="84178.47"/>
    <s v="TZS"/>
    <s v="[CPMBG005] BAG EMPTY FOR CEMENT PACKING GRADE 42.5R MATERIAL WOVEN POLYPROPYLENE CAPACITY 1MT COLOR BLUE"/>
    <m/>
    <n v="-4"/>
    <s v="NOS"/>
    <x v="0"/>
    <x v="0"/>
    <x v="17"/>
    <x v="6"/>
    <n v="33.011164705882351"/>
    <n v="0"/>
  </r>
  <r>
    <n v="1014"/>
    <d v="2025-09-11T00:00:00"/>
    <x v="111"/>
    <s v="STJ/2025/09/05782"/>
    <s v="Inventory Valuation"/>
    <s v="CM/MTI/2025/02876 - [CWCGC041] CUTTING WHEEL 7'' / MRQ/2025/04095"/>
    <s v="CM/MTI/2025/02876 - [CWCGC041] CUTTING WHEEL 7'' / MRQ/2025/0409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6104.95"/>
    <n v="0"/>
    <n v="16104.95"/>
    <s v="TZS"/>
    <s v="[CWCGC041] CUTTING WHEEL 7''"/>
    <m/>
    <n v="-5"/>
    <s v="NOS"/>
    <x v="0"/>
    <x v="0"/>
    <x v="9"/>
    <x v="4"/>
    <n v="6.315666666666667"/>
    <n v="0"/>
  </r>
  <r>
    <n v="1015"/>
    <d v="2025-09-11T00:00:00"/>
    <x v="111"/>
    <s v="STJ/2025/09/05783"/>
    <s v="Inventory Valuation"/>
    <s v="CM/MTI/2025/02876 - [CWCWR003] WELDING ELECTRODE MS 6013 SIZE 4 MM X 450 MM / MRQ/2025/04095"/>
    <s v="CM/MTI/2025/02876 - [CWCWR003] WELDING ELECTRODE MS 6013 SIZE 4 MM X 450 MM / MRQ/2025/04095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19"/>
    <n v="0"/>
    <n v="81950.19"/>
    <s v="TZS"/>
    <s v="[CWCWR003] WELDING ELECTRODE MS 6013 SIZE 4 MM X 450 MM"/>
    <m/>
    <n v="-20"/>
    <s v="KG"/>
    <x v="0"/>
    <x v="0"/>
    <x v="9"/>
    <x v="4"/>
    <n v="32.137329411764703"/>
    <n v="0"/>
  </r>
  <r>
    <n v="1016"/>
    <d v="2025-09-12T00:00:00"/>
    <x v="112"/>
    <s v="STJ/2025/09/06697"/>
    <s v="Inventory Valuation"/>
    <s v="CM/MTI/2025/02903 - [CACOP006] LAPTOP / MRQ/2025/04022"/>
    <s v="CM/MTI/2025/02903 - [CACOP006] LAPTOP / MRQ/2025/04022-PAVAN GANDHI(UNIT HEAD)"/>
    <m/>
    <m/>
    <s v="MATERIAL COST"/>
    <s v="Expenses"/>
    <s v="731003"/>
    <s v="731003 STORE SPARES &amp; CONSUMABLE-CA"/>
    <s v="Fixed Asset"/>
    <s v="ADMIN"/>
    <s v="HR"/>
    <n v="1850000"/>
    <n v="0"/>
    <n v="1850000"/>
    <s v="TZS"/>
    <s v="[CACOP006] LAPTOP"/>
    <m/>
    <n v="-1"/>
    <s v="NOS"/>
    <x v="0"/>
    <x v="2"/>
    <x v="6"/>
    <x v="1"/>
    <n v="725.49019607843138"/>
    <n v="0"/>
  </r>
  <r>
    <n v="1017"/>
    <d v="2025-09-12T00:00:00"/>
    <x v="112"/>
    <s v="STJ/2025/09/06320"/>
    <s v="Inventory Valuation"/>
    <s v="LOG/MTI/2025/01017 - [CGCAB021] PAPER SAND P100 GRIFT MEDIUM / MRQ/2025/04118"/>
    <s v="LOG/MTI/2025/01017 - [CGCAB021] PAPER SAND P100 GRIFT MEDIUM / MRQ/2025/04118"/>
    <m/>
    <m/>
    <s v="MATERIAL COST"/>
    <s v="Expenses"/>
    <s v="731002"/>
    <s v="731002 STORE SPARES &amp; CONSUMABLES - GENERAL"/>
    <s v="CWIP-FABRICATION OF INHOUSE TRAILOR"/>
    <s v="LOGISTIC DIVISION"/>
    <s v="LOGISTIC DIVISION"/>
    <n v="2288.14"/>
    <n v="0"/>
    <n v="2288.14"/>
    <s v="TZS"/>
    <s v="[CGCAB021] PAPER SAND P100 GRIFT MEDIUM"/>
    <m/>
    <n v="-2"/>
    <s v="NOS"/>
    <x v="0"/>
    <x v="0"/>
    <x v="12"/>
    <x v="1"/>
    <n v="0.89730980392156856"/>
    <n v="0"/>
  </r>
  <r>
    <n v="1018"/>
    <d v="2025-09-12T00:00:00"/>
    <x v="112"/>
    <s v="STJ/2025/09/06321"/>
    <s v="Inventory Valuation"/>
    <s v="LOG/MTI/2025/01017 - [CGCAB023] PAPER SAND P240 GRIFT FINE / MRQ/2025/04118"/>
    <s v="LOG/MTI/2025/01017 - [CGCAB023] PAPER SAND P240 GRIFT FINE / MRQ/2025/04118"/>
    <m/>
    <m/>
    <s v="MATERIAL COST"/>
    <s v="Expenses"/>
    <s v="731002"/>
    <s v="731002 STORE SPARES &amp; CONSUMABLES - GENERAL"/>
    <s v="CWIP-FABRICATION OF INHOUSE TRAILOR"/>
    <s v="LOGISTIC DIVISION"/>
    <s v="LOGISTIC DIVISION"/>
    <n v="1556.14"/>
    <n v="0"/>
    <n v="1556.14"/>
    <s v="TZS"/>
    <s v="[CGCAB023] PAPER SAND P240 GRIFT FINE"/>
    <m/>
    <n v="-1"/>
    <s v="NOS"/>
    <x v="0"/>
    <x v="0"/>
    <x v="12"/>
    <x v="1"/>
    <n v="0.61025098039215686"/>
    <n v="0"/>
  </r>
  <r>
    <n v="1019"/>
    <d v="2025-09-12T00:00:00"/>
    <x v="112"/>
    <s v="STJ/2025/09/06334"/>
    <s v="Inventory Valuation"/>
    <s v="LOG/MTI/2025/01018 - [CPAPT033] THINNER HR / MRQ/2025/04119"/>
    <s v="LOG/MTI/2025/01018 - [CPAPT033] THINNER HR / MRQ/2025/04119"/>
    <m/>
    <m/>
    <s v="MATERIAL COST"/>
    <s v="Expenses"/>
    <s v="731002"/>
    <s v="731002 STORE SPARES &amp; CONSUMABLES - GENERAL"/>
    <s v="CWIP-FABRICATION OF INHOUSE TRAILOR"/>
    <s v="LOGISTIC DIVISION"/>
    <s v="LOGISTIC DIVISION"/>
    <n v="25000"/>
    <n v="0"/>
    <n v="25000"/>
    <s v="TZS"/>
    <s v="[CPAPT033] THINNER HR"/>
    <m/>
    <n v="-5"/>
    <s v="LTR"/>
    <x v="0"/>
    <x v="0"/>
    <x v="12"/>
    <x v="1"/>
    <n v="9.8039215686274517"/>
    <n v="0"/>
  </r>
  <r>
    <n v="1020"/>
    <d v="2025-09-12T00:00:00"/>
    <x v="112"/>
    <s v="STJ/2025/09/06356"/>
    <s v="Inventory Valuation"/>
    <s v="LOG/MTI/2025/01023 - [CECGC014] TAPE INSULATION / MRQ/2025/04077"/>
    <s v="LOG/MTI/2025/01023 - [CECGC014] TAPE INSULATION / MRQ/2025/04077"/>
    <m/>
    <m/>
    <s v="MATERIAL COST"/>
    <s v="Expenses"/>
    <s v="731002"/>
    <s v="731002 STORE SPARES &amp; CONSUMABLES - GENERAL"/>
    <s v="CWIP-FABRICATION OF INHOUSE TRAILOR"/>
    <s v="LOGISTIC DIVISION"/>
    <s v="LOGISTIC DIVISION"/>
    <n v="785.6"/>
    <n v="0"/>
    <n v="785.6"/>
    <s v="TZS"/>
    <s v="[CECGC014] TAPE INSULATION"/>
    <m/>
    <n v="-1"/>
    <s v="NOS"/>
    <x v="0"/>
    <x v="0"/>
    <x v="12"/>
    <x v="1"/>
    <n v="0.30807843137254903"/>
    <n v="0"/>
  </r>
  <r>
    <n v="1021"/>
    <d v="2025-09-12T00:00:00"/>
    <x v="112"/>
    <s v="STJ/2025/09/06359"/>
    <s v="Inventory Valuation"/>
    <s v="LOG/MTI/2025/01023 - [CPAPT033] THINNER HR / MRQ/2025/04077"/>
    <s v="LOG/MTI/2025/01023 - [CPAPT033] THINNER HR / MRQ/2025/04077"/>
    <m/>
    <m/>
    <s v="MATERIAL COST"/>
    <s v="Expenses"/>
    <s v="731002"/>
    <s v="731002 STORE SPARES &amp; CONSUMABLES - GENERAL"/>
    <s v="CWIP-FABRICATION OF INHOUSE TRAILOR"/>
    <s v="LOGISTIC DIVISION"/>
    <s v="LOGISTIC DIVISION"/>
    <n v="50000"/>
    <n v="0"/>
    <n v="50000"/>
    <s v="TZS"/>
    <s v="[CPAPT033] THINNER HR"/>
    <m/>
    <n v="-10"/>
    <s v="LTR"/>
    <x v="0"/>
    <x v="0"/>
    <x v="12"/>
    <x v="1"/>
    <n v="19.607843137254903"/>
    <n v="0"/>
  </r>
  <r>
    <n v="1022"/>
    <d v="2025-09-12T00:00:00"/>
    <x v="112"/>
    <s v="STJ/2025/09/06366"/>
    <s v="Inventory Valuation"/>
    <s v="LOG/MTI/2025/01024 - [CECGC014] TAPE INSULATION / MRQ/2025/04079"/>
    <s v="LOG/MTI/2025/01024 - [CECGC014] TAPE INSULATION / MRQ/2025/04079"/>
    <m/>
    <m/>
    <s v="MATERIAL COST"/>
    <s v="Expenses"/>
    <s v="731002"/>
    <s v="731002 STORE SPARES &amp; CONSUMABLES - GENERAL"/>
    <s v="CWIP-FABRICATION OF INHOUSE TRAILOR"/>
    <s v="LOGISTIC DIVISION"/>
    <s v="LOGISTIC DIVISION"/>
    <n v="785.6"/>
    <n v="0"/>
    <n v="785.6"/>
    <s v="TZS"/>
    <s v="[CECGC014] TAPE INSULATION"/>
    <m/>
    <n v="-1"/>
    <s v="NOS"/>
    <x v="0"/>
    <x v="0"/>
    <x v="12"/>
    <x v="1"/>
    <n v="0.30807843137254903"/>
    <n v="0"/>
  </r>
  <r>
    <n v="1023"/>
    <d v="2025-09-12T00:00:00"/>
    <x v="112"/>
    <s v="STJ/2025/09/06600"/>
    <s v="Inventory Valuation"/>
    <s v="LOG/MTI/2025/01033 - [CGCAB021] PAPER SAND P100 GRIFT MEDIUM / MRQ/2025/04051_x000a_Rounding Adjustment: +0.01 TSh"/>
    <s v="LOG/MTI/2025/01033 - [CGCAB021] PAPER SAND P100 GRIFT MEDIUM / MRQ/2025/04051_x000a_Rounding Adjustment: +0.01 TSh"/>
    <m/>
    <m/>
    <s v="MATERIAL COST"/>
    <s v="Expenses"/>
    <s v="731002"/>
    <s v="731002 STORE SPARES &amp; CONSUMABLES - GENERAL"/>
    <s v="CWIP-FABRICATION OF INHOUSE TRAILOR"/>
    <s v="LOGISTIC DIVISION"/>
    <s v="LOGISTIC DIVISION"/>
    <n v="3432.19"/>
    <n v="0"/>
    <n v="3432.19"/>
    <s v="TZS"/>
    <s v="[CGCAB021] PAPER SAND P100 GRIFT MEDIUM"/>
    <m/>
    <n v="-3"/>
    <s v="NOS"/>
    <x v="0"/>
    <x v="0"/>
    <x v="12"/>
    <x v="1"/>
    <n v="1.345956862745098"/>
    <n v="0"/>
  </r>
  <r>
    <n v="1024"/>
    <d v="2025-09-12T00:00:00"/>
    <x v="112"/>
    <s v="STJ/2025/09/06603"/>
    <s v="Inventory Valuation"/>
    <s v="LOG/MTI/2025/01033 - [CGCAB026] PAPER SAND P40 GRIFT ROUGH / MRQ/2025/04051"/>
    <s v="LOG/MTI/2025/01033 - [CGCAB026] PAPER SAND P40 GRIFT ROUGH / MRQ/2025/04051"/>
    <m/>
    <m/>
    <s v="MATERIAL COST"/>
    <s v="Expenses"/>
    <s v="731002"/>
    <s v="731002 STORE SPARES &amp; CONSUMABLES - GENERAL"/>
    <s v="CWIP-FABRICATION OF INHOUSE TRAILOR"/>
    <s v="LOGISTIC DIVISION"/>
    <s v="LOGISTIC DIVISION"/>
    <n v="3050.84"/>
    <n v="0"/>
    <n v="3050.84"/>
    <s v="TZS"/>
    <s v="[CGCAB026] PAPER SAND P40 GRIFT ROUGH"/>
    <m/>
    <n v="-2"/>
    <s v="MTR"/>
    <x v="0"/>
    <x v="0"/>
    <x v="12"/>
    <x v="1"/>
    <n v="1.1964078431372549"/>
    <n v="0"/>
  </r>
  <r>
    <n v="1025"/>
    <d v="2025-09-13T08:54:52"/>
    <x v="113"/>
    <s v="PCVHO/2025/09/0123"/>
    <s v="PCV (PETTY CASH HO)"/>
    <s v="DIESEL EXPENSES "/>
    <s v="Being settlement against imprest taken by Pooja for Tarawanda visit - Pooja/ Sajivkumar"/>
    <m/>
    <m/>
    <s v="CAPITAL WORK IN PROGRESS"/>
    <s v="Fixed Assets"/>
    <s v="371056"/>
    <s v="371056 MINERAL EXPLORATION &amp; DEVELOPMENT-TARAWANDA"/>
    <s v="Corporate"/>
    <s v="HO"/>
    <s v="ADMIN"/>
    <n v="263000"/>
    <n v="0"/>
    <n v="263000"/>
    <s v="TZS"/>
    <m/>
    <m/>
    <n v="1"/>
    <m/>
    <x v="0"/>
    <x v="0"/>
    <x v="1"/>
    <x v="1"/>
    <n v="103.13725490196079"/>
    <n v="0"/>
  </r>
  <r>
    <n v="1026"/>
    <d v="2025-09-15T12:41:15"/>
    <x v="114"/>
    <s v="SERBL/2025/09/0093"/>
    <s v="Service Bills"/>
    <s v="CAR HIRING CHARGES "/>
    <s v="KCR226/2025"/>
    <s v="CMLT2103"/>
    <s v="Kwik Carriers Limited"/>
    <s v="CAPITAL WORK IN PROGRESS"/>
    <s v="Fixed Assets"/>
    <s v="371056"/>
    <s v="371056 MINERAL EXPLORATION &amp; DEVELOPMENT-TARAWANDA"/>
    <s v="Corporate"/>
    <s v="HO"/>
    <s v="ADMIN"/>
    <n v="1260000"/>
    <n v="0"/>
    <n v="1260000"/>
    <s v="TZS"/>
    <m/>
    <m/>
    <n v="1"/>
    <m/>
    <x v="0"/>
    <x v="0"/>
    <x v="1"/>
    <x v="1"/>
    <n v="494.11764705882354"/>
    <n v="0"/>
  </r>
  <r>
    <n v="1027"/>
    <d v="2025-09-15T12:36:43"/>
    <x v="114"/>
    <s v="SERBL/2025/09/0092"/>
    <s v="Service Bills"/>
    <s v="CAR HIRING CHARGES "/>
    <s v="KCR227/2025"/>
    <s v="CMLT2103"/>
    <s v="Kwik Carriers Limited"/>
    <s v="CAPITAL WORK IN PROGRESS"/>
    <s v="Fixed Assets"/>
    <s v="371056"/>
    <s v="371056 MINERAL EXPLORATION &amp; DEVELOPMENT-TARAWANDA"/>
    <s v="Corporate"/>
    <s v="HO"/>
    <s v="ADMIN"/>
    <n v="180000"/>
    <n v="0"/>
    <n v="180000"/>
    <s v="TZS"/>
    <m/>
    <m/>
    <n v="1"/>
    <m/>
    <x v="0"/>
    <x v="0"/>
    <x v="1"/>
    <x v="1"/>
    <n v="70.588235294117652"/>
    <n v="0"/>
  </r>
  <r>
    <n v="1028"/>
    <d v="2025-09-15T11:15:05"/>
    <x v="114"/>
    <s v="SERBL/2025/09/0090"/>
    <s v="Service Bills"/>
    <s v="POSTAGE CHARGES "/>
    <s v="DARIR00055868 ( V.CODE- 04C2A572246 )-B/L NO.8334483581"/>
    <s v="CMLU1172"/>
    <s v="DHL Tanzania Limited"/>
    <s v="CAPITAL WORK IN PROGRESS"/>
    <s v="Fixed Assets"/>
    <s v="371030"/>
    <s v="371030 CWIP-PRE OPERATIVE EXPENSE"/>
    <s v="CWIP-PRE OPERATIVE EXPENSE"/>
    <s v="PROJECT"/>
    <s v="PROJECT"/>
    <n v="3154134"/>
    <n v="0"/>
    <n v="3154134"/>
    <s v="TZS"/>
    <m/>
    <m/>
    <n v="1"/>
    <m/>
    <x v="0"/>
    <x v="0"/>
    <x v="3"/>
    <x v="0"/>
    <n v="1236.9152941176471"/>
    <n v="0"/>
  </r>
  <r>
    <n v="1029"/>
    <d v="2025-09-15T11:08:04"/>
    <x v="114"/>
    <s v="SERBL/2025/09/0089"/>
    <s v="Service Bills"/>
    <s v="POSTAGE CHARGES "/>
    <s v="D002213844 ( V.CODE- 48D5AE84660 )-B/L NO.8334483581"/>
    <s v="CMLU1172"/>
    <s v="DHL Tanzania Limited"/>
    <s v="CAPITAL WORK IN PROGRESS"/>
    <s v="Fixed Assets"/>
    <s v="371030"/>
    <s v="371030 CWIP-PRE OPERATIVE EXPENSE"/>
    <s v="CWIP-PRE OPERATIVE EXPENSE"/>
    <s v="PROJECT"/>
    <s v="PROJECT"/>
    <n v="1242111"/>
    <n v="0"/>
    <n v="1242111"/>
    <s v="TZS"/>
    <m/>
    <m/>
    <n v="1"/>
    <m/>
    <x v="0"/>
    <x v="0"/>
    <x v="3"/>
    <x v="0"/>
    <n v="487.10235294117649"/>
    <n v="0"/>
  </r>
  <r>
    <n v="1030"/>
    <d v="2025-09-15T11:08:04"/>
    <x v="114"/>
    <s v="SERBL/2025/09/0089"/>
    <s v="Service Bills"/>
    <s v="POSTAGE CHARGES "/>
    <s v="D002213844 ( V.CODE- 48D5AE84660 )-B/L NO.8334483581"/>
    <s v="CMLU1172"/>
    <s v="DHL Tanzania Limited"/>
    <s v="CAPITAL WORK IN PROGRESS"/>
    <s v="Fixed Assets"/>
    <s v="371030"/>
    <s v="371030 CWIP-PRE OPERATIVE EXPENSE"/>
    <s v="CWIP-PRE OPERATIVE EXPENSE"/>
    <s v="PROJECT"/>
    <s v="PROJECT"/>
    <n v="54842.22"/>
    <n v="0"/>
    <n v="54842.22"/>
    <s v="TZS"/>
    <m/>
    <m/>
    <n v="1"/>
    <m/>
    <x v="0"/>
    <x v="0"/>
    <x v="3"/>
    <x v="0"/>
    <n v="21.506752941176472"/>
    <n v="0"/>
  </r>
  <r>
    <n v="1031"/>
    <d v="2025-09-15T10:43:16"/>
    <x v="114"/>
    <s v="SERBL/2025/09/0087"/>
    <s v="Service Bills"/>
    <s v="AIR TICKET CHARGES "/>
    <s v="RST/25000054"/>
    <s v="CMLT2222"/>
    <s v="Routescape Travels Tanzania Limited"/>
    <s v="CAPITAL WORK IN PROGRESS"/>
    <s v="Fixed Assets"/>
    <s v="371030"/>
    <s v="371030 CWIP-PRE OPERATIVE EXPENSE"/>
    <s v="CWIP-PRE OPERATIVE EXPENSE"/>
    <s v="PROJECT"/>
    <s v="PROJECT"/>
    <n v="1391000"/>
    <n v="0"/>
    <n v="1391000"/>
    <s v="TZS"/>
    <m/>
    <m/>
    <n v="1"/>
    <m/>
    <x v="0"/>
    <x v="0"/>
    <x v="3"/>
    <x v="0"/>
    <n v="545.49019607843138"/>
    <n v="0"/>
  </r>
  <r>
    <n v="1032"/>
    <d v="2025-09-15T13:38:39"/>
    <x v="114"/>
    <s v="PCVHO/2025/09/0137"/>
    <s v="PCV (PETTY CASH HO)"/>
    <s v="FACILITATION FEE "/>
    <s v="Being payment for facilitation fee for special pass of Mr Rajeshkumar Baria  Consultant - Shafii"/>
    <m/>
    <m/>
    <s v="CAPITAL WORK IN PROGRESS"/>
    <s v="Fixed Assets"/>
    <s v="371030"/>
    <s v="371030 CWIP-PRE OPERATIVE EXPENSE"/>
    <s v="CWIP-PRE OPERATIVE EXPENSE"/>
    <s v="PROJECT"/>
    <s v="PROJECT"/>
    <n v="150000"/>
    <n v="0"/>
    <n v="150000"/>
    <s v="TZS"/>
    <m/>
    <m/>
    <n v="1"/>
    <m/>
    <x v="0"/>
    <x v="0"/>
    <x v="3"/>
    <x v="0"/>
    <n v="58.823529411764703"/>
    <n v="0"/>
  </r>
  <r>
    <n v="1033"/>
    <d v="2025-09-15T13:36:56"/>
    <x v="114"/>
    <s v="PCVHO/2025/09/0136"/>
    <s v="PCV (PETTY CASH HO)"/>
    <s v="FACILITATION FEE "/>
    <s v="Being payment for facilitation fee for special pass of Mr Bakabhai Rathva Consultant - Shafii"/>
    <m/>
    <m/>
    <s v="CAPITAL WORK IN PROGRESS"/>
    <s v="Fixed Assets"/>
    <s v="371030"/>
    <s v="371030 CWIP-PRE OPERATIVE EXPENSE"/>
    <s v="CWIP-PRE OPERATIVE EXPENSE"/>
    <s v="PROJECT"/>
    <s v="PROJECT"/>
    <n v="150000"/>
    <n v="0"/>
    <n v="150000"/>
    <s v="TZS"/>
    <m/>
    <m/>
    <n v="1"/>
    <m/>
    <x v="0"/>
    <x v="0"/>
    <x v="3"/>
    <x v="0"/>
    <n v="58.823529411764703"/>
    <n v="0"/>
  </r>
  <r>
    <n v="1034"/>
    <d v="2025-09-15T13:34:55"/>
    <x v="114"/>
    <s v="PCVHO/2025/09/0135"/>
    <s v="PCV (PETTY CASH HO)"/>
    <s v="FACILITATION FEE "/>
    <s v="Being payment for facilitation fee for special pass of Mr Manojkumar Baria Consultant - Shafii"/>
    <m/>
    <m/>
    <s v="CAPITAL WORK IN PROGRESS"/>
    <s v="Fixed Assets"/>
    <s v="371030"/>
    <s v="371030 CWIP-PRE OPERATIVE EXPENSE"/>
    <s v="CWIP-PRE OPERATIVE EXPENSE"/>
    <s v="PROJECT"/>
    <s v="PROJECT"/>
    <n v="150000"/>
    <n v="0"/>
    <n v="150000"/>
    <s v="TZS"/>
    <m/>
    <m/>
    <n v="1"/>
    <m/>
    <x v="0"/>
    <x v="0"/>
    <x v="3"/>
    <x v="0"/>
    <n v="58.823529411764703"/>
    <n v="0"/>
  </r>
  <r>
    <n v="1035"/>
    <d v="2025-09-15T13:32:23"/>
    <x v="114"/>
    <s v="PCVHO/2025/09/0134"/>
    <s v="PCV (PETTY CASH HO)"/>
    <s v="facilitation fee for spacila pass "/>
    <s v="Being payment for facilitation fee for special pass of Mr Vinodbhai Rathava ( Consultant ) - Shafii"/>
    <m/>
    <m/>
    <s v="CAPITAL WORK IN PROGRESS"/>
    <s v="Fixed Assets"/>
    <s v="371030"/>
    <s v="371030 CWIP-PRE OPERATIVE EXPENSE"/>
    <s v="CWIP-PRE OPERATIVE EXPENSE"/>
    <s v="PROJECT"/>
    <s v="PROJECT"/>
    <n v="150000"/>
    <n v="0"/>
    <n v="150000"/>
    <s v="TZS"/>
    <m/>
    <m/>
    <n v="1"/>
    <m/>
    <x v="0"/>
    <x v="0"/>
    <x v="3"/>
    <x v="0"/>
    <n v="58.823529411764703"/>
    <n v="0"/>
  </r>
  <r>
    <n v="1036"/>
    <d v="2025-09-15T00:00:00"/>
    <x v="114"/>
    <s v="STJ/2025/09/07354"/>
    <s v="Inventory Valuation"/>
    <s v="CM/MTI/2025/02911 - [CIGGS001] GAS OXYGEN FULL CYLINDER, O2 / MRQ/2025/04126"/>
    <s v="CM/MTI/2025/02911 - [CIGGS001] GAS OXYGEN FULL CYLINDER, O2 / MRQ/2025/0412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0000"/>
    <n v="0"/>
    <n v="120000"/>
    <s v="TZS"/>
    <s v="[CIGGS001] GAS OXYGEN FULL CYLINDER, O2"/>
    <m/>
    <n v="-8"/>
    <s v="NOS"/>
    <x v="0"/>
    <x v="0"/>
    <x v="9"/>
    <x v="4"/>
    <n v="47.058823529411768"/>
    <n v="0"/>
  </r>
  <r>
    <n v="1037"/>
    <d v="2025-09-15T00:00:00"/>
    <x v="114"/>
    <s v="STJ/2025/09/07706"/>
    <s v="Inventory Valuation"/>
    <s v="LOG/MTI/2025/01054 - [CGCAB023] PAPER SAND P240 GRIFT FINE / MRQ/2025/04161"/>
    <s v="LOG/MTI/2025/01054 - [CGCAB023] PAPER SAND P240 GRIFT FINE / MRQ/2025/04161"/>
    <m/>
    <m/>
    <s v="MATERIAL COST"/>
    <s v="Expenses"/>
    <s v="731002"/>
    <s v="731002 STORE SPARES &amp; CONSUMABLES - GENERAL"/>
    <s v="CWIP-FABRICATION OF INHOUSE TRAILOR"/>
    <s v="LOGISTIC DIVISION"/>
    <s v="LOGISTIC DIVISION"/>
    <n v="3112.27"/>
    <n v="0"/>
    <n v="3112.27"/>
    <s v="TZS"/>
    <s v="[CGCAB023] PAPER SAND P240 GRIFT FINE"/>
    <m/>
    <n v="-2"/>
    <s v="NOS"/>
    <x v="0"/>
    <x v="0"/>
    <x v="12"/>
    <x v="1"/>
    <n v="1.2204980392156863"/>
    <n v="0"/>
  </r>
  <r>
    <n v="1038"/>
    <d v="2025-09-15T00:00:00"/>
    <x v="114"/>
    <s v="STJ/2025/09/07722"/>
    <s v="Inventory Valuation"/>
    <s v="LOG/MTI/2025/01055 - [LGS0079] CUTTING WHEEL - 9'' / MRQ/2025/04163"/>
    <s v="LOG/MTI/2025/01055 - [LGS0079] CUTTING WHEEL - 9'' / MRQ/2025/04163"/>
    <m/>
    <m/>
    <s v="MATERIAL COST"/>
    <s v="Expenses"/>
    <s v="731002"/>
    <s v="731002 STORE SPARES &amp; CONSUMABLES - GENERAL"/>
    <s v="CWIP-FABRICATION OF INHOUSE TRAILOR"/>
    <s v="LOGISTIC DIVISION"/>
    <s v="LOGISTIC DIVISION"/>
    <n v="12881.36"/>
    <n v="0"/>
    <n v="12881.36"/>
    <s v="TZS"/>
    <s v="[LGS0079] CUTTING WHEEL - 9''"/>
    <m/>
    <n v="-4"/>
    <s v="NOS"/>
    <x v="0"/>
    <x v="0"/>
    <x v="12"/>
    <x v="1"/>
    <n v="5.0515137254901967"/>
    <n v="0"/>
  </r>
  <r>
    <n v="1039"/>
    <d v="2025-09-15T00:00:00"/>
    <x v="114"/>
    <s v="STJ/2025/09/07656"/>
    <s v="Inventory Valuation"/>
    <s v="CM/MTI/2025/02921 - [CCLGC038] TIMBER 2 INCH X 4 INCH UNTREATED / MRQ/2025/04178"/>
    <s v="CM/MTI/2025/02921 - [CCLGC038] TIMBER 2 INCH X 4 INCH UNTREATED / MRQ/2025/04178"/>
    <m/>
    <m/>
    <s v="MATERIAL COST"/>
    <s v="Expenses"/>
    <s v="731002"/>
    <s v="731002 STORE SPARES &amp; CONSUMABLES - GENERAL"/>
    <s v="CWIP-QUARRY RAW MATERIAL SHED EXTENSION"/>
    <s v="QUARRY"/>
    <s v="MECHANICAL"/>
    <n v="560000"/>
    <n v="0"/>
    <n v="560000"/>
    <s v="TZS"/>
    <s v="[CCLGC038] TIMBER 2 INCH X 4 INCH UNTREATED"/>
    <m/>
    <n v="-80"/>
    <s v="NOS"/>
    <x v="0"/>
    <x v="0"/>
    <x v="18"/>
    <x v="7"/>
    <n v="219.60784313725489"/>
    <n v="0"/>
  </r>
  <r>
    <n v="1040"/>
    <d v="2025-09-15T00:00:00"/>
    <x v="114"/>
    <s v="STJ/2025/09/07657"/>
    <s v="Inventory Valuation"/>
    <s v="CM/MTI/2025/02921 - [CCLGC052] PLYWOOD 8FEET X 4FEET X 18 MM THICK  / MRQ/2025/04178"/>
    <s v="CM/MTI/2025/02921 - [CCLGC052] PLYWOOD 8FEET X 4FEET X 18 MM THICK  / MRQ/2025/04178"/>
    <m/>
    <m/>
    <s v="MATERIAL COST"/>
    <s v="Expenses"/>
    <s v="731002"/>
    <s v="731002 STORE SPARES &amp; CONSUMABLES - GENERAL"/>
    <s v="CWIP-QUARRY RAW MATERIAL SHED EXTENSION"/>
    <s v="QUARRY"/>
    <s v="MECHANICAL"/>
    <n v="703389.8"/>
    <n v="0"/>
    <n v="703389.8"/>
    <s v="TZS"/>
    <s v="[CCLGC052] PLYWOOD 8FEET X 4FEET X 18 MM THICK "/>
    <m/>
    <n v="-20"/>
    <s v="NOS"/>
    <x v="0"/>
    <x v="0"/>
    <x v="18"/>
    <x v="7"/>
    <n v="275.83913725490197"/>
    <n v="0"/>
  </r>
  <r>
    <n v="1041"/>
    <d v="2025-09-16T09:21:59"/>
    <x v="115"/>
    <s v="SERBL/2025/09/0100"/>
    <s v="Service Bills"/>
    <s v="LPORD/2025/00941: SUPPLY OF UNSKILLED HELPER FOR PREHEATER PLATFORM JOB "/>
    <s v="TAZ-0023"/>
    <s v="CMLT2186"/>
    <s v="Taz Engineering Company Limited"/>
    <s v="CAPITAL WORK IN PROGRESS"/>
    <s v="Fixed Assets"/>
    <s v="371021"/>
    <s v="371021 CWIP-PYRO UPGRADATION"/>
    <s v="CWIP-Pyro Upgradation"/>
    <s v="UTILITY"/>
    <s v="MECHANICAL"/>
    <n v="609000"/>
    <n v="0"/>
    <n v="609000"/>
    <s v="TZS"/>
    <s v="[SER037] Job Contract-15"/>
    <s v="Misc. Income"/>
    <n v="58"/>
    <s v="MANDAY"/>
    <x v="0"/>
    <x v="0"/>
    <x v="0"/>
    <x v="0"/>
    <n v="238.8235294117647"/>
    <n v="0"/>
  </r>
  <r>
    <n v="1042"/>
    <d v="2025-09-16T09:21:59"/>
    <x v="115"/>
    <s v="SERBL/2025/09/0100"/>
    <s v="Service Bills"/>
    <s v="LPORD/2025/00941: SUPPLY OF SKILLED WELDER FOR PREHEATER PLATFORM JOB "/>
    <s v="TAZ-0023"/>
    <s v="CMLT2186"/>
    <s v="Taz Engineering Company Limited"/>
    <s v="CAPITAL WORK IN PROGRESS"/>
    <s v="Fixed Assets"/>
    <s v="371021"/>
    <s v="371021 CWIP-PYRO UPGRADATION"/>
    <s v="CWIP-Pyro Upgradation"/>
    <s v="UTILITY"/>
    <s v="MECHANICAL"/>
    <n v="1740000"/>
    <n v="0"/>
    <n v="1740000"/>
    <s v="TZS"/>
    <s v="[SER037] Job Contract-15"/>
    <s v="Misc. Income"/>
    <n v="29"/>
    <s v="MANDAY"/>
    <x v="0"/>
    <x v="0"/>
    <x v="0"/>
    <x v="0"/>
    <n v="682.35294117647061"/>
    <n v="0"/>
  </r>
  <r>
    <n v="1043"/>
    <d v="2025-09-16T09:21:59"/>
    <x v="115"/>
    <s v="SERBL/2025/09/0100"/>
    <s v="Service Bills"/>
    <s v="LPORD/2025/00941: SUPPLY OF SKILLED FITTER FOR PREHEATER PLATFORM JOB "/>
    <s v="TAZ-0023"/>
    <s v="CMLT2186"/>
    <s v="Taz Engineering Company Limited"/>
    <s v="CAPITAL WORK IN PROGRESS"/>
    <s v="Fixed Assets"/>
    <s v="371021"/>
    <s v="371021 CWIP-PYRO UPGRADATION"/>
    <s v="CWIP-Pyro Upgradation"/>
    <s v="UTILITY"/>
    <s v="MECHANICAL"/>
    <n v="1740000"/>
    <n v="0"/>
    <n v="1740000"/>
    <s v="TZS"/>
    <s v="[SER037] Job Contract-15"/>
    <s v="Misc. Income"/>
    <n v="29"/>
    <s v="MANDAY"/>
    <x v="0"/>
    <x v="0"/>
    <x v="0"/>
    <x v="0"/>
    <n v="682.35294117647061"/>
    <n v="0"/>
  </r>
  <r>
    <n v="1044"/>
    <d v="2025-09-16T08:26:41"/>
    <x v="115"/>
    <s v="SERBL/2025/09/0096"/>
    <s v="Service Bills"/>
    <s v="LPORD/2025/00940: SUPPLY OF WELDER -1 FOR RAWMILL 2 PLATFORM JOB "/>
    <s v="TAZ-0021"/>
    <s v="CMLT2186"/>
    <s v="Taz Engineering Company Limited"/>
    <s v="CAPITAL WORK IN PROGRESS"/>
    <s v="Fixed Assets"/>
    <s v="371038"/>
    <s v="371038 CWIP-CONSTRUCTION OF NEW RAW MILL FEEDING AND UPGRADATION"/>
    <s v="CWIP-CONSTRUCTION OF NEW RAW MILL FEEDING AND UPGRADATION"/>
    <s v="RAW MILL-2"/>
    <s v="MECHANICAL"/>
    <n v="1680000"/>
    <n v="0"/>
    <n v="1680000"/>
    <s v="TZS"/>
    <s v="[SER037] Job Contract-15"/>
    <s v="Misc. Income"/>
    <n v="28"/>
    <s v="MANDAY"/>
    <x v="0"/>
    <x v="0"/>
    <x v="9"/>
    <x v="4"/>
    <n v="658.82352941176475"/>
    <n v="0"/>
  </r>
  <r>
    <n v="1045"/>
    <d v="2025-09-16T08:26:41"/>
    <x v="115"/>
    <s v="SERBL/2025/09/0096"/>
    <s v="Service Bills"/>
    <s v="LPORD/2025/00940: SUPPLY OF WELDER -2 FOR RAWMILL 2 PLATFROM JOB "/>
    <s v="TAZ-0021"/>
    <s v="CMLT2186"/>
    <s v="Taz Engineering Company Limited"/>
    <s v="CAPITAL WORK IN PROGRESS"/>
    <s v="Fixed Assets"/>
    <s v="371038"/>
    <s v="371038 CWIP-CONSTRUCTION OF NEW RAW MILL FEEDING AND UPGRADATION"/>
    <s v="CWIP-CONSTRUCTION OF NEW RAW MILL FEEDING AND UPGRADATION"/>
    <s v="RAW MILL-2"/>
    <s v="MECHANICAL"/>
    <n v="1800000"/>
    <n v="0"/>
    <n v="1800000"/>
    <s v="TZS"/>
    <s v="[SER037] Job Contract-15"/>
    <s v="Misc. Income"/>
    <n v="30"/>
    <s v="MANDAY"/>
    <x v="0"/>
    <x v="0"/>
    <x v="9"/>
    <x v="4"/>
    <n v="705.88235294117646"/>
    <n v="0"/>
  </r>
  <r>
    <n v="1046"/>
    <d v="2025-09-16T00:00:00"/>
    <x v="115"/>
    <s v="STJ/2025/09/08632"/>
    <s v="Inventory Valuation"/>
    <s v="CM/MTI/2025/02951 - [CACOP009] SQL SERVER 2022 STANDARD / MRQ/2025/04229"/>
    <s v="CM/MTI/2025/02951 - [CACOP009] SQL SERVER 2022 STANDARD / MRQ/2025/04229"/>
    <m/>
    <m/>
    <s v="MATERIAL COST"/>
    <s v="Expenses"/>
    <s v="731003"/>
    <s v="731003 STORE SPARES &amp; CONSUMABLE-CA"/>
    <s v="Inventory Spares Consumable"/>
    <s v="UTILITY"/>
    <s v="INSTRUMENTATION"/>
    <n v="2890000"/>
    <n v="0"/>
    <n v="2890000"/>
    <s v="TZS"/>
    <s v="[CACOP009] SQL SERVER 2022 STANDARD"/>
    <m/>
    <n v="-1"/>
    <s v="NOS"/>
    <x v="0"/>
    <x v="2"/>
    <x v="6"/>
    <x v="1"/>
    <n v="1133.3333333333333"/>
    <n v="0"/>
  </r>
  <r>
    <n v="1047"/>
    <d v="2025-09-16T00:00:00"/>
    <x v="115"/>
    <s v="STJ/2025/09/08327"/>
    <s v="Inventory Valuation"/>
    <s v="CM/MTI/2025/02942 - [CIGGS001] GAS OXYGEN FULL CYLINDER, O2 / MRQ/2025/04216"/>
    <s v="CM/MTI/2025/02942 - [CIGGS001] GAS OXYGEN FULL CYLINDER, O2 / MRQ/2025/0421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20000"/>
    <n v="0"/>
    <n v="120000"/>
    <s v="TZS"/>
    <s v="[CIGGS001] GAS OXYGEN FULL CYLINDER, O2"/>
    <m/>
    <n v="-8"/>
    <s v="NOS"/>
    <x v="0"/>
    <x v="0"/>
    <x v="9"/>
    <x v="4"/>
    <n v="47.058823529411768"/>
    <n v="0"/>
  </r>
  <r>
    <n v="1048"/>
    <d v="2025-09-16T00:00:00"/>
    <x v="115"/>
    <s v="STJ/2025/09/08328"/>
    <s v="Inventory Valuation"/>
    <s v="CM/MTI/2025/02942 - [CIGGS005] GAS LIQUEFIED PETROLEUM FULL CYLINDER, LPG CAPACITY 15KG / MRQ/2025/04216"/>
    <s v="CM/MTI/2025/02942 - [CIGGS005] GAS LIQUEFIED PETROLEUM FULL CYLINDER, LPG CAPACITY 15KG / MRQ/2025/0421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6000"/>
    <n v="0"/>
    <n v="96000"/>
    <s v="TZS"/>
    <s v="[CIGGS005] GAS LIQUEFIED PETROLEUM FULL CYLINDER, LPG CAPACITY 15KG"/>
    <m/>
    <n v="-2"/>
    <s v="NOS"/>
    <x v="0"/>
    <x v="0"/>
    <x v="9"/>
    <x v="4"/>
    <n v="37.647058823529413"/>
    <n v="0"/>
  </r>
  <r>
    <n v="1049"/>
    <d v="2025-09-16T00:00:00"/>
    <x v="115"/>
    <s v="STJ/2025/09/08329"/>
    <s v="Inventory Valuation"/>
    <s v="CM/MTI/2025/02942 - [CWCWR003] WELDING ELECTRODE MS 6013 SIZE 4 MM X 450 MM / MRQ/2025/04216"/>
    <s v="CM/MTI/2025/02942 - [CWCWR003] WELDING ELECTRODE MS 6013 SIZE 4 MM X 450 MM / MRQ/2025/04216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19"/>
    <n v="0"/>
    <n v="81950.19"/>
    <s v="TZS"/>
    <s v="[CWCWR003] WELDING ELECTRODE MS 6013 SIZE 4 MM X 450 MM"/>
    <m/>
    <n v="-20"/>
    <s v="KG"/>
    <x v="0"/>
    <x v="0"/>
    <x v="9"/>
    <x v="4"/>
    <n v="32.137329411764703"/>
    <n v="0"/>
  </r>
  <r>
    <n v="1050"/>
    <d v="2025-09-17T00:00:00"/>
    <x v="116"/>
    <s v="STJ/2025/09/09168"/>
    <s v="Inventory Valuation"/>
    <s v="LOG/MTI/2025/01065 - [CPAPT033] THINNER HR / MRQ/2025/04263"/>
    <s v="LOG/MTI/2025/01065 - [CPAPT033] THINNER HR / MRQ/2025/04263"/>
    <m/>
    <m/>
    <s v="MATERIAL COST"/>
    <s v="Expenses"/>
    <s v="731002"/>
    <s v="731002 STORE SPARES &amp; CONSUMABLES - GENERAL"/>
    <s v="CWIP-FABRICATION OF INHOUSE TRAILOR"/>
    <s v="LOGISTIC DIVISION"/>
    <s v="LOGISTIC DIVISION"/>
    <n v="25000"/>
    <n v="0"/>
    <n v="25000"/>
    <s v="TZS"/>
    <s v="[CPAPT033] THINNER HR"/>
    <m/>
    <n v="-5"/>
    <s v="LTR"/>
    <x v="0"/>
    <x v="0"/>
    <x v="12"/>
    <x v="1"/>
    <n v="9.8039215686274517"/>
    <n v="0"/>
  </r>
  <r>
    <n v="1051"/>
    <d v="2025-09-17T00:00:00"/>
    <x v="116"/>
    <s v="STJ/2025/09/09230"/>
    <s v="Inventory Valuation"/>
    <s v="CM/MTI/2025/02967 - [CCLGC004] SAND / MRQ/2025/04237"/>
    <s v="CM/MTI/2025/02967 - [CCLGC004] SAND / MRQ/2025/04237"/>
    <m/>
    <m/>
    <s v="MATERIAL COST"/>
    <s v="Expenses"/>
    <s v="731002"/>
    <s v="731002 STORE SPARES &amp; CONSUMABLES - GENERAL"/>
    <s v="CWIP-QUARRY RAW MATERIAL SHED EXTENSION"/>
    <s v="QUARRY"/>
    <s v="MECHANICAL"/>
    <n v="12753000"/>
    <n v="0"/>
    <n v="12753000"/>
    <s v="TZS"/>
    <s v="[CCLGC004] SAND"/>
    <m/>
    <n v="-255060"/>
    <s v="KG"/>
    <x v="0"/>
    <x v="0"/>
    <x v="18"/>
    <x v="7"/>
    <n v="5001.1764705882351"/>
    <n v="0"/>
  </r>
  <r>
    <n v="1052"/>
    <d v="2025-09-18T14:39:25"/>
    <x v="117"/>
    <s v="STJ/2025/09/09988"/>
    <s v="Inventory Valuation"/>
    <s v="CM/MTI/2025/02991 - [PROPCO0105] COOLING FAN / MRQ/2025/04273"/>
    <s v="CM/MTI/2025/02991 - [PROPCO0105] COOLING FAN / MRQ/2025/04273"/>
    <m/>
    <m/>
    <s v="CAPITAL WORK IN PROGRESS"/>
    <s v="Fixed Assets"/>
    <s v="371021"/>
    <s v="371021 CWIP-PYRO UPGRADATION"/>
    <s v="Inventory Spares Consumable"/>
    <s v="PLANT VEHICLES"/>
    <s v="QUARRYING"/>
    <n v="991000"/>
    <n v="0"/>
    <n v="991000"/>
    <s v="TZS"/>
    <s v="[PROPCO0105] COOLING FAN"/>
    <s v="PYRO COOLER"/>
    <n v="-5"/>
    <s v="NOS"/>
    <x v="0"/>
    <x v="0"/>
    <x v="0"/>
    <x v="0"/>
    <n v="388.62745098039215"/>
    <n v="0"/>
  </r>
  <r>
    <n v="1053"/>
    <d v="2025-09-18T00:00:00"/>
    <x v="117"/>
    <s v="STJ/2025/09/09968"/>
    <s v="Inventory Valuation"/>
    <s v="CM/MTI/2025/02983 - [CWCWR003] WELDING ELECTRODE MS 6013 SIZE 4 MM X 450 MM / MRQ/2025/04278"/>
    <s v="CM/MTI/2025/02983 - [CWCWR003] WELDING ELECTRODE MS 6013 SIZE 4 MM X 450 MM / MRQ/2025/04278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81950.19"/>
    <n v="0"/>
    <n v="81950.19"/>
    <s v="TZS"/>
    <s v="[CWCWR003] WELDING ELECTRODE MS 6013 SIZE 4 MM X 450 MM"/>
    <m/>
    <n v="-20"/>
    <s v="KG"/>
    <x v="0"/>
    <x v="0"/>
    <x v="9"/>
    <x v="4"/>
    <n v="32.137329411764703"/>
    <n v="0"/>
  </r>
  <r>
    <n v="1054"/>
    <d v="2025-09-18T00:00:00"/>
    <x v="117"/>
    <s v="STJ/2025/09/09971"/>
    <s v="Inventory Valuation"/>
    <s v="CM/MTI/2025/02984 - [CWCGC041] CUTTING WHEEL 7'' / MRQ/2025/04277_x000a_Rounding Adjustment: +0.01 TSh"/>
    <s v="CM/MTI/2025/02984 - [CWCGC041] CUTTING WHEEL 7'' / MRQ/2025/04277_x000a_Rounding Adjustment: +0.01 TSh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9325.919999999998"/>
    <n v="0"/>
    <n v="19325.919999999998"/>
    <s v="TZS"/>
    <s v="[CWCGC041] CUTTING WHEEL 7''"/>
    <m/>
    <n v="-6"/>
    <s v="NOS"/>
    <x v="0"/>
    <x v="0"/>
    <x v="9"/>
    <x v="4"/>
    <n v="7.5787921568627441"/>
    <n v="0"/>
  </r>
  <r>
    <n v="1055"/>
    <d v="2025-09-18T00:00:00"/>
    <x v="117"/>
    <s v="STJ/2025/09/09618"/>
    <s v="Inventory Valuation"/>
    <s v="LOG/MTI/2025/01080 - [LGS0079] CUTTING WHEEL - 9'' / MRQ/2025/04222"/>
    <s v="LOG/MTI/2025/01080 - [LGS0079] CUTTING WHEEL - 9'' / MRQ/2025/04222"/>
    <m/>
    <m/>
    <s v="MATERIAL COST"/>
    <s v="Expenses"/>
    <s v="731002"/>
    <s v="731002 STORE SPARES &amp; CONSUMABLES - GENERAL"/>
    <s v="CWIP-FABRICATION OF INHOUSE TRAILOR"/>
    <s v="LOGISTIC DIVISION"/>
    <s v="LOGISTIC DIVISION"/>
    <n v="6440.68"/>
    <n v="0"/>
    <n v="6440.68"/>
    <s v="TZS"/>
    <s v="[LGS0079] CUTTING WHEEL - 9''"/>
    <m/>
    <n v="-2"/>
    <s v="NOS"/>
    <x v="0"/>
    <x v="0"/>
    <x v="12"/>
    <x v="1"/>
    <n v="2.5257568627450984"/>
    <n v="0"/>
  </r>
  <r>
    <n v="1056"/>
    <d v="2025-09-18T00:00:00"/>
    <x v="117"/>
    <s v="STJ/2025/09/09634"/>
    <s v="Inventory Valuation"/>
    <s v="LOG/MTI/2025/01082 - [ESSAG005] ISA 50 X 50 X 5 / MRQ/2025/04207"/>
    <s v="LOG/MTI/2025/01082 - [ESSAG005] ISA 50 X 50 X 5 / MRQ/2025/04207"/>
    <m/>
    <m/>
    <s v="MATERIAL COST"/>
    <s v="Expenses"/>
    <s v="731002"/>
    <s v="731002 STORE SPARES &amp; CONSUMABLES - GENERAL"/>
    <s v="CWIP-FABRICATION OF INHOUSE TRAILOR"/>
    <s v="LOGISTIC DIVISION"/>
    <s v="LOGISTIC DIVISION"/>
    <n v="1500000"/>
    <n v="0"/>
    <n v="1500000"/>
    <s v="TZS"/>
    <s v="[ESSAG005] ISA 50 X 50 X 5"/>
    <m/>
    <n v="-30"/>
    <s v="NOS"/>
    <x v="0"/>
    <x v="0"/>
    <x v="12"/>
    <x v="1"/>
    <n v="588.23529411764707"/>
    <n v="0"/>
  </r>
  <r>
    <n v="1057"/>
    <d v="2025-09-18T00:00:00"/>
    <x v="117"/>
    <s v="STJ/2025/09/09961"/>
    <s v="Inventory Valuation"/>
    <s v="CM/MTI/2025/02979 - [CCLGC183] POLES WOODEN MIRUNDA  / MRQ/2025/04264"/>
    <s v="CM/MTI/2025/02979 - [CCLGC183] POLES WOODEN MIRUNDA  / MRQ/2025/04264"/>
    <m/>
    <m/>
    <s v="MATERIAL COST"/>
    <s v="Expenses"/>
    <s v="731002"/>
    <s v="731002 STORE SPARES &amp; CONSUMABLES - GENERAL"/>
    <s v="CWIP-QUARRY RAW MATERIAL SHED EXTENSION"/>
    <s v="QUARRY"/>
    <s v="MECHANICAL"/>
    <n v="400000"/>
    <n v="0"/>
    <n v="400000"/>
    <s v="TZS"/>
    <s v="[CCLGC183] POLES WOODEN MIRUNDA "/>
    <m/>
    <n v="-80"/>
    <s v="NOS"/>
    <x v="0"/>
    <x v="0"/>
    <x v="18"/>
    <x v="7"/>
    <n v="156.86274509803923"/>
    <n v="0"/>
  </r>
  <r>
    <n v="1058"/>
    <d v="2025-09-18T00:00:00"/>
    <x v="117"/>
    <s v="STJ/2025/09/09962"/>
    <s v="Inventory Valuation"/>
    <s v="CM/MTI/2025/02980 - [CCLGC038] TIMBER 2 INCH X 4 INCH UNTREATED / MRQ/2025/04256"/>
    <s v="CM/MTI/2025/02980 - [CCLGC038] TIMBER 2 INCH X 4 INCH UNTREATED / MRQ/2025/04256"/>
    <m/>
    <m/>
    <s v="MATERIAL COST"/>
    <s v="Expenses"/>
    <s v="731002"/>
    <s v="731002 STORE SPARES &amp; CONSUMABLES - GENERAL"/>
    <s v="CWIP-QUARRY RAW MATERIAL SHED EXTENSION"/>
    <s v="QUARRY"/>
    <s v="MECHANICAL"/>
    <n v="700000"/>
    <n v="0"/>
    <n v="700000"/>
    <s v="TZS"/>
    <s v="[CCLGC038] TIMBER 2 INCH X 4 INCH UNTREATED"/>
    <m/>
    <n v="-100"/>
    <s v="NOS"/>
    <x v="0"/>
    <x v="0"/>
    <x v="18"/>
    <x v="7"/>
    <n v="274.50980392156862"/>
    <n v="0"/>
  </r>
  <r>
    <n v="1059"/>
    <d v="2025-09-18T00:00:00"/>
    <x v="117"/>
    <s v="STJ/2025/09/09963"/>
    <s v="Inventory Valuation"/>
    <s v="CM/MTI/2025/02980 - [CCLGC052] PLYWOOD 8FEET X 4FEET X 18 MM THICK  / MRQ/2025/04256"/>
    <s v="CM/MTI/2025/02980 - [CCLGC052] PLYWOOD 8FEET X 4FEET X 18 MM THICK  / MRQ/2025/04256"/>
    <m/>
    <m/>
    <s v="MATERIAL COST"/>
    <s v="Expenses"/>
    <s v="731002"/>
    <s v="731002 STORE SPARES &amp; CONSUMABLES - GENERAL"/>
    <s v="CWIP-QUARRY RAW MATERIAL SHED EXTENSION"/>
    <s v="QUARRY"/>
    <s v="MECHANICAL"/>
    <n v="1055084.7"/>
    <n v="0"/>
    <n v="1055084.7"/>
    <s v="TZS"/>
    <s v="[CCLGC052] PLYWOOD 8FEET X 4FEET X 18 MM THICK "/>
    <m/>
    <n v="-30"/>
    <s v="NOS"/>
    <x v="0"/>
    <x v="0"/>
    <x v="18"/>
    <x v="7"/>
    <n v="413.7587058823529"/>
    <n v="0"/>
  </r>
  <r>
    <n v="1060"/>
    <d v="2025-09-18T00:00:00"/>
    <x v="117"/>
    <s v="STJ/2025/09/09966"/>
    <s v="Inventory Valuation"/>
    <s v="CM/MTI/2025/02982 - [CPMBG006] BAG EMPTY FOR CEMENT PACKING GRADE 42.5N MATERIAL WOVEN POLYPROPYLENE CAPACITY 1MT COLOR RED / MRQ/2025/04240"/>
    <s v="CM/MTI/2025/02982 - [CPMBG006] BAG EMPTY FOR CEMENT PACKING GRADE 42.5N MATERIAL WOVEN POLYPROPYLENE CAPACITY 1MT COLOR RED / MRQ/2025/04240"/>
    <m/>
    <m/>
    <s v="MATERIAL COST"/>
    <s v="Expenses"/>
    <s v="731006"/>
    <s v="731006 PACKING BAGS CONSUMED"/>
    <s v="CWIP-QUARRY RAW MATERIAL SHED EXTENSION"/>
    <s v="QUARRY"/>
    <s v="MECHANICAL"/>
    <n v="40348.22"/>
    <n v="0"/>
    <n v="40348.22"/>
    <s v="TZS"/>
    <s v="[CPMBG006] BAG EMPTY FOR CEMENT PACKING GRADE 42.5N MATERIAL WOVEN POLYPROPYLENE CAPACITY 1MT COLOR RED"/>
    <m/>
    <n v="-2"/>
    <s v="NOS"/>
    <x v="0"/>
    <x v="0"/>
    <x v="18"/>
    <x v="7"/>
    <n v="15.82283137254902"/>
    <n v="0"/>
  </r>
  <r>
    <n v="1061"/>
    <d v="2025-09-18T00:00:00"/>
    <x v="117"/>
    <s v="STJ/2025/09/09964"/>
    <s v="Inventory Valuation"/>
    <s v="CM/MTI/2025/02981 - [CPMBG006] BAG EMPTY FOR CEMENT PACKING GRADE 42.5N MATERIAL WOVEN POLYPROPYLENE CAPACITY 1MT COLOR RED / MRQ/2025/04239"/>
    <s v="CM/MTI/2025/02981 - [CPMBG006] BAG EMPTY FOR CEMENT PACKING GRADE 42.5N MATERIAL WOVEN POLYPROPYLENE CAPACITY 1MT COLOR RED / MRQ/2025/04239"/>
    <m/>
    <m/>
    <s v="MATERIAL COST"/>
    <s v="Expenses"/>
    <s v="731006"/>
    <s v="731006 PACKING BAGS CONSUMED"/>
    <s v="CWIP-ROAD PHASE 07"/>
    <s v="PROJECT"/>
    <s v="MECHANICAL"/>
    <n v="80696.429999999993"/>
    <n v="0"/>
    <n v="80696.429999999993"/>
    <s v="TZS"/>
    <s v="[CPMBG006] BAG EMPTY FOR CEMENT PACKING GRADE 42.5N MATERIAL WOVEN POLYPROPYLENE CAPACITY 1MT COLOR RED"/>
    <m/>
    <n v="-4"/>
    <s v="NOS"/>
    <x v="0"/>
    <x v="0"/>
    <x v="17"/>
    <x v="6"/>
    <n v="31.645658823529409"/>
    <n v="0"/>
  </r>
  <r>
    <n v="1062"/>
    <d v="2025-09-19T14:06:08"/>
    <x v="118"/>
    <s v="SERBL/2025/09/0142"/>
    <s v="Service Bills"/>
    <s v="LPORD/2025/00936: GYPSUM CRUSHER FABRICATION AND ERECTION AT RECLAIMER SHED "/>
    <s v="TAZ- 0026"/>
    <s v="CMLT2186"/>
    <s v="Taz Engineering Company Limited"/>
    <s v="CAPITAL WORK IN PROGRESS"/>
    <s v="Fixed Assets"/>
    <s v="371014"/>
    <s v="371014 CWIP-GYPSUM SHED SURROUNDING &amp; CEMENT MILL AREA NEW ROAD"/>
    <s v="CWIP-CONSTRUCTION OF LIME STONE AND GYPSUM FEEDING SYSTEM IN CEMENT MILL"/>
    <s v="CRUSHER AND STACKER"/>
    <s v="MECHANICAL"/>
    <n v="18000000"/>
    <n v="0"/>
    <n v="18000000"/>
    <s v="TZS"/>
    <s v="[SER027] Job Contract-5"/>
    <s v="Misc. Income"/>
    <n v="1"/>
    <s v="Lumpsum"/>
    <x v="0"/>
    <x v="0"/>
    <x v="19"/>
    <x v="6"/>
    <n v="7058.8235294117649"/>
    <n v="0"/>
  </r>
  <r>
    <n v="1063"/>
    <d v="2025-09-19T13:42:49"/>
    <x v="118"/>
    <s v="SERBL/2025/09/0141"/>
    <s v="Service Bills"/>
    <s v="LPORD/2025/00971: Insulation work at various location in the plant as per attached sheet and invoice"/>
    <s v="TIT/LAKE/001/2025"/>
    <s v="CMLT2231"/>
    <s v="Deogratius Atanasi Assey T/A Thermal Insulation Technology"/>
    <s v="CAPITAL WORK IN PROGRESS"/>
    <s v="Fixed Assets"/>
    <s v="371021"/>
    <s v="371021 CWIP-PYRO UPGRADATION"/>
    <s v="CWIP-Pyro Upgradation"/>
    <s v="PROJECT"/>
    <s v="PROJECT"/>
    <n v="20722500"/>
    <n v="0"/>
    <n v="20722500"/>
    <s v="TZS"/>
    <s v="[SER034] Job Contract-12"/>
    <s v="Misc. Income"/>
    <n v="690.75"/>
    <s v="SM"/>
    <x v="0"/>
    <x v="0"/>
    <x v="0"/>
    <x v="0"/>
    <n v="8126.4705882352937"/>
    <n v="0"/>
  </r>
  <r>
    <n v="1064"/>
    <d v="2025-09-19T12:59:11"/>
    <x v="118"/>
    <s v="SERBL/2025/09/0139"/>
    <s v="Service Bills"/>
    <s v="HOTEL CHARGES "/>
    <s v="HS19164"/>
    <s v="CMLT1235"/>
    <s v="Hotel Sapphire"/>
    <s v="CAPITAL WORK IN PROGRESS"/>
    <s v="Fixed Assets"/>
    <s v="371056"/>
    <s v="371056 MINERAL EXPLORATION &amp; DEVELOPMENT-TARAWANDA"/>
    <s v="Corporate"/>
    <s v="HO"/>
    <s v="ADMIN"/>
    <n v="195456.5"/>
    <n v="0"/>
    <n v="195456.5"/>
    <s v="TZS"/>
    <m/>
    <m/>
    <n v="1"/>
    <m/>
    <x v="0"/>
    <x v="0"/>
    <x v="1"/>
    <x v="1"/>
    <n v="76.649607843137261"/>
    <n v="0"/>
  </r>
  <r>
    <n v="1065"/>
    <d v="2025-09-19T12:59:11"/>
    <x v="118"/>
    <s v="SERBL/2025/09/0139"/>
    <s v="Service Bills"/>
    <s v="HOTEL CHARGES "/>
    <s v="HS19164"/>
    <s v="CMLT1235"/>
    <s v="Hotel Sapphire"/>
    <s v="CAPITAL WORK IN PROGRESS"/>
    <s v="Fixed Assets"/>
    <s v="371056"/>
    <s v="371056 MINERAL EXPLORATION &amp; DEVELOPMENT-TARAWANDA"/>
    <s v="Corporate"/>
    <s v="HO"/>
    <s v="ADMIN"/>
    <n v="1361.33"/>
    <n v="0"/>
    <n v="1361.33"/>
    <s v="TZS"/>
    <m/>
    <m/>
    <n v="1"/>
    <m/>
    <x v="0"/>
    <x v="0"/>
    <x v="1"/>
    <x v="1"/>
    <n v="0.53385490196078433"/>
    <n v="0"/>
  </r>
  <r>
    <n v="1066"/>
    <d v="2025-09-19T12:54:21"/>
    <x v="118"/>
    <s v="SERBL/2025/09/0138"/>
    <s v="Service Bills"/>
    <s v="HOTEL CHARGES "/>
    <s v="HS19167"/>
    <s v="CMLT1235"/>
    <s v="Hotel Sapphire"/>
    <s v="CAPITAL WORK IN PROGRESS"/>
    <s v="Fixed Assets"/>
    <s v="371056"/>
    <s v="371056 MINERAL EXPLORATION &amp; DEVELOPMENT-TARAWANDA"/>
    <s v="Corporate"/>
    <s v="HO"/>
    <s v="ADMIN"/>
    <n v="202236.16"/>
    <n v="0"/>
    <n v="202236.16"/>
    <s v="TZS"/>
    <m/>
    <m/>
    <n v="1"/>
    <m/>
    <x v="0"/>
    <x v="0"/>
    <x v="1"/>
    <x v="1"/>
    <n v="79.308298039215686"/>
    <n v="0"/>
  </r>
  <r>
    <n v="1067"/>
    <d v="2025-09-19T12:54:21"/>
    <x v="118"/>
    <s v="SERBL/2025/09/0138"/>
    <s v="Service Bills"/>
    <s v="HOTEL CHARGES "/>
    <s v="HS19167"/>
    <s v="CMLT1235"/>
    <s v="Hotel Sapphire"/>
    <s v="CAPITAL WORK IN PROGRESS"/>
    <s v="Fixed Assets"/>
    <s v="371056"/>
    <s v="371056 MINERAL EXPLORATION &amp; DEVELOPMENT-TARAWANDA"/>
    <s v="Corporate"/>
    <s v="HO"/>
    <s v="ADMIN"/>
    <n v="1361.33"/>
    <n v="0"/>
    <n v="1361.33"/>
    <s v="TZS"/>
    <m/>
    <m/>
    <n v="1"/>
    <m/>
    <x v="0"/>
    <x v="0"/>
    <x v="1"/>
    <x v="1"/>
    <n v="0.53385490196078433"/>
    <n v="0"/>
  </r>
  <r>
    <n v="1068"/>
    <d v="2025-09-19T12:48:33"/>
    <x v="118"/>
    <s v="SERBL/2025/09/0137"/>
    <s v="Service Bills"/>
    <s v="HOTEL CHARGES "/>
    <s v="HS19251"/>
    <s v="CMLT1235"/>
    <s v="Hotel Sapphire"/>
    <s v="CAPITAL WORK IN PROGRESS"/>
    <s v="Fixed Assets"/>
    <s v="371056"/>
    <s v="371056 MINERAL EXPLORATION &amp; DEVELOPMENT-TARAWANDA"/>
    <s v="Corporate"/>
    <s v="HO"/>
    <s v="ADMIN"/>
    <n v="618572.82999999996"/>
    <n v="0"/>
    <n v="618572.82999999996"/>
    <s v="TZS"/>
    <m/>
    <m/>
    <n v="1"/>
    <m/>
    <x v="0"/>
    <x v="0"/>
    <x v="1"/>
    <x v="1"/>
    <n v="242.57758039215685"/>
    <n v="0"/>
  </r>
  <r>
    <n v="1069"/>
    <d v="2025-09-19T12:48:33"/>
    <x v="118"/>
    <s v="SERBL/2025/09/0137"/>
    <s v="Service Bills"/>
    <s v="HOTEL CHARGES "/>
    <s v="HS19251"/>
    <s v="CMLT1235"/>
    <s v="Hotel Sapphire"/>
    <s v="CAPITAL WORK IN PROGRESS"/>
    <s v="Fixed Assets"/>
    <s v="371056"/>
    <s v="371056 MINERAL EXPLORATION &amp; DEVELOPMENT-TARAWANDA"/>
    <s v="Corporate"/>
    <s v="HO"/>
    <s v="ADMIN"/>
    <n v="4084.06"/>
    <n v="0"/>
    <n v="4084.06"/>
    <s v="TZS"/>
    <m/>
    <m/>
    <n v="1"/>
    <m/>
    <x v="0"/>
    <x v="0"/>
    <x v="1"/>
    <x v="1"/>
    <n v="1.6015921568627451"/>
    <n v="0"/>
  </r>
  <r>
    <n v="1070"/>
    <d v="2025-09-19T12:40:09"/>
    <x v="118"/>
    <s v="SERBL/2025/09/0136"/>
    <s v="Service Bills"/>
    <s v="HOTEL CHARGES "/>
    <s v="HS19252"/>
    <s v="CMLT1235"/>
    <s v="Hotel Sapphire"/>
    <s v="CAPITAL WORK IN PROGRESS"/>
    <s v="Fixed Assets"/>
    <s v="371056"/>
    <s v="371056 MINERAL EXPLORATION &amp; DEVELOPMENT-TARAWANDA"/>
    <s v="Corporate"/>
    <s v="HO"/>
    <s v="ADMIN"/>
    <n v="482979.61"/>
    <n v="0"/>
    <n v="482979.61"/>
    <s v="TZS"/>
    <m/>
    <m/>
    <n v="1"/>
    <m/>
    <x v="0"/>
    <x v="0"/>
    <x v="1"/>
    <x v="1"/>
    <n v="189.40376862745097"/>
    <n v="0"/>
  </r>
  <r>
    <n v="1071"/>
    <d v="2025-09-19T12:40:09"/>
    <x v="118"/>
    <s v="SERBL/2025/09/0136"/>
    <s v="Service Bills"/>
    <s v="HOTEL CHARGES "/>
    <s v="HS19252"/>
    <s v="CMLT1235"/>
    <s v="Hotel Sapphire"/>
    <s v="CAPITAL WORK IN PROGRESS"/>
    <s v="Fixed Assets"/>
    <s v="371056"/>
    <s v="371056 MINERAL EXPLORATION &amp; DEVELOPMENT-TARAWANDA"/>
    <s v="Corporate"/>
    <s v="HO"/>
    <s v="ADMIN"/>
    <n v="4084.06"/>
    <n v="0"/>
    <n v="4084.06"/>
    <s v="TZS"/>
    <m/>
    <m/>
    <n v="1"/>
    <m/>
    <x v="0"/>
    <x v="0"/>
    <x v="1"/>
    <x v="1"/>
    <n v="1.6015921568627451"/>
    <n v="0"/>
  </r>
  <r>
    <n v="1072"/>
    <d v="2025-09-19T12:35:28"/>
    <x v="118"/>
    <s v="SERBL/2025/09/0135"/>
    <s v="Service Bills"/>
    <s v="HOTEL CHARGES "/>
    <s v="HS19259"/>
    <s v="CMLT1235"/>
    <s v="Hotel Sapphire"/>
    <s v="CAPITAL WORK IN PROGRESS"/>
    <s v="Fixed Assets"/>
    <s v="371056"/>
    <s v="371056 MINERAL EXPLORATION &amp; DEVELOPMENT-TARAWANDA"/>
    <s v="Corporate"/>
    <s v="HO"/>
    <s v="ADMIN"/>
    <n v="4084.05"/>
    <n v="0"/>
    <n v="4084.05"/>
    <s v="TZS"/>
    <m/>
    <m/>
    <n v="1"/>
    <m/>
    <x v="0"/>
    <x v="0"/>
    <x v="1"/>
    <x v="1"/>
    <n v="1.6015882352941178"/>
    <n v="0"/>
  </r>
  <r>
    <n v="1073"/>
    <d v="2025-09-19T12:35:28"/>
    <x v="118"/>
    <s v="SERBL/2025/09/0135"/>
    <s v="Service Bills"/>
    <s v="HOTEL CHARGES "/>
    <s v="HS19259"/>
    <s v="CMLT1235"/>
    <s v="Hotel Sapphire"/>
    <s v="CAPITAL WORK IN PROGRESS"/>
    <s v="Fixed Assets"/>
    <s v="371056"/>
    <s v="371056 MINERAL EXPLORATION &amp; DEVELOPMENT-TARAWANDA"/>
    <s v="Corporate"/>
    <s v="HO"/>
    <s v="ADMIN"/>
    <n v="510945.72"/>
    <n v="0"/>
    <n v="510945.72"/>
    <s v="TZS"/>
    <m/>
    <m/>
    <n v="1"/>
    <m/>
    <x v="0"/>
    <x v="0"/>
    <x v="1"/>
    <x v="1"/>
    <n v="200.37087058823528"/>
    <n v="0"/>
  </r>
  <r>
    <n v="1074"/>
    <d v="2025-09-19T12:29:18"/>
    <x v="118"/>
    <s v="SERBL/2025/09/0134"/>
    <s v="Service Bills"/>
    <s v="HOTEL CHARGES "/>
    <s v="HS19261"/>
    <s v="CMLT1235"/>
    <s v="Hotel Sapphire"/>
    <s v="CAPITAL WORK IN PROGRESS"/>
    <s v="Fixed Assets"/>
    <s v="371056"/>
    <s v="371056 MINERAL EXPLORATION &amp; DEVELOPMENT-TARAWANDA"/>
    <s v="Corporate"/>
    <s v="HO"/>
    <s v="ADMIN"/>
    <n v="466877.94"/>
    <n v="0"/>
    <n v="466877.94"/>
    <s v="TZS"/>
    <m/>
    <m/>
    <n v="1"/>
    <m/>
    <x v="0"/>
    <x v="0"/>
    <x v="1"/>
    <x v="1"/>
    <n v="183.08938823529411"/>
    <n v="0"/>
  </r>
  <r>
    <n v="1075"/>
    <d v="2025-09-19T12:29:18"/>
    <x v="118"/>
    <s v="SERBL/2025/09/0134"/>
    <s v="Service Bills"/>
    <s v="HOTEL CHARGES "/>
    <s v="HS19261"/>
    <s v="CMLT1235"/>
    <s v="Hotel Sapphire"/>
    <s v="CAPITAL WORK IN PROGRESS"/>
    <s v="Fixed Assets"/>
    <s v="371056"/>
    <s v="371056 MINERAL EXPLORATION &amp; DEVELOPMENT-TARAWANDA"/>
    <s v="Corporate"/>
    <s v="HO"/>
    <s v="ADMIN"/>
    <n v="4084.03"/>
    <n v="0"/>
    <n v="4084.03"/>
    <s v="TZS"/>
    <m/>
    <m/>
    <n v="1"/>
    <m/>
    <x v="0"/>
    <x v="0"/>
    <x v="1"/>
    <x v="1"/>
    <n v="1.6015803921568628"/>
    <n v="0"/>
  </r>
  <r>
    <n v="1076"/>
    <d v="2025-09-19T12:18:45"/>
    <x v="118"/>
    <s v="SERBL/2025/09/0133"/>
    <s v="Service Bills"/>
    <s v="HOTEL CHARGES "/>
    <s v="HS19263"/>
    <s v="CMLT1235"/>
    <s v="Hotel Sapphire"/>
    <s v="CAPITAL WORK IN PROGRESS"/>
    <s v="Fixed Assets"/>
    <s v="371056"/>
    <s v="371056 MINERAL EXPLORATION &amp; DEVELOPMENT-TARAWANDA"/>
    <s v="Corporate"/>
    <s v="HO"/>
    <s v="ADMIN"/>
    <n v="421962.66"/>
    <n v="0"/>
    <n v="421962.66"/>
    <s v="TZS"/>
    <m/>
    <m/>
    <n v="1"/>
    <m/>
    <x v="0"/>
    <x v="0"/>
    <x v="1"/>
    <x v="1"/>
    <n v="165.47555294117646"/>
    <n v="0"/>
  </r>
  <r>
    <n v="1077"/>
    <d v="2025-09-19T12:18:45"/>
    <x v="118"/>
    <s v="SERBL/2025/09/0133"/>
    <s v="Service Bills"/>
    <s v="HOTEL CHARGES "/>
    <s v="HS19263"/>
    <s v="CMLT1235"/>
    <s v="Hotel Sapphire"/>
    <s v="CAPITAL WORK IN PROGRESS"/>
    <s v="Fixed Assets"/>
    <s v="371056"/>
    <s v="371056 MINERAL EXPLORATION &amp; DEVELOPMENT-TARAWANDA"/>
    <s v="Corporate"/>
    <s v="HO"/>
    <s v="ADMIN"/>
    <n v="4084.06"/>
    <n v="0"/>
    <n v="4084.06"/>
    <s v="TZS"/>
    <m/>
    <m/>
    <n v="1"/>
    <m/>
    <x v="0"/>
    <x v="0"/>
    <x v="1"/>
    <x v="1"/>
    <n v="1.6015921568627451"/>
    <n v="0"/>
  </r>
  <r>
    <n v="1078"/>
    <d v="2025-09-19T12:06:51"/>
    <x v="118"/>
    <s v="SERBL/2025/09/0132"/>
    <s v="Service Bills"/>
    <s v="HOTEL CHARGES "/>
    <s v="HS19168"/>
    <s v="CMLT1235"/>
    <s v="Hotel Sapphire"/>
    <s v="CAPITAL WORK IN PROGRESS"/>
    <s v="Fixed Assets"/>
    <s v="371056"/>
    <s v="371056 MINERAL EXPLORATION &amp; DEVELOPMENT-TARAWANDA"/>
    <s v="Corporate"/>
    <s v="HO"/>
    <s v="ADMIN"/>
    <n v="1361.36"/>
    <n v="0"/>
    <n v="1361.36"/>
    <s v="TZS"/>
    <m/>
    <m/>
    <n v="1"/>
    <m/>
    <x v="0"/>
    <x v="0"/>
    <x v="1"/>
    <x v="1"/>
    <n v="0.5338666666666666"/>
    <n v="0"/>
  </r>
  <r>
    <n v="1079"/>
    <d v="2025-09-19T12:06:51"/>
    <x v="118"/>
    <s v="SERBL/2025/09/0132"/>
    <s v="Service Bills"/>
    <s v="HOTEL CHARGES "/>
    <s v="HS19168"/>
    <s v="CMLT1235"/>
    <s v="Hotel Sapphire"/>
    <s v="CAPITAL WORK IN PROGRESS"/>
    <s v="Fixed Assets"/>
    <s v="371056"/>
    <s v="371056 MINERAL EXPLORATION &amp; DEVELOPMENT-TARAWANDA"/>
    <s v="Corporate"/>
    <s v="HO"/>
    <s v="ADMIN"/>
    <n v="168337.83"/>
    <n v="0"/>
    <n v="168337.83"/>
    <s v="TZS"/>
    <m/>
    <m/>
    <n v="1"/>
    <m/>
    <x v="0"/>
    <x v="0"/>
    <x v="1"/>
    <x v="1"/>
    <n v="66.014835294117646"/>
    <n v="0"/>
  </r>
  <r>
    <n v="1080"/>
    <d v="2025-09-19T11:56:07"/>
    <x v="118"/>
    <s v="SERBL/2025/09/0131"/>
    <s v="Service Bills"/>
    <s v="HOTEL CHARGES "/>
    <s v="HS19170"/>
    <s v="CMLT1235"/>
    <s v="Hotel Sapphire"/>
    <s v="CAPITAL WORK IN PROGRESS"/>
    <s v="Fixed Assets"/>
    <s v="371056"/>
    <s v="371056 MINERAL EXPLORATION &amp; DEVELOPMENT-TARAWANDA"/>
    <s v="Corporate"/>
    <s v="HO"/>
    <s v="ADMIN"/>
    <n v="1361.34"/>
    <n v="0"/>
    <n v="1361.34"/>
    <s v="TZS"/>
    <m/>
    <m/>
    <n v="1"/>
    <m/>
    <x v="0"/>
    <x v="0"/>
    <x v="1"/>
    <x v="1"/>
    <n v="0.53385882352941172"/>
    <n v="0"/>
  </r>
  <r>
    <n v="1081"/>
    <d v="2025-09-19T11:56:07"/>
    <x v="118"/>
    <s v="SERBL/2025/09/0131"/>
    <s v="Service Bills"/>
    <s v="HOTEL CHARGES "/>
    <s v="HS19170"/>
    <s v="CMLT1235"/>
    <s v="Hotel Sapphire"/>
    <s v="CAPITAL WORK IN PROGRESS"/>
    <s v="Fixed Assets"/>
    <s v="371056"/>
    <s v="371056 MINERAL EXPLORATION &amp; DEVELOPMENT-TARAWANDA"/>
    <s v="Corporate"/>
    <s v="HO"/>
    <s v="ADMIN"/>
    <n v="253083.61"/>
    <n v="0"/>
    <n v="253083.61"/>
    <s v="TZS"/>
    <m/>
    <m/>
    <n v="1"/>
    <m/>
    <x v="0"/>
    <x v="0"/>
    <x v="1"/>
    <x v="1"/>
    <n v="99.248474509803913"/>
    <n v="0"/>
  </r>
  <r>
    <n v="1082"/>
    <d v="2025-09-19T11:50:04"/>
    <x v="118"/>
    <s v="SERBL/2025/09/0130"/>
    <s v="Service Bills"/>
    <s v="HOTEL CHARGES "/>
    <s v="HS19160"/>
    <s v="CMLT1235"/>
    <s v="Hotel Sapphire"/>
    <s v="CAPITAL WORK IN PROGRESS"/>
    <s v="Fixed Assets"/>
    <s v="371056"/>
    <s v="371056 MINERAL EXPLORATION &amp; DEVELOPMENT-TARAWANDA"/>
    <s v="Corporate"/>
    <s v="HO"/>
    <s v="ADMIN"/>
    <n v="139524.26999999999"/>
    <n v="0"/>
    <n v="139524.26999999999"/>
    <s v="TZS"/>
    <m/>
    <m/>
    <n v="1"/>
    <m/>
    <x v="0"/>
    <x v="0"/>
    <x v="1"/>
    <x v="1"/>
    <n v="54.715399999999995"/>
    <n v="0"/>
  </r>
  <r>
    <n v="1083"/>
    <d v="2025-09-19T11:50:04"/>
    <x v="118"/>
    <s v="SERBL/2025/09/0130"/>
    <s v="Service Bills"/>
    <s v="HOTEL CHARGES "/>
    <s v="HS19160"/>
    <s v="CMLT1235"/>
    <s v="Hotel Sapphire"/>
    <s v="CAPITAL WORK IN PROGRESS"/>
    <s v="Fixed Assets"/>
    <s v="371056"/>
    <s v="371056 MINERAL EXPLORATION &amp; DEVELOPMENT-TARAWANDA"/>
    <s v="Corporate"/>
    <s v="HO"/>
    <s v="ADMIN"/>
    <n v="1361.36"/>
    <n v="0"/>
    <n v="1361.36"/>
    <s v="TZS"/>
    <m/>
    <m/>
    <n v="1"/>
    <m/>
    <x v="0"/>
    <x v="0"/>
    <x v="1"/>
    <x v="1"/>
    <n v="0.5338666666666666"/>
    <n v="0"/>
  </r>
  <r>
    <n v="1084"/>
    <d v="2025-09-19T08:27:28"/>
    <x v="118"/>
    <s v="SERBL/2025/09/0128"/>
    <s v="Service Bills"/>
    <s v="IPORD/2025/00015: Travel Conveyance Expenses &amp; Overseas Insurance"/>
    <s v="26IN0505"/>
    <s v="CMMU0734"/>
    <s v="Holtec Consulting Private Limited"/>
    <s v="CAPITAL WORK IN PROGRESS"/>
    <s v="Fixed Assets"/>
    <s v="371056"/>
    <s v="371056 MINERAL EXPLORATION &amp; DEVELOPMENT-TARAWANDA"/>
    <s v="TARAWANDA EXPENSE"/>
    <s v="QUARRY"/>
    <s v="QUARRYING"/>
    <n v="101107.23"/>
    <n v="0"/>
    <n v="101107.23"/>
    <s v="TZS"/>
    <s v="[SER029] Job Contract-7"/>
    <s v="Misc. Income"/>
    <n v="1"/>
    <s v="Trip"/>
    <x v="0"/>
    <x v="0"/>
    <x v="1"/>
    <x v="1"/>
    <n v="39.649894117647058"/>
    <n v="0"/>
  </r>
  <r>
    <n v="1085"/>
    <d v="2025-09-19T08:27:28"/>
    <x v="118"/>
    <s v="SERBL/2025/09/0128"/>
    <s v="Service Bills"/>
    <s v="IPORD/2025/00015: Charges for Preparation of Bulk Samples for Industrial Testing"/>
    <s v="26IN0505"/>
    <s v="CMMU0734"/>
    <s v="Holtec Consulting Private Limited"/>
    <s v="CAPITAL WORK IN PROGRESS"/>
    <s v="Fixed Assets"/>
    <s v="371056"/>
    <s v="371056 MINERAL EXPLORATION &amp; DEVELOPMENT-TARAWANDA"/>
    <s v="TARAWANDA EXPENSE"/>
    <s v="QUARRY"/>
    <s v="QUARRYING"/>
    <n v="18495225"/>
    <n v="0"/>
    <n v="18495225"/>
    <s v="TZS"/>
    <s v="[SER006] Job Contract"/>
    <s v="Misc. Income"/>
    <n v="1"/>
    <s v="NOS"/>
    <x v="0"/>
    <x v="0"/>
    <x v="1"/>
    <x v="1"/>
    <n v="7253.0294117647063"/>
    <n v="0"/>
  </r>
  <r>
    <n v="1086"/>
    <d v="2025-09-19T08:27:28"/>
    <x v="118"/>
    <s v="SERBL/2025/09/0128"/>
    <s v="Service Bills"/>
    <s v="IPORD/2025/00015: Visa fee"/>
    <s v="26IN0505"/>
    <s v="CMMU0734"/>
    <s v="Holtec Consulting Private Limited"/>
    <s v="CAPITAL WORK IN PROGRESS"/>
    <s v="Fixed Assets"/>
    <s v="371056"/>
    <s v="371056 MINERAL EXPLORATION &amp; DEVELOPMENT-TARAWANDA"/>
    <s v="TARAWANDA EXPENSE"/>
    <s v="QUARRY"/>
    <s v="QUARRYING"/>
    <n v="616507.5"/>
    <n v="0"/>
    <n v="616507.5"/>
    <s v="TZS"/>
    <s v="[SER029] Job Contract-7"/>
    <s v="Misc. Income"/>
    <n v="1"/>
    <s v="Trip"/>
    <x v="0"/>
    <x v="0"/>
    <x v="1"/>
    <x v="1"/>
    <n v="241.76764705882354"/>
    <n v="0"/>
  </r>
  <r>
    <n v="1087"/>
    <d v="2025-09-19T08:27:28"/>
    <x v="118"/>
    <s v="SERBL/2025/09/0128"/>
    <s v="Service Bills"/>
    <s v="IPORD/2025/00015: Engg charges Per diem fee for extra 8 days spent at site-Mr. Harish Ameta"/>
    <s v="26IN0505"/>
    <s v="CMMU0734"/>
    <s v="Holtec Consulting Private Limited"/>
    <s v="CAPITAL WORK IN PROGRESS"/>
    <s v="Fixed Assets"/>
    <s v="371056"/>
    <s v="371056 MINERAL EXPLORATION &amp; DEVELOPMENT-TARAWANDA"/>
    <s v="TARAWANDA EXPENSE"/>
    <s v="QUARRY"/>
    <s v="QUARRYING"/>
    <n v="13316562"/>
    <n v="0"/>
    <n v="13316562"/>
    <s v="TZS"/>
    <s v="[SER032] Job Contract-10"/>
    <s v="Misc. Income"/>
    <n v="8"/>
    <s v="Days"/>
    <x v="0"/>
    <x v="0"/>
    <x v="1"/>
    <x v="1"/>
    <n v="5222.1811764705881"/>
    <n v="0"/>
  </r>
  <r>
    <n v="1088"/>
    <d v="2025-09-19T10:44:16"/>
    <x v="118"/>
    <s v="PCVHO/2025/09/0177"/>
    <s v="PCV (PETTY CASH HO)"/>
    <s v="TARAWANDA EXPENSES "/>
    <s v="Being payment for Talawanda crop house evaluation survey for land procuments - Elisha Joram"/>
    <m/>
    <m/>
    <s v="CAPITAL WORK IN PROGRESS"/>
    <s v="Fixed Assets"/>
    <s v="371056"/>
    <s v="371056 MINERAL EXPLORATION &amp; DEVELOPMENT-TARAWANDA"/>
    <s v="Corporate"/>
    <s v="HO"/>
    <s v="ADMIN"/>
    <n v="3000000"/>
    <n v="0"/>
    <n v="3000000"/>
    <s v="TZS"/>
    <m/>
    <m/>
    <n v="1"/>
    <m/>
    <x v="0"/>
    <x v="0"/>
    <x v="1"/>
    <x v="1"/>
    <n v="1176.4705882352941"/>
    <n v="0"/>
  </r>
  <r>
    <n v="1089"/>
    <d v="2025-09-19T07:15:56"/>
    <x v="118"/>
    <s v="AST/2025/09/0002"/>
    <s v="Assets"/>
    <s v="TOYOTA PASSO T952DKT"/>
    <s v="TOYOTA PASSO T952DKT: Sale Against Inv no. INV/2025/09/01668 DATED 19.09.2025"/>
    <m/>
    <m/>
    <s v="VEHICLES"/>
    <s v="Fixed Assets"/>
    <s v="351001"/>
    <s v="351001 VEHICLE - PASSENGER"/>
    <s v="TOYOTA PASSO T952DKT"/>
    <s v="UTILITY"/>
    <s v="ADMIN"/>
    <n v="0"/>
    <n v="8391669"/>
    <n v="-8391669"/>
    <s v="TZS"/>
    <m/>
    <m/>
    <n v="1"/>
    <m/>
    <x v="0"/>
    <x v="4"/>
    <x v="20"/>
    <x v="1"/>
    <n v="-3290.8505882352943"/>
    <n v="0"/>
  </r>
  <r>
    <n v="1090"/>
    <d v="2025-09-19T06:45:19"/>
    <x v="118"/>
    <s v="AST/2025/09/0001"/>
    <s v="Assets"/>
    <s v="TOYOTA RAV4 T346DXC"/>
    <s v="TOYOTA RAV4 T346DXC: Sale Against Inv no. INV/2025/09/01669 dated 19.09.2025"/>
    <m/>
    <m/>
    <s v="VEHICLES"/>
    <s v="Fixed Assets"/>
    <s v="351001"/>
    <s v="351001 VEHICLE - PASSENGER"/>
    <s v="TOYOTA RAV4 T346DXC"/>
    <s v="UTILITY"/>
    <s v="ADMIN"/>
    <n v="0"/>
    <n v="25423728.809999999"/>
    <n v="-25423728.809999999"/>
    <s v="TZS"/>
    <m/>
    <m/>
    <n v="1"/>
    <m/>
    <x v="0"/>
    <x v="4"/>
    <x v="20"/>
    <x v="1"/>
    <n v="-9970.089729411764"/>
    <n v="0"/>
  </r>
  <r>
    <n v="1091"/>
    <d v="2025-09-19T00:00:00"/>
    <x v="118"/>
    <s v="STJ/2025/09/10589"/>
    <s v="Inventory Valuation"/>
    <s v="CM/MTI/2025/02995 - [CIGGS001] GAS OXYGEN FULL CYLINDER, O2 / MRQ/2025/04324"/>
    <s v="CM/MTI/2025/02995 - [CIGGS001] GAS OXYGEN FULL CYLINDER, O2 / MRQ/2025/0432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0000"/>
    <n v="0"/>
    <n v="90000"/>
    <s v="TZS"/>
    <s v="[CIGGS001] GAS OXYGEN FULL CYLINDER, O2"/>
    <m/>
    <n v="-6"/>
    <s v="NOS"/>
    <x v="0"/>
    <x v="0"/>
    <x v="9"/>
    <x v="4"/>
    <n v="35.294117647058826"/>
    <n v="0"/>
  </r>
  <r>
    <n v="1092"/>
    <d v="2025-09-19T00:00:00"/>
    <x v="118"/>
    <s v="STJ/2025/09/10590"/>
    <s v="Inventory Valuation"/>
    <s v="CM/MTI/2025/02995 - [CIGGS016] GAS LIQUEFIED PETROLEUM FULL CYLINDER, LPG CAPACITY 40KG / MRQ/2025/04324"/>
    <s v="CM/MTI/2025/02995 - [CIGGS016] GAS LIQUEFIED PETROLEUM FULL CYLINDER, LPG CAPACITY 40KG / MRQ/2025/04324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99999.46"/>
    <n v="0"/>
    <n v="99999.46"/>
    <s v="TZS"/>
    <s v="[CIGGS016] GAS LIQUEFIED PETROLEUM FULL CYLINDER, LPG CAPACITY 40KG"/>
    <m/>
    <n v="-1"/>
    <s v="NOS"/>
    <x v="0"/>
    <x v="0"/>
    <x v="9"/>
    <x v="4"/>
    <n v="39.215474509803926"/>
    <n v="0"/>
  </r>
  <r>
    <n v="1093"/>
    <d v="2025-09-19T00:00:00"/>
    <x v="118"/>
    <s v="STJ/2025/09/10605"/>
    <s v="Inventory Valuation"/>
    <s v="CM/MTI/2025/03004 - [CCLGC328] TMT BAR SIZE 10 MM GRADE FY500. / MRQ/2025/04333"/>
    <s v="CM/MTI/2025/03004 - [CCLGC328] TMT BAR SIZE 10 MM GRADE FY500. / MRQ/2025/04333"/>
    <m/>
    <m/>
    <s v="MATERIAL COST"/>
    <s v="Expenses"/>
    <s v="731002"/>
    <s v="731002 STORE SPARES &amp; CONSUMABLES - GENERAL"/>
    <s v="CWIP-ROAD PHASE 07"/>
    <s v="PROJECT"/>
    <s v="MECHANICAL"/>
    <n v="580843.31000000006"/>
    <n v="0"/>
    <n v="580843.31000000006"/>
    <s v="TZS"/>
    <s v="[CCLGC328] TMT BAR SIZE 10 MM GRADE FY500."/>
    <m/>
    <n v="-40"/>
    <s v="PCS"/>
    <x v="0"/>
    <x v="0"/>
    <x v="17"/>
    <x v="6"/>
    <n v="227.78169019607844"/>
    <n v="0"/>
  </r>
  <r>
    <n v="1094"/>
    <d v="2025-09-22T13:00:11"/>
    <x v="119"/>
    <s v="PCVHO/2025/09/0210"/>
    <s v="PCV (PETTY CASH HO)"/>
    <s v="TARAWANDA EXPENSES "/>
    <s v="Being cash deposit to Mr Elisha Joram for surveying land crop house trees at Tarawanda - Elisha"/>
    <m/>
    <m/>
    <s v="CAPITAL WORK IN PROGRESS"/>
    <s v="Fixed Assets"/>
    <s v="371056"/>
    <s v="371056 MINERAL EXPLORATION &amp; DEVELOPMENT-TARAWANDA"/>
    <s v="Corporate"/>
    <s v="HO"/>
    <s v="ADMIN"/>
    <n v="1000000"/>
    <n v="0"/>
    <n v="1000000"/>
    <s v="TZS"/>
    <m/>
    <m/>
    <n v="1"/>
    <m/>
    <x v="0"/>
    <x v="0"/>
    <x v="1"/>
    <x v="1"/>
    <n v="392.15686274509807"/>
    <n v="0"/>
  </r>
  <r>
    <n v="1095"/>
    <d v="2025-09-22T00:00:00"/>
    <x v="119"/>
    <s v="STJ/2025/09/11490"/>
    <s v="Inventory Valuation"/>
    <s v="CM/MTI/2025/03039 - [EFSHB144] BOLT HT HEX HEAD M20 X 125MM FULL THREAD WITH NUT AND WASHER GRADE 8.8 / MRQ/2025/04364"/>
    <s v="CM/MTI/2025/03039 - [EFSHB144] BOLT HT HEX HEAD M20 X 125MM FULL THREAD WITH NUT AND WASHER GRADE 8.8 / MRQ/2025/04364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16899"/>
    <n v="0"/>
    <n v="16899"/>
    <s v="TZS"/>
    <s v="[EFSHB144] BOLT HT HEX HEAD M20 X 125MM FULL THREAD WITH NUT AND WASHER GRADE 8.8"/>
    <m/>
    <n v="-6"/>
    <s v="NOS"/>
    <x v="0"/>
    <x v="0"/>
    <x v="8"/>
    <x v="3"/>
    <n v="6.6270588235294117"/>
    <n v="0"/>
  </r>
  <r>
    <n v="1096"/>
    <d v="2025-09-22T00:00:00"/>
    <x v="119"/>
    <s v="STJ/2025/09/11332"/>
    <s v="Inventory Valuation"/>
    <s v="CM/MTI/2025/03030 - [CPMBG002] BAG EMPTY FOR CEMENT PACKING GRADE 42.5R MATERIAL WOVEN POLYPROPYLENE CAPACITY 50KG COLOR ORANGE / MRQ/2025/04326"/>
    <s v="CM/MTI/2025/03030 - [CPMBG002] BAG EMPTY FOR CEMENT PACKING GRADE 42.5R MATERIAL WOVEN POLYPROPYLENE CAPACITY 50KG COLOR ORANGE / MRQ/2025/04326"/>
    <m/>
    <m/>
    <s v="MATERIAL COST"/>
    <s v="Expenses"/>
    <s v="731006"/>
    <s v="731006 PACKING BAGS CONSUMED"/>
    <s v="CWIP-QUARRY RAW MATERIAL SHED EXTENSION"/>
    <s v="QUARRY"/>
    <s v="MECHANICAL"/>
    <n v="117600.05"/>
    <n v="0"/>
    <n v="117600.05"/>
    <s v="TZS"/>
    <s v="[CPMBG002] BAG EMPTY FOR CEMENT PACKING GRADE 42.5R MATERIAL WOVEN POLYPROPYLENE CAPACITY 50KG COLOR ORANGE"/>
    <m/>
    <n v="-280"/>
    <s v="NOS"/>
    <x v="0"/>
    <x v="0"/>
    <x v="18"/>
    <x v="7"/>
    <n v="46.117666666666665"/>
    <n v="0"/>
  </r>
  <r>
    <n v="1097"/>
    <d v="2025-09-23T00:00:00"/>
    <x v="120"/>
    <s v="STJ/2025/09/12943"/>
    <s v="Inventory Valuation"/>
    <s v="CM/MTI/2025/03054 - [EFSHB096] BOLT HT HEX HEAD M12 X 50MM FULL THREAD WITH NUT AND WASHER GRADE 8.8 / MRQ/2025/04388"/>
    <s v="CM/MTI/2025/03054 - [EFSHB096] BOLT HT HEX HEAD M12 X 50MM FULL THREAD WITH NUT AND WASHER GRADE 8.8 / MRQ/2025/04388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45000"/>
    <n v="0"/>
    <n v="45000"/>
    <s v="TZS"/>
    <s v="[EFSHB096] BOLT HT HEX HEAD M12 X 50MM FULL THREAD WITH NUT AND WASHER GRADE 8.8"/>
    <m/>
    <n v="-50"/>
    <s v="NOS"/>
    <x v="0"/>
    <x v="0"/>
    <x v="8"/>
    <x v="3"/>
    <n v="17.647058823529413"/>
    <n v="0"/>
  </r>
  <r>
    <n v="1098"/>
    <d v="2025-09-23T00:00:00"/>
    <x v="120"/>
    <s v="STJ/2025/09/12492"/>
    <s v="Inventory Valuation"/>
    <s v="LOG/MTI/2025/01108 - [EFSHB219] BOLT HT HEX HEAD M16 X 70MM HALF THREAD WITH NUT AND WASHER GRADE 10.9 / MRQ/2025/04288_x000a_Rounding Adjustment: -0.01 TSh"/>
    <s v="LOG/MTI/2025/01108 - [EFSHB219] BOLT HT HEX HEAD M16 X 70MM HALF THREAD WITH NUT AND WASHER GRADE 10.9 / MRQ/2025/04288_x000a_Rounding Adjustment: -0.01 TSh"/>
    <m/>
    <m/>
    <s v="MATERIAL COST"/>
    <s v="Expenses"/>
    <s v="731002"/>
    <s v="731002 STORE SPARES &amp; CONSUMABLES - GENERAL"/>
    <s v="CWIP-FABRICATION OF INHOUSE TRAILOR"/>
    <s v="LOGISTIC DIVISION"/>
    <s v="LOGISTIC DIVISION"/>
    <n v="19879.88"/>
    <n v="0"/>
    <n v="19879.88"/>
    <s v="TZS"/>
    <s v="[EFSHB219] BOLT HT HEX HEAD M16 X 70MM HALF THREAD WITH NUT AND WASHER GRADE 10.9"/>
    <m/>
    <n v="-10"/>
    <s v="NOS"/>
    <x v="0"/>
    <x v="0"/>
    <x v="12"/>
    <x v="1"/>
    <n v="7.7960313725490202"/>
    <n v="0"/>
  </r>
  <r>
    <n v="1099"/>
    <d v="2025-09-23T00:00:00"/>
    <x v="120"/>
    <s v="STJ/2025/09/12511"/>
    <s v="Inventory Valuation"/>
    <s v="LOG/MTI/2025/01111 - [LGS0079] CUTTING WHEEL - 9'' / MRQ/2025/04287"/>
    <s v="LOG/MTI/2025/01111 - [LGS0079] CUTTING WHEEL - 9'' / MRQ/2025/04287"/>
    <m/>
    <m/>
    <s v="MATERIAL COST"/>
    <s v="Expenses"/>
    <s v="731002"/>
    <s v="731002 STORE SPARES &amp; CONSUMABLES - GENERAL"/>
    <s v="CWIP-FABRICATION OF INHOUSE TRAILOR"/>
    <s v="LOGISTIC DIVISION"/>
    <s v="LOGISTIC DIVISION"/>
    <n v="9661.02"/>
    <n v="0"/>
    <n v="9661.02"/>
    <s v="TZS"/>
    <s v="[LGS0079] CUTTING WHEEL - 9''"/>
    <m/>
    <n v="-3"/>
    <s v="NOS"/>
    <x v="0"/>
    <x v="0"/>
    <x v="12"/>
    <x v="1"/>
    <n v="3.7886352941176473"/>
    <n v="0"/>
  </r>
  <r>
    <n v="1100"/>
    <d v="2025-09-24T00:00:00"/>
    <x v="121"/>
    <s v="STJ/2025/09/13669"/>
    <s v="Inventory Valuation"/>
    <s v="CM/MTI/2025/03068 - [CAOFE002] AIR CONDITION UNIT 18000 BTU SPLIT TYPE / MRQ/2025/04403-SAJIV OFFICE"/>
    <s v="CM/MTI/2025/03068 - [CAOFE002] AIR CONDITION UNIT 18000 BTU SPLIT TYPE / MRQ/2025/04403"/>
    <m/>
    <m/>
    <s v="MATERIAL COST"/>
    <s v="Expenses"/>
    <s v="731003"/>
    <s v="731003 STORE SPARES &amp; CONSUMABLES - CA"/>
    <s v="Fixed Asset"/>
    <s v="HO"/>
    <s v="ADMIN"/>
    <n v="1302542.3700000001"/>
    <n v="0"/>
    <n v="1302542.3700000001"/>
    <s v="TZS"/>
    <s v="[CAOFE002] AIR CONDITION UNIT 18000 BTU SPLIT TYPE"/>
    <m/>
    <n v="-1"/>
    <s v="NOS"/>
    <x v="0"/>
    <x v="2"/>
    <x v="16"/>
    <x v="1"/>
    <n v="510.80092941176474"/>
    <n v="0"/>
  </r>
  <r>
    <n v="1101"/>
    <d v="2025-09-25T00:00:00"/>
    <x v="122"/>
    <s v="STJ/2025/09/14086"/>
    <s v="Inventory Valuation"/>
    <s v="CM/MTI/2025/03101 - [CWCGC041] CUTTING WHEEL 7'' / MRQ/2025/04417"/>
    <s v="CM/MTI/2025/03101 - [CWCGC041] CUTTING WHEEL 7'' / MRQ/2025/0441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25767.91"/>
    <n v="0"/>
    <n v="25767.91"/>
    <s v="TZS"/>
    <s v="[CWCGC041] CUTTING WHEEL 7''"/>
    <m/>
    <n v="-8"/>
    <s v="NOS"/>
    <x v="0"/>
    <x v="0"/>
    <x v="9"/>
    <x v="4"/>
    <n v="10.105062745098039"/>
    <n v="0"/>
  </r>
  <r>
    <n v="1102"/>
    <d v="2025-09-25T00:00:00"/>
    <x v="122"/>
    <s v="STJ/2025/09/14087"/>
    <s v="Inventory Valuation"/>
    <s v="CM/MTI/2025/03101 - [CWCWR003] WELDING ELECTRODE MS 6013 SIZE 4 MM X 450 MM / MRQ/2025/04417"/>
    <s v="CM/MTI/2025/03101 - [CWCWR003] WELDING ELECTRODE MS 6013 SIZE 4 MM X 450 MM / MRQ/2025/04417"/>
    <m/>
    <m/>
    <s v="MATERIAL COST"/>
    <s v="Expenses"/>
    <s v="731002"/>
    <s v="731002 STORE SPARES &amp; CONSUMABLES - GENERAL"/>
    <s v="CWIP-CONSTRUCTION OF NEW RAW MILL FEEDING AND UPGRADATION"/>
    <s v="RAW MILL-2"/>
    <s v="MECHANICAL"/>
    <n v="102437.74"/>
    <n v="0"/>
    <n v="102437.74"/>
    <s v="TZS"/>
    <s v="[CWCWR003] WELDING ELECTRODE MS 6013 SIZE 4 MM X 450 MM"/>
    <m/>
    <n v="-25"/>
    <s v="KG"/>
    <x v="0"/>
    <x v="0"/>
    <x v="9"/>
    <x v="4"/>
    <n v="40.17166274509804"/>
    <n v="0"/>
  </r>
  <r>
    <n v="1103"/>
    <d v="2025-09-25T00:00:00"/>
    <x v="122"/>
    <s v="STJ/2025/09/14100"/>
    <s v="Inventory Valuation"/>
    <s v="CM/MTI/2025/03106 - [CPMBG006] BAG EMPTY FOR CEMENT PACKING GRADE 42.5N MATERIAL WOVEN POLYPROPYLENE CAPACITY 1MT COLOR RED / MRQ/2025/04394_x000a_Rounding Adjustment: +0.01 TSh"/>
    <s v="CM/MTI/2025/03106 - [CPMBG006] BAG EMPTY FOR CEMENT PACKING GRADE 42.5N MATERIAL WOVEN POLYPROPYLENE CAPACITY 1MT COLOR RED / MRQ/2025/04394_x000a_Rounding Adjustment: +0.01 TSh"/>
    <m/>
    <m/>
    <s v="MATERIAL COST"/>
    <s v="Expenses"/>
    <s v="731006"/>
    <s v="731006 PACKING BAGS CONSUMED"/>
    <s v="CWIP-CONSTRUCTION OF PLANT BOUNDARY WALL"/>
    <s v="PROJECT"/>
    <s v="MECHANICAL"/>
    <n v="40348.21"/>
    <n v="0"/>
    <n v="40348.21"/>
    <s v="TZS"/>
    <s v="[CPMBG006] BAG EMPTY FOR CEMENT PACKING GRADE 42.5N MATERIAL WOVEN POLYPROPYLENE CAPACITY 1MT COLOR RED"/>
    <m/>
    <n v="-2"/>
    <s v="NOS"/>
    <x v="0"/>
    <x v="0"/>
    <x v="21"/>
    <x v="8"/>
    <n v="15.822827450980391"/>
    <n v="60000"/>
  </r>
  <r>
    <n v="1104"/>
    <d v="2025-09-27T00:00:00"/>
    <x v="123"/>
    <s v="STJ/2025/09/14942"/>
    <s v="Inventory Valuation"/>
    <s v="CM/MTI/2025/03145 - [CCLGC327] TMT BAR SIZE 8 MM GRADE FY500. / MRQ/2025/04393_x000a_Rounding Adjustment: -0.01 TSh"/>
    <s v="CM/MTI/2025/03145 - [CCLGC327] TMT BAR SIZE 8 MM GRADE FY500. / MRQ/2025/04393_x000a_Rounding Adjustment: -0.01 TSh"/>
    <m/>
    <m/>
    <s v="MATERIAL COST"/>
    <s v="Expenses"/>
    <s v="731002"/>
    <s v="731002 STORE SPARES &amp; CONSUMABLES - GENERAL"/>
    <s v="CWIP-CONSTRUCTION OF PLANT BOUNDARY WALL"/>
    <s v="PROJECT"/>
    <s v="MECHANICAL"/>
    <n v="474715.15"/>
    <n v="0"/>
    <n v="474715.15"/>
    <s v="TZS"/>
    <s v="[CCLGC327] TMT BAR SIZE 8 MM GRADE FY500."/>
    <m/>
    <n v="-50"/>
    <s v="PCS"/>
    <x v="0"/>
    <x v="0"/>
    <x v="21"/>
    <x v="8"/>
    <n v="186.16280392156864"/>
    <n v="0"/>
  </r>
  <r>
    <n v="1105"/>
    <d v="2025-09-27T00:00:00"/>
    <x v="123"/>
    <s v="STJ/2025/09/14943"/>
    <s v="Inventory Valuation"/>
    <s v="CM/MTI/2025/03145 - [CCLGC328] TMT BAR SIZE 10 MM GRADE FY500. / MRQ/2025/04393"/>
    <s v="CM/MTI/2025/03145 - [CCLGC328] TMT BAR SIZE 10 MM GRADE FY500. / MRQ/2025/04393"/>
    <m/>
    <m/>
    <s v="MATERIAL COST"/>
    <s v="Expenses"/>
    <s v="731002"/>
    <s v="731002 STORE SPARES &amp; CONSUMABLES - GENERAL"/>
    <s v="CWIP-CONSTRUCTION OF PLANT BOUNDARY WALL"/>
    <s v="PROJECT"/>
    <s v="MECHANICAL"/>
    <n v="726054.14"/>
    <n v="0"/>
    <n v="726054.14"/>
    <s v="TZS"/>
    <s v="[CCLGC328] TMT BAR SIZE 10 MM GRADE FY500."/>
    <m/>
    <n v="-50"/>
    <s v="PCS"/>
    <x v="0"/>
    <x v="0"/>
    <x v="21"/>
    <x v="8"/>
    <n v="284.7271137254902"/>
    <n v="0"/>
  </r>
  <r>
    <n v="1106"/>
    <d v="2025-09-27T00:00:00"/>
    <x v="123"/>
    <s v="STJ/2025/09/14903"/>
    <s v="Inventory Valuation"/>
    <s v="CM/MTI/2025/03131 - [CCLGC032] WIRE FOR BINDING / MRQ/2025/04496"/>
    <s v="CM/MTI/2025/03131 - [CCLGC032] WIRE FOR BINDING / MRQ/2025/04496"/>
    <m/>
    <m/>
    <s v="MATERIAL COST"/>
    <s v="Expenses"/>
    <s v="731002"/>
    <s v="731002 STORE SPARES &amp; CONSUMABLES - GENERAL"/>
    <s v="CWIP-QUARRY RAW MATERIAL SHED EXTENSION"/>
    <s v="QUARRY"/>
    <s v="MECHANICAL"/>
    <n v="68500"/>
    <n v="0"/>
    <n v="68500"/>
    <s v="TZS"/>
    <s v="[CCLGC032] WIRE FOR BINDING"/>
    <m/>
    <n v="-13.7"/>
    <s v="KG"/>
    <x v="0"/>
    <x v="0"/>
    <x v="18"/>
    <x v="7"/>
    <n v="26.862745098039216"/>
    <n v="0"/>
  </r>
  <r>
    <n v="1107"/>
    <d v="2025-09-27T00:00:00"/>
    <x v="123"/>
    <s v="STJ/2025/09/14932"/>
    <s v="Inventory Valuation"/>
    <s v="CM/MTI/2025/03142 - [CIGGS001] GAS OXYGEN FULL CYLINDER, O2 / MRQ/2025/04530"/>
    <s v="CM/MTI/2025/03142 - [CIGGS001] GAS OXYGEN FULL CYLINDER, O2 / MRQ/2025/04530"/>
    <m/>
    <m/>
    <s v="MATERIAL COST"/>
    <s v="Expenses"/>
    <s v="731002"/>
    <s v="731002 STORE SPARES &amp; CONSUMABLES - GENERAL"/>
    <s v="Inventory Spares Consumable"/>
    <s v="RAW MILL-2"/>
    <s v="MECHANICAL"/>
    <n v="105000"/>
    <n v="0"/>
    <n v="105000"/>
    <s v="TZS"/>
    <s v="[CIGGS001] GAS OXYGEN FULL CYLINDER, O2"/>
    <m/>
    <n v="-7"/>
    <s v="NOS"/>
    <x v="0"/>
    <x v="0"/>
    <x v="8"/>
    <x v="3"/>
    <n v="41.176470588235297"/>
    <n v="0"/>
  </r>
  <r>
    <n v="1108"/>
    <d v="2025-09-27T00:00:00"/>
    <x v="123"/>
    <s v="STJ/2025/09/14933"/>
    <s v="Inventory Valuation"/>
    <s v="CM/MTI/2025/03142 - [CWCGC041] CUTTING WHEEL 7'' / MRQ/2025/04530"/>
    <s v="CM/MTI/2025/03142 - [CWCGC041] CUTTING WHEEL 7'' / MRQ/2025/04530"/>
    <m/>
    <m/>
    <s v="MATERIAL COST"/>
    <s v="Expenses"/>
    <s v="731002"/>
    <s v="731002 STORE SPARES &amp; CONSUMABLES - GENERAL"/>
    <s v="Inventory Spares Consumable"/>
    <s v="RAW MILL-2"/>
    <s v="MECHANICAL"/>
    <n v="19325.93"/>
    <n v="0"/>
    <n v="19325.93"/>
    <s v="TZS"/>
    <s v="[CWCGC041] CUTTING WHEEL 7''"/>
    <m/>
    <n v="-6"/>
    <s v="NOS"/>
    <x v="0"/>
    <x v="0"/>
    <x v="8"/>
    <x v="3"/>
    <n v="7.578796078431373"/>
    <n v="0"/>
  </r>
  <r>
    <n v="1109"/>
    <d v="2025-09-19T06:26:32"/>
    <x v="124"/>
    <s v="SERBL/2025/09/0126"/>
    <s v="Service Bills"/>
    <s v="HOTEL CHARGES "/>
    <s v="HS19169"/>
    <s v="CMLT1235"/>
    <s v="Hotel Sapphire"/>
    <s v="CAPITAL WORK IN PROGRESS"/>
    <s v="Fixed Assets"/>
    <s v="371056"/>
    <s v="371056 MINERAL EXPLORATION &amp; DEVELOPMENT-TARAWANDA"/>
    <s v="Corporate"/>
    <s v="HO"/>
    <s v="ADMIN"/>
    <n v="1361.36"/>
    <n v="0"/>
    <n v="1361.36"/>
    <s v="TZS"/>
    <m/>
    <m/>
    <n v="1"/>
    <m/>
    <x v="0"/>
    <x v="0"/>
    <x v="1"/>
    <x v="1"/>
    <n v="0.5338666666666666"/>
    <n v="0"/>
  </r>
  <r>
    <n v="1110"/>
    <d v="2025-09-19T06:26:32"/>
    <x v="124"/>
    <s v="SERBL/2025/09/0126"/>
    <s v="Service Bills"/>
    <s v="HOTEL CHARGES "/>
    <s v="HS19169"/>
    <s v="CMLT1235"/>
    <s v="Hotel Sapphire"/>
    <s v="CAPITAL WORK IN PROGRESS"/>
    <s v="Fixed Assets"/>
    <s v="371056"/>
    <s v="371056 MINERAL EXPLORATION &amp; DEVELOPMENT-TARAWANDA"/>
    <s v="Corporate"/>
    <s v="HO"/>
    <s v="ADMIN"/>
    <n v="200541.22"/>
    <n v="0"/>
    <n v="200541.22"/>
    <s v="TZS"/>
    <m/>
    <m/>
    <n v="1"/>
    <m/>
    <x v="0"/>
    <x v="0"/>
    <x v="1"/>
    <x v="1"/>
    <n v="78.643615686274515"/>
    <n v="0"/>
  </r>
  <r>
    <n v="1111"/>
    <d v="2025-09-29T00:00:00"/>
    <x v="124"/>
    <s v="STJ/2025/09/16577"/>
    <s v="Inventory Valuation"/>
    <s v="CM/MTI/2025/03161 - [CAOFE005] AIR CONDITION UNIT 24000 BTU SPLIT TYPE  / MRQ/2025/04517"/>
    <s v="CM/MTI/2025/03161 - [CAOFE005] AIR CONDITION UNIT 24000 BTU SPLIT TYPE  / MRQ/2025/04517"/>
    <m/>
    <m/>
    <s v="MATERIAL COST"/>
    <s v="Expenses"/>
    <s v="731003"/>
    <s v="731003 STORE SPARES &amp; CONSUMABLES - CA"/>
    <s v="Fixed Asset"/>
    <s v="COAL MILL"/>
    <s v="ELECTRICAL"/>
    <n v="2542372.88"/>
    <n v="0"/>
    <n v="2542372.88"/>
    <s v="TZS"/>
    <s v="[CAOFE005] AIR CONDITION UNIT 24000 BTU SPLIT TYPE "/>
    <m/>
    <n v="-2"/>
    <s v="NOS"/>
    <x v="0"/>
    <x v="2"/>
    <x v="16"/>
    <x v="1"/>
    <n v="997.00897254901952"/>
    <n v="0"/>
  </r>
  <r>
    <n v="1112"/>
    <d v="2025-09-29T00:00:00"/>
    <x v="124"/>
    <s v="STJ/2025/09/16559"/>
    <s v="Inventory Valuation"/>
    <s v="CM/MTI/2025/03152 - [CCLGC038] TIMBER 2 INCH X 4 INCH UNTREATED / MRQ/2025/04551"/>
    <s v="CM/MTI/2025/03152 - [CCLGC038] TIMBER 2 INCH X 4 INCH UNTREATED / MRQ/2025/04551"/>
    <m/>
    <m/>
    <s v="MATERIAL COST"/>
    <s v="Expenses"/>
    <s v="731002"/>
    <s v="731002 STORE SPARES &amp; CONSUMABLES - GENERAL"/>
    <s v="CWIP-CONSTRUCTION OF PLANT BOUNDARY WALL"/>
    <s v="PROJECT"/>
    <s v="MECHANICAL"/>
    <n v="140000"/>
    <n v="0"/>
    <n v="140000"/>
    <s v="TZS"/>
    <s v="[CCLGC038] TIMBER 2 INCH X 4 INCH UNTREATED"/>
    <m/>
    <n v="-20"/>
    <s v="NOS"/>
    <x v="0"/>
    <x v="0"/>
    <x v="21"/>
    <x v="8"/>
    <n v="54.901960784313722"/>
    <n v="0"/>
  </r>
  <r>
    <n v="1113"/>
    <d v="2025-09-29T00:00:00"/>
    <x v="124"/>
    <s v="STJ/2025/09/16560"/>
    <s v="Inventory Valuation"/>
    <s v="CM/MTI/2025/03152 - [CCLGC328] TMT BAR SIZE 10 MM GRADE FY500. / MRQ/2025/04551"/>
    <s v="CM/MTI/2025/03152 - [CCLGC328] TMT BAR SIZE 10 MM GRADE FY500. / MRQ/2025/04551"/>
    <m/>
    <m/>
    <s v="MATERIAL COST"/>
    <s v="Expenses"/>
    <s v="731002"/>
    <s v="731002 STORE SPARES &amp; CONSUMABLES - GENERAL"/>
    <s v="CWIP-CONSTRUCTION OF PLANT BOUNDARY WALL"/>
    <s v="PROJECT"/>
    <s v="MECHANICAL"/>
    <n v="726054.14"/>
    <n v="0"/>
    <n v="726054.14"/>
    <s v="TZS"/>
    <s v="[CCLGC328] TMT BAR SIZE 10 MM GRADE FY500."/>
    <m/>
    <n v="-50"/>
    <s v="PCS"/>
    <x v="0"/>
    <x v="0"/>
    <x v="21"/>
    <x v="8"/>
    <n v="284.7271137254902"/>
    <n v="0"/>
  </r>
  <r>
    <n v="1114"/>
    <d v="2025-09-29T00:00:00"/>
    <x v="124"/>
    <s v="STJ/2025/09/16561"/>
    <s v="Inventory Valuation"/>
    <s v="CM/MTI/2025/03152 - [CWCGC041] CUTTING WHEEL 7'' / MRQ/2025/04551_x000a_Rounding Adjustment: -0.01 TSh"/>
    <s v="CM/MTI/2025/03152 - [CWCGC041] CUTTING WHEEL 7'' / MRQ/2025/04551_x000a_Rounding Adjustment: -0.01 TSh"/>
    <m/>
    <m/>
    <s v="MATERIAL COST"/>
    <s v="Expenses"/>
    <s v="731002"/>
    <s v="731002 STORE SPARES &amp; CONSUMABLES - GENERAL"/>
    <s v="CWIP-CONSTRUCTION OF PLANT BOUNDARY WALL"/>
    <s v="PROJECT"/>
    <s v="MECHANICAL"/>
    <n v="16104.96"/>
    <n v="0"/>
    <n v="16104.96"/>
    <s v="TZS"/>
    <s v="[CWCGC041] CUTTING WHEEL 7''"/>
    <m/>
    <n v="-5"/>
    <s v="NOS"/>
    <x v="0"/>
    <x v="0"/>
    <x v="21"/>
    <x v="8"/>
    <n v="6.3156705882352941"/>
    <n v="0"/>
  </r>
  <r>
    <n v="1115"/>
    <d v="2025-09-29T00:00:00"/>
    <x v="124"/>
    <s v="STJ/2025/09/16576"/>
    <s v="Inventory Valuation"/>
    <s v="CM/MTI/2025/03160 - [CPALO016] PUTTY STEEL BELZONA 1111 OR MECAFIX 120 / MRQ/2025/04522"/>
    <s v="CM/MTI/2025/03160 - [CPALO016] PUTTY STEEL BELZONA 1111 OR MECAFIX 120 / MRQ/2025/04522"/>
    <m/>
    <m/>
    <s v="MATERIAL COST"/>
    <s v="Expenses"/>
    <s v="731002"/>
    <s v="731002 STORE SPARES &amp; CONSUMABLES - GENERAL"/>
    <s v="Inventory Spares Consumable"/>
    <s v="RAW MILL-2"/>
    <s v="ELECTRICAL"/>
    <n v="720000"/>
    <n v="0"/>
    <n v="720000"/>
    <s v="TZS"/>
    <s v="[CPALO016] PUTTY STEEL BELZONA 1111 OR MECAFIX 120"/>
    <m/>
    <n v="-1"/>
    <s v="KG"/>
    <x v="0"/>
    <x v="0"/>
    <x v="8"/>
    <x v="3"/>
    <n v="282.35294117647061"/>
    <n v="0"/>
  </r>
  <r>
    <n v="1116"/>
    <d v="2025-09-30T08:40:52"/>
    <x v="125"/>
    <s v="SERBL/2025/09/0190"/>
    <s v="Service Bills"/>
    <s v="LPORD/2025/00960: Charges for Transportation of 1x40 empty office container from Lake Cement to Tarawanda"/>
    <s v="PHCL-2025-30"/>
    <s v="CMLT2093"/>
    <s v="Pyramid Haulage Company Limited"/>
    <s v="CAPITAL WORK IN PROGRESS"/>
    <s v="Fixed Assets"/>
    <s v="371056"/>
    <s v="371056 MINERAL EXPLORATION &amp; DEVELOPMENT-TARAWANDA"/>
    <s v="TARAWANDA EXPENSE"/>
    <s v="QUARRY"/>
    <s v="QUARRYING"/>
    <n v="762711.86"/>
    <n v="0"/>
    <n v="762711.86"/>
    <s v="TZS"/>
    <s v="[SER006] Job Contract"/>
    <s v="Misc. Income"/>
    <n v="1"/>
    <s v="NOS"/>
    <x v="0"/>
    <x v="0"/>
    <x v="1"/>
    <x v="1"/>
    <n v="299.10269019607841"/>
    <n v="0"/>
  </r>
  <r>
    <n v="1117"/>
    <d v="2025-09-30T13:18:14"/>
    <x v="125"/>
    <s v="PCVHO/2025/09/0297"/>
    <s v="PCV (PETTY CASH HO)"/>
    <s v="TARAWANDA EXPENSES "/>
    <s v="Being payment for XRF Analysis sample exported for Tarawanda project - Anastazia"/>
    <m/>
    <m/>
    <s v="CAPITAL WORK IN PROGRESS"/>
    <s v="Fixed Assets"/>
    <s v="371056"/>
    <s v="371056 MINERAL EXPLORATION &amp; DEVELOPMENT-TARAWANDA"/>
    <s v="Corporate"/>
    <s v="HO"/>
    <s v="ADMIN"/>
    <n v="88000"/>
    <n v="0"/>
    <n v="88000"/>
    <s v="TZS"/>
    <m/>
    <m/>
    <n v="1"/>
    <m/>
    <x v="0"/>
    <x v="0"/>
    <x v="1"/>
    <x v="1"/>
    <n v="34.509803921568626"/>
    <n v="0"/>
  </r>
  <r>
    <n v="1118"/>
    <d v="2025-09-30T13:15:45"/>
    <x v="125"/>
    <s v="PCVHO/2025/09/0296"/>
    <s v="PCV (PETTY CASH HO)"/>
    <s v="TARAWANDA EXPENSES "/>
    <s v="Being payment for export permit fee of minerals for Talawanda project - Marina"/>
    <m/>
    <m/>
    <s v="CAPITAL WORK IN PROGRESS"/>
    <s v="Fixed Assets"/>
    <s v="371056"/>
    <s v="371056 MINERAL EXPLORATION &amp; DEVELOPMENT-TARAWANDA"/>
    <s v="Corporate"/>
    <s v="HO"/>
    <s v="ADMIN"/>
    <n v="259000"/>
    <n v="0"/>
    <n v="259000"/>
    <s v="TZS"/>
    <m/>
    <m/>
    <n v="1"/>
    <m/>
    <x v="0"/>
    <x v="0"/>
    <x v="1"/>
    <x v="1"/>
    <n v="101.56862745098039"/>
    <n v="0"/>
  </r>
  <r>
    <n v="1"/>
    <d v="2025-10-01T08:44:14"/>
    <x v="126"/>
    <s v="PCVLG/2025/10/0004"/>
    <s v="PCV (PETTY CASH LOGISTIC)"/>
    <m/>
    <s v="CASH PAID FOR ON   COMPLETE PAITING PREPARATION AND PAINTING OF NEW TRILER"/>
    <m/>
    <m/>
    <s v="CAPITAL WORK IN PROGRESS"/>
    <s v="Fixed Assets"/>
    <s v="371058"/>
    <s v="371058 CWIP-FABRICATION OF INHOUSE TRAILOR"/>
    <s v="CWIP-FABRICATION OF INHOUSE TRAILOR"/>
    <s v="LOGISTIC DIVISION"/>
    <s v="LOGISTIC DIVISION"/>
    <n v="600000"/>
    <n v="0"/>
    <n v="600000"/>
    <s v="TZS"/>
    <m/>
    <m/>
    <n v="1"/>
    <m/>
    <x v="0"/>
    <x v="0"/>
    <x v="12"/>
    <x v="1"/>
    <n v="235.29411764705881"/>
    <n v="0"/>
  </r>
  <r>
    <n v="2"/>
    <d v="2025-10-02T13:56:10"/>
    <x v="127"/>
    <s v="MISC/2025/10/0023"/>
    <s v="Miscellaneous Operations"/>
    <s v="ACCOMODATION FROM 05/09/2025 TO 24/09/2025"/>
    <s v="BEING AMOUNT OF TARAWANDA ACCOMODATION AND HIRED VEHICLEEXPENSE FROM 10/09/2025 TO 25/09/2025"/>
    <s v="LCL/KIMB/071"/>
    <s v="ARNOLD KADURI"/>
    <s v="CAPITAL WORK IN PROGRESS"/>
    <s v="Fixed Assets"/>
    <s v="371056"/>
    <s v="371056 MINERAL EXPLORATION &amp; DEVELOPMENT-TARAWANDA"/>
    <s v="TARAWANDA EXPENSE"/>
    <s v="QUARRY"/>
    <s v="QUARRYING"/>
    <n v="1000000"/>
    <n v="0"/>
    <n v="1000000"/>
    <s v="TZS"/>
    <m/>
    <m/>
    <n v="1"/>
    <m/>
    <x v="0"/>
    <x v="0"/>
    <x v="1"/>
    <x v="1"/>
    <n v="392.15686274509807"/>
    <n v="0"/>
  </r>
  <r>
    <n v="3"/>
    <d v="2025-10-02T13:56:10"/>
    <x v="127"/>
    <s v="MISC/2025/10/0023"/>
    <s v="Miscellaneous Operations"/>
    <s v="Hired Vehicle 10days from 15/09/25 to 25/09/2025"/>
    <s v="BEING AMOUNT OF TARAWANDA ACCOMODATION AND HIRED VEHICLEEXPENSE FROM 10/09/2025 TO 25/09/2025"/>
    <m/>
    <m/>
    <s v="CAPITAL WORK IN PROGRESS"/>
    <s v="Fixed Assets"/>
    <s v="371056"/>
    <s v="371056 MINERAL EXPLORATION &amp; DEVELOPMENT-TARAWANDA"/>
    <s v="TARAWANDA EXPENSE"/>
    <s v="QUARRY"/>
    <s v="QUARRYING"/>
    <n v="1500000"/>
    <n v="0"/>
    <n v="1500000"/>
    <s v="TZS"/>
    <m/>
    <m/>
    <n v="1"/>
    <m/>
    <x v="0"/>
    <x v="0"/>
    <x v="1"/>
    <x v="1"/>
    <n v="588.23529411764707"/>
    <n v="0"/>
  </r>
  <r>
    <n v="4"/>
    <d v="2025-10-02T13:56:10"/>
    <x v="127"/>
    <s v="MISC/2025/10/0023"/>
    <s v="Miscellaneous Operations"/>
    <s v="ACCOMODATION FROM 10/09/2025 TO 20/09/2025"/>
    <s v="BEING AMOUNT OF TARAWANDA ACCOMODATION AND HIRED VEHICLEEXPENSE FROM 10/09/2025 TO 25/09/2025"/>
    <s v="LCL/KIMB/1063"/>
    <s v="IBRAHIM NYAKIBOHA"/>
    <s v="CAPITAL WORK IN PROGRESS"/>
    <s v="Fixed Assets"/>
    <s v="371056"/>
    <s v="371056 MINERAL EXPLORATION &amp; DEVELOPMENT-TARAWANDA"/>
    <s v="TARAWANDA EXPENSE"/>
    <s v="QUARRY"/>
    <s v="QUARRYING"/>
    <n v="500000"/>
    <n v="0"/>
    <n v="500000"/>
    <s v="TZS"/>
    <m/>
    <m/>
    <n v="1"/>
    <m/>
    <x v="0"/>
    <x v="0"/>
    <x v="1"/>
    <x v="1"/>
    <n v="196.07843137254903"/>
    <n v="0"/>
  </r>
  <r>
    <n v="5"/>
    <d v="2025-10-04T10:20:48"/>
    <x v="128"/>
    <s v="AST/2025/10/0001"/>
    <s v="Assets"/>
    <s v="TOYOTA PROBOX T406CTT"/>
    <s v="TOYOTA PROBOX T406CTT: Sale Against Inv No. INV/2025/10/00313"/>
    <m/>
    <m/>
    <s v="VEHICLES"/>
    <s v="Fixed Assets"/>
    <s v="351001"/>
    <s v="351001 VEHICLES - PASSENGER"/>
    <s v="TOYOTA PROBOX T406CTT"/>
    <s v="UTILITY"/>
    <m/>
    <n v="0"/>
    <n v="10169492"/>
    <n v="-10169492"/>
    <s v="TZS"/>
    <m/>
    <m/>
    <n v="1"/>
    <m/>
    <x v="0"/>
    <x v="4"/>
    <x v="20"/>
    <x v="5"/>
    <n v="-3988.0360784313725"/>
    <n v="0"/>
  </r>
  <r>
    <n v="6"/>
    <d v="2025-10-06T14:48:58"/>
    <x v="129"/>
    <s v="STJ/2025/10/02504"/>
    <s v="Inventory Valuation"/>
    <s v="CM/MTI/2025/03308 - [PROCM204] SHEET ALUMINIUM SIZE 24 SWG FOR INSULATION / MRQ/2025/04690"/>
    <s v="CM/MTI/2025/03308 - [PROCM204] SHEET ALUMINIUM SIZE 24 SWG FOR INSULATION / MRQ/2025/04690"/>
    <m/>
    <m/>
    <s v="CAPITAL WORK IN PROGRESS"/>
    <s v="Fixed Assets"/>
    <s v="371023"/>
    <s v="371023 CWIP-CEMENT MILL 50TPH NEW"/>
    <s v="Inventory Spares Consumable"/>
    <s v="UTILITY"/>
    <s v="MECHANICAL"/>
    <n v="2156000"/>
    <n v="0"/>
    <n v="2156000"/>
    <s v="TZS"/>
    <s v="[PROCM204] SHEET ALUMINIUM SIZE 24 SWG FOR INSULATION"/>
    <s v="CEMENT MILL"/>
    <n v="-125"/>
    <s v="KG"/>
    <x v="0"/>
    <x v="0"/>
    <x v="9"/>
    <x v="4"/>
    <n v="845.49019607843138"/>
    <n v="0"/>
  </r>
  <r>
    <n v="7"/>
    <d v="2025-10-08T07:55:28"/>
    <x v="130"/>
    <s v="SERBL/2025/10/0035"/>
    <s v="Service Bills"/>
    <s v="AIR TICKET CHARGES "/>
    <s v="DTI00002857"/>
    <s v="CMMI1985"/>
    <s v="Blueberry Travel India Private Limited"/>
    <s v="CAPITAL WORK IN PROGRESS"/>
    <s v="Fixed Assets"/>
    <s v="371056"/>
    <s v="371056 MINERAL EXPLORATION &amp; DEVELOPMENT-TARAWANDA"/>
    <s v="Corporate"/>
    <s v="HO"/>
    <m/>
    <n v="685746"/>
    <n v="0"/>
    <n v="685746"/>
    <s v="INR"/>
    <m/>
    <m/>
    <n v="1"/>
    <m/>
    <x v="0"/>
    <x v="0"/>
    <x v="1"/>
    <x v="1"/>
    <n v="268.92"/>
    <n v="0"/>
  </r>
  <r>
    <n v="8"/>
    <d v="2025-10-10T14:34:00"/>
    <x v="131"/>
    <s v="STJ/2025/10/05404"/>
    <s v="Inventory Valuation"/>
    <s v="CM/MTI/2025/03392 - [PROCM204] SHEET ALUMINIUM SIZE 24 SWG FOR INSULATION / MRQ/2025/04870"/>
    <s v="CM/MTI/2025/03392 - [PROCM204] SHEET ALUMINIUM SIZE 24 SWG FOR INSULATION / MRQ/2025/04870"/>
    <m/>
    <m/>
    <s v="CAPITAL WORK IN PROGRESS"/>
    <s v="Fixed Assets"/>
    <s v="371023"/>
    <s v="371023 CWIP-CEMENT MILL 50TPH NEW"/>
    <s v="Inventory Spares Consumable"/>
    <s v="CEMENT MILL -1"/>
    <s v="MECHANICAL"/>
    <n v="1164240"/>
    <n v="0"/>
    <n v="1164240"/>
    <s v="TZS"/>
    <s v="[PROCM204] SHEET ALUMINIUM SIZE 24 SWG FOR INSULATION"/>
    <s v="CEMENT MILL"/>
    <n v="-67.5"/>
    <s v="KG"/>
    <x v="0"/>
    <x v="0"/>
    <x v="9"/>
    <x v="4"/>
    <n v="456.56470588235294"/>
    <n v="0"/>
  </r>
  <r>
    <n v="9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350000"/>
    <n v="0"/>
    <n v="350000"/>
    <s v="TZS"/>
    <m/>
    <m/>
    <n v="1"/>
    <m/>
    <x v="0"/>
    <x v="0"/>
    <x v="1"/>
    <x v="1"/>
    <n v="137.25490196078431"/>
    <n v="0"/>
  </r>
  <r>
    <n v="10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750000"/>
    <n v="0"/>
    <n v="750000"/>
    <s v="TZS"/>
    <m/>
    <m/>
    <n v="1"/>
    <m/>
    <x v="0"/>
    <x v="0"/>
    <x v="1"/>
    <x v="1"/>
    <n v="294.11764705882354"/>
    <n v="0"/>
  </r>
  <r>
    <n v="11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750000"/>
    <n v="0"/>
    <n v="750000"/>
    <s v="TZS"/>
    <m/>
    <m/>
    <n v="1"/>
    <m/>
    <x v="0"/>
    <x v="0"/>
    <x v="1"/>
    <x v="1"/>
    <n v="294.11764705882354"/>
    <n v="0"/>
  </r>
  <r>
    <n v="12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250000"/>
    <n v="0"/>
    <n v="250000"/>
    <s v="TZS"/>
    <m/>
    <m/>
    <n v="1"/>
    <m/>
    <x v="0"/>
    <x v="0"/>
    <x v="1"/>
    <x v="1"/>
    <n v="98.039215686274517"/>
    <n v="0"/>
  </r>
  <r>
    <n v="13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750000"/>
    <n v="0"/>
    <n v="750000"/>
    <s v="TZS"/>
    <m/>
    <m/>
    <n v="1"/>
    <m/>
    <x v="0"/>
    <x v="0"/>
    <x v="1"/>
    <x v="1"/>
    <n v="294.11764705882354"/>
    <n v="0"/>
  </r>
  <r>
    <n v="14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300000"/>
    <n v="0"/>
    <n v="300000"/>
    <s v="TZS"/>
    <m/>
    <m/>
    <n v="1"/>
    <m/>
    <x v="0"/>
    <x v="0"/>
    <x v="1"/>
    <x v="1"/>
    <n v="117.64705882352941"/>
    <n v="0"/>
  </r>
  <r>
    <n v="15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750000"/>
    <n v="0"/>
    <n v="750000"/>
    <s v="TZS"/>
    <m/>
    <m/>
    <n v="1"/>
    <m/>
    <x v="0"/>
    <x v="0"/>
    <x v="1"/>
    <x v="1"/>
    <n v="294.11764705882354"/>
    <n v="0"/>
  </r>
  <r>
    <n v="16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500000"/>
    <n v="0"/>
    <n v="500000"/>
    <s v="TZS"/>
    <m/>
    <m/>
    <n v="1"/>
    <m/>
    <x v="0"/>
    <x v="0"/>
    <x v="1"/>
    <x v="1"/>
    <n v="196.07843137254903"/>
    <n v="0"/>
  </r>
  <r>
    <n v="17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250000"/>
    <n v="0"/>
    <n v="250000"/>
    <s v="TZS"/>
    <m/>
    <m/>
    <n v="1"/>
    <m/>
    <x v="0"/>
    <x v="0"/>
    <x v="1"/>
    <x v="1"/>
    <n v="98.039215686274517"/>
    <n v="0"/>
  </r>
  <r>
    <n v="18"/>
    <d v="2025-10-10T09:16:42"/>
    <x v="131"/>
    <s v="MISC/2025/10/0163"/>
    <s v="Miscellaneous Operations"/>
    <s v="SETTLEMENTS AGAINST IMPREST "/>
    <s v="BEING SETTLEMENT AGAINST IMPREST TAKEN BY MR MUKESH AGRAWAL FOR EXPENSES  DURING TARAWANDA PROJECT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750000"/>
    <n v="0"/>
    <n v="750000"/>
    <s v="TZS"/>
    <m/>
    <m/>
    <n v="1"/>
    <m/>
    <x v="0"/>
    <x v="0"/>
    <x v="1"/>
    <x v="1"/>
    <n v="294.11764705882354"/>
    <n v="0"/>
  </r>
  <r>
    <n v="19"/>
    <d v="2025-10-10T08:26:30"/>
    <x v="131"/>
    <s v="MISC/2025/10/0162"/>
    <s v="Miscellaneous Operations"/>
    <s v="SETTLEMENT AGAINST IMPREST "/>
    <s v="BEING SETTLEMENT AGAINST IMPREST TAKEN BY MR MUKESH AGRAWAL FOR  BANK AND MOBILE CHARGES DURING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52000"/>
    <n v="0"/>
    <n v="52000"/>
    <s v="TZS"/>
    <m/>
    <m/>
    <n v="1"/>
    <m/>
    <x v="0"/>
    <x v="0"/>
    <x v="1"/>
    <x v="1"/>
    <n v="20.392156862745097"/>
    <n v="0"/>
  </r>
  <r>
    <n v="20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65790"/>
    <n v="0"/>
    <n v="165790"/>
    <s v="TZS"/>
    <m/>
    <m/>
    <n v="1"/>
    <m/>
    <x v="0"/>
    <x v="0"/>
    <x v="1"/>
    <x v="1"/>
    <n v="65.015686274509804"/>
    <n v="0"/>
  </r>
  <r>
    <n v="21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552500"/>
    <n v="0"/>
    <n v="552500"/>
    <s v="TZS"/>
    <m/>
    <m/>
    <n v="1"/>
    <m/>
    <x v="0"/>
    <x v="0"/>
    <x v="1"/>
    <x v="1"/>
    <n v="216.66666666666666"/>
    <n v="0"/>
  </r>
  <r>
    <n v="22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20000"/>
    <n v="0"/>
    <n v="120000"/>
    <s v="TZS"/>
    <m/>
    <m/>
    <n v="1"/>
    <m/>
    <x v="0"/>
    <x v="0"/>
    <x v="1"/>
    <x v="1"/>
    <n v="47.058823529411768"/>
    <n v="0"/>
  </r>
  <r>
    <n v="23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16000"/>
    <n v="0"/>
    <n v="116000"/>
    <s v="TZS"/>
    <m/>
    <m/>
    <n v="1"/>
    <m/>
    <x v="0"/>
    <x v="0"/>
    <x v="1"/>
    <x v="1"/>
    <n v="45.490196078431374"/>
    <n v="0"/>
  </r>
  <r>
    <n v="24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472500"/>
    <n v="0"/>
    <n v="1472500"/>
    <s v="TZS"/>
    <m/>
    <m/>
    <n v="1"/>
    <m/>
    <x v="0"/>
    <x v="0"/>
    <x v="1"/>
    <x v="1"/>
    <n v="577.45098039215691"/>
    <n v="0"/>
  </r>
  <r>
    <n v="25"/>
    <d v="2025-10-11T07:01:28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30000"/>
    <n v="0"/>
    <n v="130000"/>
    <s v="TZS"/>
    <m/>
    <m/>
    <n v="1"/>
    <m/>
    <x v="0"/>
    <x v="0"/>
    <x v="1"/>
    <x v="1"/>
    <n v="50.980392156862742"/>
    <n v="0"/>
  </r>
  <r>
    <n v="26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50000"/>
    <n v="0"/>
    <n v="50000"/>
    <s v="TZS"/>
    <m/>
    <m/>
    <n v="1"/>
    <m/>
    <x v="0"/>
    <x v="0"/>
    <x v="1"/>
    <x v="1"/>
    <n v="19.607843137254903"/>
    <n v="0"/>
  </r>
  <r>
    <n v="27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920000"/>
    <n v="0"/>
    <n v="920000"/>
    <s v="TZS"/>
    <m/>
    <m/>
    <n v="1"/>
    <m/>
    <x v="0"/>
    <x v="0"/>
    <x v="1"/>
    <x v="1"/>
    <n v="360.78431372549022"/>
    <n v="0"/>
  </r>
  <r>
    <n v="28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20000"/>
    <n v="0"/>
    <n v="20000"/>
    <s v="TZS"/>
    <m/>
    <m/>
    <n v="1"/>
    <m/>
    <x v="0"/>
    <x v="0"/>
    <x v="1"/>
    <x v="1"/>
    <n v="7.8431372549019605"/>
    <n v="0"/>
  </r>
  <r>
    <n v="29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30000"/>
    <n v="0"/>
    <n v="30000"/>
    <s v="TZS"/>
    <m/>
    <m/>
    <n v="1"/>
    <m/>
    <x v="0"/>
    <x v="0"/>
    <x v="1"/>
    <x v="1"/>
    <n v="11.764705882352942"/>
    <n v="0"/>
  </r>
  <r>
    <n v="30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50000"/>
    <n v="0"/>
    <n v="50000"/>
    <s v="TZS"/>
    <m/>
    <m/>
    <n v="1"/>
    <m/>
    <x v="0"/>
    <x v="0"/>
    <x v="1"/>
    <x v="1"/>
    <n v="19.607843137254903"/>
    <n v="0"/>
  </r>
  <r>
    <n v="31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66000"/>
    <n v="0"/>
    <n v="66000"/>
    <s v="TZS"/>
    <m/>
    <m/>
    <n v="1"/>
    <m/>
    <x v="0"/>
    <x v="0"/>
    <x v="1"/>
    <x v="1"/>
    <n v="25.882352941176471"/>
    <n v="0"/>
  </r>
  <r>
    <n v="32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0000"/>
    <n v="0"/>
    <n v="10000"/>
    <s v="TZS"/>
    <m/>
    <m/>
    <n v="1"/>
    <m/>
    <x v="0"/>
    <x v="0"/>
    <x v="1"/>
    <x v="1"/>
    <n v="3.9215686274509802"/>
    <n v="0"/>
  </r>
  <r>
    <n v="33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5000"/>
    <n v="0"/>
    <n v="15000"/>
    <s v="TZS"/>
    <m/>
    <m/>
    <n v="1"/>
    <m/>
    <x v="0"/>
    <x v="0"/>
    <x v="1"/>
    <x v="1"/>
    <n v="5.882352941176471"/>
    <n v="0"/>
  </r>
  <r>
    <n v="34"/>
    <d v="2025-10-10T08:10:42"/>
    <x v="131"/>
    <s v="MISC/2025/10/0161"/>
    <s v="Miscellaneous Operations"/>
    <s v="SETTLEMENT AGAINST IMPREST "/>
    <s v="BEING SETTLEMENT AGAINST IMPREST TAKEN BY MR MUKESH AGRAWAL FOR TARAWANDA PROJECT EXPENSE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40000"/>
    <n v="0"/>
    <n v="40000"/>
    <s v="TZS"/>
    <m/>
    <m/>
    <n v="1"/>
    <m/>
    <x v="0"/>
    <x v="0"/>
    <x v="1"/>
    <x v="1"/>
    <n v="15.686274509803921"/>
    <n v="0"/>
  </r>
  <r>
    <n v="35"/>
    <d v="2025-10-15T05:40:59"/>
    <x v="132"/>
    <s v="SERBL/2025/10/0086"/>
    <s v="Service Bills"/>
    <s v="LPORD/2025/01075: REQUIRED 2 WELDERS FOR 15 DAYS FOR GYPSUM CIRCUIT READINESS"/>
    <s v="29025"/>
    <s v="CMLT1217"/>
    <s v="Gibs Developers Company"/>
    <s v="CAPITAL WORK IN PROGRESS"/>
    <s v="Fixed Assets"/>
    <s v="371039"/>
    <s v="371039 CWIP-CONSTRUCTION OF LIME STONE AND GYPSUM FEEDING SYSTEM IN CEMENT MILL"/>
    <s v="CWIP-CONSTRUCTION OF LIME STONE AND GYPSUM FEEDING SYSTEM IN CEMENT MILL"/>
    <s v="UTILITY"/>
    <s v="ELECTRICAL"/>
    <n v="2100000"/>
    <n v="0"/>
    <n v="2100000"/>
    <s v="TZS"/>
    <s v="[SER037] Job Contract-15"/>
    <s v="Misc. Income"/>
    <n v="30"/>
    <s v="MANDAY"/>
    <x v="0"/>
    <x v="0"/>
    <x v="8"/>
    <x v="3"/>
    <n v="823.52941176470586"/>
    <n v="0"/>
  </r>
  <r>
    <n v="36"/>
    <d v="2025-10-15T05:40:59"/>
    <x v="132"/>
    <s v="SERBL/2025/10/0086"/>
    <s v="Service Bills"/>
    <s v="LPORD/2025/01075: REQUIRED 2 WELDERS FOR 15 DAYS FOR GYPSUM CIRCUIT READINESS"/>
    <s v="29025"/>
    <s v="CMLT1217"/>
    <s v="Gibs Developers Company"/>
    <s v="CAPITAL WORK IN PROGRESS"/>
    <s v="Fixed Assets"/>
    <s v="371039"/>
    <s v="371039 CWIP-CONSTRUCTION OF LIME STONE AND GYPSUM FEEDING SYSTEM IN CEMENT MILL"/>
    <s v="CWIP-CONSTRUCTION OF LIME STONE AND GYPSUM FEEDING SYSTEM IN CEMENT MILL"/>
    <s v="UTILITY"/>
    <s v="ELECTRICAL"/>
    <n v="910000"/>
    <n v="0"/>
    <n v="910000"/>
    <s v="TZS"/>
    <s v="[SER037] Job Contract-15"/>
    <s v="Misc. Income"/>
    <n v="13"/>
    <s v="MANDAY"/>
    <x v="0"/>
    <x v="0"/>
    <x v="8"/>
    <x v="3"/>
    <n v="356.86274509803923"/>
    <n v="0"/>
  </r>
  <r>
    <n v="37"/>
    <d v="2025-10-15T05:40:59"/>
    <x v="132"/>
    <s v="SERBL/2025/10/0086"/>
    <s v="Service Bills"/>
    <s v="LPORD/2025/01075: REQUIRED 5 HELPERS FOR 15 DAYS FOR GYPSUM CIRCUIT READINESS_x0009_"/>
    <s v="29025"/>
    <s v="CMLT1217"/>
    <s v="Gibs Developers Company"/>
    <s v="CAPITAL WORK IN PROGRESS"/>
    <s v="Fixed Assets"/>
    <s v="371039"/>
    <s v="371039 CWIP-CONSTRUCTION OF LIME STONE AND GYPSUM FEEDING SYSTEM IN CEMENT MILL"/>
    <s v="CWIP-CONSTRUCTION OF LIME STONE AND GYPSUM FEEDING SYSTEM IN CEMENT MILL"/>
    <s v="UTILITY"/>
    <s v="ELECTRICAL"/>
    <n v="390000"/>
    <n v="0"/>
    <n v="390000"/>
    <s v="TZS"/>
    <s v="[SER037] Job Contract-15"/>
    <s v="Misc. Income"/>
    <n v="30"/>
    <s v="MANDAY"/>
    <x v="0"/>
    <x v="0"/>
    <x v="8"/>
    <x v="3"/>
    <n v="152.94117647058823"/>
    <n v="0"/>
  </r>
  <r>
    <n v="38"/>
    <d v="2025-10-15T05:40:59"/>
    <x v="132"/>
    <s v="SERBL/2025/10/0086"/>
    <s v="Service Bills"/>
    <s v="LPORD/2025/01075: REQUIRED 5 HELPERS FOR 15 DAYS FOR GYPSUM CIRCUIT READINESS"/>
    <s v="29025"/>
    <s v="CMLT1217"/>
    <s v="Gibs Developers Company"/>
    <s v="CAPITAL WORK IN PROGRESS"/>
    <s v="Fixed Assets"/>
    <s v="371039"/>
    <s v="371039 CWIP-CONSTRUCTION OF LIME STONE AND GYPSUM FEEDING SYSTEM IN CEMENT MILL"/>
    <s v="CWIP-CONSTRUCTION OF LIME STONE AND GYPSUM FEEDING SYSTEM IN CEMENT MILL"/>
    <s v="UTILITY"/>
    <s v="ELECTRICAL"/>
    <n v="975000"/>
    <n v="0"/>
    <n v="975000"/>
    <s v="TZS"/>
    <s v="[SER037] Job Contract-15"/>
    <s v="Misc. Income"/>
    <n v="75"/>
    <s v="MANDAY"/>
    <x v="0"/>
    <x v="0"/>
    <x v="8"/>
    <x v="3"/>
    <n v="382.35294117647061"/>
    <n v="0"/>
  </r>
  <r>
    <n v="39"/>
    <d v="2025-10-16T14:49:57"/>
    <x v="133"/>
    <s v="STJ/2025/10/08805"/>
    <s v="Inventory Valuation"/>
    <s v="CM/MTI/2025/03470 - [PROCM204] SHEET ALUMINIUM SIZE 24 SWG FOR INSULATION / MRQ/2025/04983"/>
    <s v="CM/MTI/2025/03470 - [PROCM204] SHEET ALUMINIUM SIZE 24 SWG FOR INSULATION / MRQ/2025/04983"/>
    <m/>
    <m/>
    <s v="CAPITAL WORK IN PROGRESS"/>
    <s v="Fixed Assets"/>
    <s v="371023"/>
    <s v="371023 CWIP-CEMENT MILL 50TPH NEW"/>
    <s v="Inventory Spares Consumable"/>
    <s v="CEMENT MILL -2"/>
    <s v="MECHANICAL"/>
    <n v="728728"/>
    <n v="0"/>
    <n v="728728"/>
    <s v="TZS"/>
    <s v="[PROCM204] SHEET ALUMINIUM SIZE 24 SWG FOR INSULATION"/>
    <s v="CEMENT MILL"/>
    <n v="-42.25"/>
    <s v="KG"/>
    <x v="0"/>
    <x v="0"/>
    <x v="9"/>
    <x v="4"/>
    <n v="285.77568627450978"/>
    <n v="0"/>
  </r>
  <r>
    <n v="40"/>
    <d v="2025-10-16T08:18:19"/>
    <x v="133"/>
    <s v="MISC/2025/10/0242"/>
    <s v="Miscellaneous Operations"/>
    <s v="VAT TRANSFER "/>
    <s v="BEING VAT AMOUNT TRANSFERED FROM CWIP LEDGER TO VAT ON PURCHASE LEDGER AGAINST TANSAD NO. TZDA-25-1499442"/>
    <m/>
    <m/>
    <s v="CAPITAL WORK IN PROGRESS"/>
    <s v="Fixed Assets"/>
    <s v="371030"/>
    <s v="371030 CWIP-PRE OPERATIVE EXPENSE"/>
    <s v="CWIP-PRE OPERATIVE EXPENSE"/>
    <s v="PROJECT"/>
    <s v="PROJECT"/>
    <n v="0"/>
    <n v="932908"/>
    <n v="-932908"/>
    <s v="TZS"/>
    <m/>
    <m/>
    <n v="1"/>
    <m/>
    <x v="0"/>
    <x v="0"/>
    <x v="3"/>
    <x v="0"/>
    <n v="-365.84627450980395"/>
    <n v="0"/>
  </r>
  <r>
    <n v="41"/>
    <d v="2025-10-17T14:22:27"/>
    <x v="134"/>
    <s v="AST/2025/10/0002"/>
    <s v="Assets"/>
    <s v="Mitsubishi  Pick Up T899DCQ"/>
    <s v="Mitsubishi  Pick Up T899DCQ: Sale Against Inv no. INV/2025/10/01562 dated 17.10.25"/>
    <m/>
    <m/>
    <s v="VEHICLES"/>
    <s v="Fixed Assets"/>
    <s v="351005"/>
    <s v="351005 VEHICLES - PASSENGER - LOGISTICS"/>
    <s v="Mitsubishi  Pick Up T899DCQ"/>
    <s v="LOGISTIC DIVISION"/>
    <s v="LOGISTIC DIVISION"/>
    <n v="0"/>
    <n v="20125104.199999999"/>
    <n v="-20125104.199999999"/>
    <s v="TZS"/>
    <m/>
    <m/>
    <n v="1"/>
    <m/>
    <x v="0"/>
    <x v="4"/>
    <x v="22"/>
    <x v="5"/>
    <n v="-7892.1977254901958"/>
    <n v="0"/>
  </r>
  <r>
    <n v="42"/>
    <d v="2025-10-18T08:32:29"/>
    <x v="135"/>
    <s v="PCVHO/2025/10/0170"/>
    <s v="PCV (PETTY CASH HO)"/>
    <s v="TRAVELLING EXPENSES "/>
    <s v="Being payment for T.A bill for Talawanda visit for new project - Sajivkumar"/>
    <s v="LCL/HO/004"/>
    <s v="SARASWATHY S PALISERI"/>
    <s v="CAPITAL WORK IN PROGRESS"/>
    <s v="Fixed Assets"/>
    <s v="371056"/>
    <s v="371056 MINERAL EXPLORATION &amp; DEVELOPMENT-TARAWANDA"/>
    <s v="Corporate"/>
    <s v="HO"/>
    <s v="PURCHASE"/>
    <n v="410500"/>
    <n v="0"/>
    <n v="410500"/>
    <s v="TZS"/>
    <m/>
    <m/>
    <n v="1"/>
    <m/>
    <x v="0"/>
    <x v="0"/>
    <x v="1"/>
    <x v="1"/>
    <n v="160.98039215686273"/>
    <n v="0"/>
  </r>
  <r>
    <n v="43"/>
    <d v="2025-10-20T14:27:30"/>
    <x v="136"/>
    <s v="STJ/2025/10/10846"/>
    <s v="Inventory Valuation"/>
    <s v="CM/MTI/2025/03525 - [PROCM204] SHEET ALUMINIUM SIZE 24 SWG FOR INSULATION / MRQ/2025/05106"/>
    <s v="CM/MTI/2025/03525 - [PROCM204] SHEET ALUMINIUM SIZE 24 SWG FOR INSULATION / MRQ/2025/05106"/>
    <m/>
    <m/>
    <s v="CAPITAL WORK IN PROGRESS"/>
    <s v="Fixed Assets"/>
    <s v="371023"/>
    <s v="371023 CWIP-CEMENT MILL 50TPH NEW"/>
    <s v="Inventory Spares Consumable"/>
    <s v="CEMENT MILL -2"/>
    <s v="MECHANICAL"/>
    <n v="728728"/>
    <n v="0"/>
    <n v="728728"/>
    <s v="TZS"/>
    <s v="[PROCM204] SHEET ALUMINIUM SIZE 24 SWG FOR INSULATION"/>
    <s v="CEMENT MILL"/>
    <n v="-42.25"/>
    <s v="KG"/>
    <x v="0"/>
    <x v="0"/>
    <x v="9"/>
    <x v="4"/>
    <n v="285.77568627450978"/>
    <n v="0"/>
  </r>
  <r>
    <n v="44"/>
    <d v="2025-10-20T12:11:18"/>
    <x v="136"/>
    <s v="MISC/2025/10/0334"/>
    <s v="Miscellaneous Operations"/>
    <s v="TARAWANDA EXPENSES "/>
    <s v="BEIG SETTLEMENT AGAINST IMPREST TAKEN BY MUKESH AGRAWAL FOR TARAWANDA PROJECT WORK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23521"/>
    <n v="0"/>
    <n v="23521"/>
    <s v="TZS"/>
    <m/>
    <m/>
    <n v="1"/>
    <m/>
    <x v="0"/>
    <x v="0"/>
    <x v="1"/>
    <x v="1"/>
    <n v="9.2239215686274516"/>
    <n v="0"/>
  </r>
  <r>
    <n v="45"/>
    <d v="2025-10-20T12:11:18"/>
    <x v="136"/>
    <s v="MISC/2025/10/0334"/>
    <s v="Miscellaneous Operations"/>
    <s v="TARAWANDA EXPENSES "/>
    <s v="BEIG SETTLEMENT AGAINST IMPREST TAKEN BY MUKESH AGRAWAL FOR TARAWANDA PROJECT WORK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40000"/>
    <n v="0"/>
    <n v="40000"/>
    <s v="TZS"/>
    <m/>
    <m/>
    <n v="1"/>
    <m/>
    <x v="0"/>
    <x v="0"/>
    <x v="1"/>
    <x v="1"/>
    <n v="15.686274509803921"/>
    <n v="0"/>
  </r>
  <r>
    <n v="46"/>
    <d v="2025-10-20T12:11:18"/>
    <x v="136"/>
    <s v="MISC/2025/10/0334"/>
    <s v="Miscellaneous Operations"/>
    <s v="TARAWANDA EXPENSES "/>
    <s v="BEIG SETTLEMENT AGAINST IMPREST TAKEN BY MUKESH AGRAWAL FOR TARAWANDA PROJECT WORK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20000"/>
    <n v="0"/>
    <n v="20000"/>
    <s v="TZS"/>
    <m/>
    <m/>
    <n v="1"/>
    <m/>
    <x v="0"/>
    <x v="0"/>
    <x v="1"/>
    <x v="1"/>
    <n v="7.8431372549019605"/>
    <n v="0"/>
  </r>
  <r>
    <n v="47"/>
    <d v="2025-10-20T12:11:18"/>
    <x v="136"/>
    <s v="MISC/2025/10/0334"/>
    <s v="Miscellaneous Operations"/>
    <s v="TARAWANDA EXPENSES "/>
    <s v="BEIG SETTLEMENT AGAINST IMPREST TAKEN BY MUKESH AGRAWAL FOR TARAWANDA PROJECT WORK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210000"/>
    <n v="0"/>
    <n v="210000"/>
    <s v="TZS"/>
    <m/>
    <m/>
    <n v="1"/>
    <m/>
    <x v="0"/>
    <x v="0"/>
    <x v="1"/>
    <x v="1"/>
    <n v="82.352941176470594"/>
    <n v="0"/>
  </r>
  <r>
    <n v="48"/>
    <d v="2025-10-20T12:11:18"/>
    <x v="136"/>
    <s v="MISC/2025/10/0334"/>
    <s v="Miscellaneous Operations"/>
    <s v="TARAWANDA EXPENSES "/>
    <s v="BEIG SETTLEMENT AGAINST IMPREST TAKEN BY MUKESH AGRAWAL FOR TARAWANDA PROJECT WORK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340000"/>
    <n v="0"/>
    <n v="340000"/>
    <s v="TZS"/>
    <m/>
    <m/>
    <n v="1"/>
    <m/>
    <x v="0"/>
    <x v="0"/>
    <x v="1"/>
    <x v="1"/>
    <n v="133.33333333333334"/>
    <n v="0"/>
  </r>
  <r>
    <n v="49"/>
    <d v="2025-10-20T12:11:18"/>
    <x v="136"/>
    <s v="MISC/2025/10/0334"/>
    <s v="Miscellaneous Operations"/>
    <s v="TARAWANDA EXPENSES "/>
    <s v="BEIG SETTLEMENT AGAINST IMPREST TAKEN BY MUKESH AGRAWAL FOR TARAWANDA PROJECT WORK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20000"/>
    <n v="0"/>
    <n v="20000"/>
    <s v="TZS"/>
    <m/>
    <m/>
    <n v="1"/>
    <m/>
    <x v="0"/>
    <x v="0"/>
    <x v="1"/>
    <x v="1"/>
    <n v="7.8431372549019605"/>
    <n v="0"/>
  </r>
  <r>
    <n v="50"/>
    <d v="2025-10-20T12:11:18"/>
    <x v="136"/>
    <s v="MISC/2025/10/0334"/>
    <s v="Miscellaneous Operations"/>
    <s v="TARAWANDA EXPENSES "/>
    <s v="BEIG SETTLEMENT AGAINST IMPREST TAKEN BY MUKESH AGRAWAL FOR TARAWANDA PROJECT WORK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35000"/>
    <n v="0"/>
    <n v="35000"/>
    <s v="TZS"/>
    <m/>
    <m/>
    <n v="1"/>
    <m/>
    <x v="0"/>
    <x v="0"/>
    <x v="1"/>
    <x v="1"/>
    <n v="13.725490196078431"/>
    <n v="0"/>
  </r>
  <r>
    <n v="51"/>
    <d v="2025-10-20T12:11:18"/>
    <x v="136"/>
    <s v="MISC/2025/10/0334"/>
    <s v="Miscellaneous Operations"/>
    <s v="TARAWANDA EXPENSES "/>
    <s v="BEIG SETTLEMENT AGAINST IMPREST TAKEN BY MUKESH AGRAWAL FOR TARAWANDA PROJECT WORK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91703"/>
    <n v="0"/>
    <n v="191703"/>
    <s v="TZS"/>
    <m/>
    <m/>
    <n v="1"/>
    <m/>
    <x v="0"/>
    <x v="0"/>
    <x v="1"/>
    <x v="1"/>
    <n v="75.177647058823524"/>
    <n v="0"/>
  </r>
  <r>
    <n v="52"/>
    <d v="2025-10-20T12:11:18"/>
    <x v="136"/>
    <s v="MISC/2025/10/0334"/>
    <s v="Miscellaneous Operations"/>
    <s v="TARAWANDA EXPENSES "/>
    <s v="BEIG SETTLEMENT AGAINST IMPREST TAKEN BY MUKESH AGRAWAL FOR TARAWANDA PROJECT WORKS"/>
    <s v="LCL/KIMB/1359"/>
    <s v="MUKESH AGRAWAL"/>
    <s v="CAPITAL WORK IN PROGRESS"/>
    <s v="Fixed Assets"/>
    <s v="371056"/>
    <s v="371056 MINERAL EXPLORATION &amp; DEVELOPMENT-TARAWANDA"/>
    <s v="TARAWANDA EXPENSE"/>
    <s v="QUARRY"/>
    <s v="QUARRYING"/>
    <n v="152693"/>
    <n v="0"/>
    <n v="152693"/>
    <s v="TZS"/>
    <m/>
    <m/>
    <n v="1"/>
    <m/>
    <x v="0"/>
    <x v="0"/>
    <x v="1"/>
    <x v="1"/>
    <n v="59.879607843137258"/>
    <n v="0"/>
  </r>
  <r>
    <n v="53"/>
    <d v="2025-10-24T06:10:10"/>
    <x v="137"/>
    <s v="SERBL/2025/10/0129"/>
    <s v="Service Bills"/>
    <s v="CAR RENT CHARGES "/>
    <s v="KCR249/2025"/>
    <s v="CMLT2103"/>
    <s v="Kwik Carriers Limited"/>
    <s v="CAPITAL WORK IN PROGRESS"/>
    <s v="Fixed Assets"/>
    <s v="371056"/>
    <s v="371056 MINERAL EXPLORATION &amp; DEVELOPMENT-TARAWANDA"/>
    <s v="TARAWANDA EXPENSE"/>
    <s v="HO"/>
    <m/>
    <n v="540000"/>
    <n v="0"/>
    <n v="540000"/>
    <s v="TZS"/>
    <m/>
    <m/>
    <n v="1"/>
    <m/>
    <x v="0"/>
    <x v="0"/>
    <x v="1"/>
    <x v="1"/>
    <n v="211.76470588235293"/>
    <n v="0"/>
  </r>
  <r>
    <n v="54"/>
    <d v="2025-10-15T06:04:01"/>
    <x v="137"/>
    <s v="SERBL/2025/10/0090"/>
    <s v="Service Bills"/>
    <s v="LPORD/2025/00417: Charges for Civil Jobs for Installation of Two Weighbridge at Mining as Per LCL Scope"/>
    <s v="29041"/>
    <s v="CMLT1217"/>
    <s v="Gibs Developers Company"/>
    <s v="CAPITAL WORK IN PROGRESS"/>
    <s v="Fixed Assets"/>
    <s v="371057"/>
    <s v="371057 CWIP-INSTALLATION OF NEW WEIGHBRIDGE AT QUARRY(2NOS)"/>
    <s v="CWIP-INSTALLATION OF NEW WEIGHBRIDGE AT QUARRY(2NOS)"/>
    <s v="UTILITY"/>
    <s v="MECHANICAL"/>
    <n v="10250000"/>
    <n v="0"/>
    <n v="10250000"/>
    <s v="TZS"/>
    <s v="[SER027] Job Contract-5"/>
    <s v="Misc. Income"/>
    <n v="1"/>
    <s v="Lumpsum"/>
    <x v="0"/>
    <x v="0"/>
    <x v="14"/>
    <x v="3"/>
    <n v="4019.6078431372548"/>
    <n v="0"/>
  </r>
  <r>
    <n v="55"/>
    <d v="2025-10-27T06:30:12"/>
    <x v="138"/>
    <s v="MISC/2025/10/0445"/>
    <s v="Miscellaneous Operations"/>
    <s v="TARAWANDA EXPENSES "/>
    <s v="BEING SETTLEMENT AGAINST IMPREST TAKEN BY MR ARNOLD KADURI FOR TARAWANDA PROJECT EXPENSES"/>
    <m/>
    <m/>
    <s v="CAPITAL WORK IN PROGRESS"/>
    <s v="Fixed Assets"/>
    <s v="371056"/>
    <s v="371056 MINERAL EXPLORATION &amp; DEVELOPMENT-TARAWANDA"/>
    <s v="TARAWANDA EXPENSE"/>
    <s v="QUARRY"/>
    <s v="QUARRYING"/>
    <n v="2600000"/>
    <n v="0"/>
    <n v="2600000"/>
    <s v="TZS"/>
    <m/>
    <m/>
    <n v="1"/>
    <m/>
    <x v="0"/>
    <x v="0"/>
    <x v="1"/>
    <x v="1"/>
    <n v="1019.6078431372549"/>
    <n v="0"/>
  </r>
  <r>
    <n v="2329"/>
    <d v="2025-10-02T06:23:50"/>
    <x v="127"/>
    <s v="STJ/2025/10/00367"/>
    <s v="Inventory Valuation"/>
    <s v="CM/MTI/2025/03211 - [CAOFE005] AIR CONDITION UNIT 24000 BTU SPLIT TYPE  / MRQ/2025/04579"/>
    <s v="CM/MTI/2025/03211 - [CAOFE005] AIR CONDITION UNIT 24000 BTU SPLIT TYPE  / MRQ/2025/04579"/>
    <m/>
    <m/>
    <s v="MATERIAL COST"/>
    <s v="Expenses"/>
    <s v="731003"/>
    <s v="731003 STORE SPARES &amp; CONSUMABLES - CA"/>
    <s v="Fixed Asset"/>
    <s v="COAL MILL"/>
    <s v="ELECTRICAL"/>
    <n v="2542372.88"/>
    <n v="0"/>
    <n v="2542372.88"/>
    <s v="TZS"/>
    <s v="[CAOFE005] AIR CONDITION UNIT 24000 BTU SPLIT TYPE "/>
    <s v="Office Equipment"/>
    <n v="-2"/>
    <s v="NOS"/>
    <x v="0"/>
    <x v="2"/>
    <x v="16"/>
    <x v="5"/>
    <n v="997.00897254901952"/>
    <n v="0"/>
  </r>
  <r>
    <n v="7665"/>
    <d v="2025-10-06T07:41:57"/>
    <x v="129"/>
    <s v="STJ/2025/10/02052"/>
    <s v="Inventory Valuation"/>
    <s v="CM/MTI/2025/03278 - [CACOP003] COMPUTER DESKTOP / MRQ/2025/04592"/>
    <s v="CM/MTI/2025/03278 - [CACOP003] COMPUTER DESKTOP / MRQ/2025/04592"/>
    <m/>
    <m/>
    <s v="MATERIAL COST"/>
    <s v="Expenses"/>
    <s v="731003"/>
    <s v="731003 STORE SPARES &amp; CONSUMABLES - CA"/>
    <s v="Fixed Asset"/>
    <s v="DISPATCH"/>
    <s v="INSTRUMENTATION"/>
    <n v="3030000"/>
    <n v="0"/>
    <n v="3030000"/>
    <s v="TZS"/>
    <s v="[CACOP003] COMPUTER DESKTOP"/>
    <s v="Computer &amp; Printers"/>
    <n v="-2"/>
    <s v="NOS"/>
    <x v="0"/>
    <x v="2"/>
    <x v="6"/>
    <x v="5"/>
    <n v="1188.2352941176471"/>
    <n v="0"/>
  </r>
  <r>
    <n v="7667"/>
    <d v="2025-10-06T07:41:57"/>
    <x v="129"/>
    <s v="STJ/2025/10/02051"/>
    <s v="Inventory Valuation"/>
    <s v="CM/MTI/2025/03278 - [CACOP003] COMPUTER DESKTOP / MRQ/2025/04592"/>
    <s v="CM/MTI/2025/03278 - [CACOP003] COMPUTER DESKTOP / MRQ/2025/04592"/>
    <m/>
    <m/>
    <s v="MATERIAL COST"/>
    <s v="Expenses"/>
    <s v="731003"/>
    <s v="731003 STORE SPARES &amp; CONSUMABLES - CA"/>
    <s v="CWIP-INSTALLATION OF NEW WEIGHBRIDGE AT QUARRY(2NOS)"/>
    <s v="QUARRY"/>
    <s v="INSTRUMENTATION"/>
    <n v="1515000"/>
    <n v="0"/>
    <n v="1515000"/>
    <s v="TZS"/>
    <s v="[CACOP003] COMPUTER DESKTOP"/>
    <s v="Computer &amp; Printers"/>
    <n v="-1"/>
    <s v="NOS"/>
    <x v="0"/>
    <x v="2"/>
    <x v="6"/>
    <x v="5"/>
    <n v="594.11764705882354"/>
    <n v="0"/>
  </r>
  <r>
    <n v="44715"/>
    <d v="2025-10-25T13:50:51"/>
    <x v="139"/>
    <s v="STJ/2025/10/14175"/>
    <s v="Inventory Valuation"/>
    <s v="CM/MTI/2025/03660 - [CCLGC032] WIRE FOR BINDING / MRQ/2025/05254"/>
    <s v="CM/MTI/2025/03660 - [CCLGC032] WIRE FOR BINDING / MRQ/2025/05254"/>
    <m/>
    <m/>
    <s v="MATERIAL COST"/>
    <s v="Expenses"/>
    <s v="731002"/>
    <s v="731002 STORE SPARES &amp; CONSUMABLES - GENERAL"/>
    <s v="CWIP-CONSTRUCTION OF PLANT BOUNDARY WALL"/>
    <s v="PROJECT"/>
    <s v="MECHANICAL"/>
    <n v="74500"/>
    <n v="0"/>
    <n v="74500"/>
    <s v="TZS"/>
    <s v="[CCLGC032] WIRE FOR BINDING"/>
    <s v="General Consumables"/>
    <n v="-14.9"/>
    <s v="KG"/>
    <x v="0"/>
    <x v="0"/>
    <x v="21"/>
    <x v="8"/>
    <n v="29.215686274509803"/>
    <n v="0"/>
  </r>
  <r>
    <n v="44714"/>
    <d v="2025-10-25T13:50:51"/>
    <x v="139"/>
    <s v="STJ/2025/10/14176"/>
    <s v="Inventory Valuation"/>
    <s v="CM/MTI/2025/03660 - [CCLGC328] TMT BAR SIZE 10 MM GRADE FY500. / MRQ/2025/05254"/>
    <s v="CM/MTI/2025/03660 - [CCLGC328] TMT BAR SIZE 10 MM GRADE FY500. / MRQ/2025/05254"/>
    <m/>
    <m/>
    <s v="MATERIAL COST"/>
    <s v="Expenses"/>
    <s v="731002"/>
    <s v="731002 STORE SPARES &amp; CONSUMABLES - GENERAL"/>
    <s v="CWIP-CONSTRUCTION OF PLANT BOUNDARY WALL"/>
    <s v="PROJECT"/>
    <s v="MECHANICAL"/>
    <n v="999641.12"/>
    <n v="0"/>
    <n v="999641.12"/>
    <s v="TZS"/>
    <s v="[CCLGC328] TMT BAR SIZE 10 MM GRADE FY500."/>
    <s v="General Consumables"/>
    <n v="-70"/>
    <s v="PCS"/>
    <x v="0"/>
    <x v="0"/>
    <x v="21"/>
    <x v="8"/>
    <n v="392.01612549019609"/>
    <n v="0"/>
  </r>
  <r>
    <n v="44712"/>
    <d v="2025-10-25T13:50:51"/>
    <x v="139"/>
    <s v="STJ/2025/10/14177"/>
    <s v="Inventory Valuation"/>
    <s v="CM/MTI/2025/03660 - [CCLGC329] TMT BAR SIZE 12 MM GRADE FY500. / MRQ/2025/05254"/>
    <s v="CM/MTI/2025/03660 - [CCLGC329] TMT BAR SIZE 12 MM GRADE FY500. / MRQ/2025/05254"/>
    <m/>
    <m/>
    <s v="MATERIAL COST"/>
    <s v="Expenses"/>
    <s v="731002"/>
    <s v="731002 STORE SPARES &amp; CONSUMABLES - GENERAL"/>
    <s v="CWIP-CONSTRUCTION OF PLANT BOUNDARY WALL"/>
    <s v="PROJECT"/>
    <s v="MECHANICAL"/>
    <n v="611681.76"/>
    <n v="0"/>
    <n v="611681.76"/>
    <s v="TZS"/>
    <s v="[CCLGC329] TMT BAR SIZE 12 MM GRADE FY500."/>
    <s v="General Consumables"/>
    <n v="-30"/>
    <s v="PCS"/>
    <x v="0"/>
    <x v="0"/>
    <x v="21"/>
    <x v="8"/>
    <n v="239.87520000000001"/>
    <n v="0"/>
  </r>
  <r>
    <n v="44710"/>
    <d v="2025-10-25T13:50:51"/>
    <x v="139"/>
    <s v="STJ/2025/10/14178"/>
    <s v="Inventory Valuation"/>
    <s v="CM/MTI/2025/03660 - [CCLGC330] TMT BAR SIZE 16 MM GRADE FY500. / MRQ/2025/05254"/>
    <s v="CM/MTI/2025/03660 - [CCLGC330] TMT BAR SIZE 16 MM GRADE FY500. / MRQ/2025/05254"/>
    <m/>
    <m/>
    <s v="MATERIAL COST"/>
    <s v="Expenses"/>
    <s v="731002"/>
    <s v="731002 STORE SPARES &amp; CONSUMABLES - GENERAL"/>
    <s v="CWIP-CONSTRUCTION OF PLANT BOUNDARY WALL"/>
    <s v="PROJECT"/>
    <s v="MECHANICAL"/>
    <n v="1822302.65"/>
    <n v="0"/>
    <n v="1822302.65"/>
    <s v="TZS"/>
    <s v="[CCLGC330] TMT BAR SIZE 16 MM GRADE FY500."/>
    <s v="General Consumables"/>
    <n v="-50"/>
    <s v="PCS"/>
    <x v="0"/>
    <x v="0"/>
    <x v="21"/>
    <x v="8"/>
    <n v="714.62849019607836"/>
    <n v="0"/>
  </r>
  <r>
    <n v="44708"/>
    <d v="2025-10-25T13:50:51"/>
    <x v="139"/>
    <s v="STJ/2025/10/14179"/>
    <s v="Inventory Valuation"/>
    <s v="CM/MTI/2025/03660 - [CWCGC041] CUTTING WHEEL 7'' / MRQ/2025/05254"/>
    <s v="CM/MTI/2025/03660 - [CWCGC041] CUTTING WHEEL 7'' / MRQ/2025/05254"/>
    <m/>
    <m/>
    <s v="MATERIAL COST"/>
    <s v="Expenses"/>
    <s v="731002"/>
    <s v="731002 STORE SPARES &amp; CONSUMABLES - GENERAL"/>
    <s v="CWIP-CONSTRUCTION OF PLANT BOUNDARY WALL"/>
    <s v="PROJECT"/>
    <s v="MECHANICAL"/>
    <n v="32204.11"/>
    <n v="0"/>
    <n v="32204.11"/>
    <s v="TZS"/>
    <s v="[CWCGC041] CUTTING WHEEL 7''"/>
    <s v="Gas Cutting"/>
    <n v="-10"/>
    <s v="NOS"/>
    <x v="0"/>
    <x v="0"/>
    <x v="21"/>
    <x v="8"/>
    <n v="12.629062745098039"/>
    <n v="0"/>
  </r>
  <r>
    <n v="42609"/>
    <d v="2025-10-24T14:39:19"/>
    <x v="137"/>
    <s v="STJ/2025/10/13665"/>
    <s v="Inventory Valuation"/>
    <s v="CM/MTI/2025/03626 - [CCLGC002] AGGREGATE GRANITE SIZE 14 MM TO 20 MM  / MRQ/2025/05195"/>
    <s v="CM/MTI/2025/03626 - [CCLGC002] AGGREGATE GRANITE SIZE 14 MM TO 20 MM  / MRQ/2025/05195"/>
    <m/>
    <m/>
    <s v="MATERIAL COST"/>
    <s v="Expenses"/>
    <s v="731002"/>
    <s v="731002 STORE SPARES &amp; CONSUMABLES - GENERAL"/>
    <s v="CWIP-CONSTRUCTION OF PLANT BOUNDARY WALL"/>
    <s v="PROJECT"/>
    <s v="MECHANICAL"/>
    <n v="10681956"/>
    <n v="0"/>
    <n v="10681956"/>
    <s v="TZS"/>
    <s v="[CCLGC002] AGGREGATE GRANITE SIZE 14 MM TO 20 MM "/>
    <s v="General Consumables"/>
    <n v="-98.906999999999996"/>
    <s v="CUM"/>
    <x v="0"/>
    <x v="0"/>
    <x v="21"/>
    <x v="8"/>
    <n v="4189.0023529411765"/>
    <n v="0"/>
  </r>
  <r>
    <n v="41013"/>
    <d v="2025-10-23T14:37:30"/>
    <x v="140"/>
    <s v="STJ/2025/10/12892"/>
    <s v="Inventory Valuation"/>
    <s v="CM/MTI/2025/03605 - [CCLGC021] NAILS SIZE 2.5'' / MRQ/2025/05136"/>
    <s v="CM/MTI/2025/03605 - [CCLGC021] NAILS SIZE 2.5'' / MRQ/2025/05136"/>
    <m/>
    <m/>
    <s v="MATERIAL COST"/>
    <s v="Expenses"/>
    <s v="731002"/>
    <s v="731002 STORE SPARES &amp; CONSUMABLES - GENERAL"/>
    <s v="CWIP-CONSTRUCTION OF PLANT BOUNDARY WALL"/>
    <s v="PROJECT"/>
    <s v="MECHANICAL"/>
    <n v="59261.08"/>
    <n v="0"/>
    <n v="59261.08"/>
    <s v="TZS"/>
    <s v="[CCLGC021] NAILS SIZE 2.5''"/>
    <s v="General Consumables"/>
    <n v="-10"/>
    <s v="KG"/>
    <x v="0"/>
    <x v="0"/>
    <x v="21"/>
    <x v="8"/>
    <n v="23.239639215686275"/>
    <n v="0"/>
  </r>
  <r>
    <n v="41012"/>
    <d v="2025-10-23T14:37:30"/>
    <x v="140"/>
    <s v="STJ/2025/10/12893"/>
    <s v="Inventory Valuation"/>
    <s v="CM/MTI/2025/03605 - [CCLGC183] POLES WOODEN MIRUNDA  / MRQ/2025/05136"/>
    <s v="CM/MTI/2025/03605 - [CCLGC183] POLES WOODEN MIRUNDA  / MRQ/2025/05136"/>
    <m/>
    <m/>
    <s v="MATERIAL COST"/>
    <s v="Expenses"/>
    <s v="731002"/>
    <s v="731002 STORE SPARES &amp; CONSUMABLES - GENERAL"/>
    <s v="CWIP-CONSTRUCTION OF PLANT BOUNDARY WALL"/>
    <s v="PROJECT"/>
    <s v="MECHANICAL"/>
    <n v="175000"/>
    <n v="0"/>
    <n v="175000"/>
    <s v="TZS"/>
    <s v="[CCLGC183] POLES WOODEN MIRUNDA "/>
    <s v="General Consumables"/>
    <n v="-35"/>
    <s v="NOS"/>
    <x v="0"/>
    <x v="0"/>
    <x v="21"/>
    <x v="8"/>
    <n v="68.627450980392155"/>
    <n v="0"/>
  </r>
  <r>
    <n v="41010"/>
    <d v="2025-10-23T14:37:30"/>
    <x v="140"/>
    <s v="STJ/2025/10/12894"/>
    <s v="Inventory Valuation"/>
    <s v="CM/MTI/2025/03605 - [CCLGC328] TMT BAR SIZE 10 MM GRADE FY500. / MRQ/2025/05136"/>
    <s v="CM/MTI/2025/03605 - [CCLGC328] TMT BAR SIZE 10 MM GRADE FY500. / MRQ/2025/05136"/>
    <m/>
    <m/>
    <s v="MATERIAL COST"/>
    <s v="Expenses"/>
    <s v="731002"/>
    <s v="731002 STORE SPARES &amp; CONSUMABLES - GENERAL"/>
    <s v="CWIP-CONSTRUCTION OF PLANT BOUNDARY WALL"/>
    <s v="PROJECT"/>
    <s v="MECHANICAL"/>
    <n v="856835.25"/>
    <n v="0"/>
    <n v="856835.25"/>
    <s v="TZS"/>
    <s v="[CCLGC328] TMT BAR SIZE 10 MM GRADE FY500."/>
    <s v="General Consumables"/>
    <n v="-60"/>
    <s v="PCS"/>
    <x v="0"/>
    <x v="0"/>
    <x v="21"/>
    <x v="8"/>
    <n v="336.01382352941175"/>
    <n v="0"/>
  </r>
  <r>
    <n v="37849"/>
    <d v="2025-10-22T14:21:25"/>
    <x v="141"/>
    <s v="STJ/2025/10/12422"/>
    <s v="Inventory Valuation"/>
    <s v="CM/MTI/2025/03574 - [CCLGC328] TMT BAR SIZE 10 MM GRADE FY500. / MRQ/2025/05086_x000a_Rounding Adjustment: -0.01 TSh"/>
    <s v="CM/MTI/2025/03574 - [CCLGC328] TMT BAR SIZE 10 MM GRADE FY500. / MRQ/2025/05086_x000a_Rounding Adjustment: -0.01 TSh"/>
    <m/>
    <m/>
    <s v="MATERIAL COST"/>
    <s v="Expenses"/>
    <s v="731002"/>
    <s v="731002 STORE SPARES &amp; CONSUMABLES - GENERAL"/>
    <s v="CWIP-CONSTRUCTION OF PLANT BOUNDARY WALL"/>
    <s v="PROJECT"/>
    <s v="MECHANICAL"/>
    <n v="714029.38"/>
    <n v="0"/>
    <n v="714029.38"/>
    <s v="TZS"/>
    <s v="[CCLGC328] TMT BAR SIZE 10 MM GRADE FY500."/>
    <s v="General Consumables"/>
    <n v="-50"/>
    <s v="PCS"/>
    <x v="0"/>
    <x v="0"/>
    <x v="21"/>
    <x v="8"/>
    <n v="280.01152156862747"/>
    <n v="0"/>
  </r>
  <r>
    <n v="19677"/>
    <d v="2025-10-13T14:43:43"/>
    <x v="142"/>
    <s v="STJ/2025/10/06432"/>
    <s v="Inventory Valuation"/>
    <s v="CM/MTI/2025/03437 - [CCLGC004] SAND / MRQ/2025/04896"/>
    <s v="CM/MTI/2025/03437 - [CCLGC004] SAND / MRQ/2025/04896"/>
    <m/>
    <m/>
    <s v="MATERIAL COST"/>
    <s v="Expenses"/>
    <s v="731002"/>
    <s v="731002 STORE SPARES &amp; CONSUMABLES - GENERAL"/>
    <s v="CWIP-CONSTRUCTION OF PLANT BOUNDARY WALL"/>
    <s v="PROJECT"/>
    <s v="MECHANICAL"/>
    <n v="17361000"/>
    <n v="0"/>
    <n v="17361000"/>
    <s v="TZS"/>
    <s v="[CCLGC004] SAND"/>
    <s v="General Consumables"/>
    <n v="-347220"/>
    <s v="KG"/>
    <x v="0"/>
    <x v="0"/>
    <x v="21"/>
    <x v="8"/>
    <n v="6808.2352941176468"/>
    <n v="0"/>
  </r>
  <r>
    <n v="1457"/>
    <d v="2025-10-02T14:29:11"/>
    <x v="127"/>
    <s v="STJ/2025/10/00803"/>
    <s v="Inventory Valuation"/>
    <s v="CM/MTI/2025/03222 - [CCLGC038] TIMBER 2 INCH X 4 INCH UNTREATED / MRQ/2025/04583"/>
    <s v="CM/MTI/2025/03222 - [CCLGC038] TIMBER 2 INCH X 4 INCH UNTREATED / MRQ/2025/04583"/>
    <m/>
    <m/>
    <s v="MATERIAL COST"/>
    <s v="Expenses"/>
    <s v="731002"/>
    <s v="731002 STORE SPARES &amp; CONSUMABLES - GENERAL"/>
    <s v="CWIP-CONSTRUCTION OF PLANT BOUNDARY WALL"/>
    <s v="PROJECT"/>
    <s v="MECHANICAL"/>
    <n v="70000"/>
    <n v="0"/>
    <n v="70000"/>
    <s v="TZS"/>
    <s v="[CCLGC038] TIMBER 2 INCH X 4 INCH UNTREATED"/>
    <s v="General Consumables"/>
    <n v="-10"/>
    <s v="NOS"/>
    <x v="0"/>
    <x v="0"/>
    <x v="21"/>
    <x v="8"/>
    <n v="27.450980392156861"/>
    <n v="0"/>
  </r>
  <r>
    <n v="1456"/>
    <d v="2025-10-02T14:29:11"/>
    <x v="127"/>
    <s v="STJ/2025/10/00804"/>
    <s v="Inventory Valuation"/>
    <s v="CM/MTI/2025/03222 - [CCLGC329] TMT BAR SIZE 12 MM GRADE FY500. / MRQ/2025/04583_x000a_Rounding Adjustment: +0.01 TSh"/>
    <s v="CM/MTI/2025/03222 - [CCLGC329] TMT BAR SIZE 12 MM GRADE FY500. / MRQ/2025/04583_x000a_Rounding Adjustment: +0.01 TSh"/>
    <m/>
    <m/>
    <s v="MATERIAL COST"/>
    <s v="Expenses"/>
    <s v="731002"/>
    <s v="731002 STORE SPARES &amp; CONSUMABLES - GENERAL"/>
    <s v="CWIP-CONSTRUCTION OF PLANT BOUNDARY WALL"/>
    <s v="PROJECT"/>
    <s v="MECHANICAL"/>
    <n v="1080637.77"/>
    <n v="0"/>
    <n v="1080637.77"/>
    <s v="TZS"/>
    <s v="[CCLGC329] TMT BAR SIZE 12 MM GRADE FY500."/>
    <s v="General Consumables"/>
    <n v="-53"/>
    <s v="PCS"/>
    <x v="0"/>
    <x v="0"/>
    <x v="21"/>
    <x v="8"/>
    <n v="423.77951764705881"/>
    <n v="0"/>
  </r>
  <r>
    <n v="34876"/>
    <d v="2025-10-20T06:22:33"/>
    <x v="136"/>
    <s v="STJ/2025/10/10417"/>
    <s v="Inventory Valuation"/>
    <s v="LOG/MTI/2025/01261 - [CPAPT005] PAINT BLUE AUTOMOBILE / MRQ/2025/05054"/>
    <s v="LOG/MTI/2025/01261 - [CPAPT005] PAINT BLUE AUTOMOBILE / MRQ/2025/05054"/>
    <m/>
    <m/>
    <s v="MATERIAL COST"/>
    <s v="Expenses"/>
    <s v="731002"/>
    <s v="731002 STORE SPARES &amp; CONSUMABLES - GENERAL"/>
    <s v="CWIP-FABRICATION OF INHOUSE TRAILOR"/>
    <s v="LOGISTIC DIVISION"/>
    <s v="LOGISTIC DIVISION"/>
    <n v="182248"/>
    <n v="0"/>
    <n v="182248"/>
    <s v="TZS"/>
    <s v="[CPAPT005] PAINT BLUE AUTOMOBILE"/>
    <s v="Paint"/>
    <n v="-16"/>
    <s v="LTR"/>
    <x v="0"/>
    <x v="0"/>
    <x v="12"/>
    <x v="1"/>
    <n v="71.469803921568626"/>
    <n v="0"/>
  </r>
  <r>
    <n v="26614"/>
    <d v="2025-10-16T14:50:02"/>
    <x v="133"/>
    <s v="STJ/2025/10/08807"/>
    <s v="Inventory Valuation"/>
    <s v="LOG/MTI/2025/01250 - [CGCAB021] PAPER SAND P100 GRIFT MEDIUM / MRQ/2025/04997"/>
    <s v="LOG/MTI/2025/01250 - [CGCAB021] PAPER SAND P100 GRIFT MEDIUM / MRQ/2025/04997"/>
    <m/>
    <m/>
    <s v="MATERIAL COST"/>
    <s v="Expenses"/>
    <s v="731002"/>
    <s v="731002 STORE SPARES &amp; CONSUMABLES - GENERAL"/>
    <s v="CWIP-FABRICATION OF INHOUSE TRAILOR"/>
    <s v="LOGISTIC DIVISION"/>
    <s v="LOGISTIC DIVISION"/>
    <n v="1144.07"/>
    <n v="0"/>
    <n v="1144.07"/>
    <s v="TZS"/>
    <s v="[CGCAB021] PAPER SAND P100 GRIFT MEDIUM"/>
    <s v="Abrasive Item"/>
    <n v="-1"/>
    <s v="NOS"/>
    <x v="0"/>
    <x v="0"/>
    <x v="12"/>
    <x v="1"/>
    <n v="0.44865490196078428"/>
    <n v="0"/>
  </r>
  <r>
    <n v="26571"/>
    <d v="2025-10-16T14:50:59"/>
    <x v="133"/>
    <s v="STJ/2025/10/08829"/>
    <s v="Inventory Valuation"/>
    <s v="LOG/MTI/2025/01251 - [LTS0046] TRAILOR SPRING SEAT / MRQ/2025/04998_x000a_Rounding Adjustment: -0.01 TSh"/>
    <s v="LOG/MTI/2025/01251 - [LTS0046] TRAILOR SPRING SEAT / MRQ/2025/04998_x000a_Rounding Adjustment: -0.01 TSh"/>
    <m/>
    <m/>
    <s v="MATERIAL COST"/>
    <s v="Expenses"/>
    <s v="731002"/>
    <s v="731002 STORE SPARES &amp; CONSUMABLES - GENERAL"/>
    <s v="CWIP-FABRICATION OF INHOUSE TRAILOR"/>
    <s v="LOGISTIC DIVISION"/>
    <s v="LOGISTIC DIVISION"/>
    <n v="468029.67"/>
    <n v="0"/>
    <n v="468029.67"/>
    <s v="TZS"/>
    <s v="[LTS0046] TRAILOR SPRING SEAT"/>
    <s v="TRAILER SPARES"/>
    <n v="-2"/>
    <s v="NOS"/>
    <x v="0"/>
    <x v="0"/>
    <x v="12"/>
    <x v="1"/>
    <n v="183.54104705882352"/>
    <n v="0"/>
  </r>
  <r>
    <n v="25224"/>
    <d v="2025-10-15T06:42:43"/>
    <x v="132"/>
    <s v="STJ/2025/10/06870"/>
    <s v="Inventory Valuation"/>
    <s v="LOG/MTI/2025/01231 - [CPAPT005] PAINT BLUE AUTOMOBILE / MRQ/2025/04923"/>
    <s v="LOG/MTI/2025/01231 - [CPAPT005] PAINT BLUE AUTOMOBILE / MRQ/2025/04923"/>
    <m/>
    <m/>
    <s v="MATERIAL COST"/>
    <s v="Expenses"/>
    <s v="731002"/>
    <s v="731002 STORE SPARES &amp; CONSUMABLES - GENERAL"/>
    <s v="CWIP-FABRICATION OF INHOUSE TRAILOR"/>
    <s v="LOGISTIC DIVISION"/>
    <s v="LOGISTIC DIVISION"/>
    <n v="45562"/>
    <n v="0"/>
    <n v="45562"/>
    <s v="TZS"/>
    <s v="[CPAPT005] PAINT BLUE AUTOMOBILE"/>
    <s v="Paint"/>
    <n v="-4"/>
    <s v="LTR"/>
    <x v="0"/>
    <x v="0"/>
    <x v="12"/>
    <x v="1"/>
    <n v="17.867450980392157"/>
    <n v="0"/>
  </r>
  <r>
    <n v="25203"/>
    <d v="2025-10-15T06:43:46"/>
    <x v="132"/>
    <s v="STJ/2025/10/06880"/>
    <s v="Inventory Valuation"/>
    <s v="LOG/MTI/2025/01232 - [CPAPT005] PAINT BLUE AUTOMOBILE / MRQ/2025/04925"/>
    <s v="LOG/MTI/2025/01232 - [CPAPT005] PAINT BLUE AUTOMOBILE / MRQ/2025/04925"/>
    <m/>
    <m/>
    <s v="MATERIAL COST"/>
    <s v="Expenses"/>
    <s v="731002"/>
    <s v="731002 STORE SPARES &amp; CONSUMABLES - GENERAL"/>
    <s v="CWIP-FABRICATION OF INHOUSE TRAILOR"/>
    <s v="LOGISTIC DIVISION"/>
    <s v="LOGISTIC DIVISION"/>
    <n v="45562"/>
    <n v="0"/>
    <n v="45562"/>
    <s v="TZS"/>
    <s v="[CPAPT005] PAINT BLUE AUTOMOBILE"/>
    <s v="Paint"/>
    <n v="-4"/>
    <s v="LTR"/>
    <x v="0"/>
    <x v="0"/>
    <x v="12"/>
    <x v="1"/>
    <n v="17.867450980392157"/>
    <n v="0"/>
  </r>
  <r>
    <n v="25161"/>
    <d v="2025-10-15T06:48:32"/>
    <x v="132"/>
    <s v="STJ/2025/10/06901"/>
    <s v="Inventory Valuation"/>
    <s v="LOG/MTI/2025/01237 - [CGCAB021] PAPER SAND P100 GRIFT MEDIUM / MRQ/2025/04898_x000a_Rounding Adjustment: +0.01 TSh"/>
    <s v="LOG/MTI/2025/01237 - [CGCAB021] PAPER SAND P100 GRIFT MEDIUM / MRQ/2025/04898_x000a_Rounding Adjustment: +0.01 TSh"/>
    <m/>
    <m/>
    <s v="MATERIAL COST"/>
    <s v="Expenses"/>
    <s v="731002"/>
    <s v="731002 STORE SPARES &amp; CONSUMABLES - GENERAL"/>
    <s v="CWIP-FABRICATION OF INHOUSE TRAILOR"/>
    <s v="LOGISTIC DIVISION"/>
    <s v="LOGISTIC DIVISION"/>
    <n v="8008.46"/>
    <n v="0"/>
    <n v="8008.46"/>
    <s v="TZS"/>
    <s v="[CGCAB021] PAPER SAND P100 GRIFT MEDIUM"/>
    <s v="Abrasive Item"/>
    <n v="-7"/>
    <s v="NOS"/>
    <x v="0"/>
    <x v="0"/>
    <x v="12"/>
    <x v="1"/>
    <n v="3.1405725490196077"/>
    <n v="0"/>
  </r>
  <r>
    <n v="25155"/>
    <d v="2025-10-15T06:48:32"/>
    <x v="132"/>
    <s v="STJ/2025/10/06904"/>
    <s v="Inventory Valuation"/>
    <s v="LOG/MTI/2025/01237 - [CGCAB023] PAPER SAND P240 GRIFT FINE / MRQ/2025/04898"/>
    <s v="LOG/MTI/2025/01237 - [CGCAB023] PAPER SAND P240 GRIFT FINE / MRQ/2025/04898"/>
    <m/>
    <m/>
    <s v="MATERIAL COST"/>
    <s v="Expenses"/>
    <s v="731002"/>
    <s v="731002 STORE SPARES &amp; CONSUMABLES - GENERAL"/>
    <s v="CWIP-FABRICATION OF INHOUSE TRAILOR"/>
    <s v="LOGISTIC DIVISION"/>
    <s v="LOGISTIC DIVISION"/>
    <n v="1556.14"/>
    <n v="0"/>
    <n v="1556.14"/>
    <s v="TZS"/>
    <s v="[CGCAB023] PAPER SAND P240 GRIFT FINE"/>
    <s v="Abrasive Item"/>
    <n v="-1"/>
    <s v="NOS"/>
    <x v="0"/>
    <x v="0"/>
    <x v="12"/>
    <x v="1"/>
    <n v="0.61025098039215686"/>
    <n v="0"/>
  </r>
  <r>
    <n v="25153"/>
    <d v="2025-10-15T06:48:32"/>
    <x v="132"/>
    <s v="STJ/2025/10/06905"/>
    <s v="Inventory Valuation"/>
    <s v="LOG/MTI/2025/01237 - [CPAPT033] THINNER HR / MRQ/2025/04898"/>
    <s v="LOG/MTI/2025/01237 - [CPAPT033] THINNER HR / MRQ/2025/04898"/>
    <m/>
    <m/>
    <s v="MATERIAL COST"/>
    <s v="Expenses"/>
    <s v="731002"/>
    <s v="731002 STORE SPARES &amp; CONSUMABLES - GENERAL"/>
    <s v="CWIP-FABRICATION OF INHOUSE TRAILOR"/>
    <s v="LOGISTIC DIVISION"/>
    <s v="LOGISTIC DIVISION"/>
    <n v="21892.65"/>
    <n v="0"/>
    <n v="21892.65"/>
    <s v="TZS"/>
    <s v="[CPAPT033] THINNER HR"/>
    <s v="Paint"/>
    <n v="-5"/>
    <s v="LTR"/>
    <x v="0"/>
    <x v="0"/>
    <x v="12"/>
    <x v="1"/>
    <n v="8.5853529411764704"/>
    <n v="0"/>
  </r>
  <r>
    <n v="24955"/>
    <d v="2025-10-15T07:01:57"/>
    <x v="132"/>
    <s v="STJ/2025/10/07004"/>
    <s v="Inventory Valuation"/>
    <s v="LOG/MTI/2025/01240 - [LTS0014] CENTRE PLATE LEAF SPRING TRAILER - BPW / MRQ/2025/04874"/>
    <s v="LOG/MTI/2025/01240 - [LTS0014] CENTRE PLATE LEAF SPRING TRAILER - BPW / MRQ/2025/04874"/>
    <m/>
    <m/>
    <s v="MATERIAL COST"/>
    <s v="Expenses"/>
    <s v="731002"/>
    <s v="731002 STORE SPARES &amp; CONSUMABLES - GENERAL"/>
    <s v="CWIP-FABRICATION OF INHOUSE TRAILOR"/>
    <s v="LOGISTIC DIVISION"/>
    <s v="LOGISTIC DIVISION"/>
    <n v="107961"/>
    <n v="0"/>
    <n v="107961"/>
    <s v="TZS"/>
    <s v="[LTS0014] CENTRE PLATE LEAF SPRING TRAILER - BPW"/>
    <s v="TRAILER SPARES"/>
    <n v="-2"/>
    <s v="NOS"/>
    <x v="0"/>
    <x v="0"/>
    <x v="12"/>
    <x v="1"/>
    <n v="42.337647058823528"/>
    <n v="0"/>
  </r>
  <r>
    <n v="24954"/>
    <d v="2025-10-15T07:01:57"/>
    <x v="132"/>
    <s v="STJ/2025/10/07005"/>
    <s v="Inventory Valuation"/>
    <s v="LOG/MTI/2025/01240 - [LTS0020] SPRING PIN TRAILER WITH HEX HEAD M30 X 3.5 X 205MM / MRQ/2025/04874"/>
    <s v="LOG/MTI/2025/01240 - [LTS0020] SPRING PIN TRAILER WITH HEX HEAD M30 X 3.5 X 205MM / MRQ/2025/04874"/>
    <m/>
    <m/>
    <s v="MATERIAL COST"/>
    <s v="Expenses"/>
    <s v="731002"/>
    <s v="731002 STORE SPARES &amp; CONSUMABLES - GENERAL"/>
    <s v="CWIP-FABRICATION OF INHOUSE TRAILOR"/>
    <s v="LOGISTIC DIVISION"/>
    <s v="LOGISTIC DIVISION"/>
    <n v="58000"/>
    <n v="0"/>
    <n v="58000"/>
    <s v="TZS"/>
    <s v="[LTS0020] SPRING PIN TRAILER WITH HEX HEAD M30 X 3.5 X 205MM"/>
    <s v="TRAILER SPARES"/>
    <n v="-2"/>
    <s v="NOS"/>
    <x v="0"/>
    <x v="0"/>
    <x v="12"/>
    <x v="1"/>
    <n v="22.745098039215687"/>
    <n v="0"/>
  </r>
  <r>
    <n v="24510"/>
    <d v="2025-10-15T07:11:25"/>
    <x v="132"/>
    <s v="STJ/2025/10/07227"/>
    <s v="Inventory Valuation"/>
    <s v="LOG/MTI/2025/01241 - [LTS0046] TRAILOR SPRING SEAT / MRQ/2025/04875"/>
    <s v="LOG/MTI/2025/01241 - [LTS0046] TRAILOR SPRING SEAT / MRQ/2025/04875"/>
    <m/>
    <m/>
    <s v="MATERIAL COST"/>
    <s v="Expenses"/>
    <s v="731002"/>
    <s v="731002 STORE SPARES &amp; CONSUMABLES - GENERAL"/>
    <s v="CWIP-FABRICATION OF INHOUSE TRAILOR"/>
    <s v="LOGISTIC DIVISION"/>
    <s v="LOGISTIC DIVISION"/>
    <n v="468029.66"/>
    <n v="0"/>
    <n v="468029.66"/>
    <s v="TZS"/>
    <s v="[LTS0046] TRAILOR SPRING SEAT"/>
    <s v="TRAILER SPARES"/>
    <n v="-2"/>
    <s v="NOS"/>
    <x v="0"/>
    <x v="0"/>
    <x v="12"/>
    <x v="1"/>
    <n v="183.54104313725489"/>
    <n v="0"/>
  </r>
  <r>
    <n v="10590"/>
    <d v="2025-10-07T11:38:45"/>
    <x v="143"/>
    <s v="STJ/2025/10/02757"/>
    <s v="Inventory Valuation"/>
    <s v="LOG/MTI/2025/01171 - [LGS0079] CUTTING WHEEL - 9'' / MRQ/2025/04771"/>
    <s v="LOG/MTI/2025/01171 - [LGS0079] CUTTING WHEEL - 9'' / MRQ/2025/04771"/>
    <m/>
    <m/>
    <s v="MATERIAL COST"/>
    <s v="Expenses"/>
    <s v="731002"/>
    <s v="731002 STORE SPARES &amp; CONSUMABLES - GENERAL"/>
    <s v="CWIP-FABRICATION OF INHOUSE TRAILOR"/>
    <s v="LOGISTIC DIVISION"/>
    <s v="LOGISTIC DIVISION"/>
    <n v="6440.68"/>
    <n v="0"/>
    <n v="6440.68"/>
    <s v="TZS"/>
    <s v="[LGS0079] CUTTING WHEEL - 9''"/>
    <s v="General Spares"/>
    <n v="-2"/>
    <s v="NOS"/>
    <x v="0"/>
    <x v="0"/>
    <x v="12"/>
    <x v="1"/>
    <n v="2.5257568627450984"/>
    <n v="0"/>
  </r>
  <r>
    <n v="9743"/>
    <d v="2025-10-07T12:03:19"/>
    <x v="143"/>
    <s v="STJ/2025/10/03180"/>
    <s v="Inventory Valuation"/>
    <s v="LOG/MTI/2025/01178 - [CPAPT004] PAINT BLACK AUTOMOBILE / MRQ/2025/04718"/>
    <s v="LOG/MTI/2025/01178 - [CPAPT004] PAINT BLACK AUTOMOBILE / MRQ/2025/04718"/>
    <m/>
    <m/>
    <s v="MATERIAL COST"/>
    <s v="Expenses"/>
    <s v="731002"/>
    <s v="731002 STORE SPARES &amp; CONSUMABLES - GENERAL"/>
    <s v="CWIP-FABRICATION OF INHOUSE TRAILOR"/>
    <s v="LOGISTIC DIVISION"/>
    <s v="LOGISTIC DIVISION"/>
    <n v="91124"/>
    <n v="0"/>
    <n v="91124"/>
    <s v="TZS"/>
    <s v="[CPAPT004] PAINT BLACK AUTOMOBILE"/>
    <s v="Paint"/>
    <n v="-8"/>
    <s v="LTR"/>
    <x v="0"/>
    <x v="0"/>
    <x v="12"/>
    <x v="1"/>
    <n v="35.734901960784313"/>
    <n v="0"/>
  </r>
  <r>
    <n v="9741"/>
    <d v="2025-10-07T12:03:19"/>
    <x v="143"/>
    <s v="STJ/2025/10/03181"/>
    <s v="Inventory Valuation"/>
    <s v="LOG/MTI/2025/01178 - [CPAPT033] THINNER HR / MRQ/2025/04718"/>
    <s v="LOG/MTI/2025/01178 - [CPAPT033] THINNER HR / MRQ/2025/04718"/>
    <m/>
    <m/>
    <s v="MATERIAL COST"/>
    <s v="Expenses"/>
    <s v="731002"/>
    <s v="731002 STORE SPARES &amp; CONSUMABLES - GENERAL"/>
    <s v="CWIP-FABRICATION OF INHOUSE TRAILOR"/>
    <s v="LOGISTIC DIVISION"/>
    <s v="LOGISTIC DIVISION"/>
    <n v="21892.65"/>
    <n v="0"/>
    <n v="21892.65"/>
    <s v="TZS"/>
    <s v="[CPAPT033] THINNER HR"/>
    <s v="Paint"/>
    <n v="-5"/>
    <s v="LTR"/>
    <x v="0"/>
    <x v="0"/>
    <x v="12"/>
    <x v="1"/>
    <n v="8.5853529411764704"/>
    <n v="0"/>
  </r>
  <r>
    <n v="9029"/>
    <d v="2025-10-07T12:24:00"/>
    <x v="143"/>
    <s v="STJ/2025/10/03537"/>
    <s v="Inventory Valuation"/>
    <s v="LOG/MTI/2025/01186 - [CPAPT033] THINNER HR / MRQ/2025/04688"/>
    <s v="LOG/MTI/2025/01186 - [CPAPT033] THINNER HR / MRQ/2025/04688"/>
    <m/>
    <m/>
    <s v="MATERIAL COST"/>
    <s v="Expenses"/>
    <s v="731002"/>
    <s v="731002 STORE SPARES &amp; CONSUMABLES - GENERAL"/>
    <s v="CWIP-FABRICATION OF INHOUSE TRAILOR"/>
    <s v="LOGISTIC DIVISION"/>
    <s v="LOGISTIC DIVISION"/>
    <n v="21892.65"/>
    <n v="0"/>
    <n v="21892.65"/>
    <s v="TZS"/>
    <s v="[CPAPT033] THINNER HR"/>
    <s v="Paint"/>
    <n v="-5"/>
    <s v="LTR"/>
    <x v="0"/>
    <x v="0"/>
    <x v="12"/>
    <x v="1"/>
    <n v="8.5853529411764704"/>
    <n v="0"/>
  </r>
  <r>
    <n v="8937"/>
    <d v="2025-10-07T12:52:19"/>
    <x v="143"/>
    <s v="STJ/2025/10/03583"/>
    <s v="Inventory Valuation"/>
    <s v="LOG/MTI/2025/01198 - [CPAPT004] PAINT BLACK AUTOMOBILE / MRQ/2025/04651"/>
    <s v="LOG/MTI/2025/01198 - [CPAPT004] PAINT BLACK AUTOMOBILE / MRQ/2025/04651"/>
    <m/>
    <m/>
    <s v="MATERIAL COST"/>
    <s v="Expenses"/>
    <s v="731002"/>
    <s v="731002 STORE SPARES &amp; CONSUMABLES - GENERAL"/>
    <s v="CWIP-FABRICATION OF INHOUSE TRAILOR"/>
    <s v="LOGISTIC DIVISION"/>
    <s v="LOGISTIC DIVISION"/>
    <n v="91124"/>
    <n v="0"/>
    <n v="91124"/>
    <s v="TZS"/>
    <s v="[CPAPT004] PAINT BLACK AUTOMOBILE"/>
    <s v="Paint"/>
    <n v="-8"/>
    <s v="LTR"/>
    <x v="0"/>
    <x v="0"/>
    <x v="12"/>
    <x v="1"/>
    <n v="35.734901960784313"/>
    <n v="0"/>
  </r>
  <r>
    <n v="8935"/>
    <d v="2025-10-07T12:52:19"/>
    <x v="143"/>
    <s v="STJ/2025/10/03584"/>
    <s v="Inventory Valuation"/>
    <s v="LOG/MTI/2025/01198 - [CPAPT033] THINNER HR / MRQ/2025/04651"/>
    <s v="LOG/MTI/2025/01198 - [CPAPT033] THINNER HR / MRQ/2025/04651"/>
    <m/>
    <m/>
    <s v="MATERIAL COST"/>
    <s v="Expenses"/>
    <s v="731002"/>
    <s v="731002 STORE SPARES &amp; CONSUMABLES - GENERAL"/>
    <s v="CWIP-FABRICATION OF INHOUSE TRAILOR"/>
    <s v="LOGISTIC DIVISION"/>
    <s v="LOGISTIC DIVISION"/>
    <n v="43785.3"/>
    <n v="0"/>
    <n v="43785.3"/>
    <s v="TZS"/>
    <s v="[CPAPT033] THINNER HR"/>
    <s v="Paint"/>
    <n v="-10"/>
    <s v="LTR"/>
    <x v="0"/>
    <x v="0"/>
    <x v="12"/>
    <x v="1"/>
    <n v="17.170705882352941"/>
    <n v="0"/>
  </r>
  <r>
    <n v="49264"/>
    <d v="2025-10-28T14:21:31"/>
    <x v="144"/>
    <s v="STJ/2025/10/15768"/>
    <s v="Inventory Valuation"/>
    <s v="CM/MTI/2025/03702 - [CWCGC041] CUTTING WHEEL 7'' / MRQ/2025/05309"/>
    <s v="CM/MTI/2025/03702 - [CWCGC041] CUTTING WHEEL 7'' / MRQ/2025/05309"/>
    <m/>
    <m/>
    <s v="MATERIAL COST"/>
    <s v="Expenses"/>
    <s v="731002"/>
    <s v="731002 STORE SPARES &amp; CONSUMABLES - GENERAL"/>
    <s v="CWIP-INSTALLATION OF NEW WEIGHBRIDGE AT QUARRY(2NOS)"/>
    <s v="PROJECT"/>
    <s v="MECHANICAL"/>
    <n v="22542.87"/>
    <n v="0"/>
    <n v="22542.87"/>
    <s v="TZS"/>
    <s v="[CWCGC041] CUTTING WHEEL 7''"/>
    <s v="Gas Cutting"/>
    <n v="-7"/>
    <s v="NOS"/>
    <x v="0"/>
    <x v="0"/>
    <x v="14"/>
    <x v="3"/>
    <n v="8.8403411764705879"/>
    <n v="0"/>
  </r>
  <r>
    <n v="36690"/>
    <d v="2025-10-21T06:04:50"/>
    <x v="145"/>
    <s v="STJ/2025/10/11503"/>
    <s v="Inventory Valuation"/>
    <s v="CM/MTI/2025/03536 - [CIGGS001] GAS OXYGEN FULL CYLINDER, O2 / MRQ/2025/05075"/>
    <s v="CM/MTI/2025/03536 - [CIGGS001] GAS OXYGEN FULL CYLINDER, O2 / MRQ/2025/05075"/>
    <m/>
    <m/>
    <s v="MATERIAL COST"/>
    <s v="Expenses"/>
    <s v="731002"/>
    <s v="731002 STORE SPARES &amp; CONSUMABLES - GENERAL"/>
    <s v="CWIP-INSTALLATION OF NEW WEIGHBRIDGE AT QUARRY(2NOS)"/>
    <s v="PROJECT"/>
    <s v="MECHANICAL"/>
    <n v="90000"/>
    <n v="0"/>
    <n v="90000"/>
    <s v="TZS"/>
    <s v="[CIGGS001] GAS OXYGEN FULL CYLINDER, O2"/>
    <s v="Gases"/>
    <n v="-6"/>
    <s v="NOS"/>
    <x v="0"/>
    <x v="0"/>
    <x v="14"/>
    <x v="3"/>
    <n v="35.294117647058826"/>
    <n v="0"/>
  </r>
  <r>
    <n v="26655"/>
    <d v="2025-10-16T14:48:14"/>
    <x v="133"/>
    <s v="STJ/2025/10/08787"/>
    <s v="Inventory Valuation"/>
    <s v="CM/MTI/2025/03467 - [CIGGS001] GAS OXYGEN FULL CYLINDER, O2 / MRQ/2025/04988"/>
    <s v="CM/MTI/2025/03467 - [CIGGS001] GAS OXYGEN FULL CYLINDER, O2 / MRQ/2025/04988"/>
    <m/>
    <m/>
    <s v="MATERIAL COST"/>
    <s v="Expenses"/>
    <s v="731002"/>
    <s v="731002 STORE SPARES &amp; CONSUMABLES - GENERAL"/>
    <s v="CWIP-INSTALLATION OF NEW WEIGHBRIDGE AT QUARRY(2NOS)"/>
    <s v="PROJECT"/>
    <s v="MECHANICAL"/>
    <n v="150000"/>
    <n v="0"/>
    <n v="150000"/>
    <s v="TZS"/>
    <s v="[CIGGS001] GAS OXYGEN FULL CYLINDER, O2"/>
    <s v="Gases"/>
    <n v="-10"/>
    <s v="NOS"/>
    <x v="0"/>
    <x v="0"/>
    <x v="14"/>
    <x v="3"/>
    <n v="58.823529411764703"/>
    <n v="0"/>
  </r>
  <r>
    <n v="26652"/>
    <d v="2025-10-16T14:48:14"/>
    <x v="133"/>
    <s v="STJ/2025/10/08788"/>
    <s v="Inventory Valuation"/>
    <s v="CM/MTI/2025/03467 - [CIGGS005] GAS LIQUEFIED PETROLEUM FULL CYLINDER, LPG CAPACITY 15KG / MRQ/2025/04988"/>
    <s v="CM/MTI/2025/03467 - [CIGGS005] GAS LIQUEFIED PETROLEUM FULL CYLINDER, LPG CAPACITY 15KG / MRQ/2025/04988"/>
    <m/>
    <m/>
    <s v="MATERIAL COST"/>
    <s v="Expenses"/>
    <s v="731002"/>
    <s v="731002 STORE SPARES &amp; CONSUMABLES - GENERAL"/>
    <s v="CWIP-INSTALLATION OF NEW WEIGHBRIDGE AT QUARRY(2NOS)"/>
    <s v="PROJECT"/>
    <s v="MECHANICAL"/>
    <n v="96882.35"/>
    <n v="0"/>
    <n v="96882.35"/>
    <s v="TZS"/>
    <s v="[CIGGS005] GAS LIQUEFIED PETROLEUM FULL CYLINDER, LPG CAPACITY 15KG"/>
    <s v="Gases"/>
    <n v="-2"/>
    <s v="NOS"/>
    <x v="0"/>
    <x v="0"/>
    <x v="14"/>
    <x v="3"/>
    <n v="37.993078431372552"/>
    <n v="0"/>
  </r>
  <r>
    <n v="26650"/>
    <d v="2025-10-16T14:48:14"/>
    <x v="133"/>
    <s v="STJ/2025/10/08789"/>
    <s v="Inventory Valuation"/>
    <s v="CM/MTI/2025/03467 - [CWCGC041] CUTTING WHEEL 7'' / MRQ/2025/04988_x000a_Rounding Adjustment: +0.01 TSh"/>
    <s v="CM/MTI/2025/03467 - [CWCGC041] CUTTING WHEEL 7'' / MRQ/2025/04988_x000a_Rounding Adjustment: +0.01 TSh"/>
    <m/>
    <m/>
    <s v="MATERIAL COST"/>
    <s v="Expenses"/>
    <s v="731002"/>
    <s v="731002 STORE SPARES &amp; CONSUMABLES - GENERAL"/>
    <s v="CWIP-INSTALLATION OF NEW WEIGHBRIDGE AT QUARRY(2NOS)"/>
    <s v="PROJECT"/>
    <s v="MECHANICAL"/>
    <n v="32209.88"/>
    <n v="0"/>
    <n v="32209.88"/>
    <s v="TZS"/>
    <s v="[CWCGC041] CUTTING WHEEL 7''"/>
    <s v="Gas Cutting"/>
    <n v="-10"/>
    <s v="NOS"/>
    <x v="0"/>
    <x v="0"/>
    <x v="14"/>
    <x v="3"/>
    <n v="12.63132549019608"/>
    <n v="0"/>
  </r>
  <r>
    <n v="26648"/>
    <d v="2025-10-16T14:48:14"/>
    <x v="133"/>
    <s v="STJ/2025/10/08790"/>
    <s v="Inventory Valuation"/>
    <s v="CM/MTI/2025/03467 - [CWCWR003] WELDING ELECTRODE MS 6013 SIZE 4 MM X 450 MM / MRQ/2025/04988"/>
    <s v="CM/MTI/2025/03467 - [CWCWR003] WELDING ELECTRODE MS 6013 SIZE 4 MM X 450 MM / MRQ/2025/04988"/>
    <m/>
    <m/>
    <s v="MATERIAL COST"/>
    <s v="Expenses"/>
    <s v="731002"/>
    <s v="731002 STORE SPARES &amp; CONSUMABLES - GENERAL"/>
    <s v="CWIP-INSTALLATION OF NEW WEIGHBRIDGE AT QUARRY(2NOS)"/>
    <s v="PROJECT"/>
    <s v="MECHANICAL"/>
    <n v="81950.19"/>
    <n v="0"/>
    <n v="81950.19"/>
    <s v="TZS"/>
    <s v="[CWCWR003] WELDING ELECTRODE MS 6013 SIZE 4 MM X 450 MM"/>
    <s v="Welding Rod"/>
    <n v="-20"/>
    <s v="KG"/>
    <x v="0"/>
    <x v="0"/>
    <x v="14"/>
    <x v="3"/>
    <n v="32.137329411764703"/>
    <n v="0"/>
  </r>
  <r>
    <n v="36688"/>
    <d v="2025-10-21T06:04:50"/>
    <x v="145"/>
    <s v="STJ/2025/10/11504"/>
    <s v="Inventory Valuation"/>
    <s v="CM/MTI/2025/03536 - [CPAPT009] PAINT OIL BLACK / MRQ/2025/05075"/>
    <s v="CM/MTI/2025/03536 - [CPAPT009] PAINT OIL BLACK / MRQ/2025/05075"/>
    <m/>
    <m/>
    <s v="MATERIAL COST"/>
    <s v="Expenses"/>
    <s v="731002"/>
    <s v="731002 STORE SPARES &amp; CONSUMABLES - GENERAL"/>
    <s v="CWIP-INSTALLATION OF NEW WEIGHBRIDGE AT QUARRY(2NOS)"/>
    <s v="QUARRY"/>
    <s v="MECHANICAL"/>
    <n v="71251.5"/>
    <n v="0"/>
    <n v="71251.5"/>
    <s v="TZS"/>
    <s v="[CPAPT009] PAINT OIL BLACK"/>
    <s v="Paint"/>
    <n v="-16"/>
    <s v="LTR"/>
    <x v="0"/>
    <x v="0"/>
    <x v="14"/>
    <x v="3"/>
    <n v="27.941764705882353"/>
    <n v="0"/>
  </r>
  <r>
    <n v="28793"/>
    <d v="2025-10-17T14:49:56"/>
    <x v="134"/>
    <s v="STJ/2025/10/09458"/>
    <s v="Inventory Valuation"/>
    <s v="CM/MTI/2025/03491 - [EFSHB118] BOLT HT HEX HEAD M16 X 75MM FULL THREAD WITH NUT AND WASHER GRADE 8.8 / MRQ/2025/05040"/>
    <s v="CM/MTI/2025/03491 - [EFSHB118] BOLT HT HEX HEAD M16 X 75MM FULL THREAD WITH NUT AND WASHER GRADE 8.8 / MRQ/2025/05040"/>
    <m/>
    <m/>
    <s v="MATERIAL COST"/>
    <s v="Expenses"/>
    <s v="731002"/>
    <s v="731002 STORE SPARES &amp; CONSUMABLES - GENERAL"/>
    <s v="CWIP-INSTALLATION OF NEW WEIGHBRIDGE AT QUARRY(2NOS)"/>
    <s v="QUARRY"/>
    <s v="MECHANICAL"/>
    <n v="268689.63"/>
    <n v="0"/>
    <n v="268689.63"/>
    <s v="TZS"/>
    <s v="[EFSHB118] BOLT HT HEX HEAD M16 X 75MM FULL THREAD WITH NUT AND WASHER GRADE 8.8"/>
    <s v="Hex Bolt"/>
    <n v="-200"/>
    <s v="NOS"/>
    <x v="0"/>
    <x v="0"/>
    <x v="14"/>
    <x v="3"/>
    <n v="105.36848235294117"/>
    <n v="0"/>
  </r>
  <r>
    <n v="2328"/>
    <d v="2025-10-02T06:26:55"/>
    <x v="127"/>
    <s v="STJ/2025/10/00368"/>
    <s v="Inventory Valuation"/>
    <s v="CM/MTI/2025/03212 - [CPAPT007] PAINT RED OXIDE / MRQ/2025/04611"/>
    <s v="CM/MTI/2025/03212 - [CPAPT007] PAINT RED OXIDE / MRQ/2025/04611"/>
    <m/>
    <m/>
    <s v="MATERIAL COST"/>
    <s v="Expenses"/>
    <s v="731002"/>
    <s v="731002 STORE SPARES &amp; CONSUMABLES - GENERAL"/>
    <s v="CWIP-INSTALLATION OF NEW WEIGHBRIDGE AT QUARRY(2NOS)"/>
    <s v="QUARRY"/>
    <s v="MECHANICAL"/>
    <n v="76204"/>
    <n v="0"/>
    <n v="76204"/>
    <s v="TZS"/>
    <s v="[CPAPT007] PAINT RED OXIDE"/>
    <s v="Paint"/>
    <n v="-16"/>
    <s v="LTR"/>
    <x v="0"/>
    <x v="0"/>
    <x v="14"/>
    <x v="3"/>
    <n v="29.88392156862745"/>
    <n v="0"/>
  </r>
  <r>
    <n v="2325"/>
    <d v="2025-10-02T06:26:55"/>
    <x v="127"/>
    <s v="STJ/2025/10/00369"/>
    <s v="Inventory Valuation"/>
    <s v="CM/MTI/2025/03212 - [CPAPT037] THINNER SOLVENT / MRQ/2025/04611"/>
    <s v="CM/MTI/2025/03212 - [CPAPT037] THINNER SOLVENT / MRQ/2025/04611"/>
    <m/>
    <m/>
    <s v="MATERIAL COST"/>
    <s v="Expenses"/>
    <s v="731002"/>
    <s v="731002 STORE SPARES &amp; CONSUMABLES - GENERAL"/>
    <s v="CWIP-INSTALLATION OF NEW WEIGHBRIDGE AT QUARRY(2NOS)"/>
    <s v="QUARRY"/>
    <s v="MECHANICAL"/>
    <n v="20580.810000000001"/>
    <n v="0"/>
    <n v="20580.810000000001"/>
    <s v="TZS"/>
    <s v="[CPAPT037] THINNER SOLVENT"/>
    <s v="Paint"/>
    <n v="-5"/>
    <s v="LTR"/>
    <x v="0"/>
    <x v="0"/>
    <x v="14"/>
    <x v="3"/>
    <n v="8.0709058823529425"/>
    <n v="0"/>
  </r>
  <r>
    <n v="2324"/>
    <d v="2025-10-02T06:26:55"/>
    <x v="127"/>
    <s v="STJ/2025/10/00370"/>
    <s v="Inventory Valuation"/>
    <s v="CM/MTI/2025/03212 - [CWCGC041] CUTTING WHEEL 7'' / MRQ/2025/04611_x000a_Rounding Adjustment: +0.01 TSh"/>
    <s v="CM/MTI/2025/03212 - [CWCGC041] CUTTING WHEEL 7'' / MRQ/2025/04611_x000a_Rounding Adjustment: +0.01 TSh"/>
    <m/>
    <m/>
    <s v="MATERIAL COST"/>
    <s v="Expenses"/>
    <s v="731002"/>
    <s v="731002 STORE SPARES &amp; CONSUMABLES - GENERAL"/>
    <s v="CWIP-INSTALLATION OF NEW WEIGHBRIDGE AT QUARRY(2NOS)"/>
    <s v="QUARRY"/>
    <s v="MECHANICAL"/>
    <n v="22546.91"/>
    <n v="0"/>
    <n v="22546.91"/>
    <s v="TZS"/>
    <s v="[CWCGC041] CUTTING WHEEL 7''"/>
    <s v="Gas Cutting"/>
    <n v="-7"/>
    <s v="NOS"/>
    <x v="0"/>
    <x v="0"/>
    <x v="14"/>
    <x v="3"/>
    <n v="8.8419254901960791"/>
    <n v="0"/>
  </r>
  <r>
    <n v="41021"/>
    <d v="2025-10-23T14:36:36"/>
    <x v="140"/>
    <s v="STJ/2025/10/12888"/>
    <s v="Inventory Valuation"/>
    <s v="CM/MTI/2025/03604 - [CCLGC052] PLYWOOD 8FEET X 4FEET X 18 MM THICK  / MRQ/2025/05087"/>
    <s v="CM/MTI/2025/03604 - [CCLGC052] PLYWOOD 8FEET X 4FEET X 18 MM THICK  / MRQ/2025/05087"/>
    <m/>
    <m/>
    <s v="MATERIAL COST"/>
    <s v="Expenses"/>
    <s v="731002"/>
    <s v="731002 STORE SPARES &amp; CONSUMABLES - GENERAL"/>
    <s v="CWIP-QUARRY RAW MATERIAL SHED EXTENSION"/>
    <s v="QUARRY"/>
    <s v="MECHANICAL"/>
    <n v="1055084.7"/>
    <n v="0"/>
    <n v="1055084.7"/>
    <s v="TZS"/>
    <s v="[CCLGC052] PLYWOOD 8FEET X 4FEET X 18 MM THICK "/>
    <s v="General Consumables"/>
    <n v="-30"/>
    <s v="NOS"/>
    <x v="0"/>
    <x v="0"/>
    <x v="18"/>
    <x v="7"/>
    <n v="413.7587058823529"/>
    <n v="0"/>
  </r>
  <r>
    <n v="36710"/>
    <d v="2025-10-21T06:01:22"/>
    <x v="145"/>
    <s v="STJ/2025/10/11493"/>
    <s v="Inventory Valuation"/>
    <s v="CM/MTI/2025/03533 - [CCLGC023] NAILS SIZE 4'' / MRQ/2025/05078"/>
    <s v="CM/MTI/2025/03533 - [CCLGC023] NAILS SIZE 4'' / MRQ/2025/05078"/>
    <m/>
    <m/>
    <s v="MATERIAL COST"/>
    <s v="Expenses"/>
    <s v="731002"/>
    <s v="731002 STORE SPARES &amp; CONSUMABLES - GENERAL"/>
    <s v="CWIP-QUARRY RAW MATERIAL SHED EXTENSION"/>
    <s v="QUARRY"/>
    <s v="MECHANICAL"/>
    <n v="114000"/>
    <n v="0"/>
    <n v="114000"/>
    <s v="TZS"/>
    <s v="[CCLGC023] NAILS SIZE 4''"/>
    <s v="General Consumables"/>
    <n v="-20"/>
    <s v="KG"/>
    <x v="0"/>
    <x v="0"/>
    <x v="18"/>
    <x v="7"/>
    <n v="44.705882352941174"/>
    <n v="0"/>
  </r>
  <r>
    <n v="36709"/>
    <d v="2025-10-21T06:01:22"/>
    <x v="145"/>
    <s v="STJ/2025/10/11494"/>
    <s v="Inventory Valuation"/>
    <s v="CM/MTI/2025/03533 - [CCLGC032] WIRE FOR BINDING / MRQ/2025/05078"/>
    <s v="CM/MTI/2025/03533 - [CCLGC032] WIRE FOR BINDING / MRQ/2025/05078"/>
    <m/>
    <m/>
    <s v="MATERIAL COST"/>
    <s v="Expenses"/>
    <s v="731002"/>
    <s v="731002 STORE SPARES &amp; CONSUMABLES - GENERAL"/>
    <s v="CWIP-QUARRY RAW MATERIAL SHED EXTENSION"/>
    <s v="QUARRY"/>
    <s v="MECHANICAL"/>
    <n v="140000"/>
    <n v="0"/>
    <n v="140000"/>
    <s v="TZS"/>
    <s v="[CCLGC032] WIRE FOR BINDING"/>
    <s v="General Consumables"/>
    <n v="-28"/>
    <s v="KG"/>
    <x v="0"/>
    <x v="0"/>
    <x v="18"/>
    <x v="7"/>
    <n v="54.901960784313722"/>
    <n v="0"/>
  </r>
  <r>
    <n v="36707"/>
    <d v="2025-10-21T06:01:22"/>
    <x v="145"/>
    <s v="STJ/2025/10/11495"/>
    <s v="Inventory Valuation"/>
    <s v="CM/MTI/2025/03533 - [CCLGC038] TIMBER 2 INCH X 4 INCH UNTREATED / MRQ/2025/05078"/>
    <s v="CM/MTI/2025/03533 - [CCLGC038] TIMBER 2 INCH X 4 INCH UNTREATED / MRQ/2025/05078"/>
    <m/>
    <m/>
    <s v="MATERIAL COST"/>
    <s v="Expenses"/>
    <s v="731002"/>
    <s v="731002 STORE SPARES &amp; CONSUMABLES - GENERAL"/>
    <s v="CWIP-QUARRY RAW MATERIAL SHED EXTENSION"/>
    <s v="QUARRY"/>
    <s v="MECHANICAL"/>
    <n v="700000"/>
    <n v="0"/>
    <n v="700000"/>
    <s v="TZS"/>
    <s v="[CCLGC038] TIMBER 2 INCH X 4 INCH UNTREATED"/>
    <s v="General Consumables"/>
    <n v="-100"/>
    <s v="NOS"/>
    <x v="0"/>
    <x v="0"/>
    <x v="18"/>
    <x v="7"/>
    <n v="274.50980392156862"/>
    <n v="0"/>
  </r>
  <r>
    <n v="36705"/>
    <d v="2025-10-21T06:01:22"/>
    <x v="145"/>
    <s v="STJ/2025/10/11496"/>
    <s v="Inventory Valuation"/>
    <s v="CM/MTI/2025/03533 - [CCLGC327] TMT BAR SIZE 8 MM GRADE FY500. / MRQ/2025/05078"/>
    <s v="CM/MTI/2025/03533 - [CCLGC327] TMT BAR SIZE 8 MM GRADE FY500. / MRQ/2025/05078"/>
    <m/>
    <m/>
    <s v="MATERIAL COST"/>
    <s v="Expenses"/>
    <s v="731002"/>
    <s v="731002 STORE SPARES &amp; CONSUMABLES - GENERAL"/>
    <s v="CWIP-QUARRY RAW MATERIAL SHED EXTENSION"/>
    <s v="QUARRY"/>
    <s v="MECHANICAL"/>
    <n v="473256.65"/>
    <n v="0"/>
    <n v="473256.65"/>
    <s v="TZS"/>
    <s v="[CCLGC327] TMT BAR SIZE 8 MM GRADE FY500."/>
    <s v="General Consumables"/>
    <n v="-50"/>
    <s v="PCS"/>
    <x v="0"/>
    <x v="0"/>
    <x v="18"/>
    <x v="7"/>
    <n v="185.59084313725492"/>
    <n v="0"/>
  </r>
  <r>
    <n v="36703"/>
    <d v="2025-10-21T06:01:22"/>
    <x v="145"/>
    <s v="STJ/2025/10/11497"/>
    <s v="Inventory Valuation"/>
    <s v="CM/MTI/2025/03533 - [CCLGC329] TMT BAR SIZE 12 MM GRADE FY500. / MRQ/2025/05078_x000a_Rounding Adjustment: -0.01 TSh"/>
    <s v="CM/MTI/2025/03533 - [CCLGC329] TMT BAR SIZE 12 MM GRADE FY500. / MRQ/2025/05078_x000a_Rounding Adjustment: -0.01 TSh"/>
    <m/>
    <m/>
    <s v="MATERIAL COST"/>
    <s v="Expenses"/>
    <s v="731002"/>
    <s v="731002 STORE SPARES &amp; CONSUMABLES - GENERAL"/>
    <s v="CWIP-QUARRY RAW MATERIAL SHED EXTENSION"/>
    <s v="QUARRY"/>
    <s v="MECHANICAL"/>
    <n v="611681.77"/>
    <n v="0"/>
    <n v="611681.77"/>
    <s v="TZS"/>
    <s v="[CCLGC329] TMT BAR SIZE 12 MM GRADE FY500."/>
    <s v="General Consumables"/>
    <n v="-30"/>
    <s v="PCS"/>
    <x v="0"/>
    <x v="0"/>
    <x v="18"/>
    <x v="7"/>
    <n v="239.87520392156864"/>
    <n v="0"/>
  </r>
  <r>
    <n v="36701"/>
    <d v="2025-10-21T06:01:22"/>
    <x v="145"/>
    <s v="STJ/2025/10/11498"/>
    <s v="Inventory Valuation"/>
    <s v="CM/MTI/2025/03533 - [CCLGC330] TMT BAR SIZE 16 MM GRADE FY500. / MRQ/2025/05078"/>
    <s v="CM/MTI/2025/03533 - [CCLGC330] TMT BAR SIZE 16 MM GRADE FY500. / MRQ/2025/05078"/>
    <m/>
    <m/>
    <s v="MATERIAL COST"/>
    <s v="Expenses"/>
    <s v="731002"/>
    <s v="731002 STORE SPARES &amp; CONSUMABLES - GENERAL"/>
    <s v="CWIP-QUARRY RAW MATERIAL SHED EXTENSION"/>
    <s v="QUARRY"/>
    <s v="MECHANICAL"/>
    <n v="1822302.65"/>
    <n v="0"/>
    <n v="1822302.65"/>
    <s v="TZS"/>
    <s v="[CCLGC330] TMT BAR SIZE 16 MM GRADE FY500."/>
    <s v="General Consumables"/>
    <n v="-50"/>
    <s v="PCS"/>
    <x v="0"/>
    <x v="0"/>
    <x v="18"/>
    <x v="7"/>
    <n v="714.62849019607836"/>
    <n v="0"/>
  </r>
  <r>
    <n v="36698"/>
    <d v="2025-10-21T06:01:22"/>
    <x v="145"/>
    <s v="STJ/2025/10/11499"/>
    <s v="Inventory Valuation"/>
    <s v="CM/MTI/2025/03533 - [CWCGC041] CUTTING WHEEL 7'' / MRQ/2025/05078"/>
    <s v="CM/MTI/2025/03533 - [CWCGC041] CUTTING WHEEL 7'' / MRQ/2025/05078"/>
    <m/>
    <m/>
    <s v="MATERIAL COST"/>
    <s v="Expenses"/>
    <s v="731002"/>
    <s v="731002 STORE SPARES &amp; CONSUMABLES - GENERAL"/>
    <s v="CWIP-QUARRY RAW MATERIAL SHED EXTENSION"/>
    <s v="QUARRY"/>
    <s v="MECHANICAL"/>
    <n v="32204.11"/>
    <n v="0"/>
    <n v="32204.11"/>
    <s v="TZS"/>
    <s v="[CWCGC041] CUTTING WHEEL 7''"/>
    <s v="Gas Cutting"/>
    <n v="-10"/>
    <s v="NOS"/>
    <x v="0"/>
    <x v="0"/>
    <x v="18"/>
    <x v="7"/>
    <n v="12.629062745098039"/>
    <n v="0"/>
  </r>
  <r>
    <n v="30688"/>
    <d v="2025-10-18T12:17:47"/>
    <x v="135"/>
    <s v="STJ/2025/10/09944"/>
    <s v="Inventory Valuation"/>
    <s v="CM/MTI/2025/03507 - [CCLGC023] NAILS SIZE 4'' / MRQ/2025/05003"/>
    <s v="CM/MTI/2025/03507 - [CCLGC023] NAILS SIZE 4'' / MRQ/2025/05003"/>
    <m/>
    <m/>
    <s v="MATERIAL COST"/>
    <s v="Expenses"/>
    <s v="731002"/>
    <s v="731002 STORE SPARES &amp; CONSUMABLES - GENERAL"/>
    <s v="CWIP-QUARRY RAW MATERIAL SHED EXTENSION"/>
    <s v="QUARRY"/>
    <s v="MECHANICAL"/>
    <n v="34200"/>
    <n v="0"/>
    <n v="34200"/>
    <s v="TZS"/>
    <s v="[CCLGC023] NAILS SIZE 4''"/>
    <s v="General Consumables"/>
    <n v="-6"/>
    <s v="KG"/>
    <x v="0"/>
    <x v="0"/>
    <x v="18"/>
    <x v="7"/>
    <n v="13.411764705882353"/>
    <n v="0"/>
  </r>
  <r>
    <n v="30686"/>
    <d v="2025-10-18T12:17:47"/>
    <x v="135"/>
    <s v="STJ/2025/10/09945"/>
    <s v="Inventory Valuation"/>
    <s v="CM/MTI/2025/03507 - [CCLGC038] TIMBER 2 INCH X 4 INCH UNTREATED / MRQ/2025/05003"/>
    <s v="CM/MTI/2025/03507 - [CCLGC038] TIMBER 2 INCH X 4 INCH UNTREATED / MRQ/2025/05003"/>
    <m/>
    <m/>
    <s v="MATERIAL COST"/>
    <s v="Expenses"/>
    <s v="731002"/>
    <s v="731002 STORE SPARES &amp; CONSUMABLES - GENERAL"/>
    <s v="CWIP-QUARRY RAW MATERIAL SHED EXTENSION"/>
    <s v="QUARRY"/>
    <s v="MECHANICAL"/>
    <n v="140000"/>
    <n v="0"/>
    <n v="140000"/>
    <s v="TZS"/>
    <s v="[CCLGC038] TIMBER 2 INCH X 4 INCH UNTREATED"/>
    <s v="General Consumables"/>
    <n v="-20"/>
    <s v="NOS"/>
    <x v="0"/>
    <x v="0"/>
    <x v="18"/>
    <x v="7"/>
    <n v="54.901960784313722"/>
    <n v="0"/>
  </r>
  <r>
    <n v="8767"/>
    <d v="2025-10-07T14:16:23"/>
    <x v="143"/>
    <s v="STJ/2025/10/03668"/>
    <s v="Inventory Valuation"/>
    <s v="CM/MTI/2025/03315 - [CCLGC022] NAILS SIZE 3'' / MRQ/2025/04751"/>
    <s v="CM/MTI/2025/03315 - [CCLGC022] NAILS SIZE 3'' / MRQ/2025/04751"/>
    <m/>
    <m/>
    <s v="MATERIAL COST"/>
    <s v="Expenses"/>
    <s v="731002"/>
    <s v="731002 STORE SPARES &amp; CONSUMABLES - GENERAL"/>
    <s v="CWIP-QUARRY RAW MATERIAL SHED EXTENSION"/>
    <s v="QUARRY"/>
    <s v="MECHANICAL"/>
    <n v="68400"/>
    <n v="0"/>
    <n v="68400"/>
    <s v="TZS"/>
    <s v="[CCLGC022] NAILS SIZE 3''"/>
    <s v="General Consumables"/>
    <n v="-12"/>
    <s v="KG"/>
    <x v="0"/>
    <x v="0"/>
    <x v="18"/>
    <x v="7"/>
    <n v="26.823529411764707"/>
    <n v="0"/>
  </r>
  <r>
    <n v="8765"/>
    <d v="2025-10-07T14:16:23"/>
    <x v="143"/>
    <s v="STJ/2025/10/03669"/>
    <s v="Inventory Valuation"/>
    <s v="CM/MTI/2025/03315 - [CCLGC023] NAILS SIZE 4'' / MRQ/2025/04751"/>
    <s v="CM/MTI/2025/03315 - [CCLGC023] NAILS SIZE 4'' / MRQ/2025/04751"/>
    <m/>
    <m/>
    <s v="MATERIAL COST"/>
    <s v="Expenses"/>
    <s v="731002"/>
    <s v="731002 STORE SPARES &amp; CONSUMABLES - GENERAL"/>
    <s v="CWIP-QUARRY RAW MATERIAL SHED EXTENSION"/>
    <s v="QUARRY"/>
    <s v="MECHANICAL"/>
    <n v="57000"/>
    <n v="0"/>
    <n v="57000"/>
    <s v="TZS"/>
    <s v="[CCLGC023] NAILS SIZE 4''"/>
    <s v="General Consumables"/>
    <n v="-10"/>
    <s v="KG"/>
    <x v="0"/>
    <x v="0"/>
    <x v="18"/>
    <x v="7"/>
    <n v="22.352941176470587"/>
    <n v="0"/>
  </r>
  <r>
    <n v="8763"/>
    <d v="2025-10-07T14:16:23"/>
    <x v="143"/>
    <s v="STJ/2025/10/03670"/>
    <s v="Inventory Valuation"/>
    <s v="CM/MTI/2025/03315 - [CCLGC183] POLES WOODEN MIRUNDA  / MRQ/2025/04751"/>
    <s v="CM/MTI/2025/03315 - [CCLGC183] POLES WOODEN MIRUNDA  / MRQ/2025/04751"/>
    <m/>
    <m/>
    <s v="MATERIAL COST"/>
    <s v="Expenses"/>
    <s v="731002"/>
    <s v="731002 STORE SPARES &amp; CONSUMABLES - GENERAL"/>
    <s v="CWIP-QUARRY RAW MATERIAL SHED EXTENSION"/>
    <s v="QUARRY"/>
    <s v="MECHANICAL"/>
    <n v="200000"/>
    <n v="0"/>
    <n v="200000"/>
    <s v="TZS"/>
    <s v="[CCLGC183] POLES WOODEN MIRUNDA "/>
    <s v="General Consumables"/>
    <n v="-40"/>
    <s v="NOS"/>
    <x v="0"/>
    <x v="0"/>
    <x v="18"/>
    <x v="7"/>
    <n v="78.431372549019613"/>
    <n v="0"/>
  </r>
  <r>
    <n v="3295"/>
    <d v="2025-10-03T13:28:00"/>
    <x v="146"/>
    <s v="STJ/2025/10/01145"/>
    <s v="Inventory Valuation"/>
    <s v="CM/MTI/2025/03239 - [CCLGC021] NAILS SIZE 2.5'' / MRQ/2025/04686"/>
    <s v="CM/MTI/2025/03239 - [CCLGC021] NAILS SIZE 2.5'' / MRQ/2025/04686"/>
    <m/>
    <m/>
    <s v="MATERIAL COST"/>
    <s v="Expenses"/>
    <s v="731002"/>
    <s v="731002 STORE SPARES &amp; CONSUMABLES - GENERAL"/>
    <s v="CWIP-QUARRY RAW MATERIAL SHED EXTENSION"/>
    <s v="QUARRY"/>
    <s v="MECHANICAL"/>
    <n v="59261.08"/>
    <n v="0"/>
    <n v="59261.08"/>
    <s v="TZS"/>
    <s v="[CCLGC021] NAILS SIZE 2.5''"/>
    <s v="General Consumables"/>
    <n v="-10"/>
    <s v="KG"/>
    <x v="0"/>
    <x v="0"/>
    <x v="18"/>
    <x v="7"/>
    <n v="23.239639215686275"/>
    <n v="0"/>
  </r>
  <r>
    <n v="3292"/>
    <d v="2025-10-03T13:28:00"/>
    <x v="146"/>
    <s v="STJ/2025/10/01146"/>
    <s v="Inventory Valuation"/>
    <s v="CM/MTI/2025/03239 - [CCLGC023] NAILS SIZE 4'' / MRQ/2025/04686"/>
    <s v="CM/MTI/2025/03239 - [CCLGC023] NAILS SIZE 4'' / MRQ/2025/04686"/>
    <m/>
    <m/>
    <s v="MATERIAL COST"/>
    <s v="Expenses"/>
    <s v="731002"/>
    <s v="731002 STORE SPARES &amp; CONSUMABLES - GENERAL"/>
    <s v="CWIP-QUARRY RAW MATERIAL SHED EXTENSION"/>
    <s v="QUARRY"/>
    <s v="MECHANICAL"/>
    <n v="57000"/>
    <n v="0"/>
    <n v="57000"/>
    <s v="TZS"/>
    <s v="[CCLGC023] NAILS SIZE 4''"/>
    <s v="General Consumables"/>
    <n v="-10"/>
    <s v="KG"/>
    <x v="0"/>
    <x v="0"/>
    <x v="18"/>
    <x v="7"/>
    <n v="22.352941176470587"/>
    <n v="0"/>
  </r>
  <r>
    <n v="3290"/>
    <d v="2025-10-03T13:28:00"/>
    <x v="146"/>
    <s v="STJ/2025/10/01147"/>
    <s v="Inventory Valuation"/>
    <s v="CM/MTI/2025/03239 - [CCLGC032] WIRE FOR BINDING / MRQ/2025/04686"/>
    <s v="CM/MTI/2025/03239 - [CCLGC032] WIRE FOR BINDING / MRQ/2025/04686"/>
    <m/>
    <m/>
    <s v="MATERIAL COST"/>
    <s v="Expenses"/>
    <s v="731002"/>
    <s v="731002 STORE SPARES &amp; CONSUMABLES - GENERAL"/>
    <s v="CWIP-QUARRY RAW MATERIAL SHED EXTENSION"/>
    <s v="QUARRY"/>
    <s v="MECHANICAL"/>
    <n v="70000"/>
    <n v="0"/>
    <n v="70000"/>
    <s v="TZS"/>
    <s v="[CCLGC032] WIRE FOR BINDING"/>
    <s v="General Consumables"/>
    <n v="-14"/>
    <s v="KG"/>
    <x v="0"/>
    <x v="0"/>
    <x v="18"/>
    <x v="7"/>
    <n v="27.450980392156861"/>
    <n v="0"/>
  </r>
  <r>
    <n v="3289"/>
    <d v="2025-10-03T13:28:00"/>
    <x v="146"/>
    <s v="STJ/2025/10/01148"/>
    <s v="Inventory Valuation"/>
    <s v="CM/MTI/2025/03239 - [CCLGC038] TIMBER 2 INCH X 4 INCH UNTREATED / MRQ/2025/04686"/>
    <s v="CM/MTI/2025/03239 - [CCLGC038] TIMBER 2 INCH X 4 INCH UNTREATED / MRQ/2025/04686"/>
    <m/>
    <m/>
    <s v="MATERIAL COST"/>
    <s v="Expenses"/>
    <s v="731002"/>
    <s v="731002 STORE SPARES &amp; CONSUMABLES - GENERAL"/>
    <s v="CWIP-QUARRY RAW MATERIAL SHED EXTENSION"/>
    <s v="QUARRY"/>
    <s v="MECHANICAL"/>
    <n v="140000"/>
    <n v="0"/>
    <n v="140000"/>
    <s v="TZS"/>
    <s v="[CCLGC038] TIMBER 2 INCH X 4 INCH UNTREATED"/>
    <s v="General Consumables"/>
    <n v="-20"/>
    <s v="NOS"/>
    <x v="0"/>
    <x v="0"/>
    <x v="18"/>
    <x v="7"/>
    <n v="54.901960784313722"/>
    <n v="0"/>
  </r>
  <r>
    <n v="3287"/>
    <d v="2025-10-03T13:28:00"/>
    <x v="146"/>
    <s v="STJ/2025/10/01149"/>
    <s v="Inventory Valuation"/>
    <s v="CM/MTI/2025/03239 - [CWCGC041] CUTTING WHEEL 7'' / MRQ/2025/04686"/>
    <s v="CM/MTI/2025/03239 - [CWCGC041] CUTTING WHEEL 7'' / MRQ/2025/04686"/>
    <m/>
    <m/>
    <s v="MATERIAL COST"/>
    <s v="Expenses"/>
    <s v="731002"/>
    <s v="731002 STORE SPARES &amp; CONSUMABLES - GENERAL"/>
    <s v="CWIP-QUARRY RAW MATERIAL SHED EXTENSION"/>
    <s v="QUARRY"/>
    <s v="MECHANICAL"/>
    <n v="48314.84"/>
    <n v="0"/>
    <n v="48314.84"/>
    <s v="TZS"/>
    <s v="[CWCGC041] CUTTING WHEEL 7''"/>
    <s v="Gas Cutting"/>
    <n v="-15"/>
    <s v="NOS"/>
    <x v="0"/>
    <x v="0"/>
    <x v="18"/>
    <x v="7"/>
    <n v="18.946996078431372"/>
    <n v="0"/>
  </r>
  <r>
    <n v="3258"/>
    <d v="2025-10-03T13:53:11"/>
    <x v="146"/>
    <s v="STJ/2025/10/01163"/>
    <s v="Inventory Valuation"/>
    <s v="CM/MTI/2025/03248 - [CCLGC328] TMT BAR SIZE 10 MM GRADE FY500. / MRQ/2025/04673"/>
    <s v="CM/MTI/2025/03248 - [CCLGC328] TMT BAR SIZE 10 MM GRADE FY500. / MRQ/2025/04673"/>
    <m/>
    <m/>
    <s v="MATERIAL COST"/>
    <s v="Expenses"/>
    <s v="731002"/>
    <s v="731002 STORE SPARES &amp; CONSUMABLES - GENERAL"/>
    <s v="CWIP-QUARRY RAW MATERIAL SHED EXTENSION"/>
    <s v="QUARRY"/>
    <s v="MECHANICAL"/>
    <n v="999641.12"/>
    <n v="0"/>
    <n v="999641.12"/>
    <s v="TZS"/>
    <s v="[CCLGC328] TMT BAR SIZE 10 MM GRADE FY500."/>
    <s v="General Consumables"/>
    <n v="-70"/>
    <s v="PCS"/>
    <x v="0"/>
    <x v="0"/>
    <x v="18"/>
    <x v="7"/>
    <n v="392.01612549019609"/>
    <n v="0"/>
  </r>
  <r>
    <n v="1464"/>
    <d v="2025-10-02T14:28:23"/>
    <x v="127"/>
    <s v="STJ/2025/10/00800"/>
    <s v="Inventory Valuation"/>
    <s v="CM/MTI/2025/03221 - [CCLGC032] WIRE FOR BINDING / MRQ/2025/04625"/>
    <s v="CM/MTI/2025/03221 - [CCLGC032] WIRE FOR BINDING / MRQ/2025/04625"/>
    <m/>
    <m/>
    <s v="MATERIAL COST"/>
    <s v="Expenses"/>
    <s v="731002"/>
    <s v="731002 STORE SPARES &amp; CONSUMABLES - GENERAL"/>
    <s v="CWIP-QUARRY RAW MATERIAL SHED EXTENSION"/>
    <s v="QUARRY"/>
    <s v="MECHANICAL"/>
    <n v="140000"/>
    <n v="0"/>
    <n v="140000"/>
    <s v="TZS"/>
    <s v="[CCLGC032] WIRE FOR BINDING"/>
    <s v="General Consumables"/>
    <n v="-28"/>
    <s v="KG"/>
    <x v="0"/>
    <x v="0"/>
    <x v="18"/>
    <x v="7"/>
    <n v="54.901960784313722"/>
    <n v="0"/>
  </r>
  <r>
    <n v="1461"/>
    <d v="2025-10-02T14:28:23"/>
    <x v="127"/>
    <s v="STJ/2025/10/00801"/>
    <s v="Inventory Valuation"/>
    <s v="CM/MTI/2025/03221 - [CCLGC330] TMT BAR SIZE 16 MM GRADE FY500. / MRQ/2025/04625"/>
    <s v="CM/MTI/2025/03221 - [CCLGC330] TMT BAR SIZE 16 MM GRADE FY500. / MRQ/2025/04625"/>
    <m/>
    <m/>
    <s v="MATERIAL COST"/>
    <s v="Expenses"/>
    <s v="731002"/>
    <s v="731002 STORE SPARES &amp; CONSUMABLES - GENERAL"/>
    <s v="CWIP-QUARRY RAW MATERIAL SHED EXTENSION"/>
    <s v="QUARRY"/>
    <s v="MECHANICAL"/>
    <n v="2915684.24"/>
    <n v="0"/>
    <n v="2915684.24"/>
    <s v="TZS"/>
    <s v="[CCLGC330] TMT BAR SIZE 16 MM GRADE FY500."/>
    <s v="General Consumables"/>
    <n v="-80"/>
    <s v="PCS"/>
    <x v="0"/>
    <x v="0"/>
    <x v="18"/>
    <x v="7"/>
    <n v="1143.4055843137255"/>
    <n v="0"/>
  </r>
  <r>
    <n v="1459"/>
    <d v="2025-10-02T14:28:23"/>
    <x v="127"/>
    <s v="STJ/2025/10/00802"/>
    <s v="Inventory Valuation"/>
    <s v="CM/MTI/2025/03221 - [CWCGC041] CUTTING WHEEL 7'' / MRQ/2025/04625_x000a_Rounding Adjustment: -0.01 TSh"/>
    <s v="CM/MTI/2025/03221 - [CWCGC041] CUTTING WHEEL 7'' / MRQ/2025/04625_x000a_Rounding Adjustment: -0.01 TSh"/>
    <m/>
    <m/>
    <s v="MATERIAL COST"/>
    <s v="Expenses"/>
    <s v="731002"/>
    <s v="731002 STORE SPARES &amp; CONSUMABLES - GENERAL"/>
    <s v="CWIP-QUARRY RAW MATERIAL SHED EXTENSION"/>
    <s v="QUARRY"/>
    <s v="MECHANICAL"/>
    <n v="32209.9"/>
    <n v="0"/>
    <n v="32209.9"/>
    <s v="TZS"/>
    <s v="[CWCGC041] CUTTING WHEEL 7''"/>
    <s v="Gas Cutting"/>
    <n v="-10"/>
    <s v="NOS"/>
    <x v="0"/>
    <x v="0"/>
    <x v="18"/>
    <x v="7"/>
    <n v="12.631333333333334"/>
    <n v="0"/>
  </r>
  <r>
    <n v="36136"/>
    <d v="2025-10-21T14:18:19"/>
    <x v="145"/>
    <s v="STJ/2025/10/11780"/>
    <s v="Inventory Valuation"/>
    <s v="CM/MTI/2025/03554 - [CCLGC328] TMT BAR SIZE 10 MM GRADE FY500. / MRQ/2025/05107"/>
    <s v="CM/MTI/2025/03554 - [CCLGC328] TMT BAR SIZE 10 MM GRADE FY500. / MRQ/2025/05107"/>
    <m/>
    <m/>
    <s v="MATERIAL COST"/>
    <s v="Expenses"/>
    <s v="731002"/>
    <s v="731002 STORE SPARES &amp; CONSUMABLES - GENERAL"/>
    <s v="CWIP-ROAD PHASE 07"/>
    <s v="PROJECT"/>
    <s v="MECHANICAL"/>
    <n v="428417.62"/>
    <n v="0"/>
    <n v="428417.62"/>
    <s v="TZS"/>
    <s v="[CCLGC328] TMT BAR SIZE 10 MM GRADE FY500."/>
    <s v="General Consumables"/>
    <n v="-30"/>
    <s v="PCS"/>
    <x v="0"/>
    <x v="0"/>
    <x v="17"/>
    <x v="6"/>
    <n v="168.00690980392156"/>
    <n v="0"/>
  </r>
  <r>
    <n v="28780"/>
    <d v="2025-10-17T14:52:54"/>
    <x v="134"/>
    <s v="STJ/2025/10/09465"/>
    <s v="Inventory Valuation"/>
    <s v="CM/MTI/2025/03498 - [CPMBG002] BAG EMPTY FOR CEMENT PACKING GRADE 42.5R MATERIAL WOVEN POLYPROPYLENE CAPACITY 50KG COLOR ORANGE / MRQ/2025/04773"/>
    <s v="CM/MTI/2025/03498 - [CPMBG002] BAG EMPTY FOR CEMENT PACKING GRADE 42.5R MATERIAL WOVEN POLYPROPYLENE CAPACITY 50KG COLOR ORANGE / MRQ/2025/04773"/>
    <m/>
    <m/>
    <s v="MATERIAL COST"/>
    <s v="Expenses"/>
    <s v="731006"/>
    <s v="731006 PACKING BAGS CONSUMED"/>
    <s v="CWIP-QUARRY RAW MATERIAL SHED EXTENSION"/>
    <s v="QUARRY"/>
    <s v="MECHANICAL"/>
    <n v="117600.01"/>
    <n v="0"/>
    <n v="117600.01"/>
    <s v="TZS"/>
    <s v="[CPMBG002] BAG EMPTY FOR CEMENT PACKING GRADE 42.5R MATERIAL WOVEN POLYPROPYLENE CAPACITY 50KG COLOR ORANGE"/>
    <s v="Bag"/>
    <n v="-280"/>
    <s v="NOS"/>
    <x v="0"/>
    <x v="0"/>
    <x v="18"/>
    <x v="7"/>
    <n v="46.117650980392156"/>
    <n v="0"/>
  </r>
  <r>
    <n v="8757"/>
    <d v="2025-10-07T14:16:46"/>
    <x v="143"/>
    <s v="STJ/2025/10/03673"/>
    <s v="Inventory Valuation"/>
    <s v="CM/MTI/2025/03316 - [CPMBG002] BAG EMPTY FOR CEMENT PACKING GRADE 42.5R MATERIAL WOVEN POLYPROPYLENE CAPACITY 50KG COLOR ORANGE / MRQ/2025/04710"/>
    <s v="CM/MTI/2025/03316 - [CPMBG002] BAG EMPTY FOR CEMENT PACKING GRADE 42.5R MATERIAL WOVEN POLYPROPYLENE CAPACITY 50KG COLOR ORANGE / MRQ/2025/04710"/>
    <m/>
    <m/>
    <s v="MATERIAL COST"/>
    <s v="Expenses"/>
    <s v="731006"/>
    <s v="731006 PACKING BAGS CONSUMED"/>
    <s v="CWIP-QUARRY RAW MATERIAL SHED EXTENSION"/>
    <s v="QUARRY"/>
    <s v="MECHANICAL"/>
    <n v="105000.02"/>
    <n v="0"/>
    <n v="105000.02"/>
    <s v="TZS"/>
    <s v="[CPMBG002] BAG EMPTY FOR CEMENT PACKING GRADE 42.5R MATERIAL WOVEN POLYPROPYLENE CAPACITY 50KG COLOR ORANGE"/>
    <s v="Bag"/>
    <n v="-250"/>
    <s v="NOS"/>
    <x v="0"/>
    <x v="0"/>
    <x v="18"/>
    <x v="7"/>
    <n v="41.176478431372551"/>
    <n v="0"/>
  </r>
  <r>
    <n v="2"/>
    <d v="2025-11-08T11:07:54"/>
    <x v="147"/>
    <s v="AST/2025/11/0001"/>
    <s v="Assets"/>
    <s v="TOYOTA CROWN T950DXA"/>
    <s v="TOYOTA CROWN T950DXA: Sale"/>
    <m/>
    <m/>
    <s v="VEHICLES"/>
    <s v="Fixed Assets"/>
    <s v="351001"/>
    <s v="351001 VEHICLES - PASSENGER"/>
    <s v="TOYOTA CROWN T950DXA"/>
    <s v="UTILITY"/>
    <s v="ADMIN"/>
    <n v="0"/>
    <n v="12711864.41"/>
    <n v="-12711864.41"/>
    <s v="TZS"/>
    <m/>
    <m/>
    <n v="1"/>
    <m/>
    <x v="0"/>
    <x v="4"/>
    <x v="20"/>
    <x v="5"/>
    <n v="-4985.0448666666671"/>
    <n v="0"/>
  </r>
  <r>
    <n v="3"/>
    <d v="2025-11-10T06:30:13"/>
    <x v="148"/>
    <s v="SERBL/2025/11/0012"/>
    <s v="Service Bills"/>
    <s v="POSTAGE CHARGES "/>
    <s v="DARR000351082"/>
    <s v="CMLU1172"/>
    <s v="DHL Tanzania Limited"/>
    <s v="CAPITAL WORK IN PROGRESS"/>
    <s v="Fixed Assets"/>
    <s v="371056"/>
    <s v="371056 MINERAL EXPLORATION &amp; DEVELOPMENT-TARAWANDA"/>
    <s v="TARAWANDA EXPENSE"/>
    <s v="HO"/>
    <s v="ADMIN"/>
    <n v="2638346.56"/>
    <n v="0"/>
    <n v="2638346.56"/>
    <s v="TZS"/>
    <m/>
    <m/>
    <n v="1"/>
    <m/>
    <x v="0"/>
    <x v="0"/>
    <x v="1"/>
    <x v="1"/>
    <n v="1034.6457098039216"/>
    <n v="0"/>
  </r>
  <r>
    <n v="4"/>
    <d v="2025-11-17T09:22:16"/>
    <x v="149"/>
    <s v="AST/2025/11/0003"/>
    <s v="Assets"/>
    <s v="ESCORT HYDRA T632CXV"/>
    <s v="ESCORT HYDRA T632CXV: Sale Against Inv no. INV/2025/11/00701"/>
    <m/>
    <m/>
    <s v="VEHICLES"/>
    <s v="Fixed Assets"/>
    <s v="351002"/>
    <s v="351002 VEHICLES - OFFROAD COMMERCIAL"/>
    <s v="ESCORT HYDRA T632CXV"/>
    <s v="UTILITY"/>
    <s v="ADMIN"/>
    <n v="0"/>
    <n v="37090650"/>
    <n v="-37090650"/>
    <s v="TZS"/>
    <m/>
    <m/>
    <n v="1"/>
    <m/>
    <x v="0"/>
    <x v="4"/>
    <x v="23"/>
    <x v="5"/>
    <n v="-14545.35294117647"/>
    <n v="0"/>
  </r>
  <r>
    <n v="5"/>
    <d v="2025-11-12T07:11:09"/>
    <x v="150"/>
    <s v="SERBL/2025/11/0039"/>
    <s v="Service Bills"/>
    <s v="LPORD/2025/01268: SUPPLY OF SKILLED FITTER FOR ADDITIVE GYPSUM FEEDING SYSTEM "/>
    <s v="TAZ-0033"/>
    <s v="CMLT2186"/>
    <s v="Taz Engineering Company Limited"/>
    <s v="CAPITAL WORK IN PROGRESS"/>
    <s v="Fixed Assets"/>
    <s v="371014"/>
    <s v="371014 CWIP-GYPSUM SHED SURROUNDING &amp; CEMENT MILL AREA NEW ROAD"/>
    <s v="CWIP-CONSTRUCTION OF LIME STONE AND GYPSUM FEEDING SYSTEM IN CEMENT MILL"/>
    <s v="PROJECT"/>
    <s v="MECHANICAL"/>
    <n v="3180000"/>
    <n v="0"/>
    <n v="3180000"/>
    <s v="TZS"/>
    <s v="[SER037] Job Contract-15"/>
    <s v="Misc. Income"/>
    <n v="53"/>
    <s v="MANDAY"/>
    <x v="0"/>
    <x v="0"/>
    <x v="19"/>
    <x v="6"/>
    <n v="1247.0588235294117"/>
    <n v="0"/>
  </r>
  <r>
    <n v="6"/>
    <d v="2025-11-12T07:11:09"/>
    <x v="150"/>
    <s v="SERBL/2025/11/0039"/>
    <s v="Service Bills"/>
    <s v="LPORD/2025/01268: SUPPLY OF SKILLED WELDER FOR ADDITIVE GYPSUM FEEDING SYSTEM "/>
    <s v="TAZ-0033"/>
    <s v="CMLT2186"/>
    <s v="Taz Engineering Company Limited"/>
    <s v="CAPITAL WORK IN PROGRESS"/>
    <s v="Fixed Assets"/>
    <s v="371014"/>
    <s v="371014 CWIP-GYPSUM SHED SURROUNDING &amp; CEMENT MILL AREA NEW ROAD"/>
    <s v="CWIP-CONSTRUCTION OF LIME STONE AND GYPSUM FEEDING SYSTEM IN CEMENT MILL"/>
    <s v="PROJECT"/>
    <s v="MECHANICAL"/>
    <n v="3180000"/>
    <n v="0"/>
    <n v="3180000"/>
    <s v="TZS"/>
    <s v="[SER037] Job Contract-15"/>
    <s v="Misc. Income"/>
    <n v="53"/>
    <s v="MANDAY"/>
    <x v="0"/>
    <x v="0"/>
    <x v="19"/>
    <x v="6"/>
    <n v="1247.0588235294117"/>
    <n v="0"/>
  </r>
  <r>
    <n v="7"/>
    <d v="2025-11-12T07:11:09"/>
    <x v="150"/>
    <s v="SERBL/2025/11/0039"/>
    <s v="Service Bills"/>
    <s v="LPORD/2025/01268: SUPPLY OF UNSKILLED HELPER  FOR ADDITIVE GYPSUM FEEDING SYSTEM "/>
    <s v="TAZ-0033"/>
    <s v="CMLT2186"/>
    <s v="Taz Engineering Company Limited"/>
    <s v="CAPITAL WORK IN PROGRESS"/>
    <s v="Fixed Assets"/>
    <s v="371014"/>
    <s v="371014 CWIP-GYPSUM SHED SURROUNDING &amp; CEMENT MILL AREA NEW ROAD"/>
    <s v="CWIP-CONSTRUCTION OF LIME STONE AND GYPSUM FEEDING SYSTEM IN CEMENT MILL"/>
    <s v="PROJECT"/>
    <s v="MECHANICAL"/>
    <n v="966000"/>
    <n v="0"/>
    <n v="966000"/>
    <s v="TZS"/>
    <s v="[SER037] Job Contract-15"/>
    <s v="Misc. Income"/>
    <n v="92"/>
    <s v="MANDAY"/>
    <x v="0"/>
    <x v="0"/>
    <x v="19"/>
    <x v="6"/>
    <n v="378.8235294117647"/>
    <n v="0"/>
  </r>
  <r>
    <n v="8"/>
    <d v="2025-11-12T13:44:59"/>
    <x v="150"/>
    <s v="MISC/2025/11/0136"/>
    <s v="Miscellaneous Operations"/>
    <s v="LAND COST"/>
    <s v="BEING TRANSFER OF EXPENSES ACCOUNT FROM LAND RIGHTS AQUISITION TARAWANDA TO LAND COST AGAINST JV NO. MISC/2025/04/0016"/>
    <m/>
    <m/>
    <s v="LAND &amp; SITE DEVELOPMENT"/>
    <s v="Fixed Assets"/>
    <s v="301003"/>
    <s v="301003 LAND COST"/>
    <s v="Kimbiji Factory"/>
    <s v="QUARRY"/>
    <s v="QUARRYING"/>
    <n v="10000000"/>
    <n v="0"/>
    <n v="10000000"/>
    <s v="TZS"/>
    <m/>
    <m/>
    <n v="1"/>
    <m/>
    <x v="0"/>
    <x v="1"/>
    <x v="4"/>
    <x v="2"/>
    <n v="3921.5686274509803"/>
    <n v="0"/>
  </r>
  <r>
    <n v="9"/>
    <d v="2025-11-12T13:44:59"/>
    <x v="150"/>
    <s v="MISC/2025/11/0136"/>
    <s v="Miscellaneous Operations"/>
    <s v="LAND COST"/>
    <s v="BEING TRANSFER OF EXPENSES ACCOUNT FROM LAND RIGHTS AQUISITION TARAWANDA TO LAND COST AGAINST JV NO. MISC/2025/04/0016"/>
    <m/>
    <m/>
    <s v="LAND &amp; SITE DEVELOPMENT"/>
    <s v="Fixed Assets"/>
    <s v="301001"/>
    <s v="301001 LAND RIGHTS AQUISITION (TARAWANDA)"/>
    <s v="Kimbiji Factory"/>
    <s v="QUARRY"/>
    <s v="QUARRYING"/>
    <n v="0"/>
    <n v="10000000"/>
    <n v="-10000000"/>
    <s v="TZS"/>
    <m/>
    <m/>
    <n v="1"/>
    <m/>
    <x v="0"/>
    <x v="1"/>
    <x v="5"/>
    <x v="5"/>
    <n v="-3921.5686274509803"/>
    <n v="0"/>
  </r>
  <r>
    <n v="11"/>
    <d v="2025-11-17T12:52:05"/>
    <x v="151"/>
    <s v="SERBL/2025/11/0076"/>
    <s v="Service Bills"/>
    <m/>
    <s v="KCR250/2025"/>
    <s v="CMLT2103"/>
    <s v="Kwik Carriers Limited"/>
    <s v="CAPITAL WORK IN PROGRESS"/>
    <s v="Fixed Assets"/>
    <s v="371056"/>
    <s v="371056 MINERAL EXPLORATION &amp; DEVELOPMENT-TARAWANDA"/>
    <s v="TARAWANDA EXPENSE"/>
    <s v="PASSENGER VEHICLES"/>
    <s v="ADMIN"/>
    <n v="1200000"/>
    <n v="0"/>
    <n v="1200000"/>
    <s v="TZS"/>
    <m/>
    <m/>
    <n v="8"/>
    <m/>
    <x v="0"/>
    <x v="0"/>
    <x v="1"/>
    <x v="1"/>
    <n v="470.58823529411762"/>
    <n v="0"/>
  </r>
  <r>
    <n v="12"/>
    <d v="2025-11-17T10:59:49"/>
    <x v="151"/>
    <s v="MISC/2025/11/0235"/>
    <s v="Miscellaneous Operations"/>
    <s v="LAND PURCHASE "/>
    <s v="NMB TZS CHQ NO.003368 PAID LAND COST -12 ACRES -MAUA SAIDI DIBWE"/>
    <m/>
    <m/>
    <s v="LAND &amp; SITE DEVELOPMENT"/>
    <s v="Fixed Assets"/>
    <s v="301001"/>
    <s v="301001 LAND RIGHTS AQUISITION (TARAWANDA)"/>
    <s v="TARAWANDA EXPENSE"/>
    <s v="ADMIN"/>
    <s v="ADMIN"/>
    <n v="2000000"/>
    <n v="0"/>
    <n v="2000000"/>
    <s v="TZS"/>
    <m/>
    <m/>
    <n v="1"/>
    <m/>
    <x v="0"/>
    <x v="1"/>
    <x v="5"/>
    <x v="1"/>
    <n v="784.31372549019613"/>
    <n v="0"/>
  </r>
  <r>
    <n v="13"/>
    <d v="2025-11-17T10:58:13"/>
    <x v="151"/>
    <s v="MISC/2025/11/0234"/>
    <s v="Miscellaneous Operations"/>
    <s v="LAND PURCHASE "/>
    <s v="NMB TZS CHQ NO.003367 PAID LAND COST -12 ACRES -MAUA SAIDI DIBWE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4"/>
    <d v="2025-11-17T10:55:38"/>
    <x v="151"/>
    <s v="MISC/2025/11/0233"/>
    <s v="Miscellaneous Operations"/>
    <s v="LAND PURCHASE "/>
    <s v="NMB TZS CHQ NO.003366 PAID LAND COST -2.86 ACRES -MERINA CLEMENT SINGANO"/>
    <m/>
    <m/>
    <s v="LAND &amp; SITE DEVELOPMENT"/>
    <s v="Fixed Assets"/>
    <s v="301001"/>
    <s v="301001 LAND RIGHTS AQUISITION (TARAWANDA)"/>
    <s v="TARAWANDA EXPENSE"/>
    <s v="ADMIN"/>
    <s v="ADMIN"/>
    <n v="4850006"/>
    <n v="0"/>
    <n v="4850006"/>
    <s v="TZS"/>
    <m/>
    <m/>
    <n v="1"/>
    <m/>
    <x v="0"/>
    <x v="1"/>
    <x v="5"/>
    <x v="1"/>
    <n v="1901.963137254902"/>
    <n v="0"/>
  </r>
  <r>
    <n v="15"/>
    <d v="2025-11-17T10:51:12"/>
    <x v="151"/>
    <s v="MISC/2025/11/0231"/>
    <s v="Miscellaneous Operations"/>
    <s v="LAND PURCHASE "/>
    <s v="NMB TZS CHQ NO.003364 PAID LAND COST -0.66 ACRES -FATUMA DAUDI KIDAMANE"/>
    <m/>
    <m/>
    <s v="LAND &amp; SITE DEVELOPMENT"/>
    <s v="Fixed Assets"/>
    <s v="301001"/>
    <s v="301001 LAND RIGHTS AQUISITION (TARAWANDA)"/>
    <s v="TARAWANDA EXPENSE"/>
    <s v="ADMIN"/>
    <s v="ADMIN"/>
    <n v="4992721"/>
    <n v="0"/>
    <n v="4992721"/>
    <s v="TZS"/>
    <m/>
    <m/>
    <n v="1"/>
    <m/>
    <x v="0"/>
    <x v="1"/>
    <x v="5"/>
    <x v="1"/>
    <n v="1957.9298039215687"/>
    <n v="0"/>
  </r>
  <r>
    <n v="16"/>
    <d v="2025-11-17T10:47:42"/>
    <x v="151"/>
    <s v="MISC/2025/11/0230"/>
    <s v="Miscellaneous Operations"/>
    <s v="LAND PURCHASE "/>
    <s v="NMB TZS CHQ NO.003363 PAID LAND COST -FATUMA DAUDI KIDAMANE"/>
    <m/>
    <m/>
    <s v="LAND &amp; SITE DEVELOPMENT"/>
    <s v="Fixed Assets"/>
    <s v="301001"/>
    <s v="301001 LAND RIGHTS AQUISITION (TARAWANDA)"/>
    <s v="TARAWANDA EXPENSE"/>
    <s v="ADMIN"/>
    <s v="ADMIN"/>
    <n v="6502200"/>
    <n v="0"/>
    <n v="6502200"/>
    <s v="TZS"/>
    <m/>
    <m/>
    <n v="1"/>
    <m/>
    <x v="0"/>
    <x v="1"/>
    <x v="5"/>
    <x v="1"/>
    <n v="2549.8823529411766"/>
    <n v="0"/>
  </r>
  <r>
    <n v="17"/>
    <d v="2025-11-17T10:46:00"/>
    <x v="151"/>
    <s v="MISC/2025/11/0229"/>
    <s v="Miscellaneous Operations"/>
    <s v="LAND PURCHASE "/>
    <s v="NMB TZS CHQ NO.003362 PAID LAND COST -FATUMA DAUDI KIDAMANE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8"/>
    <d v="2025-11-17T10:41:57"/>
    <x v="151"/>
    <s v="MISC/2025/11/0228"/>
    <s v="Miscellaneous Operations"/>
    <s v="LAND PURCHASE"/>
    <s v="NMB TZS CHQ NO.003361 PAID LAND COST -4.79 ACRES -MASOUD ALLY CHABU"/>
    <m/>
    <m/>
    <s v="LAND &amp; SITE DEVELOPMENT"/>
    <s v="Fixed Assets"/>
    <s v="301001"/>
    <s v="301001 LAND RIGHTS AQUISITION (TARAWANDA)"/>
    <s v="TARAWANDA EXPENSE"/>
    <s v="ADMIN"/>
    <s v="ADMIN"/>
    <n v="921157"/>
    <n v="0"/>
    <n v="921157"/>
    <s v="TZS"/>
    <m/>
    <m/>
    <n v="1"/>
    <m/>
    <x v="0"/>
    <x v="1"/>
    <x v="5"/>
    <x v="1"/>
    <n v="361.23803921568629"/>
    <n v="0"/>
  </r>
  <r>
    <n v="19"/>
    <d v="2025-11-17T10:39:43"/>
    <x v="151"/>
    <s v="MISC/2025/11/0227"/>
    <s v="Miscellaneous Operations"/>
    <s v="LAND PURCHASE"/>
    <s v="NMB TZS CHQ NO.003360 PAID LAND COST -4.79 ACRES -MASOUD ALLY CHABU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20"/>
    <d v="2025-11-17T10:37:00"/>
    <x v="151"/>
    <s v="MISC/2025/11/0226"/>
    <s v="Miscellaneous Operations"/>
    <s v="LAND PURCHASE "/>
    <s v="NMB TZS CHQ NO.003359 PAID LAND COST -13.30 ACRES -IDDI MIRAJI CHUMA"/>
    <m/>
    <m/>
    <s v="LAND &amp; SITE DEVELOPMENT"/>
    <s v="Fixed Assets"/>
    <s v="301001"/>
    <s v="301001 LAND RIGHTS AQUISITION (TARAWANDA)"/>
    <s v="TARAWANDA EXPENSE"/>
    <s v="ADMIN"/>
    <s v="ADMIN"/>
    <n v="7252960"/>
    <n v="0"/>
    <n v="7252960"/>
    <s v="TZS"/>
    <m/>
    <m/>
    <n v="1"/>
    <m/>
    <x v="0"/>
    <x v="1"/>
    <x v="5"/>
    <x v="1"/>
    <n v="2844.2980392156865"/>
    <n v="0"/>
  </r>
  <r>
    <n v="21"/>
    <d v="2025-11-17T10:35:31"/>
    <x v="151"/>
    <s v="MISC/2025/11/0225"/>
    <s v="Miscellaneous Operations"/>
    <s v="LAND PURCHASE"/>
    <s v="NMB TZS CHQ NO.003358 PAID LAND COST -13.30 ACRES -IDDI MIRAJI CHUMA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22"/>
    <d v="2025-11-17T10:32:52"/>
    <x v="151"/>
    <s v="MISC/2025/11/0224"/>
    <s v="Miscellaneous Operations"/>
    <s v="LAND PURCHASE"/>
    <s v="NMB TZS CHQ NO.003357 PAID LAND COST -ADELA MAIKO MFAUME"/>
    <m/>
    <m/>
    <s v="LAND &amp; SITE DEVELOPMENT"/>
    <s v="Fixed Assets"/>
    <s v="301001"/>
    <s v="301001 LAND RIGHTS AQUISITION (TARAWANDA)"/>
    <s v="TARAWANDA EXPENSE"/>
    <s v="ADMIN"/>
    <s v="ADMIN"/>
    <n v="785151"/>
    <n v="0"/>
    <n v="785151"/>
    <s v="TZS"/>
    <m/>
    <m/>
    <n v="1"/>
    <m/>
    <x v="0"/>
    <x v="1"/>
    <x v="5"/>
    <x v="1"/>
    <n v="307.90235294117645"/>
    <n v="0"/>
  </r>
  <r>
    <n v="23"/>
    <d v="2025-11-17T10:31:24"/>
    <x v="151"/>
    <s v="MISC/2025/11/0223"/>
    <s v="Miscellaneous Operations"/>
    <s v="LAND PURCHASE"/>
    <s v="NMB TZS CHQ NO.003356 PAID LAND COST -ADELA MAIKO MFAUME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24"/>
    <d v="2025-11-17T10:28:19"/>
    <x v="151"/>
    <s v="MISC/2025/11/0222"/>
    <s v="Miscellaneous Operations"/>
    <s v="LAND PURCHASE "/>
    <s v="NMB TZS CHQ NO.003355 PAID LAND COST -5.54 ACRES -RASHIDI MOHAMEDI RASHIDI"/>
    <m/>
    <m/>
    <s v="LAND &amp; SITE DEVELOPMENT"/>
    <s v="Fixed Assets"/>
    <s v="301001"/>
    <s v="301001 LAND RIGHTS AQUISITION (TARAWANDA)"/>
    <s v="TARAWANDA EXPENSE"/>
    <s v="ADMIN"/>
    <s v="ADMIN"/>
    <n v="7337134"/>
    <n v="0"/>
    <n v="7337134"/>
    <s v="TZS"/>
    <m/>
    <m/>
    <n v="1"/>
    <m/>
    <x v="0"/>
    <x v="1"/>
    <x v="5"/>
    <x v="1"/>
    <n v="2877.3074509803923"/>
    <n v="0"/>
  </r>
  <r>
    <n v="25"/>
    <d v="2025-11-17T10:23:53"/>
    <x v="151"/>
    <s v="MISC/2025/11/0221"/>
    <s v="Miscellaneous Operations"/>
    <s v="LAND PURCHASE "/>
    <s v="NMB TZS CHQ NO.003354 PAID LAND COST -9.94 ACRES -STAMILI GEUZA MSABAHA"/>
    <m/>
    <m/>
    <s v="LAND &amp; SITE DEVELOPMENT"/>
    <s v="Fixed Assets"/>
    <s v="301001"/>
    <s v="301001 LAND RIGHTS AQUISITION (TARAWANDA)"/>
    <s v="TARAWANDA EXPENSE"/>
    <s v="ADMIN"/>
    <s v="ADMIN"/>
    <n v="3126438"/>
    <n v="0"/>
    <n v="3126438"/>
    <s v="TZS"/>
    <m/>
    <m/>
    <n v="1"/>
    <m/>
    <x v="0"/>
    <x v="1"/>
    <x v="5"/>
    <x v="1"/>
    <n v="1226.0541176470588"/>
    <n v="0"/>
  </r>
  <r>
    <n v="26"/>
    <d v="2025-11-17T10:20:16"/>
    <x v="151"/>
    <s v="MISC/2025/11/0220"/>
    <s v="Miscellaneous Operations"/>
    <s v="LAND PURCHASE"/>
    <s v="NMB TZS CHQ NO.003353 PAID LAND COST -0.62 ACRES -STAMILI GEUZA MSABAHA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27"/>
    <d v="2025-11-17T10:15:53"/>
    <x v="151"/>
    <s v="MISC/2025/11/0219"/>
    <s v="Miscellaneous Operations"/>
    <s v="LAND PURCHASE "/>
    <s v="NMB TZS CHQ NO.003352 PAID LAND COST - 3.35 ACRES -ANTHONIA MICHAEL MFAUME"/>
    <m/>
    <m/>
    <s v="LAND &amp; SITE DEVELOPMENT"/>
    <s v="Fixed Assets"/>
    <s v="301001"/>
    <s v="301001 LAND RIGHTS AQUISITION (TARAWANDA)"/>
    <s v="TARAWANDA EXPENSE"/>
    <s v="ADMIN"/>
    <s v="ADMIN"/>
    <n v="3551549"/>
    <n v="0"/>
    <n v="3551549"/>
    <s v="TZS"/>
    <m/>
    <m/>
    <n v="1"/>
    <m/>
    <x v="0"/>
    <x v="1"/>
    <x v="5"/>
    <x v="1"/>
    <n v="1392.7643137254902"/>
    <n v="0"/>
  </r>
  <r>
    <n v="28"/>
    <d v="2025-11-17T10:12:24"/>
    <x v="151"/>
    <s v="MISC/2025/11/0218"/>
    <s v="Miscellaneous Operations"/>
    <s v="LAND PURCHASE "/>
    <s v="NMB TZS CHQ NO.003351 PAID LAND COST - 3.35 ACRES -ANTHONIA MICHAEL MFAUME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29"/>
    <d v="2025-11-17T10:08:17"/>
    <x v="151"/>
    <s v="MISC/2025/11/0217"/>
    <s v="Miscellaneous Operations"/>
    <s v="LAND PURCHASE"/>
    <s v="NMB TZS CHQ NO.003350 PAID LAND COST - 0.13 ACRES -IDDI SELEMANI LUBARATI"/>
    <m/>
    <m/>
    <s v="LAND &amp; SITE DEVELOPMENT"/>
    <s v="Fixed Assets"/>
    <s v="301001"/>
    <s v="301001 LAND RIGHTS AQUISITION (TARAWANDA)"/>
    <s v="TARAWANDA EXPENSE"/>
    <s v="ADMIN"/>
    <s v="ADMIN"/>
    <n v="6448543"/>
    <n v="0"/>
    <n v="6448543"/>
    <s v="TZS"/>
    <m/>
    <m/>
    <n v="1"/>
    <m/>
    <x v="0"/>
    <x v="1"/>
    <x v="5"/>
    <x v="1"/>
    <n v="2528.8403921568629"/>
    <n v="0"/>
  </r>
  <r>
    <n v="30"/>
    <d v="2025-11-17T09:57:01"/>
    <x v="151"/>
    <s v="MISC/2025/11/0212"/>
    <s v="Miscellaneous Operations"/>
    <s v="LAND PURCHASE "/>
    <s v="NMB TZS CHQ NO.003345 PAID LAND COST -0.42 ACRES -SALEHE KASIMU ALLY"/>
    <m/>
    <m/>
    <s v="LAND &amp; SITE DEVELOPMENT"/>
    <s v="Fixed Assets"/>
    <s v="301001"/>
    <s v="301001 LAND RIGHTS AQUISITION (TARAWANDA)"/>
    <s v="TARAWANDA EXPENSE"/>
    <s v="ADMIN"/>
    <s v="ADMIN"/>
    <n v="6092278"/>
    <n v="0"/>
    <n v="6092278"/>
    <s v="TZS"/>
    <m/>
    <m/>
    <n v="1"/>
    <m/>
    <x v="0"/>
    <x v="1"/>
    <x v="5"/>
    <x v="1"/>
    <n v="2389.1286274509803"/>
    <n v="0"/>
  </r>
  <r>
    <n v="31"/>
    <d v="2025-11-17T09:54:55"/>
    <x v="151"/>
    <s v="MISC/2025/11/0211"/>
    <s v="Miscellaneous Operations"/>
    <s v="LAND PURCHASE "/>
    <s v="NMB TZS CHQ NO.003344 PAID LAND COST -0.60 ACRES -HAMISI DAUDI KIDAMANE"/>
    <m/>
    <m/>
    <s v="LAND &amp; SITE DEVELOPMENT"/>
    <s v="Fixed Assets"/>
    <s v="301001"/>
    <s v="301001 LAND RIGHTS AQUISITION (TARAWANDA)"/>
    <s v="TARAWANDA EXPENSE"/>
    <s v="ADMIN"/>
    <s v="ADMIN"/>
    <n v="7463102"/>
    <n v="0"/>
    <n v="7463102"/>
    <s v="TZS"/>
    <m/>
    <m/>
    <n v="1"/>
    <m/>
    <x v="0"/>
    <x v="1"/>
    <x v="5"/>
    <x v="1"/>
    <n v="2926.7066666666665"/>
    <n v="0"/>
  </r>
  <r>
    <n v="32"/>
    <d v="2025-11-17T09:52:53"/>
    <x v="151"/>
    <s v="MISC/2025/11/0210"/>
    <s v="Miscellaneous Operations"/>
    <s v="LAND PURCHASE "/>
    <s v="NMB TZS CHQ NO.003343 PAID LAND COST -0.18 ACRES -RAMADHANI SAIDI NDARU"/>
    <m/>
    <m/>
    <s v="LAND &amp; SITE DEVELOPMENT"/>
    <s v="Fixed Assets"/>
    <s v="301001"/>
    <s v="301001 LAND RIGHTS AQUISITION (TARAWANDA)"/>
    <s v="TARAWANDA EXPENSE"/>
    <s v="ADMIN"/>
    <s v="ADMIN"/>
    <n v="5343733"/>
    <n v="0"/>
    <n v="5343733"/>
    <s v="TZS"/>
    <m/>
    <m/>
    <n v="1"/>
    <m/>
    <x v="0"/>
    <x v="1"/>
    <x v="5"/>
    <x v="1"/>
    <n v="2095.5815686274509"/>
    <n v="0"/>
  </r>
  <r>
    <n v="33"/>
    <d v="2025-11-17T09:50:48"/>
    <x v="151"/>
    <s v="MISC/2025/11/0209"/>
    <s v="Miscellaneous Operations"/>
    <s v="LAND PURCHASE "/>
    <s v="NMB TZS CHQ NO.003372 PAID LAND COST -0.69 ACRES -MAIMUNA SADIKI OMARY"/>
    <m/>
    <m/>
    <s v="LAND &amp; SITE DEVELOPMENT"/>
    <s v="Fixed Assets"/>
    <s v="301001"/>
    <s v="301001 LAND RIGHTS AQUISITION (TARAWANDA)"/>
    <s v="TARAWANDA EXPENSE"/>
    <s v="ADMIN"/>
    <s v="ADMIN"/>
    <n v="9241450"/>
    <n v="0"/>
    <n v="9241450"/>
    <s v="TZS"/>
    <m/>
    <m/>
    <n v="1"/>
    <m/>
    <x v="0"/>
    <x v="1"/>
    <x v="5"/>
    <x v="1"/>
    <n v="3624.0980392156862"/>
    <n v="0"/>
  </r>
  <r>
    <n v="34"/>
    <d v="2025-11-17T09:47:00"/>
    <x v="151"/>
    <s v="MISC/2025/11/0208"/>
    <s v="Miscellaneous Operations"/>
    <s v="LAND PURCHASE "/>
    <s v="NMB TZS CHQ NO.003341 PAID LAND COST -0.63 ACRES -RAMADHANI IDI OMARI"/>
    <m/>
    <m/>
    <s v="LAND &amp; SITE DEVELOPMENT"/>
    <s v="Fixed Assets"/>
    <s v="301001"/>
    <s v="301001 LAND RIGHTS AQUISITION (TARAWANDA)"/>
    <s v="TARAWANDA EXPENSE"/>
    <s v="ADMIN"/>
    <s v="ADMIN"/>
    <n v="9518492"/>
    <n v="0"/>
    <n v="9518492"/>
    <s v="TZS"/>
    <m/>
    <m/>
    <n v="1"/>
    <m/>
    <x v="0"/>
    <x v="1"/>
    <x v="5"/>
    <x v="1"/>
    <n v="3732.7419607843135"/>
    <n v="0"/>
  </r>
  <r>
    <n v="35"/>
    <d v="2025-11-17T09:43:41"/>
    <x v="151"/>
    <s v="MISC/2025/11/0207"/>
    <s v="Miscellaneous Operations"/>
    <s v="LAND PURCHASE "/>
    <s v="NMB TZS CHQ NO.003340 PAID LAND COST - 0.93 ACRES -BUSHIRI RAISI KILIMILA"/>
    <m/>
    <m/>
    <s v="LAND &amp; SITE DEVELOPMENT"/>
    <s v="Fixed Assets"/>
    <s v="301001"/>
    <s v="301001 LAND RIGHTS AQUISITION (TARAWANDA)"/>
    <s v="TARAWANDA EXPENSE"/>
    <s v="ADMIN"/>
    <s v="ADMIN"/>
    <n v="3515960"/>
    <n v="0"/>
    <n v="3515960"/>
    <s v="TZS"/>
    <m/>
    <m/>
    <n v="1"/>
    <m/>
    <x v="0"/>
    <x v="1"/>
    <x v="5"/>
    <x v="1"/>
    <n v="1378.8078431372548"/>
    <n v="0"/>
  </r>
  <r>
    <n v="36"/>
    <d v="2025-11-17T09:41:15"/>
    <x v="151"/>
    <s v="MISC/2025/11/0206"/>
    <s v="Miscellaneous Operations"/>
    <s v="LAND PURCHASE "/>
    <s v="NMB TZS CHQ NO.003339 PAID LAND COST - 0.93 ACRES -BUSHIRI RAISI KILIMILA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37"/>
    <d v="2025-11-17T09:38:43"/>
    <x v="151"/>
    <s v="MISC/2025/11/0205"/>
    <s v="Miscellaneous Operations"/>
    <s v="LAND PURCHASE"/>
    <s v="NMB TZS CHQ NO.003338 PAID LAND COST - 0.12 ACRES -KAUNDA HAMISI RAISI"/>
    <m/>
    <m/>
    <s v="LAND &amp; SITE DEVELOPMENT"/>
    <s v="Fixed Assets"/>
    <s v="301001"/>
    <s v="301001 LAND RIGHTS AQUISITION (TARAWANDA)"/>
    <s v="TARAWANDA EXPENSE"/>
    <s v="ADMIN"/>
    <s v="ADMIN"/>
    <n v="6195135"/>
    <n v="0"/>
    <n v="6195135"/>
    <s v="TZS"/>
    <m/>
    <m/>
    <n v="1"/>
    <m/>
    <x v="0"/>
    <x v="1"/>
    <x v="5"/>
    <x v="1"/>
    <n v="2429.464705882353"/>
    <n v="0"/>
  </r>
  <r>
    <n v="38"/>
    <d v="2025-11-17T09:36:59"/>
    <x v="151"/>
    <s v="MISC/2025/11/0204"/>
    <s v="Miscellaneous Operations"/>
    <s v="LAND PURCHASE"/>
    <s v="NMB TZS CHQ NO.003337 PAID LAND COST - 0.12 ACRES -KAUNDA HAMISI RAISI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39"/>
    <d v="2025-11-17T09:35:37"/>
    <x v="151"/>
    <s v="MISC/2025/11/0203"/>
    <s v="Miscellaneous Operations"/>
    <s v="LAND PURCHASE"/>
    <s v="NMB TZS CHQ NO.003336 PAID LAND COST - 0.12 ACRES -KAUNDA HAMISI RAISI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40"/>
    <d v="2025-11-17T09:33:30"/>
    <x v="151"/>
    <s v="MISC/2025/11/0202"/>
    <s v="Miscellaneous Operations"/>
    <s v="LAND PURCHASE "/>
    <s v="NMB TZS CHQ NO.003335 PAID LAND COST - 0.35 ACRES -HAMISI RAISI KILIMILA"/>
    <m/>
    <m/>
    <s v="LAND &amp; SITE DEVELOPMENT"/>
    <s v="Fixed Assets"/>
    <s v="301001"/>
    <s v="301001 LAND RIGHTS AQUISITION (TARAWANDA)"/>
    <s v="TARAWANDA EXPENSE"/>
    <s v="ADMIN"/>
    <s v="ADMIN"/>
    <n v="7481952"/>
    <n v="0"/>
    <n v="7481952"/>
    <s v="TZS"/>
    <m/>
    <m/>
    <n v="1"/>
    <m/>
    <x v="0"/>
    <x v="1"/>
    <x v="5"/>
    <x v="1"/>
    <n v="2934.0988235294117"/>
    <n v="0"/>
  </r>
  <r>
    <n v="41"/>
    <d v="2025-11-17T09:31:09"/>
    <x v="151"/>
    <s v="MISC/2025/11/0201"/>
    <s v="Miscellaneous Operations"/>
    <s v="LAND PURCHASE "/>
    <s v="NMB TZS CHQ NO.003370 PAID LAND COST - 0.18 ACRES -MWANAHAMISI SAIDI DIBWE"/>
    <m/>
    <m/>
    <s v="LAND &amp; SITE DEVELOPMENT"/>
    <s v="Fixed Assets"/>
    <s v="301001"/>
    <s v="301001 LAND RIGHTS AQUISITION (TARAWANDA)"/>
    <s v="TARAWANDA EXPENSE"/>
    <s v="ADMIN"/>
    <s v="ADMIN"/>
    <n v="759568"/>
    <n v="0"/>
    <n v="759568"/>
    <s v="TZS"/>
    <m/>
    <m/>
    <n v="1"/>
    <m/>
    <x v="0"/>
    <x v="1"/>
    <x v="5"/>
    <x v="1"/>
    <n v="297.86980392156863"/>
    <n v="0"/>
  </r>
  <r>
    <n v="42"/>
    <d v="2025-11-17T09:29:19"/>
    <x v="151"/>
    <s v="MISC/2025/11/0200"/>
    <s v="Miscellaneous Operations"/>
    <s v="LAND PURCHASE "/>
    <s v="NMB TZS CHQ NO.003369 PAID LAND COST - 0.18 ACRES -MWANAHAMISI SAIDI DIBWE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43"/>
    <d v="2025-11-17T09:26:25"/>
    <x v="151"/>
    <s v="MISC/2025/11/0199"/>
    <s v="Miscellaneous Operations"/>
    <s v="LAND PURCHASE"/>
    <s v="NMB TZS CHQ NO.003332 PAID LAND COST - 0.11 ACRES -GOMBO DOTTO GOMBO"/>
    <m/>
    <m/>
    <s v="LAND &amp; SITE DEVELOPMENT"/>
    <s v="Fixed Assets"/>
    <s v="301001"/>
    <s v="301001 LAND RIGHTS AQUISITION (TARAWANDA)"/>
    <s v="TARAWANDA EXPENSE"/>
    <s v="ADMIN"/>
    <s v="ADMIN"/>
    <n v="4685667"/>
    <n v="0"/>
    <n v="4685667"/>
    <s v="TZS"/>
    <m/>
    <m/>
    <n v="1"/>
    <m/>
    <x v="0"/>
    <x v="1"/>
    <x v="5"/>
    <x v="1"/>
    <n v="1837.5164705882353"/>
    <n v="0"/>
  </r>
  <r>
    <n v="44"/>
    <d v="2025-11-17T09:24:23"/>
    <x v="151"/>
    <s v="MISC/2025/11/0198"/>
    <s v="Miscellaneous Operations"/>
    <s v="LAND PURCHASE"/>
    <s v="NMB TZS CHQ NO.003331 PAID LAND COST - 0.11 ACRES -GOMBO DOTTO GOMBO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45"/>
    <d v="2025-11-17T09:22:00"/>
    <x v="151"/>
    <s v="MISC/2025/11/0197"/>
    <s v="Miscellaneous Operations"/>
    <s v="LAND PURCHASE"/>
    <s v="NMB TZS TT PAID LAND COST - 0.28 ACRES -SELEMANI LUBARATI MWINJUMA"/>
    <m/>
    <m/>
    <s v="LAND &amp; SITE DEVELOPMENT"/>
    <s v="Fixed Assets"/>
    <s v="301001"/>
    <s v="301001 LAND RIGHTS AQUISITION (TARAWANDA)"/>
    <s v="TARAWANDA EXPENSE"/>
    <s v="ADMIN"/>
    <s v="ADMIN"/>
    <n v="9259195"/>
    <n v="0"/>
    <n v="9259195"/>
    <s v="TZS"/>
    <m/>
    <m/>
    <n v="1"/>
    <m/>
    <x v="0"/>
    <x v="1"/>
    <x v="5"/>
    <x v="1"/>
    <n v="3631.056862745098"/>
    <n v="0"/>
  </r>
  <r>
    <n v="46"/>
    <d v="2025-11-17T09:17:07"/>
    <x v="151"/>
    <s v="MISC/2025/11/0195"/>
    <s v="Miscellaneous Operations"/>
    <s v="LAND PURCHASE "/>
    <s v="NMB TZS CHQ NO.003371 PAID LAND COST - 1.13 ACRES -FATUMA MAULIDI DIBWE"/>
    <m/>
    <m/>
    <s v="LAND &amp; SITE DEVELOPMENT"/>
    <s v="Fixed Assets"/>
    <s v="301001"/>
    <s v="301001 LAND RIGHTS AQUISITION (TARAWANDA)"/>
    <s v="TARAWANDA EXPENSE"/>
    <s v="ADMIN"/>
    <s v="ADMIN"/>
    <n v="13250299"/>
    <n v="0"/>
    <n v="13250299"/>
    <s v="TZS"/>
    <m/>
    <m/>
    <n v="1"/>
    <m/>
    <x v="0"/>
    <x v="1"/>
    <x v="5"/>
    <x v="1"/>
    <n v="5196.1956862745101"/>
    <n v="0"/>
  </r>
  <r>
    <n v="47"/>
    <d v="2025-11-17T09:12:59"/>
    <x v="151"/>
    <s v="MISC/2025/11/0194"/>
    <s v="Miscellaneous Operations"/>
    <s v="LAND PURCHASE "/>
    <s v="NMB TZS CHQ NO.003324 PAID LAND COST - 1 ACRES -STEVEN MICHAEL MFAUME"/>
    <m/>
    <m/>
    <s v="LAND &amp; SITE DEVELOPMENT"/>
    <s v="Fixed Assets"/>
    <s v="301001"/>
    <s v="301001 LAND RIGHTS AQUISITION (TARAWANDA)"/>
    <s v="TARAWANDA EXPENSE"/>
    <s v="ADMIN"/>
    <s v="ADMIN"/>
    <n v="2532125"/>
    <n v="0"/>
    <n v="2532125"/>
    <s v="TZS"/>
    <m/>
    <m/>
    <n v="1"/>
    <m/>
    <x v="0"/>
    <x v="1"/>
    <x v="5"/>
    <x v="1"/>
    <n v="992.99019607843138"/>
    <n v="0"/>
  </r>
  <r>
    <n v="48"/>
    <d v="2025-11-17T09:08:19"/>
    <x v="151"/>
    <s v="MISC/2025/11/0193"/>
    <s v="Miscellaneous Operations"/>
    <s v="LAND PURCHASE"/>
    <s v="NMB TZS CHQ NO.003326 PAID LAND COST - 1 ACRES -STEVEN MICHAEL MFAUME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49"/>
    <d v="2025-11-17T09:06:29"/>
    <x v="151"/>
    <s v="MISC/2025/11/0192"/>
    <s v="Miscellaneous Operations"/>
    <s v="LAND PURCHASE"/>
    <s v="NMB TZS CHQ NO.003325 PAID LAND COST - 1 ACRES -STEVEN MICHAEL MFAUME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51"/>
    <d v="2025-11-17T09:19:39"/>
    <x v="152"/>
    <s v="MISC/2025/11/0196"/>
    <s v="Miscellaneous Operations"/>
    <s v="LAND PURCHASE"/>
    <s v="BEING LAND PURCHASE FROM MR.RAMADHANI ROMAN AGAINST CHQ NO.003373"/>
    <m/>
    <m/>
    <s v="LAND &amp; SITE DEVELOPMENT"/>
    <s v="Fixed Assets"/>
    <s v="301001"/>
    <s v="301001 LAND RIGHTS AQUISITION (TARAWANDA)"/>
    <s v="TARAWANDA EXPENSE"/>
    <s v="ADMIN"/>
    <s v="ADMIN"/>
    <n v="26080306"/>
    <n v="0"/>
    <n v="26080306"/>
    <s v="TZS"/>
    <m/>
    <m/>
    <n v="1"/>
    <m/>
    <x v="0"/>
    <x v="1"/>
    <x v="5"/>
    <x v="1"/>
    <n v="10227.570980392156"/>
    <n v="0"/>
  </r>
  <r>
    <n v="52"/>
    <d v="2025-11-21T12:52:13"/>
    <x v="153"/>
    <s v="PCVHO/2025/11/0206"/>
    <s v="PCV (PETTY CASH HO)"/>
    <s v="PURCHASE OF LAND "/>
    <s v="Being payment for purchase of land at Tarawanda plot No. TW/E/4- Athuman Hoseni Saidi"/>
    <m/>
    <m/>
    <s v="LAND &amp; SITE DEVELOPMENT"/>
    <s v="Fixed Assets"/>
    <s v="301001"/>
    <s v="301001 LAND RIGHTS AQUISITION (TARAWANDA)"/>
    <s v="TARAWANDA EXPENSE"/>
    <s v="ADMIN"/>
    <s v="ADMIN"/>
    <n v="940651"/>
    <n v="0"/>
    <n v="940651"/>
    <s v="TZS"/>
    <m/>
    <m/>
    <n v="1"/>
    <m/>
    <x v="0"/>
    <x v="1"/>
    <x v="5"/>
    <x v="1"/>
    <n v="368.88274509803921"/>
    <n v="0"/>
  </r>
  <r>
    <n v="53"/>
    <d v="2025-11-21T12:49:42"/>
    <x v="153"/>
    <s v="PCVHO/2025/11/0205"/>
    <s v="PCV (PETTY CASH HO)"/>
    <s v="PURCHASE OF LAND "/>
    <s v="Being payment for purchase of land at Tarawanda plot No. TW/D5/053- Naima Mohamedi Athuman"/>
    <m/>
    <m/>
    <s v="LAND &amp; SITE DEVELOPMENT"/>
    <s v="Fixed Assets"/>
    <s v="301001"/>
    <s v="301001 LAND RIGHTS AQUISITION (TARAWANDA)"/>
    <s v="TARAWANDA EXPENSE"/>
    <s v="ADMIN"/>
    <s v="ADMIN"/>
    <n v="4708950"/>
    <n v="0"/>
    <n v="4708950"/>
    <s v="TZS"/>
    <m/>
    <m/>
    <n v="1"/>
    <m/>
    <x v="0"/>
    <x v="1"/>
    <x v="5"/>
    <x v="1"/>
    <n v="1846.6470588235295"/>
    <n v="0"/>
  </r>
  <r>
    <n v="54"/>
    <d v="2025-11-21T12:47:51"/>
    <x v="153"/>
    <s v="PCVHO/2025/11/0204"/>
    <s v="PCV (PETTY CASH HO)"/>
    <s v="PURCHASE OF LAND "/>
    <s v="Being payment for purchase of land at Tarawanda plot No. TW/M6/151- Toni Adamu Matima"/>
    <m/>
    <m/>
    <s v="LAND &amp; SITE DEVELOPMENT"/>
    <s v="Fixed Assets"/>
    <s v="301001"/>
    <s v="301001 LAND RIGHTS AQUISITION (TARAWANDA)"/>
    <s v="TARAWANDA EXPENSE"/>
    <s v="ADMIN"/>
    <s v="ADMIN"/>
    <n v="602799"/>
    <n v="0"/>
    <n v="602799"/>
    <s v="TZS"/>
    <m/>
    <m/>
    <n v="1"/>
    <m/>
    <x v="0"/>
    <x v="1"/>
    <x v="5"/>
    <x v="1"/>
    <n v="236.39176470588237"/>
    <n v="0"/>
  </r>
  <r>
    <n v="55"/>
    <d v="2025-11-21T12:45:14"/>
    <x v="153"/>
    <s v="PCVHO/2025/11/0203"/>
    <s v="PCV (PETTY CASH HO)"/>
    <s v="purchase of land "/>
    <s v="Being payment for purchase of land at Tarawanda plot No. TW/H6/139- Jafari Adamu Matima"/>
    <m/>
    <m/>
    <s v="LAND &amp; SITE DEVELOPMENT"/>
    <s v="Fixed Assets"/>
    <s v="301001"/>
    <s v="301001 LAND RIGHTS AQUISITION (TARAWANDA)"/>
    <s v="TARAWANDA EXPENSE"/>
    <s v="ADMIN"/>
    <s v="ADMIN"/>
    <n v="664730"/>
    <n v="0"/>
    <n v="664730"/>
    <s v="TZS"/>
    <m/>
    <m/>
    <n v="1"/>
    <m/>
    <x v="0"/>
    <x v="1"/>
    <x v="5"/>
    <x v="1"/>
    <n v="260.67843137254903"/>
    <n v="0"/>
  </r>
  <r>
    <n v="56"/>
    <d v="2025-11-21T12:43:14"/>
    <x v="153"/>
    <s v="PCVHO/2025/11/0202"/>
    <s v="PCV (PETTY CASH HO)"/>
    <s v="PURCHASE OF LAND "/>
    <s v="Being payment for purchase of land at Tarawanda plot No. TW/V/112- Peter Patricki Peter"/>
    <m/>
    <m/>
    <s v="LAND &amp; SITE DEVELOPMENT"/>
    <s v="Fixed Assets"/>
    <s v="301001"/>
    <s v="301001 LAND RIGHTS AQUISITION (TARAWANDA)"/>
    <s v="TARAWANDA EXPENSE"/>
    <s v="ADMIN"/>
    <s v="ADMIN"/>
    <n v="3963825"/>
    <n v="0"/>
    <n v="3963825"/>
    <s v="TZS"/>
    <m/>
    <m/>
    <n v="1"/>
    <m/>
    <x v="0"/>
    <x v="1"/>
    <x v="5"/>
    <x v="1"/>
    <n v="1554.4411764705883"/>
    <n v="0"/>
  </r>
  <r>
    <n v="57"/>
    <d v="2025-11-21T12:41:22"/>
    <x v="153"/>
    <s v="PCVHO/2025/11/0201"/>
    <s v="PCV (PETTY CASH HO)"/>
    <s v="PURCHASE OF LAND "/>
    <s v="Being payment for purchase of land at Tarawanda plot No. TW/X/111- Shaban Miraji Dibwe Peter Patricki Peter"/>
    <m/>
    <m/>
    <s v="LAND &amp; SITE DEVELOPMENT"/>
    <s v="Fixed Assets"/>
    <s v="301001"/>
    <s v="301001 LAND RIGHTS AQUISITION (TARAWANDA)"/>
    <s v="TARAWANDA EXPENSE"/>
    <s v="ADMIN"/>
    <s v="ADMIN"/>
    <n v="2052898"/>
    <n v="0"/>
    <n v="2052898"/>
    <s v="TZS"/>
    <m/>
    <m/>
    <n v="1"/>
    <m/>
    <x v="0"/>
    <x v="1"/>
    <x v="5"/>
    <x v="1"/>
    <n v="805.05803921568622"/>
    <n v="0"/>
  </r>
  <r>
    <n v="58"/>
    <d v="2025-11-21T12:39:22"/>
    <x v="153"/>
    <s v="PCVHO/2025/11/0200"/>
    <s v="PCV (PETTY CASH HO)"/>
    <s v="PURCHASE OF LAND "/>
    <s v="Being payment for purchase of land at Tarawanda plot No. TW/Z1/133 - Shaban Miraji Dibwe"/>
    <m/>
    <m/>
    <s v="LAND &amp; SITE DEVELOPMENT"/>
    <s v="Fixed Assets"/>
    <s v="301001"/>
    <s v="301001 LAND RIGHTS AQUISITION (TARAWANDA)"/>
    <s v="TARAWANDA EXPENSE"/>
    <s v="ADMIN"/>
    <s v="ADMIN"/>
    <n v="565263"/>
    <n v="0"/>
    <n v="565263"/>
    <s v="TZS"/>
    <m/>
    <m/>
    <n v="1"/>
    <m/>
    <x v="0"/>
    <x v="1"/>
    <x v="5"/>
    <x v="1"/>
    <n v="221.67176470588234"/>
    <n v="0"/>
  </r>
  <r>
    <n v="59"/>
    <d v="2025-11-21T12:37:20"/>
    <x v="153"/>
    <s v="PCVHO/2025/11/0199"/>
    <s v="PCV (PETTY CASH HO)"/>
    <s v="PURCHASE OF LAND "/>
    <s v="Being payment for purchase of land at Tarawanda plot No. TW/C2/131/1 - Salumu Saidi Dibwe"/>
    <m/>
    <m/>
    <s v="LAND &amp; SITE DEVELOPMENT"/>
    <s v="Fixed Assets"/>
    <s v="301001"/>
    <s v="301001 LAND RIGHTS AQUISITION (TARAWANDA)"/>
    <s v="TARAWANDA EXPENSE"/>
    <s v="ADMIN"/>
    <s v="ADMIN"/>
    <n v="543273"/>
    <n v="0"/>
    <n v="543273"/>
    <s v="TZS"/>
    <m/>
    <m/>
    <n v="1"/>
    <m/>
    <x v="0"/>
    <x v="1"/>
    <x v="5"/>
    <x v="1"/>
    <n v="213.04823529411766"/>
    <n v="0"/>
  </r>
  <r>
    <n v="60"/>
    <d v="2025-11-21T12:33:13"/>
    <x v="153"/>
    <s v="PCVHO/2025/11/0198"/>
    <s v="PCV (PETTY CASH HO)"/>
    <s v="PURCHASE OF LAND "/>
    <s v="Being payment for purchase of land at Tarawanda plot No. TW/X2 - Issa Shabani Pindua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61"/>
    <d v="2025-11-21T12:31:22"/>
    <x v="153"/>
    <s v="PCVHO/2025/11/0197"/>
    <s v="PCV (PETTY CASH HO)"/>
    <s v="PURCHASE OF LAND "/>
    <s v="Being payment for purchase of land at Tarawanda plot No. TW/M/129 - Miraji Saidi Dibwe"/>
    <m/>
    <m/>
    <s v="LAND &amp; SITE DEVELOPMENT"/>
    <s v="Fixed Assets"/>
    <s v="301001"/>
    <s v="301001 LAND RIGHTS AQUISITION (TARAWANDA)"/>
    <s v="TARAWANDA EXPENSE"/>
    <s v="ADMIN"/>
    <s v="ADMIN"/>
    <n v="1867103"/>
    <n v="0"/>
    <n v="1867103"/>
    <s v="TZS"/>
    <m/>
    <m/>
    <n v="1"/>
    <m/>
    <x v="0"/>
    <x v="1"/>
    <x v="5"/>
    <x v="1"/>
    <n v="732.19725490196083"/>
    <n v="0"/>
  </r>
  <r>
    <n v="62"/>
    <d v="2025-11-21T12:29:20"/>
    <x v="153"/>
    <s v="PCVHO/2025/11/0196"/>
    <s v="PCV (PETTY CASH HO)"/>
    <s v="PURCHASE OF LAND "/>
    <s v="Being payment for purchase of land at Tarawanda plot No. TW/P1/085- Sara Paulo Mdinda"/>
    <m/>
    <m/>
    <s v="LAND &amp; SITE DEVELOPMENT"/>
    <s v="Fixed Assets"/>
    <s v="301001"/>
    <s v="301001 LAND RIGHTS AQUISITION (TARAWANDA)"/>
    <s v="TARAWANDA EXPENSE"/>
    <s v="ADMIN"/>
    <s v="ADMIN"/>
    <n v="3279150"/>
    <n v="0"/>
    <n v="3279150"/>
    <s v="TZS"/>
    <m/>
    <m/>
    <n v="1"/>
    <m/>
    <x v="0"/>
    <x v="1"/>
    <x v="5"/>
    <x v="1"/>
    <n v="1285.9411764705883"/>
    <n v="0"/>
  </r>
  <r>
    <n v="63"/>
    <d v="2025-11-21T12:27:26"/>
    <x v="153"/>
    <s v="PCVHO/2025/11/0195"/>
    <s v="PCV (PETTY CASH HO)"/>
    <s v="PURCHASE OF LAND "/>
    <s v="Being payment for purchase of land at Tarawanda plot No. TW/D6 - Justine Anton Ngowi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64"/>
    <d v="2025-11-21T12:24:46"/>
    <x v="153"/>
    <s v="PCVHO/2025/11/0194"/>
    <s v="PCV (PETTY CASH HO)"/>
    <s v="PURCHASE OF LAND "/>
    <s v="Being payment for purchase of land at Tarawanda plot No. TW//S4/083 - Miraji Saidi Dibwe"/>
    <m/>
    <m/>
    <s v="LAND &amp; SITE DEVELOPMENT"/>
    <s v="Fixed Assets"/>
    <s v="301001"/>
    <s v="301001 LAND RIGHTS AQUISITION (TARAWANDA)"/>
    <s v="TARAWANDA EXPENSE"/>
    <s v="ADMIN"/>
    <s v="ADMIN"/>
    <n v="1100857"/>
    <n v="0"/>
    <n v="1100857"/>
    <s v="TZS"/>
    <m/>
    <m/>
    <n v="1"/>
    <m/>
    <x v="0"/>
    <x v="1"/>
    <x v="5"/>
    <x v="1"/>
    <n v="431.70862745098037"/>
    <n v="0"/>
  </r>
  <r>
    <n v="65"/>
    <d v="2025-11-21T12:22:30"/>
    <x v="153"/>
    <s v="PCVHO/2025/11/0193"/>
    <s v="PCV (PETTY CASH HO)"/>
    <s v="PURCHASE OF LAND "/>
    <s v="Being payment for purchase of land at Tarawanda plot No. TW/Y2- Hitaji Geuza Bongho"/>
    <m/>
    <m/>
    <s v="LAND &amp; SITE DEVELOPMENT"/>
    <s v="Fixed Assets"/>
    <s v="301001"/>
    <s v="301001 LAND RIGHTS AQUISITION (TARAWANDA)"/>
    <s v="TARAWANDA EXPENSE"/>
    <s v="ADMIN"/>
    <s v="ADMIN"/>
    <n v="80000"/>
    <n v="0"/>
    <n v="80000"/>
    <s v="TZS"/>
    <m/>
    <m/>
    <n v="1"/>
    <m/>
    <x v="0"/>
    <x v="1"/>
    <x v="5"/>
    <x v="1"/>
    <n v="31.372549019607842"/>
    <n v="0"/>
  </r>
  <r>
    <n v="66"/>
    <d v="2025-11-21T12:21:02"/>
    <x v="153"/>
    <s v="PCVHO/2025/11/0192"/>
    <s v="PCV (PETTY CASH HO)"/>
    <s v="PURCHASE OF LAND "/>
    <s v="Being payment for purchase of land at Tarawanda plot No. TW/Y2- Hitaji Geuza Bongho"/>
    <m/>
    <m/>
    <s v="LAND &amp; SITE DEVELOPMENT"/>
    <s v="Fixed Assets"/>
    <s v="301001"/>
    <s v="301001 LAND RIGHTS AQUISITION (TARAWANDA)"/>
    <s v="TARAWANDA EXPENSE"/>
    <s v="ADMIN"/>
    <s v="ADMIN"/>
    <n v="800000"/>
    <n v="0"/>
    <n v="800000"/>
    <s v="TZS"/>
    <m/>
    <m/>
    <n v="1"/>
    <m/>
    <x v="0"/>
    <x v="1"/>
    <x v="5"/>
    <x v="1"/>
    <n v="313.72549019607845"/>
    <n v="0"/>
  </r>
  <r>
    <n v="67"/>
    <d v="2025-11-21T12:18:35"/>
    <x v="153"/>
    <s v="PCVHO/2025/11/0191"/>
    <s v="PCV (PETTY CASH HO)"/>
    <s v="PURCHASE OF LAND "/>
    <s v="Being payment for purchase of land at Tarawanda plot No. TW/R4/105 - Iddi Miraji Chuma"/>
    <m/>
    <m/>
    <s v="LAND &amp; SITE DEVELOPMENT"/>
    <s v="Fixed Assets"/>
    <s v="301001"/>
    <s v="301001 LAND RIGHTS AQUISITION (TARAWANDA)"/>
    <s v="TARAWANDA EXPENSE"/>
    <s v="ADMIN"/>
    <s v="ADMIN"/>
    <n v="1330000"/>
    <n v="0"/>
    <n v="1330000"/>
    <s v="TZS"/>
    <m/>
    <m/>
    <n v="1"/>
    <m/>
    <x v="0"/>
    <x v="1"/>
    <x v="5"/>
    <x v="1"/>
    <n v="521.56862745098044"/>
    <n v="0"/>
  </r>
  <r>
    <n v="68"/>
    <d v="2025-11-21T12:08:43"/>
    <x v="153"/>
    <s v="PCVHO/2025/11/0190"/>
    <s v="PCV (PETTY CASH HO)"/>
    <s v="PURCHASE OF LAND "/>
    <s v="Being payment for purchase of land at Tarawanda plot No. TW/G7/122 - Fatuma Daudi Kidamane"/>
    <m/>
    <m/>
    <s v="LAND &amp; SITE DEVELOPMENT"/>
    <s v="Fixed Assets"/>
    <s v="301001"/>
    <s v="301001 LAND RIGHTS AQUISITION (TARAWANDA)"/>
    <s v="TARAWANDA EXPENSE"/>
    <s v="ADMIN"/>
    <s v="ADMIN"/>
    <n v="66000"/>
    <n v="0"/>
    <n v="66000"/>
    <s v="TZS"/>
    <m/>
    <m/>
    <n v="1"/>
    <m/>
    <x v="0"/>
    <x v="1"/>
    <x v="5"/>
    <x v="1"/>
    <n v="25.882352941176471"/>
    <n v="0"/>
  </r>
  <r>
    <n v="69"/>
    <d v="2025-11-21T12:06:50"/>
    <x v="153"/>
    <s v="PCVHO/2025/11/0189"/>
    <s v="PCV (PETTY CASH HO)"/>
    <s v="PURCHASE OF LAND "/>
    <s v="Being payment for purchase of land at Tarawanda plot No. TW/F7-  Ramadhan Daudi Kidamane"/>
    <m/>
    <m/>
    <s v="LAND &amp; SITE DEVELOPMENT"/>
    <s v="Fixed Assets"/>
    <s v="301001"/>
    <s v="301001 LAND RIGHTS AQUISITION (TARAWANDA)"/>
    <s v="TARAWANDA EXPENSE"/>
    <s v="ADMIN"/>
    <s v="ADMIN"/>
    <n v="318000"/>
    <n v="0"/>
    <n v="318000"/>
    <s v="TZS"/>
    <m/>
    <m/>
    <n v="1"/>
    <m/>
    <x v="0"/>
    <x v="1"/>
    <x v="5"/>
    <x v="1"/>
    <n v="124.70588235294117"/>
    <n v="0"/>
  </r>
  <r>
    <n v="70"/>
    <d v="2025-11-21T12:05:09"/>
    <x v="153"/>
    <s v="PCVHO/2025/11/0188"/>
    <s v="PCV (PETTY CASH HO)"/>
    <s v="PURCHASE OF LAND "/>
    <s v="Being payment for purchase of land at Tarawanda plot No. TW/F7-  Ramadhan Daudi Kidamane"/>
    <m/>
    <m/>
    <s v="LAND &amp; SITE DEVELOPMENT"/>
    <s v="Fixed Assets"/>
    <s v="301001"/>
    <s v="301001 LAND RIGHTS AQUISITION (TARAWANDA)"/>
    <s v="TARAWANDA EXPENSE"/>
    <s v="ADMIN"/>
    <s v="ADMIN"/>
    <n v="3180000"/>
    <n v="0"/>
    <n v="3180000"/>
    <s v="TZS"/>
    <m/>
    <m/>
    <n v="1"/>
    <m/>
    <x v="0"/>
    <x v="1"/>
    <x v="5"/>
    <x v="1"/>
    <n v="1247.0588235294117"/>
    <n v="0"/>
  </r>
  <r>
    <n v="71"/>
    <d v="2025-11-21T12:02:48"/>
    <x v="153"/>
    <s v="PCVHO/2025/11/0187"/>
    <s v="PCV (PETTY CASH HO)"/>
    <s v="PURCHASE OF LAND "/>
    <s v="Being payment for purchase of land at Tarawanda plot No. TW/J5/148-  Merina Clement Singano"/>
    <m/>
    <m/>
    <s v="LAND &amp; SITE DEVELOPMENT"/>
    <s v="Fixed Assets"/>
    <s v="301001"/>
    <s v="301001 LAND RIGHTS AQUISITION (TARAWANDA)"/>
    <s v="TARAWANDA EXPENSE"/>
    <s v="ADMIN"/>
    <s v="ADMIN"/>
    <n v="286000"/>
    <n v="0"/>
    <n v="286000"/>
    <s v="TZS"/>
    <m/>
    <m/>
    <n v="1"/>
    <m/>
    <x v="0"/>
    <x v="1"/>
    <x v="5"/>
    <x v="1"/>
    <n v="112.15686274509804"/>
    <n v="0"/>
  </r>
  <r>
    <n v="72"/>
    <d v="2025-11-21T11:59:04"/>
    <x v="153"/>
    <s v="PCVHO/2025/11/0186"/>
    <s v="PCV (PETTY CASH HO)"/>
    <s v="PURCHASE OF LAND "/>
    <s v="Being payment for purchase of land at Tarawanda plot No. TW/R2/131-  Hadija Athumani Kiyumbo"/>
    <m/>
    <m/>
    <s v="LAND &amp; SITE DEVELOPMENT"/>
    <s v="Fixed Assets"/>
    <s v="301001"/>
    <s v="301001 LAND RIGHTS AQUISITION (TARAWANDA)"/>
    <s v="TARAWANDA EXPENSE"/>
    <s v="ADMIN"/>
    <s v="ADMIN"/>
    <n v="757944"/>
    <n v="0"/>
    <n v="757944"/>
    <s v="TZS"/>
    <m/>
    <m/>
    <n v="1"/>
    <m/>
    <x v="0"/>
    <x v="1"/>
    <x v="5"/>
    <x v="1"/>
    <n v="297.2329411764706"/>
    <n v="0"/>
  </r>
  <r>
    <n v="73"/>
    <d v="2025-11-21T11:55:48"/>
    <x v="153"/>
    <s v="PCVHO/2025/11/0185"/>
    <s v="PCV (PETTY CASH HO)"/>
    <s v="PURCHASE OF LAND "/>
    <s v="Being payment for purchase of land at Tarawanda plot No. TW/J2 -  Sakina Abeidi Raisi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74"/>
    <d v="2025-11-21T11:53:42"/>
    <x v="153"/>
    <s v="PCVHO/2025/11/0184"/>
    <s v="PCV (PETTY CASH HO)"/>
    <s v="PURCHASE OF LAND "/>
    <s v="Being payment for purchase of land at Tarawanda plot No. TW/H3/150-  Athuman Jamesi  Funza"/>
    <m/>
    <m/>
    <s v="LAND &amp; SITE DEVELOPMENT"/>
    <s v="Fixed Assets"/>
    <s v="301001"/>
    <s v="301001 LAND RIGHTS AQUISITION (TARAWANDA)"/>
    <s v="TARAWANDA EXPENSE"/>
    <s v="ADMIN"/>
    <s v="ADMIN"/>
    <n v="2925897"/>
    <n v="0"/>
    <n v="2925897"/>
    <s v="TZS"/>
    <m/>
    <m/>
    <n v="1"/>
    <m/>
    <x v="0"/>
    <x v="1"/>
    <x v="5"/>
    <x v="1"/>
    <n v="1147.4105882352942"/>
    <n v="0"/>
  </r>
  <r>
    <n v="75"/>
    <d v="2025-11-21T11:51:42"/>
    <x v="153"/>
    <s v="PCVHO/2025/11/0183"/>
    <s v="PCV (PETTY CASH HO)"/>
    <s v="PURCHASE OF LAND "/>
    <s v="Being payment for purchase of land at Tarawanda plot No. TW/F2 -  James Funza Mohamedi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76"/>
    <d v="2025-11-21T11:50:08"/>
    <x v="153"/>
    <s v="PCVHO/2025/11/0182"/>
    <s v="PCV (PETTY CASH HO)"/>
    <s v="PURCHASE OF LAND "/>
    <s v="Being payment for purchase of land at Tarawanda plot No. TW/F3/029/ James Funza Mohamedi"/>
    <m/>
    <m/>
    <s v="LAND &amp; SITE DEVELOPMENT"/>
    <s v="Fixed Assets"/>
    <s v="301001"/>
    <s v="301001 LAND RIGHTS AQUISITION (TARAWANDA)"/>
    <s v="TARAWANDA EXPENSE"/>
    <s v="ADMIN"/>
    <s v="ADMIN"/>
    <n v="4769000"/>
    <n v="0"/>
    <n v="4769000"/>
    <s v="TZS"/>
    <m/>
    <m/>
    <n v="1"/>
    <m/>
    <x v="0"/>
    <x v="1"/>
    <x v="5"/>
    <x v="1"/>
    <n v="1870.1960784313726"/>
    <n v="0"/>
  </r>
  <r>
    <n v="77"/>
    <d v="2025-11-21T11:47:27"/>
    <x v="153"/>
    <s v="PCVHO/2025/11/0181"/>
    <s v="PCV (PETTY CASH HO)"/>
    <s v="PURCHASE OF LAND "/>
    <s v="Being payment for purchase of land at Tarawanda plot No TW/O/103A - Rashidi Omari Mgunga"/>
    <m/>
    <m/>
    <s v="LAND &amp; SITE DEVELOPMENT"/>
    <s v="Fixed Assets"/>
    <s v="301001"/>
    <s v="301001 LAND RIGHTS AQUISITION (TARAWANDA)"/>
    <s v="TARAWANDA EXPENSE"/>
    <s v="ADMIN"/>
    <s v="ADMIN"/>
    <n v="2513000"/>
    <n v="0"/>
    <n v="2513000"/>
    <s v="TZS"/>
    <m/>
    <m/>
    <n v="1"/>
    <m/>
    <x v="0"/>
    <x v="1"/>
    <x v="5"/>
    <x v="1"/>
    <n v="985.49019607843138"/>
    <n v="0"/>
  </r>
  <r>
    <n v="78"/>
    <d v="2025-11-21T11:44:51"/>
    <x v="153"/>
    <s v="PCVHO/2025/11/0180"/>
    <s v="PCV (PETTY CASH HO)"/>
    <s v="PURCHASE OF LAND "/>
    <s v="Being payment for purchase of land at Tarawanda plot No TW/M1/094 - Rashidi Omari Mgunga"/>
    <m/>
    <m/>
    <s v="LAND &amp; SITE DEVELOPMENT"/>
    <s v="Fixed Assets"/>
    <s v="301001"/>
    <s v="301001 LAND RIGHTS AQUISITION (TARAWANDA)"/>
    <s v="TARAWANDA EXPENSE"/>
    <s v="ADMIN"/>
    <s v="ADMIN"/>
    <n v="1249537"/>
    <n v="0"/>
    <n v="1249537"/>
    <s v="TZS"/>
    <m/>
    <m/>
    <n v="1"/>
    <m/>
    <x v="0"/>
    <x v="1"/>
    <x v="5"/>
    <x v="1"/>
    <n v="490.01450980392156"/>
    <n v="0"/>
  </r>
  <r>
    <n v="79"/>
    <d v="2025-11-21T11:42:27"/>
    <x v="153"/>
    <s v="PCVHO/2025/11/0179"/>
    <s v="PCV (PETTY CASH HO)"/>
    <s v="PURCHASE OF LAND "/>
    <s v="Being payment for purchase of land at Tarawanda Plot No. TW/S1/102- Mauwa Saidi Mrisho"/>
    <m/>
    <m/>
    <s v="LAND &amp; SITE DEVELOPMENT"/>
    <s v="Fixed Assets"/>
    <s v="301001"/>
    <s v="301001 LAND RIGHTS AQUISITION (TARAWANDA)"/>
    <s v="TARAWANDA EXPENSE"/>
    <s v="ADMIN"/>
    <s v="ADMIN"/>
    <n v="479497"/>
    <n v="0"/>
    <n v="479497"/>
    <s v="TZS"/>
    <m/>
    <m/>
    <n v="1"/>
    <m/>
    <x v="0"/>
    <x v="1"/>
    <x v="5"/>
    <x v="1"/>
    <n v="188.03803921568627"/>
    <n v="0"/>
  </r>
  <r>
    <n v="80"/>
    <d v="2025-11-21T11:40:17"/>
    <x v="153"/>
    <s v="PCVHO/2025/11/0178"/>
    <s v="PCV (PETTY CASH HO)"/>
    <s v="PURCHASE OF LAND "/>
    <s v="Being payment for purchase of land at Tarawanda plot No TW/I7/152 - Chambuli Stephano Mazoezi"/>
    <m/>
    <m/>
    <s v="LAND &amp; SITE DEVELOPMENT"/>
    <s v="Fixed Assets"/>
    <s v="301001"/>
    <s v="301001 LAND RIGHTS AQUISITION (TARAWANDA)"/>
    <s v="TARAWANDA EXPENSE"/>
    <s v="ADMIN"/>
    <s v="ADMIN"/>
    <n v="2686699"/>
    <n v="0"/>
    <n v="2686699"/>
    <s v="TZS"/>
    <m/>
    <m/>
    <n v="1"/>
    <m/>
    <x v="0"/>
    <x v="1"/>
    <x v="5"/>
    <x v="1"/>
    <n v="1053.6074509803921"/>
    <n v="0"/>
  </r>
  <r>
    <n v="81"/>
    <d v="2025-11-21T11:32:30"/>
    <x v="153"/>
    <s v="PCVHO/2025/11/0177"/>
    <s v="PCV (PETTY CASH HO)"/>
    <s v="PURCHASE OF LAND "/>
    <s v="Being payment for purchase of land at Tarawanda plot No TW/R1- Ruben Raphael Amas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82"/>
    <d v="2025-11-21T11:29:53"/>
    <x v="153"/>
    <s v="PCVHO/2025/11/0176"/>
    <s v="PCV (PETTY CASH HO)"/>
    <s v="PURCHASE OF LAND "/>
    <s v="Being payment for purchase of land at Tarawanda plot No TW/G2/099 - Hadija Kufikili Kilimila"/>
    <m/>
    <m/>
    <s v="LAND &amp; SITE DEVELOPMENT"/>
    <s v="Fixed Assets"/>
    <s v="301001"/>
    <s v="301001 LAND RIGHTS AQUISITION (TARAWANDA)"/>
    <s v="TARAWANDA EXPENSE"/>
    <s v="ADMIN"/>
    <s v="ADMIN"/>
    <n v="815902"/>
    <n v="0"/>
    <n v="815902"/>
    <s v="TZS"/>
    <m/>
    <m/>
    <n v="1"/>
    <m/>
    <x v="0"/>
    <x v="1"/>
    <x v="5"/>
    <x v="1"/>
    <n v="319.96156862745096"/>
    <n v="0"/>
  </r>
  <r>
    <n v="83"/>
    <d v="2025-11-21T11:26:49"/>
    <x v="153"/>
    <s v="PCVHO/2025/11/0175"/>
    <s v="PCV (PETTY CASH HO)"/>
    <s v="PURCHASE OF LAND "/>
    <s v="Being payment for purchase of land at Tarawanda plot No TW/06/060- Ramadhani M. Roman"/>
    <m/>
    <m/>
    <s v="LAND &amp; SITE DEVELOPMENT"/>
    <s v="Fixed Assets"/>
    <s v="301001"/>
    <s v="301001 LAND RIGHTS AQUISITION (TARAWANDA)"/>
    <s v="TARAWANDA EXPENSE"/>
    <s v="ADMIN"/>
    <s v="ADMIN"/>
    <n v="1780000"/>
    <n v="0"/>
    <n v="1780000"/>
    <s v="TZS"/>
    <m/>
    <m/>
    <n v="1"/>
    <m/>
    <x v="0"/>
    <x v="1"/>
    <x v="5"/>
    <x v="1"/>
    <n v="698.03921568627447"/>
    <n v="0"/>
  </r>
  <r>
    <n v="84"/>
    <d v="2025-11-21T11:24:42"/>
    <x v="153"/>
    <s v="PCVHO/2025/11/0174"/>
    <s v="PCV (PETTY CASH HO)"/>
    <s v="PURCHASE OF LAND "/>
    <s v="Being payment for purchase of Land at Tarawanda plot No TW/V3 - Zainabu Saidi Dibwe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85"/>
    <d v="2025-11-21T11:22:23"/>
    <x v="153"/>
    <s v="PCVHO/2025/11/0173"/>
    <s v="PCV (PETTY CASH HO)"/>
    <s v="PURCHASE OF LAND "/>
    <s v="Being payment for purchase of land at Tarawanda plot No. TW/W/066 - Helena Michael Mfaume"/>
    <m/>
    <m/>
    <s v="LAND &amp; SITE DEVELOPMENT"/>
    <s v="Fixed Assets"/>
    <s v="301001"/>
    <s v="301001 LAND RIGHTS AQUISITION (TARAWANDA)"/>
    <s v="TARAWANDA EXPENSE"/>
    <s v="ADMIN"/>
    <s v="ADMIN"/>
    <n v="110000"/>
    <n v="0"/>
    <n v="110000"/>
    <s v="TZS"/>
    <m/>
    <m/>
    <n v="1"/>
    <m/>
    <x v="0"/>
    <x v="1"/>
    <x v="5"/>
    <x v="1"/>
    <n v="43.137254901960787"/>
    <n v="0"/>
  </r>
  <r>
    <n v="86"/>
    <d v="2025-11-21T11:19:58"/>
    <x v="153"/>
    <s v="PCVHO/2025/11/0172"/>
    <s v="PCV (PETTY CASH HO)"/>
    <s v="PURCHASE OF LAND "/>
    <s v="Being payment for purchase of land at Tarawanda plot No. TW/W/066 - Helena Michael Mfaume"/>
    <m/>
    <m/>
    <s v="LAND &amp; SITE DEVELOPMENT"/>
    <s v="Fixed Assets"/>
    <s v="301001"/>
    <s v="301001 LAND RIGHTS AQUISITION (TARAWANDA)"/>
    <s v="TARAWANDA EXPENSE"/>
    <s v="ADMIN"/>
    <s v="ADMIN"/>
    <n v="2530412"/>
    <n v="0"/>
    <n v="2530412"/>
    <s v="TZS"/>
    <m/>
    <m/>
    <n v="1"/>
    <m/>
    <x v="0"/>
    <x v="1"/>
    <x v="5"/>
    <x v="1"/>
    <n v="992.31843137254907"/>
    <n v="0"/>
  </r>
  <r>
    <n v="87"/>
    <d v="2025-11-21T11:14:17"/>
    <x v="153"/>
    <s v="PCVHO/2025/11/0171"/>
    <s v="PCV (PETTY CASH HO)"/>
    <s v="PURCHASE OF LAND "/>
    <s v="Being payment for purchase of land at Tarawanda plot No TW/L3 - Maua saidi Dibwe"/>
    <m/>
    <m/>
    <s v="LAND &amp; SITE DEVELOPMENT"/>
    <s v="Fixed Assets"/>
    <s v="301001"/>
    <s v="301001 LAND RIGHTS AQUISITION (TARAWANDA)"/>
    <s v="TARAWANDA EXPENSE"/>
    <s v="ADMIN"/>
    <s v="ADMIN"/>
    <n v="1200000"/>
    <n v="0"/>
    <n v="1200000"/>
    <s v="TZS"/>
    <m/>
    <m/>
    <n v="1"/>
    <m/>
    <x v="0"/>
    <x v="1"/>
    <x v="5"/>
    <x v="1"/>
    <n v="470.58823529411762"/>
    <n v="0"/>
  </r>
  <r>
    <n v="88"/>
    <d v="2025-11-21T11:12:26"/>
    <x v="153"/>
    <s v="PCVHO/2025/11/0170"/>
    <s v="PCV (PETTY CASH HO)"/>
    <s v="PURCHASE OF LAND "/>
    <s v="Being payment for purchase of land at Tarawanda plot No TW/Y/101 - Salome Michael Mfaume"/>
    <m/>
    <m/>
    <s v="LAND &amp; SITE DEVELOPMENT"/>
    <s v="Fixed Assets"/>
    <s v="301001"/>
    <s v="301001 LAND RIGHTS AQUISITION (TARAWANDA)"/>
    <s v="TARAWANDA EXPENSE"/>
    <s v="ADMIN"/>
    <s v="ADMIN"/>
    <n v="1268994"/>
    <n v="0"/>
    <n v="1268994"/>
    <s v="TZS"/>
    <m/>
    <m/>
    <n v="1"/>
    <m/>
    <x v="0"/>
    <x v="1"/>
    <x v="5"/>
    <x v="1"/>
    <n v="497.64470588235292"/>
    <n v="0"/>
  </r>
  <r>
    <n v="89"/>
    <d v="2025-11-21T11:10:26"/>
    <x v="153"/>
    <s v="PCVHO/2025/11/0169"/>
    <s v="PCV (PETTY CASH HO)"/>
    <s v="PURCHASE OF LAND "/>
    <s v="Being payment for purchase of land at Tarawanda plot No TW/V1/123 - Salome Michael Mfaume"/>
    <m/>
    <m/>
    <s v="LAND &amp; SITE DEVELOPMENT"/>
    <s v="Fixed Assets"/>
    <s v="301001"/>
    <s v="301001 LAND RIGHTS AQUISITION (TARAWANDA)"/>
    <s v="TARAWANDA EXPENSE"/>
    <s v="ADMIN"/>
    <s v="ADMIN"/>
    <n v="723936"/>
    <n v="0"/>
    <n v="723936"/>
    <s v="TZS"/>
    <m/>
    <m/>
    <n v="1"/>
    <m/>
    <x v="0"/>
    <x v="1"/>
    <x v="5"/>
    <x v="1"/>
    <n v="283.89647058823527"/>
    <n v="0"/>
  </r>
  <r>
    <n v="90"/>
    <d v="2025-11-21T11:08:35"/>
    <x v="153"/>
    <s v="PCVHO/2025/11/0168"/>
    <s v="PCV (PETTY CASH HO)"/>
    <s v="PURCHASE OF LAND "/>
    <s v="Being payment for purchase of land at Tarawanda plot No TW/C1/109 - Salome Michael Mfaume"/>
    <m/>
    <m/>
    <s v="LAND &amp; SITE DEVELOPMENT"/>
    <s v="Fixed Assets"/>
    <s v="301001"/>
    <s v="301001 LAND RIGHTS AQUISITION (TARAWANDA)"/>
    <s v="TARAWANDA EXPENSE"/>
    <s v="ADMIN"/>
    <s v="ADMIN"/>
    <n v="2114268"/>
    <n v="0"/>
    <n v="2114268"/>
    <s v="TZS"/>
    <m/>
    <m/>
    <n v="1"/>
    <m/>
    <x v="0"/>
    <x v="1"/>
    <x v="5"/>
    <x v="1"/>
    <n v="829.12470588235294"/>
    <n v="0"/>
  </r>
  <r>
    <n v="91"/>
    <d v="2025-11-21T11:06:14"/>
    <x v="153"/>
    <s v="PCVHO/2025/11/0167"/>
    <s v="PCV (PETTY CASH HO)"/>
    <s v="PURCHASE OF LAND "/>
    <s v="Being payment for purchase of land at Tarawanda plot No TW/R6/03 - Pili Salumu Halfani"/>
    <m/>
    <m/>
    <s v="LAND &amp; SITE DEVELOPMENT"/>
    <s v="Fixed Assets"/>
    <s v="301001"/>
    <s v="301001 LAND RIGHTS AQUISITION (TARAWANDA)"/>
    <s v="TARAWANDA EXPENSE"/>
    <s v="ADMIN"/>
    <s v="ADMIN"/>
    <n v="1317043"/>
    <n v="0"/>
    <n v="1317043"/>
    <s v="TZS"/>
    <m/>
    <m/>
    <n v="1"/>
    <m/>
    <x v="0"/>
    <x v="1"/>
    <x v="5"/>
    <x v="1"/>
    <n v="516.48745098039217"/>
    <n v="0"/>
  </r>
  <r>
    <n v="92"/>
    <d v="2025-11-21T11:02:47"/>
    <x v="153"/>
    <s v="PCVHO/2025/11/0166"/>
    <s v="PCV (PETTY CASH HO)"/>
    <s v="PURCHASE OF LAND "/>
    <s v="Being payment for purchase of land at Tarawanda plots No TW/H5 - Hadija Ramadhani Zakatimu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93"/>
    <d v="2025-11-21T11:00:49"/>
    <x v="153"/>
    <s v="PCVHO/2025/11/0165"/>
    <s v="PCV (PETTY CASH HO)"/>
    <s v="PURCHASE OF LAND "/>
    <s v="Being payment for purchase of land at Tarawanda plot No. TWK - Hadija Ramadhani Zakatimu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94"/>
    <d v="2025-11-21T10:58:36"/>
    <x v="153"/>
    <s v="PCVHO/2025/11/0164"/>
    <s v="PCV (PETTY CASH HO)"/>
    <s v="PURCHASE OF LAND "/>
    <s v="Being payment for purchase of land at Tarawanda plot No. TW/D4- Amina Yusuph Dibwe"/>
    <m/>
    <m/>
    <s v="LAND &amp; SITE DEVELOPMENT"/>
    <s v="Fixed Assets"/>
    <s v="301001"/>
    <s v="301001 LAND RIGHTS AQUISITION (TARAWANDA)"/>
    <s v="TARAWANDA EXPENSE"/>
    <s v="ADMIN"/>
    <s v="ADMIN"/>
    <n v="1584000"/>
    <n v="0"/>
    <n v="1584000"/>
    <s v="TZS"/>
    <m/>
    <m/>
    <n v="1"/>
    <m/>
    <x v="0"/>
    <x v="1"/>
    <x v="5"/>
    <x v="1"/>
    <n v="621.17647058823525"/>
    <n v="0"/>
  </r>
  <r>
    <n v="95"/>
    <d v="2025-11-21T10:56:29"/>
    <x v="153"/>
    <s v="PCVHO/2025/11/0163"/>
    <s v="PCV (PETTY CASH HO)"/>
    <s v="PURCHASE OF LAND "/>
    <s v="Being payment for purchase of land at Tarawanda plot No. TW/A1/065 - Anthonia Michael Mfaume"/>
    <m/>
    <m/>
    <s v="LAND &amp; SITE DEVELOPMENT"/>
    <s v="Fixed Assets"/>
    <s v="301001"/>
    <s v="301001 LAND RIGHTS AQUISITION (TARAWANDA)"/>
    <s v="TARAWANDA EXPENSE"/>
    <s v="ADMIN"/>
    <s v="ADMIN"/>
    <n v="335000"/>
    <n v="0"/>
    <n v="335000"/>
    <s v="TZS"/>
    <m/>
    <m/>
    <n v="1"/>
    <m/>
    <x v="0"/>
    <x v="1"/>
    <x v="5"/>
    <x v="1"/>
    <n v="131.37254901960785"/>
    <n v="0"/>
  </r>
  <r>
    <n v="96"/>
    <d v="2025-11-21T10:53:58"/>
    <x v="153"/>
    <s v="PCVHO/2025/11/0162"/>
    <s v="PCV (PETTY CASH HO)"/>
    <s v="PURCHASE OF LAND "/>
    <s v="Being payment for purchase of land at Tarawanda plot No. TW/R6/154 - Iddi Selemani Lubarati"/>
    <m/>
    <m/>
    <s v="LAND &amp; SITE DEVELOPMENT"/>
    <s v="Fixed Assets"/>
    <s v="301001"/>
    <s v="301001 LAND RIGHTS AQUISITION (TARAWANDA)"/>
    <s v="TARAWANDA EXPENSE"/>
    <s v="ADMIN"/>
    <s v="ADMIN"/>
    <n v="829274"/>
    <n v="0"/>
    <n v="829274"/>
    <s v="TZS"/>
    <m/>
    <m/>
    <n v="1"/>
    <m/>
    <x v="0"/>
    <x v="1"/>
    <x v="5"/>
    <x v="1"/>
    <n v="325.20549019607842"/>
    <n v="0"/>
  </r>
  <r>
    <n v="97"/>
    <d v="2025-11-21T10:51:53"/>
    <x v="153"/>
    <s v="PCVHO/2025/11/0161"/>
    <s v="PCV (PETTY CASH HO)"/>
    <s v="PURCHASE OF LAND "/>
    <s v="Being payment for purchase of land at Tarawanda plot No. TW/E5 - Iddi Selemani Lubarati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98"/>
    <d v="2025-11-21T10:47:34"/>
    <x v="153"/>
    <s v="PCVHO/2025/11/0160"/>
    <s v="PCV (PETTY CASH HO)"/>
    <s v="PURCHASE OF LAND "/>
    <s v="Being payment for purchase of land at Tarawanda plot No. TW/G5 - Iddi Selemani Lubarati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99"/>
    <d v="2025-11-21T10:42:52"/>
    <x v="153"/>
    <s v="PCVHO/2025/11/0159"/>
    <s v="PCV (PETTY CASH HO)"/>
    <s v="PURCHASE OF LAND "/>
    <s v="Being payment for purchase of Land at Kimbiji plot No. TWN/084 - Rashidi Mohamedi Rashidi"/>
    <m/>
    <m/>
    <s v="LAND &amp; SITE DEVELOPMENT"/>
    <s v="Fixed Assets"/>
    <s v="301001"/>
    <s v="301001 LAND RIGHTS AQUISITION (TARAWANDA)"/>
    <s v="TARAWANDA EXPENSE"/>
    <s v="ADMIN"/>
    <s v="ADMIN"/>
    <n v="554000"/>
    <n v="0"/>
    <n v="554000"/>
    <s v="TZS"/>
    <m/>
    <m/>
    <n v="1"/>
    <m/>
    <x v="0"/>
    <x v="1"/>
    <x v="5"/>
    <x v="1"/>
    <n v="217.25490196078431"/>
    <n v="0"/>
  </r>
  <r>
    <n v="100"/>
    <d v="2025-11-21T10:37:18"/>
    <x v="153"/>
    <s v="PCVHO/2025/11/0158"/>
    <s v="PCV (PETTY CASH HO)"/>
    <s v="PURCHASE OF LAND "/>
    <s v="Being payment for purchase of land at Tarawanda Plot No. TW/C8/- Maimuna Sadiki Omary"/>
    <m/>
    <m/>
    <s v="LAND &amp; SITE DEVELOPMENT"/>
    <s v="Fixed Assets"/>
    <s v="301001"/>
    <s v="301001 LAND RIGHTS AQUISITION (TARAWANDA)"/>
    <s v="TARAWANDA EXPENSE"/>
    <s v="ADMIN"/>
    <s v="ADMIN"/>
    <n v="4356000"/>
    <n v="0"/>
    <n v="4356000"/>
    <s v="TZS"/>
    <m/>
    <m/>
    <n v="1"/>
    <m/>
    <x v="0"/>
    <x v="1"/>
    <x v="5"/>
    <x v="1"/>
    <n v="1708.2352941176471"/>
    <n v="0"/>
  </r>
  <r>
    <n v="101"/>
    <d v="2025-11-21T10:30:57"/>
    <x v="153"/>
    <s v="PCVHO/2025/11/0157"/>
    <s v="PCV (PETTY CASH HO)"/>
    <s v="PURCHASE OF LAND "/>
    <s v="Being payment for purchase of land at Tarawanda plot No. TW/V6/005 - Mwamtumu Halfani Ramadhani"/>
    <m/>
    <m/>
    <s v="LAND &amp; SITE DEVELOPMENT"/>
    <s v="Fixed Assets"/>
    <s v="301001"/>
    <s v="301001 LAND RIGHTS AQUISITION (TARAWANDA)"/>
    <s v="TARAWANDA EXPENSE"/>
    <s v="ADMIN"/>
    <s v="ADMIN"/>
    <n v="69000"/>
    <n v="0"/>
    <n v="69000"/>
    <s v="TZS"/>
    <m/>
    <m/>
    <n v="1"/>
    <m/>
    <x v="0"/>
    <x v="1"/>
    <x v="5"/>
    <x v="1"/>
    <n v="27.058823529411764"/>
    <n v="0"/>
  </r>
  <r>
    <n v="102"/>
    <d v="2025-11-21T10:28:23"/>
    <x v="153"/>
    <s v="PCVHO/2025/11/0156"/>
    <s v="PCV (PETTY CASH HO)"/>
    <s v="PURCHASE OF LAND "/>
    <s v="Being payment for purchase of land at Tarawanda Plot No. TW/N1/082 - Stamili Guza Msabaha"/>
    <m/>
    <m/>
    <s v="LAND &amp; SITE DEVELOPMENT"/>
    <s v="Fixed Assets"/>
    <s v="301001"/>
    <s v="301001 LAND RIGHTS AQUISITION (TARAWANDA)"/>
    <s v="TARAWANDA EXPENSE"/>
    <s v="ADMIN"/>
    <s v="ADMIN"/>
    <n v="994000"/>
    <n v="0"/>
    <n v="994000"/>
    <s v="TZS"/>
    <m/>
    <m/>
    <n v="1"/>
    <m/>
    <x v="0"/>
    <x v="1"/>
    <x v="5"/>
    <x v="1"/>
    <n v="389.80392156862746"/>
    <n v="0"/>
  </r>
  <r>
    <n v="103"/>
    <d v="2025-11-21T10:26:04"/>
    <x v="153"/>
    <s v="PCVHO/2025/11/0155"/>
    <s v="PCV (PETTY CASH HO)"/>
    <s v="PURCHASE OF LAND "/>
    <s v="Being payment for purchase of land at Tarawanda Plot No. TW/U/116 - Masoud Ally Chabu"/>
    <m/>
    <m/>
    <s v="LAND &amp; SITE DEVELOPMENT"/>
    <s v="Fixed Assets"/>
    <s v="301001"/>
    <s v="301001 LAND RIGHTS AQUISITION (TARAWANDA)"/>
    <s v="TARAWANDA EXPENSE"/>
    <s v="ADMIN"/>
    <s v="ADMIN"/>
    <n v="479000"/>
    <n v="0"/>
    <n v="479000"/>
    <s v="TZS"/>
    <m/>
    <m/>
    <n v="1"/>
    <m/>
    <x v="0"/>
    <x v="1"/>
    <x v="5"/>
    <x v="1"/>
    <n v="187.84313725490196"/>
    <n v="0"/>
  </r>
  <r>
    <n v="104"/>
    <d v="2025-11-21T10:23:07"/>
    <x v="153"/>
    <s v="PCVHO/2025/11/0154"/>
    <s v="PCV (PETTY CASH HO)"/>
    <s v="PURCHASE OF LAND "/>
    <s v="Being payment for purchase of land at Tarawanda Plot No. TW/N2/096 - Kaunda Hamisi Raisi"/>
    <m/>
    <m/>
    <s v="LAND &amp; SITE DEVELOPMENT"/>
    <s v="Fixed Assets"/>
    <s v="301001"/>
    <s v="301001 LAND RIGHTS AQUISITION (TARAWANDA)"/>
    <s v="TARAWANDA EXPENSE"/>
    <s v="ADMIN"/>
    <s v="ADMIN"/>
    <n v="2284912"/>
    <n v="0"/>
    <n v="2284912"/>
    <s v="TZS"/>
    <m/>
    <m/>
    <n v="1"/>
    <m/>
    <x v="0"/>
    <x v="1"/>
    <x v="5"/>
    <x v="1"/>
    <n v="896.04392156862741"/>
    <n v="0"/>
  </r>
  <r>
    <n v="105"/>
    <d v="2025-11-21T10:20:10"/>
    <x v="153"/>
    <s v="PCVHO/2025/11/0153"/>
    <s v="PCV (PETTY CASH HO)"/>
    <s v="PURCHASE OF LAND "/>
    <s v="Being payment for purchase of land at Tarawanda Plot No. TW/L1/097 - Kaunda Hamisi Raisi"/>
    <m/>
    <m/>
    <s v="LAND &amp; SITE DEVELOPMENT"/>
    <s v="Fixed Assets"/>
    <s v="301001"/>
    <s v="301001 LAND RIGHTS AQUISITION (TARAWANDA)"/>
    <s v="TARAWANDA EXPENSE"/>
    <s v="ADMIN"/>
    <s v="ADMIN"/>
    <n v="802116"/>
    <n v="0"/>
    <n v="802116"/>
    <s v="TZS"/>
    <m/>
    <m/>
    <n v="1"/>
    <m/>
    <x v="0"/>
    <x v="1"/>
    <x v="5"/>
    <x v="1"/>
    <n v="314.55529411764707"/>
    <n v="0"/>
  </r>
  <r>
    <n v="106"/>
    <d v="2025-11-21T10:16:31"/>
    <x v="153"/>
    <s v="PCVHO/2025/11/0152"/>
    <s v="PCV (PETTY CASH HO)"/>
    <s v="PURCHASE OF LAND "/>
    <s v="Being payment for purchase of land at Tarawanda Plot No. TW/I1/095 - Kaunda Hamisi Raisi"/>
    <m/>
    <m/>
    <s v="LAND &amp; SITE DEVELOPMENT"/>
    <s v="Fixed Assets"/>
    <s v="301001"/>
    <s v="301001 LAND RIGHTS AQUISITION (TARAWANDA)"/>
    <s v="TARAWANDA EXPENSE"/>
    <s v="ADMIN"/>
    <s v="ADMIN"/>
    <n v="1135206"/>
    <n v="0"/>
    <n v="1135206"/>
    <s v="TZS"/>
    <m/>
    <m/>
    <n v="1"/>
    <m/>
    <x v="0"/>
    <x v="1"/>
    <x v="5"/>
    <x v="1"/>
    <n v="445.17882352941177"/>
    <n v="0"/>
  </r>
  <r>
    <n v="107"/>
    <d v="2025-11-21T10:14:12"/>
    <x v="153"/>
    <s v="PCVHO/2025/11/0151"/>
    <s v="PCV (PETTY CASH HO)"/>
    <s v="PURCHASE OF LAND "/>
    <s v="Being payment for purchase of land at Tarawanda Plot No. TW/N5/059 - Abdallah S. Abdala"/>
    <m/>
    <m/>
    <s v="LAND &amp; SITE DEVELOPMENT"/>
    <s v="Fixed Assets"/>
    <s v="301001"/>
    <s v="301001 LAND RIGHTS AQUISITION (TARAWANDA)"/>
    <s v="TARAWANDA EXPENSE"/>
    <s v="ADMIN"/>
    <s v="ADMIN"/>
    <n v="2795709"/>
    <n v="0"/>
    <n v="2795709"/>
    <s v="TZS"/>
    <m/>
    <m/>
    <n v="1"/>
    <m/>
    <x v="0"/>
    <x v="1"/>
    <x v="5"/>
    <x v="1"/>
    <n v="1096.3564705882352"/>
    <n v="0"/>
  </r>
  <r>
    <n v="108"/>
    <d v="2025-11-21T09:59:23"/>
    <x v="153"/>
    <s v="PCVHO/2025/11/0150"/>
    <s v="PCV (PETTY CASH HO)"/>
    <s v="PURCHASE OF LAND "/>
    <s v="Being payment for purchase of land at Tarawanda Plot No. TW/S3/078 - Amadi R. Dibwe"/>
    <m/>
    <m/>
    <s v="LAND &amp; SITE DEVELOPMENT"/>
    <s v="Fixed Assets"/>
    <s v="301001"/>
    <s v="301001 LAND RIGHTS AQUISITION (TARAWANDA)"/>
    <s v="TARAWANDA EXPENSE"/>
    <s v="ADMIN"/>
    <s v="ADMIN"/>
    <n v="1019304"/>
    <n v="0"/>
    <n v="1019304"/>
    <s v="TZS"/>
    <m/>
    <m/>
    <n v="1"/>
    <m/>
    <x v="0"/>
    <x v="1"/>
    <x v="5"/>
    <x v="1"/>
    <n v="399.72705882352943"/>
    <n v="0"/>
  </r>
  <r>
    <n v="109"/>
    <d v="2025-11-21T09:55:56"/>
    <x v="153"/>
    <s v="PCVHO/2025/11/0149"/>
    <s v="PCV (PETTY CASH HO)"/>
    <s v="PURCHASE OF LAND "/>
    <s v="Being payment for purchase of land at Tarawanda Plot No. TW/D7/128 - Hassani Adam Ramadhan"/>
    <m/>
    <m/>
    <s v="LAND &amp; SITE DEVELOPMENT"/>
    <s v="Fixed Assets"/>
    <s v="301001"/>
    <s v="301001 LAND RIGHTS AQUISITION (TARAWANDA)"/>
    <s v="TARAWANDA EXPENSE"/>
    <s v="ADMIN"/>
    <s v="ADMIN"/>
    <n v="1155902"/>
    <n v="0"/>
    <n v="1155902"/>
    <s v="TZS"/>
    <m/>
    <m/>
    <n v="1"/>
    <m/>
    <x v="0"/>
    <x v="1"/>
    <x v="5"/>
    <x v="1"/>
    <n v="453.29490196078433"/>
    <n v="0"/>
  </r>
  <r>
    <n v="110"/>
    <d v="2025-11-21T09:52:37"/>
    <x v="153"/>
    <s v="PCVHO/2025/11/0148"/>
    <s v="PCV (PETTY CASH HO)"/>
    <s v="PURCHASE OF LAND "/>
    <s v="Being payment for purchase of land at Tarawanda Plot No. TW/T1/027 - Hossein Ibrahim Hosseini"/>
    <m/>
    <m/>
    <s v="LAND &amp; SITE DEVELOPMENT"/>
    <s v="Fixed Assets"/>
    <s v="301001"/>
    <s v="301001 LAND RIGHTS AQUISITION (TARAWANDA)"/>
    <s v="TARAWANDA EXPENSE"/>
    <s v="HO"/>
    <s v="ADMIN"/>
    <n v="2987445"/>
    <n v="0"/>
    <n v="2987445"/>
    <s v="TZS"/>
    <m/>
    <m/>
    <n v="1"/>
    <m/>
    <x v="0"/>
    <x v="1"/>
    <x v="5"/>
    <x v="1"/>
    <n v="1171.5470588235294"/>
    <n v="0"/>
  </r>
  <r>
    <n v="111"/>
    <d v="2025-11-21T09:50:05"/>
    <x v="153"/>
    <s v="PCVHO/2025/11/0147"/>
    <s v="PCV (PETTY CASH HO)"/>
    <s v="PURCHASE OF LAND "/>
    <s v="Being payment for purchase of Land at Tarawanda Plot No. TW/Z7- Iddi Selemeni Rubarati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112"/>
    <d v="2025-11-21T09:47:51"/>
    <x v="153"/>
    <s v="PCVHO/2025/11/0146"/>
    <s v="PCV (PETTY CASH HO)"/>
    <s v="PURCHASE OF LAND "/>
    <s v="Being payment for purchase of Land at Tarawanda Plot No. TW/A2 - Maua Saidi Dibwe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5"/>
    <x v="1"/>
    <n v="176.47058823529412"/>
    <n v="0"/>
  </r>
  <r>
    <n v="113"/>
    <d v="2025-11-21T09:45:48"/>
    <x v="153"/>
    <s v="PCVHO/2025/11/0145"/>
    <s v="PCV (PETTY CASH HO)"/>
    <s v="PURCHASE OF LAND "/>
    <s v="Being payment for purchase of land at Tarawanda Plot No. TW/Z7/001 - Mohamedi S. Selemani"/>
    <m/>
    <m/>
    <s v="LAND &amp; SITE DEVELOPMENT"/>
    <s v="Fixed Assets"/>
    <s v="301001"/>
    <s v="301001 LAND RIGHTS AQUISITION (TARAWANDA)"/>
    <s v="TARAWANDA EXPENSE"/>
    <s v="ADMIN"/>
    <s v="ADMIN"/>
    <n v="4618362"/>
    <n v="0"/>
    <n v="4618362"/>
    <s v="TZS"/>
    <m/>
    <m/>
    <n v="1"/>
    <m/>
    <x v="0"/>
    <x v="1"/>
    <x v="5"/>
    <x v="1"/>
    <n v="1811.1223529411764"/>
    <n v="0"/>
  </r>
  <r>
    <n v="114"/>
    <d v="2025-11-21T09:43:42"/>
    <x v="153"/>
    <s v="PCVHO/2025/11/0144"/>
    <s v="PCV (PETTY CASH HO)"/>
    <s v="PURCHASE OF LAND "/>
    <s v="Being payment for purchase of Land at Tarawanda Plot No. TW/D3/032 - Hamis Jemesi Funza"/>
    <m/>
    <m/>
    <s v="LAND &amp; SITE DEVELOPMENT"/>
    <s v="Fixed Assets"/>
    <s v="301001"/>
    <s v="301001 LAND RIGHTS AQUISITION (TARAWANDA)"/>
    <s v="TARAWANDA EXPENSE"/>
    <s v="ADMIN"/>
    <s v="ADMIN"/>
    <n v="2832113"/>
    <n v="0"/>
    <n v="2832113"/>
    <s v="TZS"/>
    <m/>
    <m/>
    <n v="1"/>
    <m/>
    <x v="0"/>
    <x v="1"/>
    <x v="5"/>
    <x v="1"/>
    <n v="1110.6325490196079"/>
    <n v="0"/>
  </r>
  <r>
    <n v="115"/>
    <d v="2025-11-21T09:41:14"/>
    <x v="153"/>
    <s v="PCVHO/2025/11/0143"/>
    <s v="PCV (PETTY CASH HO)"/>
    <s v="PURCHASE OF LAND "/>
    <s v="Being payment for purchase of land T Tarawanda Plot No. TW/D3/032 - Hamis Jemsi Funza"/>
    <m/>
    <m/>
    <s v="LAND &amp; SITE DEVELOPMENT"/>
    <s v="Fixed Assets"/>
    <s v="301001"/>
    <s v="301001 LAND RIGHTS AQUISITION (TARAWANDA)"/>
    <s v="TARAWANDA EXPENSE"/>
    <s v="ADMIN"/>
    <s v="ADMIN"/>
    <n v="150000"/>
    <n v="0"/>
    <n v="150000"/>
    <s v="TZS"/>
    <m/>
    <m/>
    <n v="1"/>
    <m/>
    <x v="0"/>
    <x v="1"/>
    <x v="5"/>
    <x v="1"/>
    <n v="58.823529411764703"/>
    <n v="0"/>
  </r>
  <r>
    <n v="116"/>
    <d v="2025-11-21T09:24:36"/>
    <x v="153"/>
    <s v="PCVHO/2025/11/0142"/>
    <s v="PCV (PETTY CASH HO)"/>
    <s v="PURCHASE OF LAND "/>
    <s v="Being payment for purchase of Land at Tarawanda Plot No. TW/03/030 - Yusufu Jemesi Funza"/>
    <m/>
    <m/>
    <s v="LAND &amp; SITE DEVELOPMENT"/>
    <s v="Fixed Assets"/>
    <s v="301001"/>
    <s v="301001 LAND RIGHTS AQUISITION (TARAWANDA)"/>
    <s v="TARAWANDA EXPENSE"/>
    <s v="ADMIN"/>
    <s v="ADMIN"/>
    <n v="59000"/>
    <n v="0"/>
    <n v="59000"/>
    <s v="TZS"/>
    <m/>
    <m/>
    <n v="1"/>
    <m/>
    <x v="0"/>
    <x v="1"/>
    <x v="5"/>
    <x v="1"/>
    <n v="23.137254901960784"/>
    <n v="0"/>
  </r>
  <r>
    <n v="117"/>
    <d v="2025-11-21T09:20:56"/>
    <x v="153"/>
    <s v="PCVHO/2025/11/0141"/>
    <s v="PCV (PETTY CASH HO)"/>
    <s v="PURCHASE OF LAND "/>
    <s v="Being payment for purchase of Land at Tarawanda Plot No. TW G3/030 - Yusufu Jemsi Funza"/>
    <m/>
    <m/>
    <s v="LAND &amp; SITE DEVELOPMENT"/>
    <s v="Fixed Assets"/>
    <s v="301001"/>
    <s v="301001 LAND RIGHTS AQUISITION (TARAWANDA)"/>
    <s v="TARAWANDA EXPENSE"/>
    <s v="ADMIN"/>
    <s v="ADMIN"/>
    <n v="1204400"/>
    <n v="0"/>
    <n v="1204400"/>
    <s v="TZS"/>
    <m/>
    <m/>
    <n v="1"/>
    <m/>
    <x v="0"/>
    <x v="1"/>
    <x v="5"/>
    <x v="1"/>
    <n v="472.31372549019608"/>
    <n v="0"/>
  </r>
  <r>
    <n v="118"/>
    <d v="2025-11-21T09:17:25"/>
    <x v="153"/>
    <s v="PCVHO/2025/11/0140"/>
    <s v="PCV (PETTY CASH HO)"/>
    <s v="PURCHASE OF LAND "/>
    <s v="Being payment for purchase of Land at Tarawanda Plot No. TW I3/056 - Fatuma Funza Setebe"/>
    <m/>
    <m/>
    <s v="LAND &amp; SITE DEVELOPMENT"/>
    <s v="Fixed Assets"/>
    <s v="301001"/>
    <s v="301001 LAND RIGHTS AQUISITION (TARAWANDA)"/>
    <s v="TARAWANDA EXPENSE"/>
    <s v="ADMIN"/>
    <s v="ADMIN"/>
    <n v="630000"/>
    <n v="0"/>
    <n v="630000"/>
    <s v="TZS"/>
    <m/>
    <m/>
    <n v="1"/>
    <m/>
    <x v="0"/>
    <x v="1"/>
    <x v="5"/>
    <x v="1"/>
    <n v="247.05882352941177"/>
    <n v="0"/>
  </r>
  <r>
    <n v="119"/>
    <d v="2025-11-21T09:15:03"/>
    <x v="153"/>
    <s v="PCVHO/2025/11/0139"/>
    <s v="PCV (PETTY CASH HO)"/>
    <s v="PURCHASE OF LAND "/>
    <s v="Being payment for purchase of land at  Tarawanda Plot No. TW Q1/055 - Miraji Ali Dogaya"/>
    <m/>
    <m/>
    <s v="LAND &amp; SITE DEVELOPMENT"/>
    <s v="Fixed Assets"/>
    <s v="301001"/>
    <s v="301001 LAND RIGHTS AQUISITION (TARAWANDA)"/>
    <s v="TARAWANDA EXPENSE"/>
    <s v="ADMIN"/>
    <s v="ADMIN"/>
    <n v="1135206"/>
    <n v="0"/>
    <n v="1135206"/>
    <s v="TZS"/>
    <m/>
    <m/>
    <n v="1"/>
    <m/>
    <x v="0"/>
    <x v="1"/>
    <x v="5"/>
    <x v="1"/>
    <n v="445.17882352941177"/>
    <n v="0"/>
  </r>
  <r>
    <n v="120"/>
    <d v="2025-11-21T09:08:23"/>
    <x v="153"/>
    <s v="PCVHO/2025/11/0138"/>
    <s v="PCV (PETTY CASH HO)"/>
    <s v="PURCHASE OF LAND "/>
    <s v="Being payment for purchase of Land at Tarawanda Plot No. TW B1/002 - Steven Michale Mfaume"/>
    <m/>
    <m/>
    <s v="LAND &amp; SITE DEVELOPMENT"/>
    <s v="Fixed Assets"/>
    <s v="301001"/>
    <s v="301001 LAND RIGHTS AQUISITION (TARAWANDA)"/>
    <s v="TARAWANDA EXPENSE"/>
    <s v="ADMIN"/>
    <s v="ADMIN"/>
    <n v="100000"/>
    <n v="0"/>
    <n v="100000"/>
    <s v="TZS"/>
    <m/>
    <m/>
    <n v="1"/>
    <m/>
    <x v="0"/>
    <x v="1"/>
    <x v="5"/>
    <x v="1"/>
    <n v="39.215686274509807"/>
    <n v="0"/>
  </r>
  <r>
    <n v="121"/>
    <d v="2025-11-21T09:03:18"/>
    <x v="153"/>
    <s v="PCVHO/2025/11/0137"/>
    <s v="PCV (PETTY CASH HO)"/>
    <s v="PURCHASE OF LAND "/>
    <s v="Being payment for purchase of Land at Tarawanda Plot Bo. TW L6/035 - Salehe Kassimu Ally"/>
    <m/>
    <m/>
    <s v="LAND &amp; SITE DEVELOPMENT"/>
    <s v="Fixed Assets"/>
    <s v="301001"/>
    <s v="301001 LAND RIGHTS AQUISITION (TARAWANDA)"/>
    <s v="TARAWANDA EXPENSE"/>
    <s v="HO"/>
    <s v="ADMIN"/>
    <n v="42000"/>
    <n v="0"/>
    <n v="42000"/>
    <s v="TZS"/>
    <m/>
    <m/>
    <n v="1"/>
    <m/>
    <x v="0"/>
    <x v="1"/>
    <x v="5"/>
    <x v="1"/>
    <n v="16.470588235294116"/>
    <n v="0"/>
  </r>
  <r>
    <n v="122"/>
    <d v="2025-11-21T09:00:56"/>
    <x v="153"/>
    <s v="PCVHO/2025/11/0136"/>
    <s v="PCV (PETTY CASH HO)"/>
    <s v="PURCHASE OF LAND "/>
    <s v="Being payment for purchase of Land at Tarawanda Plot No. TW G1/005 - Pili Saidi Dibwe"/>
    <m/>
    <m/>
    <s v="LAND &amp; SITE DEVELOPMENT"/>
    <s v="Fixed Assets"/>
    <s v="301001"/>
    <s v="301001 LAND RIGHTS AQUISITION (TARAWANDA)"/>
    <s v="TARAWANDA EXPENSE"/>
    <s v="ADMIN"/>
    <s v="ADMIN"/>
    <n v="3095745"/>
    <n v="0"/>
    <n v="3095745"/>
    <s v="TZS"/>
    <m/>
    <m/>
    <n v="1"/>
    <m/>
    <x v="0"/>
    <x v="1"/>
    <x v="5"/>
    <x v="1"/>
    <n v="1214.0176470588235"/>
    <n v="0"/>
  </r>
  <r>
    <n v="123"/>
    <d v="2025-11-21T08:58:03"/>
    <x v="153"/>
    <s v="PCVHO/2025/11/0135"/>
    <s v="PCV (PETTY CASH HO)"/>
    <s v="PURCHASE OF LAND "/>
    <s v="Being payment for purchase of Land at Tarawanda Plot No. TW E2/003 - Fatuma Maulidi Dibwe"/>
    <m/>
    <m/>
    <s v="LAND &amp; SITE DEVELOPMENT"/>
    <s v="Fixed Assets"/>
    <s v="301001"/>
    <s v="301001 LAND RIGHTS AQUISITION (TARAWANDA)"/>
    <s v="TARAWANDA EXPENSE"/>
    <s v="ADMIN"/>
    <s v="ADMIN"/>
    <n v="113000"/>
    <n v="0"/>
    <n v="113000"/>
    <s v="TZS"/>
    <m/>
    <m/>
    <n v="1"/>
    <m/>
    <x v="0"/>
    <x v="1"/>
    <x v="5"/>
    <x v="1"/>
    <n v="44.313725490196077"/>
    <n v="0"/>
  </r>
  <r>
    <n v="124"/>
    <d v="2025-11-21T08:30:53"/>
    <x v="153"/>
    <s v="PCVHO/2025/11/0134"/>
    <s v="PCV (PETTY CASH HO)"/>
    <s v="PURCHASE OF LAND "/>
    <s v="Being payment for purchase of Land at Tarawanda Plot No. TW A2/015 - Tatu Ally Daudi"/>
    <m/>
    <m/>
    <s v="LAND &amp; SITE DEVELOPMENT"/>
    <s v="Fixed Assets"/>
    <s v="301001"/>
    <s v="301001 LAND RIGHTS AQUISITION (TARAWANDA)"/>
    <s v="TARAWANDA EXPENSE"/>
    <s v="ADMIN"/>
    <s v="ADMIN"/>
    <n v="4984386"/>
    <n v="0"/>
    <n v="4984386"/>
    <s v="TZS"/>
    <m/>
    <m/>
    <n v="1"/>
    <m/>
    <x v="0"/>
    <x v="1"/>
    <x v="5"/>
    <x v="1"/>
    <n v="1954.6611764705883"/>
    <n v="0"/>
  </r>
  <r>
    <n v="125"/>
    <d v="2025-11-21T08:28:29"/>
    <x v="153"/>
    <s v="PCVHO/2025/11/0133"/>
    <s v="PCV (PETTY CASH HO)"/>
    <s v="PURCHASE OF LAND "/>
    <s v="Being payment for purchase of Land at Tarawanda Plot No. TW X6/033 - Hamis Daudi Kidamane"/>
    <m/>
    <m/>
    <s v="LAND &amp; SITE DEVELOPMENT"/>
    <s v="Fixed Assets"/>
    <s v="301001"/>
    <s v="301001 LAND RIGHTS AQUISITION (TARAWANDA)"/>
    <s v="TARAWANDA EXPENSE"/>
    <s v="ADMIN"/>
    <s v="ADMIN"/>
    <n v="60000"/>
    <n v="0"/>
    <n v="60000"/>
    <s v="TZS"/>
    <m/>
    <m/>
    <n v="1"/>
    <m/>
    <x v="0"/>
    <x v="1"/>
    <x v="5"/>
    <x v="1"/>
    <n v="23.529411764705884"/>
    <n v="0"/>
  </r>
  <r>
    <n v="126"/>
    <d v="2025-11-21T08:25:56"/>
    <x v="153"/>
    <s v="PCVHO/2025/11/0132"/>
    <s v="PCV (PETTY CASH HO)"/>
    <s v="PURCHASE OF LAND "/>
    <s v="Being payment for purchase of Land at Tarawanda Plot No. TW X6/034 - Ramadhan Daudi Kidamane"/>
    <m/>
    <m/>
    <s v="LAND &amp; SITE DEVELOPMENT"/>
    <s v="Fixed Assets"/>
    <s v="301001"/>
    <s v="301001 LAND RIGHTS AQUISITION (TARAWANDA)"/>
    <s v="TARAWANDA EXPENSE"/>
    <s v="ADMIN"/>
    <s v="ADMIN"/>
    <n v="788480"/>
    <n v="0"/>
    <n v="788480"/>
    <s v="TZS"/>
    <m/>
    <m/>
    <n v="1"/>
    <m/>
    <x v="0"/>
    <x v="1"/>
    <x v="5"/>
    <x v="1"/>
    <n v="309.20784313725488"/>
    <n v="0"/>
  </r>
  <r>
    <n v="127"/>
    <d v="2025-11-21T08:23:46"/>
    <x v="153"/>
    <s v="PCVHO/2025/11/0131"/>
    <s v="PCV (PETTY CASH HO)"/>
    <s v="PURCHASE OF LAND "/>
    <s v="Being payment for purchase of Land at Tarawanda Plot No. TW Z2/019 - Bushir Raisi Kilimila"/>
    <m/>
    <m/>
    <s v="LAND &amp; SITE DEVELOPMENT"/>
    <s v="Fixed Assets"/>
    <s v="301001"/>
    <s v="301001 LAND RIGHTS AQUISITION (TARAWANDA)"/>
    <s v="TARAWANDA EXPENSE"/>
    <s v="ADMIN"/>
    <s v="ADMIN"/>
    <n v="93000"/>
    <n v="0"/>
    <n v="93000"/>
    <s v="TZS"/>
    <m/>
    <m/>
    <n v="1"/>
    <m/>
    <x v="0"/>
    <x v="1"/>
    <x v="5"/>
    <x v="1"/>
    <n v="36.470588235294116"/>
    <n v="0"/>
  </r>
  <r>
    <n v="128"/>
    <d v="2025-11-21T08:21:11"/>
    <x v="153"/>
    <s v="PCVHO/2025/11/0130"/>
    <s v="PCV (PETTY CASH HO)"/>
    <s v="PURCHASE OF LAND "/>
    <s v="Being payment for purchase of Land at Tarawanda Plot No. TW D8/014 - Hadija Athumani Kiumbo"/>
    <m/>
    <m/>
    <s v="LAND &amp; SITE DEVELOPMENT"/>
    <s v="Fixed Assets"/>
    <s v="301001"/>
    <s v="301001 LAND RIGHTS AQUISITION (TARAWANDA)"/>
    <s v="TARAWANDA EXPENSE"/>
    <s v="ADMIN"/>
    <s v="ADMIN"/>
    <n v="4684456"/>
    <n v="0"/>
    <n v="4684456"/>
    <s v="TZS"/>
    <m/>
    <m/>
    <n v="1"/>
    <m/>
    <x v="0"/>
    <x v="1"/>
    <x v="5"/>
    <x v="1"/>
    <n v="1837.0415686274509"/>
    <n v="0"/>
  </r>
  <r>
    <n v="129"/>
    <d v="2025-11-21T08:18:32"/>
    <x v="153"/>
    <s v="PCVHO/2025/11/0129"/>
    <s v="PCV (PETTY CASH HO)"/>
    <s v="PURCHASE OIF LAND "/>
    <s v="Being payment for purchase of Land at Tarwanda Plot No. TW D8 - Fatuma S. Lubawa"/>
    <m/>
    <m/>
    <s v="LAND &amp; SITE DEVELOPMENT"/>
    <s v="Fixed Assets"/>
    <s v="301001"/>
    <s v="301001 LAND RIGHTS AQUISITION (TARAWANDA)"/>
    <s v="TARAWANDA EXPENSE"/>
    <s v="ADMIN"/>
    <s v="ADMIN"/>
    <n v="799501"/>
    <n v="0"/>
    <n v="799501"/>
    <s v="TZS"/>
    <m/>
    <m/>
    <n v="1"/>
    <m/>
    <x v="0"/>
    <x v="1"/>
    <x v="5"/>
    <x v="1"/>
    <n v="313.5298039215686"/>
    <n v="0"/>
  </r>
  <r>
    <n v="130"/>
    <d v="2025-11-21T08:16:16"/>
    <x v="153"/>
    <s v="PCVHO/2025/11/0128"/>
    <s v="PCV (PETTY CASH HO)"/>
    <s v="PURCHASE OF LAND "/>
    <s v="Being payment for purchase of Land at Tarawanda Plot No. TW XI/028 - Hamadi Shabani Kufikili"/>
    <m/>
    <m/>
    <s v="LAND &amp; SITE DEVELOPMENT"/>
    <s v="Fixed Assets"/>
    <s v="301001"/>
    <s v="301001 LAND RIGHTS AQUISITION (TARAWANDA)"/>
    <s v="TARAWANDA EXPENSE"/>
    <s v="ADMIN"/>
    <s v="ADMIN"/>
    <n v="872142"/>
    <n v="0"/>
    <n v="872142"/>
    <s v="TZS"/>
    <m/>
    <m/>
    <n v="1"/>
    <m/>
    <x v="0"/>
    <x v="1"/>
    <x v="5"/>
    <x v="1"/>
    <n v="342.01647058823528"/>
    <n v="0"/>
  </r>
  <r>
    <n v="131"/>
    <d v="2025-11-21T08:14:00"/>
    <x v="153"/>
    <s v="PCVHO/2025/11/0127"/>
    <s v="PCV (PETTY CASH HO)"/>
    <s v="PURCHASE OF LAND "/>
    <s v="Being payment for purchase of Land at Tarawanda Plot No. TWK2/024 - Ramadhan Iddi Omari"/>
    <m/>
    <m/>
    <s v="LAND &amp; SITE DEVELOPMENT"/>
    <s v="Fixed Assets"/>
    <s v="301001"/>
    <s v="301001 LAND RIGHTS AQUISITION (TARAWANDA)"/>
    <s v="TARAWANDA EXPENSE"/>
    <s v="ADMIN"/>
    <s v="ADMIN"/>
    <n v="63000"/>
    <n v="0"/>
    <n v="63000"/>
    <s v="TZS"/>
    <m/>
    <m/>
    <n v="1"/>
    <m/>
    <x v="0"/>
    <x v="1"/>
    <x v="5"/>
    <x v="1"/>
    <n v="24.705882352941178"/>
    <n v="0"/>
  </r>
  <r>
    <n v="132"/>
    <d v="2025-11-24T11:12:26"/>
    <x v="154"/>
    <s v="PCVHO/2025/11/0245"/>
    <s v="PCV (PETTY CASH HO)"/>
    <s v="SETTLEMENT AGAINST IMPREST "/>
    <s v="Being settlement against imprest taken by Arnold Kaduri - Elisha Joram"/>
    <m/>
    <m/>
    <s v="CAPITAL WORK IN PROGRESS"/>
    <s v="Fixed Assets"/>
    <s v="371056"/>
    <s v="371056 MINERAL EXPLORATION &amp; DEVELOPMENT-TARAWANDA"/>
    <s v="TARAWANDA EXPENSE"/>
    <s v="ADMIN"/>
    <s v="ADMIN"/>
    <n v="9600000"/>
    <n v="0"/>
    <n v="9600000"/>
    <s v="TZS"/>
    <m/>
    <m/>
    <n v="1"/>
    <m/>
    <x v="0"/>
    <x v="0"/>
    <x v="1"/>
    <x v="1"/>
    <n v="3764.705882352941"/>
    <n v="0"/>
  </r>
  <r>
    <n v="133"/>
    <d v="2025-11-24T11:09:46"/>
    <x v="154"/>
    <s v="PCVHO/2025/11/0244"/>
    <s v="PCV (PETTY CASH HO)"/>
    <s v="SETTLEMENT AGAINST IMPREST "/>
    <s v="Being settlement against imprest taken by Anorld Kaduri - Saidi Rajabu Tunda"/>
    <m/>
    <m/>
    <s v="CAPITAL WORK IN PROGRESS"/>
    <s v="Fixed Assets"/>
    <s v="371056"/>
    <s v="371056 MINERAL EXPLORATION &amp; DEVELOPMENT-TARAWANDA"/>
    <s v="TARAWANDA EXPENSE"/>
    <s v="ADMIN"/>
    <s v="ADMIN"/>
    <n v="2500000"/>
    <n v="0"/>
    <n v="2500000"/>
    <s v="TZS"/>
    <m/>
    <m/>
    <n v="1"/>
    <m/>
    <x v="0"/>
    <x v="0"/>
    <x v="1"/>
    <x v="1"/>
    <n v="980.39215686274508"/>
    <n v="0"/>
  </r>
  <r>
    <n v="134"/>
    <d v="2025-11-24T11:07:47"/>
    <x v="154"/>
    <s v="PCVHO/2025/11/0243"/>
    <s v="PCV (PETTY CASH HO)"/>
    <s v="SETTLEMENT AGAINST IMPREST "/>
    <s v="Being settlement against imprest taken by Anorld Kaduri - Saidi Rajabu Tunda"/>
    <m/>
    <m/>
    <s v="CAPITAL WORK IN PROGRESS"/>
    <s v="Fixed Assets"/>
    <s v="371056"/>
    <s v="371056 MINERAL EXPLORATION &amp; DEVELOPMENT-TARAWANDA"/>
    <s v="TARAWANDA EXPENSE"/>
    <s v="ADMIN"/>
    <s v="ADMIN"/>
    <n v="2500000"/>
    <n v="0"/>
    <n v="2500000"/>
    <s v="TZS"/>
    <m/>
    <m/>
    <n v="1"/>
    <m/>
    <x v="0"/>
    <x v="0"/>
    <x v="1"/>
    <x v="1"/>
    <n v="980.39215686274508"/>
    <n v="0"/>
  </r>
  <r>
    <n v="135"/>
    <d v="2025-11-25T06:31:08"/>
    <x v="155"/>
    <s v="SERBL/2025/11/0095"/>
    <s v="Service Bills"/>
    <s v="CAR RENTAL CHARGES "/>
    <s v="5266"/>
    <s v="CMLT1147"/>
    <s v="Budget Travels Tours And Cars Rentals Limited"/>
    <s v="CAPITAL WORK IN PROGRESS"/>
    <s v="Fixed Assets"/>
    <s v="371056"/>
    <s v="371056 MINERAL EXPLORATION &amp; DEVELOPMENT-TARAWANDA"/>
    <s v="TARAWANDA EXPENSE"/>
    <s v="ADMIN"/>
    <s v="ADMIN"/>
    <n v="750000"/>
    <n v="0"/>
    <n v="750000"/>
    <s v="TZS"/>
    <m/>
    <m/>
    <n v="1"/>
    <m/>
    <x v="0"/>
    <x v="0"/>
    <x v="1"/>
    <x v="1"/>
    <n v="294.11764705882354"/>
    <n v="0"/>
  </r>
  <r>
    <n v="136"/>
    <d v="2025-11-27T12:23:45"/>
    <x v="156"/>
    <s v="MISC/2025/11/0535"/>
    <s v="Miscellaneous Operations"/>
    <s v="LAND PURCHASE"/>
    <s v="NMB TZS CHQ NO.003378 PAID LAND COST -10.78 ACRES - MAGANGA MGASA MIHAYO"/>
    <m/>
    <m/>
    <s v="LAND &amp; SITE DEVELOPMENT"/>
    <s v="Fixed Assets"/>
    <s v="301003"/>
    <s v="301003 LAND COST"/>
    <s v="Kimbiji Factory"/>
    <s v="QUARRY"/>
    <s v="QUARRYING"/>
    <n v="200000000"/>
    <n v="0"/>
    <n v="200000000"/>
    <s v="TZS"/>
    <m/>
    <m/>
    <n v="1"/>
    <m/>
    <x v="0"/>
    <x v="1"/>
    <x v="4"/>
    <x v="2"/>
    <n v="78431.372549019608"/>
    <n v="0"/>
  </r>
  <r>
    <n v="137"/>
    <d v="2025-11-28T08:13:15"/>
    <x v="157"/>
    <s v="SERBL/2025/11/0122"/>
    <s v="Service Bills"/>
    <s v="LPORD/2025/00418: Charges for Fabrication and Erection Job for Installation of Two Weighbridge at Mining as Per LCL Scope"/>
    <s v="TAZ-0043"/>
    <s v="CMLT2186"/>
    <s v="Taz Engineering Company Limited"/>
    <s v="CAPITAL WORK IN PROGRESS"/>
    <s v="Fixed Assets"/>
    <s v="371057"/>
    <s v="371057 CWIP-INSTALLATION OF NEW WEIGHBRIDGE AT QUARRY(2NOS)"/>
    <s v="CWIP-INSTALLATION OF NEW WEIGHBRIDGE AT QUARRY(2NOS)"/>
    <s v="UTILITY"/>
    <s v="MECHANICAL"/>
    <n v="22600000"/>
    <n v="0"/>
    <n v="22600000"/>
    <s v="TZS"/>
    <s v="[SER027] Job Contract-5"/>
    <s v="Misc. Income"/>
    <n v="1"/>
    <s v="Lumpsum"/>
    <x v="0"/>
    <x v="0"/>
    <x v="14"/>
    <x v="3"/>
    <n v="8862.745098039215"/>
    <n v="0"/>
  </r>
  <r>
    <n v="138"/>
    <d v="2025-11-28T09:55:13"/>
    <x v="157"/>
    <s v="PCVHO/2025/11/0282"/>
    <s v="PCV (PETTY CASH HO)"/>
    <s v="PURCHASE OF LAND "/>
    <s v="Being payment for purchase of land at Kimbiji plot No. LC/KM/25-627 - Tausi Abdu Hatibu"/>
    <m/>
    <m/>
    <s v="LAND &amp; SITE DEVELOPMENT"/>
    <s v="Fixed Assets"/>
    <s v="301003"/>
    <s v="301003 LAND COST"/>
    <s v="TARAWANDA EXPENSE"/>
    <s v="QUARRY"/>
    <s v="QUARRYING"/>
    <n v="4000000"/>
    <n v="0"/>
    <n v="4000000"/>
    <s v="TZS"/>
    <m/>
    <m/>
    <n v="1"/>
    <m/>
    <x v="0"/>
    <x v="1"/>
    <x v="4"/>
    <x v="2"/>
    <n v="1568.6274509803923"/>
    <n v="0"/>
  </r>
  <r>
    <n v="139"/>
    <d v="2025-11-29T08:53:31"/>
    <x v="158"/>
    <s v="MISC/2025/11/0640"/>
    <s v="Miscellaneous Operations"/>
    <s v="LAND PURCHASE "/>
    <s v="NMB TZS TT PAID LAND COST 7.47 ACRES -RAMADHANI IDI OMARI"/>
    <m/>
    <m/>
    <s v="LAND &amp; SITE DEVELOPMENT"/>
    <s v="Fixed Assets"/>
    <s v="301001"/>
    <s v="301001 LAND RIGHTS AQUISITION (TARAWANDA)"/>
    <s v="TARAWANDA EXPENSE"/>
    <s v="HO"/>
    <s v="ADMIN"/>
    <n v="7791084"/>
    <n v="0"/>
    <n v="7791084"/>
    <s v="TZS"/>
    <m/>
    <m/>
    <n v="1"/>
    <m/>
    <x v="0"/>
    <x v="1"/>
    <x v="5"/>
    <x v="1"/>
    <n v="3055.3270588235296"/>
    <n v="0"/>
  </r>
  <r>
    <n v="140"/>
    <d v="2025-11-29T08:49:16"/>
    <x v="158"/>
    <s v="MISC/2025/11/0639"/>
    <s v="Miscellaneous Operations"/>
    <s v="LAND PURCHASE"/>
    <s v="NMB TZS TT PAID LAND COST 4.94 ACRES -MIRAJI SAIDI VUTENI"/>
    <m/>
    <m/>
    <s v="LAND &amp; SITE DEVELOPMENT"/>
    <s v="Fixed Assets"/>
    <s v="301001"/>
    <s v="301001 LAND RIGHTS AQUISITION (TARAWANDA)"/>
    <s v="TARAWANDA EXPENSE"/>
    <s v="ADMIN"/>
    <s v="ADMIN"/>
    <n v="7421474"/>
    <n v="0"/>
    <n v="7421474"/>
    <s v="TZS"/>
    <m/>
    <m/>
    <n v="1"/>
    <m/>
    <x v="0"/>
    <x v="1"/>
    <x v="5"/>
    <x v="1"/>
    <n v="2910.3819607843138"/>
    <n v="0"/>
  </r>
  <r>
    <n v="141"/>
    <d v="2025-11-29T08:46:23"/>
    <x v="158"/>
    <s v="MISC/2025/11/0638"/>
    <s v="Miscellaneous Operations"/>
    <s v="LAND PURCHASE"/>
    <s v="NMB TZS TT PAID LAND COST 7.59 ACRES -MOHAMEDI ATHUMANI MOHAMEDI"/>
    <m/>
    <m/>
    <s v="LAND &amp; SITE DEVELOPMENT"/>
    <s v="Fixed Assets"/>
    <s v="301001"/>
    <s v="301001 LAND RIGHTS AQUISITION (TARAWANDA)"/>
    <s v="TARAWANDA EXPENSE"/>
    <s v="ADMIN"/>
    <s v="ADMIN"/>
    <n v="1587809"/>
    <n v="0"/>
    <n v="1587809"/>
    <s v="TZS"/>
    <m/>
    <m/>
    <n v="1"/>
    <m/>
    <x v="0"/>
    <x v="1"/>
    <x v="5"/>
    <x v="1"/>
    <n v="622.67019607843133"/>
    <n v="0"/>
  </r>
  <r>
    <n v="142"/>
    <d v="2025-11-29T08:31:29"/>
    <x v="158"/>
    <s v="MISC/2025/11/0637"/>
    <s v="Miscellaneous Operations"/>
    <s v="LAND PURCHASE "/>
    <s v="NMB TZS CHQ NO.003400 PAID LAND COST 7.59 ACRES -MOHAMEDI ATHUMANI MOHAMEDI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43"/>
    <d v="2025-11-29T08:22:37"/>
    <x v="158"/>
    <s v="MISC/2025/11/0636"/>
    <s v="Miscellaneous Operations"/>
    <s v="LAND PURCHASE "/>
    <s v="NMB TZS CHQ NO.003399 PAID LAND COST 12.20 ACRES -JUMA HAMISI KIUMBO"/>
    <m/>
    <m/>
    <s v="LAND &amp; SITE DEVELOPMENT"/>
    <s v="Fixed Assets"/>
    <s v="301001"/>
    <s v="301001 LAND RIGHTS AQUISITION (TARAWANDA)"/>
    <s v="TARAWANDA EXPENSE"/>
    <s v="ADMIN"/>
    <s v="ADMIN"/>
    <n v="5266661"/>
    <n v="0"/>
    <n v="5266661"/>
    <s v="TZS"/>
    <m/>
    <m/>
    <n v="1"/>
    <m/>
    <x v="0"/>
    <x v="1"/>
    <x v="5"/>
    <x v="1"/>
    <n v="2065.3572549019609"/>
    <n v="0"/>
  </r>
  <r>
    <n v="144"/>
    <d v="2025-11-29T08:20:38"/>
    <x v="158"/>
    <s v="MISC/2025/11/0635"/>
    <s v="Miscellaneous Operations"/>
    <s v="LAND PURCHASE "/>
    <s v="NMB TZS CHQ NO.003398 PAID LAND COST 12.20 ACRES -JUMA HAMISI KIUMBO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45"/>
    <d v="2025-11-29T08:18:48"/>
    <x v="158"/>
    <s v="MISC/2025/11/0634"/>
    <s v="Miscellaneous Operations"/>
    <s v="LAND PURCHASE "/>
    <s v="NMB TZS CHQ NO.003397 PAID LAND COST 12.20 ACRES -JUMA HAMISI KIUMBO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46"/>
    <d v="2025-11-29T08:16:42"/>
    <x v="158"/>
    <s v="MISC/2025/11/0633"/>
    <s v="Miscellaneous Operations"/>
    <s v="LAND PURCHASE "/>
    <s v="NMB TZS CHQ NO.003396 PAID LAND COST 12.20 ACRES -JUMA HAMISI KIUMBO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47"/>
    <d v="2025-11-29T08:15:12"/>
    <x v="158"/>
    <s v="MISC/2025/11/0632"/>
    <s v="Miscellaneous Operations"/>
    <s v="LAND PURCHASE "/>
    <s v="NMB TZS CHQ NO.003395 PAID LAND COST 12.20 ACRES -JUMA HAMISI KIUMBO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48"/>
    <d v="2025-11-29T08:13:06"/>
    <x v="158"/>
    <s v="MISC/2025/11/0631"/>
    <s v="Miscellaneous Operations"/>
    <s v="LAND PURCHASE "/>
    <s v="NMB TZS CHQ NO.003394 PAID LAND COST 12.20 ACRES -JUMA HAMISI KIUMBO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49"/>
    <d v="2025-11-29T08:11:44"/>
    <x v="158"/>
    <s v="MISC/2025/11/0630"/>
    <s v="Miscellaneous Operations"/>
    <s v="LAND PURCHASE"/>
    <s v="NMB TZS CHQ NO.003393 PAID LAND COST 12.20 ACRES -JUMA HAMISI KIUMBO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50"/>
    <d v="2025-11-29T08:09:22"/>
    <x v="158"/>
    <s v="MISC/2025/11/0629"/>
    <s v="Miscellaneous Operations"/>
    <s v="LAND PURCHASE "/>
    <s v="NMB TZS CHQ NO.003392 PAID LAND COST 1.92 ACRES -JUMA SHIDA OMARI"/>
    <m/>
    <m/>
    <s v="LAND &amp; SITE DEVELOPMENT"/>
    <s v="Fixed Assets"/>
    <s v="301001"/>
    <s v="301001 LAND RIGHTS AQUISITION (TARAWANDA)"/>
    <s v="TARAWANDA EXPENSE"/>
    <s v="ADMIN"/>
    <s v="ADMIN"/>
    <n v="379569"/>
    <n v="0"/>
    <n v="379569"/>
    <s v="TZS"/>
    <m/>
    <m/>
    <n v="1"/>
    <m/>
    <x v="0"/>
    <x v="1"/>
    <x v="5"/>
    <x v="1"/>
    <n v="148.85058823529411"/>
    <n v="0"/>
  </r>
  <r>
    <n v="151"/>
    <d v="2025-11-29T08:08:04"/>
    <x v="158"/>
    <s v="MISC/2025/11/0628"/>
    <s v="Miscellaneous Operations"/>
    <s v="LAND PURCHASE "/>
    <s v="NMB TZS CHQ NO.003391 PAID LAND COST 1.92 ACRES -JUMA SHIDA OMARI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52"/>
    <d v="2025-11-29T07:59:23"/>
    <x v="158"/>
    <s v="MISC/2025/11/0627"/>
    <s v="Miscellaneous Operations"/>
    <s v="LAND PURCHASE "/>
    <s v="NMB TZS CHQ NO.003390 PAID LAND COST -RAMADHANI MICHAEL ROMAN"/>
    <m/>
    <m/>
    <s v="LAND &amp; SITE DEVELOPMENT"/>
    <s v="Fixed Assets"/>
    <s v="301001"/>
    <s v="301001 LAND RIGHTS AQUISITION (TARAWANDA)"/>
    <s v="TARAWANDA EXPENSE"/>
    <s v="ADMIN"/>
    <s v="ADMIN"/>
    <n v="3693419"/>
    <n v="0"/>
    <n v="3693419"/>
    <s v="TZS"/>
    <m/>
    <m/>
    <n v="1"/>
    <m/>
    <x v="0"/>
    <x v="1"/>
    <x v="5"/>
    <x v="1"/>
    <n v="1448.3996078431373"/>
    <n v="0"/>
  </r>
  <r>
    <n v="153"/>
    <d v="2025-11-29T07:57:48"/>
    <x v="158"/>
    <s v="MISC/2025/11/0626"/>
    <s v="Miscellaneous Operations"/>
    <s v="LAND PURCHASE"/>
    <s v="NMB TZS CHQ NO.003389 PAID LAND COST -RAMADHANI MICHAEL ROMAN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54"/>
    <d v="2025-11-29T07:55:29"/>
    <x v="158"/>
    <s v="MISC/2025/11/0625"/>
    <s v="Miscellaneous Operations"/>
    <s v="LAND PURCHASE"/>
    <s v="NMB TZS CHQ NO.003388 PAID LAND COST -FATUMA MIKAEL ROMANI"/>
    <m/>
    <m/>
    <s v="LAND &amp; SITE DEVELOPMENT"/>
    <s v="Fixed Assets"/>
    <s v="301001"/>
    <s v="301001 LAND RIGHTS AQUISITION (TARAWANDA)"/>
    <s v="TARAWANDA EXPENSE"/>
    <s v="ADMIN"/>
    <s v="ADMIN"/>
    <n v="5367571"/>
    <n v="0"/>
    <n v="5367571"/>
    <s v="TZS"/>
    <m/>
    <m/>
    <n v="1"/>
    <m/>
    <x v="0"/>
    <x v="1"/>
    <x v="5"/>
    <x v="1"/>
    <n v="2104.9298039215687"/>
    <n v="0"/>
  </r>
  <r>
    <n v="155"/>
    <d v="2025-11-29T07:51:10"/>
    <x v="158"/>
    <s v="MISC/2025/11/0624"/>
    <s v="Miscellaneous Operations"/>
    <s v="LAND PURCHASE "/>
    <s v="NMB TZS CHQ NO.003387 PAID LAND COST - 6 ACRES -ALLI M. ROMANI"/>
    <m/>
    <m/>
    <s v="LAND &amp; SITE DEVELOPMENT"/>
    <s v="Fixed Assets"/>
    <s v="301001"/>
    <s v="301001 LAND RIGHTS AQUISITION (TARAWANDA)"/>
    <s v="TARAWANDA EXPENSE"/>
    <s v="ADMIN"/>
    <s v="ADMIN"/>
    <n v="6000000"/>
    <n v="0"/>
    <n v="6000000"/>
    <s v="TZS"/>
    <m/>
    <m/>
    <n v="1"/>
    <m/>
    <x v="0"/>
    <x v="1"/>
    <x v="5"/>
    <x v="1"/>
    <n v="2352.9411764705883"/>
    <n v="0"/>
  </r>
  <r>
    <n v="156"/>
    <d v="2025-11-29T07:48:51"/>
    <x v="158"/>
    <s v="MISC/2025/11/0623"/>
    <s v="Miscellaneous Operations"/>
    <s v="LAND PURCHASE "/>
    <s v="NMB TZS CHQ NO.003386 PAID LAND COST - 0.1 ACRES -ZAWADI MOHAMEDI ATHUMANI"/>
    <m/>
    <m/>
    <s v="LAND &amp; SITE DEVELOPMENT"/>
    <s v="Fixed Assets"/>
    <s v="301001"/>
    <s v="301001 LAND RIGHTS AQUISITION (TARAWANDA)"/>
    <s v="TARAWANDA EXPENSE"/>
    <s v="ADMIN"/>
    <s v="ADMIN"/>
    <n v="9594947"/>
    <n v="0"/>
    <n v="9594947"/>
    <s v="TZS"/>
    <m/>
    <m/>
    <n v="1"/>
    <m/>
    <x v="0"/>
    <x v="1"/>
    <x v="5"/>
    <x v="1"/>
    <n v="3762.72431372549"/>
    <n v="0"/>
  </r>
  <r>
    <n v="157"/>
    <d v="2025-11-29T07:46:32"/>
    <x v="158"/>
    <s v="MISC/2025/11/0622"/>
    <s v="Miscellaneous Operations"/>
    <s v="LAND PURCHASE"/>
    <s v="NMB TZS CHQ NO.003385 PAID LAND COST - 0.1 ACRES -IDDI HOSSENI RASHID"/>
    <m/>
    <m/>
    <s v="LAND &amp; SITE DEVELOPMENT"/>
    <s v="Fixed Assets"/>
    <s v="301001"/>
    <s v="301001 LAND RIGHTS AQUISITION (TARAWANDA)"/>
    <s v="TARAWANDA EXPENSE"/>
    <s v="ADMIN"/>
    <s v="ADMIN"/>
    <n v="7674603"/>
    <n v="0"/>
    <n v="7674603"/>
    <s v="TZS"/>
    <m/>
    <m/>
    <n v="1"/>
    <m/>
    <x v="0"/>
    <x v="1"/>
    <x v="5"/>
    <x v="1"/>
    <n v="3009.6482352941175"/>
    <n v="0"/>
  </r>
  <r>
    <n v="158"/>
    <d v="2025-11-29T07:41:43"/>
    <x v="158"/>
    <s v="MISC/2025/11/0621"/>
    <s v="Miscellaneous Operations"/>
    <s v="LAND PURCHASE"/>
    <s v="NMB TZS CHQ NO.003384 PAID LAND COST - 0.1 ACRES -IDDI HOSSENI RASHIDI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59"/>
    <d v="2025-11-29T07:40:36"/>
    <x v="158"/>
    <s v="MISC/2025/11/0620"/>
    <s v="Miscellaneous Operations"/>
    <s v="LAND PURCHASE"/>
    <s v="NMB TZS CHQ NO.003383 PAID LAND COST - 0.1 ACRES -IDDI HOSSENI RASHIDI"/>
    <m/>
    <m/>
    <s v="LAND &amp; SITE DEVELOPMENT"/>
    <s v="Fixed Assets"/>
    <s v="301001"/>
    <s v="301001 LAND RIGHTS AQUISITION (TARAWANDA)"/>
    <s v="TARAWANDA EXPENSE"/>
    <s v="ADMIN"/>
    <s v="ADMIN"/>
    <n v="10000000"/>
    <n v="0"/>
    <n v="10000000"/>
    <s v="TZS"/>
    <m/>
    <m/>
    <n v="1"/>
    <m/>
    <x v="0"/>
    <x v="1"/>
    <x v="5"/>
    <x v="1"/>
    <n v="3921.5686274509803"/>
    <n v="0"/>
  </r>
  <r>
    <n v="160"/>
    <d v="2025-11-29T07:34:19"/>
    <x v="158"/>
    <s v="MISC/2025/11/0619"/>
    <s v="Miscellaneous Operations"/>
    <s v="LAND PURCHASE "/>
    <s v="NMB TZS CHQ NO.003382 PAID LAND COST - 0.17 ACRES -MOHAMEDI ATHUMANI MOHAMEDI"/>
    <m/>
    <m/>
    <s v="LAND &amp; SITE DEVELOPMENT"/>
    <s v="Fixed Assets"/>
    <s v="301001"/>
    <s v="301001 LAND RIGHTS AQUISITION (TARAWANDA)"/>
    <s v="TARAWANDA EXPENSE"/>
    <s v="ADMIN"/>
    <s v="ADMIN"/>
    <n v="6109781"/>
    <n v="0"/>
    <n v="6109781"/>
    <s v="TZS"/>
    <m/>
    <m/>
    <n v="1"/>
    <m/>
    <x v="0"/>
    <x v="1"/>
    <x v="5"/>
    <x v="1"/>
    <n v="2395.9925490196078"/>
    <n v="0"/>
  </r>
  <r>
    <n v="6354"/>
    <d v="2025-11-06T14:52:55"/>
    <x v="159"/>
    <s v="STJ/2025/11/02769"/>
    <s v="Inventory Valuation"/>
    <s v="CM/MTI/2025/03827 - [CAFRF007] OFFICE TABLE SIZE 120 X 60 CM / MRQ/2025/05406"/>
    <s v="CM/MTI/2025/03827 - [CAFRF007] OFFICE TABLE SIZE 120 X 60 CM / MRQ/2025/05406"/>
    <m/>
    <m/>
    <s v="MATERIAL COST"/>
    <s v="Expenses"/>
    <s v="731003"/>
    <s v="731003 STORE SPARES &amp; CONSUMABLES - CA"/>
    <s v="Fixed Asset"/>
    <s v="DISPATCH"/>
    <s v="DISPATCH"/>
    <n v="1180800"/>
    <n v="0"/>
    <n v="1180800"/>
    <s v="TZS"/>
    <s v="[CAFRF007] OFFICE TABLE SIZE 120 X 60 CM"/>
    <n v="-2"/>
    <s v="NOS"/>
    <m/>
    <x v="0"/>
    <x v="3"/>
    <x v="7"/>
    <x v="5"/>
    <n v="463.05882352941177"/>
    <n v="0"/>
  </r>
  <r>
    <n v="21701"/>
    <d v="2025-11-14T14:40:38"/>
    <x v="160"/>
    <s v="STJ/2025/11/07644"/>
    <s v="Inventory Valuation"/>
    <s v="CM/MTI/2025/03995 - [CACOP007] PRINTER / MRQ/2025/05601-TOKEN OFFICE"/>
    <s v="CM/MTI/2025/03995 - [CACOP007] PRINTER / MRQ/2025/05601"/>
    <m/>
    <m/>
    <s v="MATERIAL COST"/>
    <s v="Expenses"/>
    <s v="731003"/>
    <s v="731003 STORE SPARES &amp; CONSUMABLES - CA"/>
    <s v="Fixed Asset"/>
    <s v="DISPATCH"/>
    <s v="INSTRUMENTATION"/>
    <n v="740112.99"/>
    <n v="0"/>
    <n v="740112.99"/>
    <s v="TZS"/>
    <s v="[CACOP007] PRINTER"/>
    <m/>
    <n v="-1"/>
    <s v="NOS"/>
    <x v="0"/>
    <x v="2"/>
    <x v="6"/>
    <x v="5"/>
    <n v="290.24038823529412"/>
    <n v="0"/>
  </r>
  <r>
    <n v="25921"/>
    <d v="2025-11-17T09:31:24"/>
    <x v="151"/>
    <s v="STJ/2025/11/09106"/>
    <s v="Inventory Valuation"/>
    <s v="CM/MTI/2025/04050 - [CAVEH015] TOYOTA SUCCEED CHASSIS NO NCP58-0055408 MODEL YEAR 2006 COLOR BLUE ​ / MRQ/2025/05205-ACCOUNTS OFFICE HO"/>
    <s v="CM/MTI/2025/04050 - [CAVEH015] TOYOTA SUCCEED CHASSIS NO NCP58-0055408 MODEL YEAR 2006 COLOR BLUE ​ / MRQ/2025/05205-ACCOUNT OFFICE HO"/>
    <m/>
    <m/>
    <s v="MATERIAL COST"/>
    <s v="Expenses"/>
    <s v="731003"/>
    <s v="731003 STORE SPARES &amp; CONSUMABLES - CA"/>
    <s v="Fixed Asset"/>
    <s v="HO"/>
    <s v="ADMIN"/>
    <n v="18644067.800000001"/>
    <n v="0"/>
    <n v="18644067.800000001"/>
    <s v="TZS"/>
    <s v="[CAVEH015] TOYOTA SUCCEED CHASSIS NO NCP58-0055408 MODEL YEAR 2006 COLOR BLUE ​"/>
    <m/>
    <n v="-1"/>
    <s v="NOS"/>
    <x v="0"/>
    <x v="4"/>
    <x v="20"/>
    <x v="5"/>
    <n v="7311.3991372549026"/>
    <n v="0"/>
  </r>
  <r>
    <n v="25923"/>
    <d v="2025-11-17T09:31:24"/>
    <x v="151"/>
    <s v="STJ/2025/11/09105"/>
    <s v="Inventory Valuation"/>
    <s v="CM/MTI/2025/04050 - [CAFRF025] SAFE CABINET / MRQ/2025/05205-ACCOUNT OFFICE HO"/>
    <s v="CM/MTI/2025/04050 - [CAFRF025] SAFE CABINET / MRQ/2025/05205-ACCOUNT OFFICE HO"/>
    <m/>
    <m/>
    <s v="MATERIAL COST"/>
    <s v="Expenses"/>
    <s v="731003"/>
    <s v="731003 STORE SPARES &amp; CONSUMABLES - CA"/>
    <s v="Fixed Asset"/>
    <s v="HO"/>
    <s v="ADMIN"/>
    <n v="761864.41"/>
    <n v="0"/>
    <n v="761864.41"/>
    <s v="TZS"/>
    <s v="[CAFRF025] SAFE CABINET"/>
    <m/>
    <n v="-1"/>
    <s v="NOS"/>
    <x v="0"/>
    <x v="3"/>
    <x v="7"/>
    <x v="5"/>
    <n v="298.77035686274513"/>
    <n v="0"/>
  </r>
  <r>
    <n v="25925"/>
    <d v="2025-11-17T09:29:57"/>
    <x v="151"/>
    <s v="STJ/2025/11/09104"/>
    <s v="Inventory Valuation"/>
    <s v="CM/MTI/2025/04049 - [CACOP006] LAPTOP / MRQ/2025/05204-RAHUL CHAUHAN"/>
    <s v="CM/MTI/2025/04049 - [CACOP006] LAPTOP / MRQ/2025/05204"/>
    <m/>
    <m/>
    <s v="MATERIAL COST"/>
    <s v="Expenses"/>
    <s v="731003"/>
    <s v="731003 STORE SPARES &amp; CONSUMABLES - CA"/>
    <s v="Fixed Asset"/>
    <s v="HO"/>
    <s v="ADMIN"/>
    <n v="1413500"/>
    <n v="0"/>
    <n v="1413500"/>
    <s v="TZS"/>
    <s v="[CACOP006] LAPTOP"/>
    <m/>
    <n v="-1"/>
    <s v="NOS"/>
    <x v="0"/>
    <x v="2"/>
    <x v="6"/>
    <x v="5"/>
    <n v="554.31372549019613"/>
    <n v="0"/>
  </r>
  <r>
    <n v="27834"/>
    <d v="2025-11-18T14:20:16"/>
    <x v="161"/>
    <s v="STJ/2025/11/09694"/>
    <s v="Inventory Valuation"/>
    <s v="CM/MTI/2025/04085 - [CACOP010] INTERACTIVE TOUCHSCREEN DISPLAY 86 INCHES MODEL 86WM6FE / MRQ/2025/05844-CCR CONFRENCE ROOM"/>
    <s v="CM/MTI/2025/04085 - [CACOP010] INTERACTIVE TOUCHSCREEN DISPLAY 86 INCHES MODEL 86WM6FE / MRQ/2025/05844"/>
    <m/>
    <m/>
    <s v="MATERIAL COST"/>
    <s v="Expenses"/>
    <s v="731003"/>
    <s v="731003 STORE SPARES &amp; CONSUMABLES - CA"/>
    <s v="Fixed Asset"/>
    <s v="ADMIN"/>
    <s v="INSTRUMENTATION"/>
    <n v="9252542.3699999992"/>
    <n v="0"/>
    <n v="9252542.3699999992"/>
    <s v="TZS"/>
    <s v="[CACOP010] INTERACTIVE TOUCHSCREEN DISPLAY 86 INCHES MODEL 86WM6FE"/>
    <m/>
    <n v="-1"/>
    <s v="NOS"/>
    <x v="0"/>
    <x v="2"/>
    <x v="10"/>
    <x v="5"/>
    <n v="3628.4479882352939"/>
    <n v="0"/>
  </r>
  <r>
    <n v="33160"/>
    <d v="2025-11-21T06:01:44"/>
    <x v="153"/>
    <s v="STJ/2025/11/10824"/>
    <s v="Inventory Valuation"/>
    <s v="CM/MTI/2025/04127 - [CACOP006] LAPTOP / MRQ/2025/05891-SANJEEV(HO PURCHASE)"/>
    <s v="CM/MTI/2025/04127 - [CACOP006] LAPTOP / MRQ/2025/05891"/>
    <m/>
    <m/>
    <s v="MATERIAL COST"/>
    <s v="Expenses"/>
    <s v="731003"/>
    <s v="731003 STORE SPARES &amp; CONSUMABLES - CA"/>
    <s v="Fixed Asset"/>
    <s v="HO"/>
    <s v="ACCOUNTS"/>
    <n v="1413500"/>
    <n v="0"/>
    <n v="1413500"/>
    <s v="TZS"/>
    <s v="[CACOP006] LAPTOP"/>
    <m/>
    <n v="-1"/>
    <s v="NOS"/>
    <x v="0"/>
    <x v="2"/>
    <x v="6"/>
    <x v="5"/>
    <n v="554.31372549019613"/>
    <n v="0"/>
  </r>
  <r>
    <n v="27833"/>
    <d v="2025-11-18T14:20:16"/>
    <x v="161"/>
    <s v="STJ/2025/11/09695"/>
    <s v="Inventory Valuation"/>
    <s v="CM/MTI/2025/04085 - [CITGC138] MOBILE PORTABLE TROLLEY MODEL WH 3309LK / MRQ/2025/05844-CCR CONFERENCE ROOM"/>
    <s v="CM/MTI/2025/04085 - [CITGC138] MOBILE PORTABLE TROLLEY MODEL WH 3309LK / MRQ/2025/05844"/>
    <m/>
    <m/>
    <s v="MATERIAL COST"/>
    <s v="Expenses"/>
    <s v="731002"/>
    <s v="731002 STORE SPARES &amp; CONSUMABLES - GENERAL"/>
    <s v="Inventory Spares Consumable"/>
    <s v="ADMIN"/>
    <s v="INSTRUMENTATION"/>
    <n v="494067.8"/>
    <n v="0"/>
    <n v="494067.8"/>
    <s v="TZS"/>
    <s v="[CITGC138] MOBILE PORTABLE TROLLEY MODEL WH 3309LK"/>
    <m/>
    <n v="-1"/>
    <s v="NOS"/>
    <x v="0"/>
    <x v="2"/>
    <x v="10"/>
    <x v="5"/>
    <n v="193.75207843137255"/>
    <n v="0"/>
  </r>
  <r>
    <n v="1539"/>
    <d v="2025-11-05T14:23:24"/>
    <x v="162"/>
    <s v="STJ/2025/11/02195"/>
    <s v="Inventory Valuation"/>
    <s v="CM/MTI/2025/03775 - [CAFRF022] SLOTTED ANGLE RACK / MRQ/2025/05398-ho"/>
    <s v="CM/MTI/2025/03775 - [CAFRF022] SLOTTED ANGLE RACK / MRQ/2025/05398"/>
    <m/>
    <m/>
    <s v="MATERIAL COST"/>
    <s v="Expenses"/>
    <s v="731003"/>
    <s v="731003 STORE SPARES &amp; CONSUMABLES - CA"/>
    <s v="Inventory Spares Consumable"/>
    <s v="HO"/>
    <s v="ADMIN"/>
    <n v="7627118.5999999996"/>
    <n v="0"/>
    <n v="7627118.5999999996"/>
    <s v="TZS"/>
    <s v="[CAFRF022] SLOTTED ANGLE RACK"/>
    <n v="-20"/>
    <s v="NOS"/>
    <m/>
    <x v="0"/>
    <x v="3"/>
    <x v="7"/>
    <x v="5"/>
    <n v="2991.026901960784"/>
    <n v="0"/>
  </r>
  <r>
    <n v="915"/>
    <d v="2025-04-14T14:09:27"/>
    <x v="7"/>
    <s v="STJ/2025/04/05214"/>
    <s v="Inventory Valuation"/>
    <s v="CM/MTI/2025/00232 - [FG001] CEMENT 42.5 R / MRQ/2024/11959"/>
    <s v="CM/MTI/2025/00232 - [FG001] CEMENT 42.5 R / MRQ/2024/11959"/>
    <m/>
    <m/>
    <s v="Cost Of Revenue"/>
    <s v="Cost of Revenue"/>
    <s v="721001"/>
    <s v="721001 COST OF GOODS SOLD (COGS)"/>
    <s v="CWIP-INSTALLATION OF NEW WEIGHBRIDGE AT QUARRY(2NOS)"/>
    <s v="UTILITY"/>
    <s v="CIVIL"/>
    <n v="490093.69"/>
    <n v="0"/>
    <n v="490093.69"/>
    <s v="TZS"/>
    <s v="[FG001] CEMENT 42.5 R"/>
    <s v="Finished Goods"/>
    <n v="-6.25"/>
    <s v="MT"/>
    <x v="0"/>
    <x v="0"/>
    <x v="14"/>
    <x v="3"/>
    <n v="192.19360392156864"/>
    <n v="0"/>
  </r>
  <r>
    <n v="918"/>
    <d v="2025-04-14T13:46:18"/>
    <x v="7"/>
    <s v="STJ/2025/04/05186"/>
    <s v="Inventory Valuation"/>
    <s v="CM/MTI/2025/00219 - [FG001] CEMENT 42.5 R / MRQ/2025/00125_x000a_Rounding Adjustment: -0.01 TSh"/>
    <s v="CM/MTI/2025/00219 - [FG001] CEMENT 42.5 R / MRQ/2025/00125_x000a_Rounding Adjustment: -0.01 TSh"/>
    <m/>
    <m/>
    <s v="Cost Of Revenue"/>
    <s v="Cost of Revenue"/>
    <s v="721001"/>
    <s v="721001 COST OF GOODS SOLD (COGS)"/>
    <s v="CWIP-ROAD PHASE 07"/>
    <s v="DISPATCH"/>
    <s v="CIVIL"/>
    <n v="470489.95"/>
    <n v="0"/>
    <n v="470489.95"/>
    <s v="TZS"/>
    <s v="[FG001] CEMENT 42.5 R"/>
    <s v="Finished Goods"/>
    <n v="-6"/>
    <s v="MT"/>
    <x v="0"/>
    <x v="0"/>
    <x v="17"/>
    <x v="6"/>
    <n v="184.50586274509806"/>
    <n v="0"/>
  </r>
  <r>
    <n v="3688"/>
    <d v="2025-05-30T14:11:38"/>
    <x v="29"/>
    <s v="STJ/2025/05/11705"/>
    <s v="Inventory Valuation"/>
    <s v="CM/MTI/2025/01152 - [FG001] CEMENT 42.5 R / MRQ/2025/01409_x000a_Rounding Adjustment: -0.01 TSh"/>
    <s v="CM/MTI/2025/01152 - [FG001] CEMENT 42.5 R / MRQ/2025/01409_x000a_Rounding Adjustment: -0.01 TSh"/>
    <m/>
    <m/>
    <s v="Cost Of Revenue"/>
    <s v="Cost of Revenue"/>
    <s v="721001"/>
    <s v="721001 COST OF GOODS SOLD (COGS)"/>
    <s v="CWIP-ROAD PHASE 07"/>
    <s v="UTILITY"/>
    <s v="CIVIL"/>
    <n v="907799.42"/>
    <n v="0"/>
    <n v="907799.42"/>
    <s v="TZS"/>
    <s v="[FG001] CEMENT 42.5 R"/>
    <s v="Finished Goods"/>
    <n v="-12"/>
    <s v="MT"/>
    <x v="0"/>
    <x v="0"/>
    <x v="17"/>
    <x v="6"/>
    <n v="355.99977254901961"/>
    <n v="0"/>
  </r>
  <r>
    <n v="3690"/>
    <d v="2025-05-30T13:48:55"/>
    <x v="29"/>
    <s v="STJ/2025/05/11271"/>
    <s v="Inventory Valuation"/>
    <s v="CM/MTI/2025/01148 - [FG001] CEMENT 42.5 R / MRQ/2025/01449"/>
    <s v="CM/MTI/2025/01148 - [FG001] CEMENT 42.5 R / MRQ/2025/01449"/>
    <m/>
    <m/>
    <s v="Cost Of Revenue"/>
    <s v="Cost of Revenue"/>
    <s v="721001"/>
    <s v="721001 COST OF GOODS SOLD (COGS)"/>
    <s v="CWIP-INSTALLATION OF NEW WEIGHBRIDGE AT QUARRY(2NOS)"/>
    <s v="UTILITY"/>
    <s v="CIVIL"/>
    <n v="378249.76"/>
    <n v="0"/>
    <n v="378249.76"/>
    <s v="TZS"/>
    <s v="[FG001] CEMENT 42.5 R"/>
    <s v="Finished Goods"/>
    <n v="-5"/>
    <s v="MT"/>
    <x v="0"/>
    <x v="0"/>
    <x v="14"/>
    <x v="3"/>
    <n v="148.33323921568629"/>
    <n v="0"/>
  </r>
  <r>
    <n v="4174"/>
    <d v="2025-06-06T13:55:55"/>
    <x v="34"/>
    <s v="STJ/2025/06/02552"/>
    <s v="Inventory Valuation"/>
    <s v="CM/MTI/2025/01264 - [FG001] CEMENT 42.5 R / MRQ/2025/01658"/>
    <s v="CM/MTI/2025/01264 - [FG001] CEMENT 42.5 R / MRQ/2025/01658"/>
    <m/>
    <m/>
    <s v="Cost Of Revenue"/>
    <s v="Cost of Revenue"/>
    <s v="721001"/>
    <s v="721001 COST OF GOODS SOLD (COGS)"/>
    <s v="CWIP-INSTALLATION OF NEW WEIGHBRIDGE AT QUARRY(2NOS)"/>
    <s v="UTILITY"/>
    <s v="CIVIL"/>
    <n v="145810.88"/>
    <n v="0"/>
    <n v="145810.88"/>
    <s v="TZS"/>
    <s v="[FG001] CEMENT 42.5 R"/>
    <s v="Finished Goods"/>
    <n v="-1.5"/>
    <s v="MT"/>
    <x v="0"/>
    <x v="0"/>
    <x v="14"/>
    <x v="3"/>
    <n v="57.180737254901963"/>
    <n v="0"/>
  </r>
  <r>
    <n v="5587"/>
    <d v="2025-06-25T14:28:39"/>
    <x v="49"/>
    <s v="STJ/2025/06/12323"/>
    <s v="Inventory Valuation"/>
    <s v="CM/MTI/2025/01537 - [FG001] CEMENT 42.5 R / MRQ/2025/02109"/>
    <s v="CM/MTI/2025/01537 - [FG001] CEMENT 42.5 R / MRQ/2025/02109"/>
    <m/>
    <m/>
    <s v="Cost Of Revenue"/>
    <s v="Cost of Revenue"/>
    <s v="721001"/>
    <s v="721001 COST OF GOODS SOLD (COGS)"/>
    <s v="CWIP-INSTALLATION OF NEW WEIGHBRIDGE AT QUARRY(2NOS)"/>
    <s v="QUARRY"/>
    <s v="MECHANICAL"/>
    <n v="90977.46"/>
    <n v="0"/>
    <n v="90977.46"/>
    <s v="TZS"/>
    <s v="[FG001] CEMENT 42.5 R"/>
    <s v="Finished Goods"/>
    <n v="-1.25"/>
    <s v="MT"/>
    <x v="0"/>
    <x v="0"/>
    <x v="14"/>
    <x v="3"/>
    <n v="35.67743529411765"/>
    <n v="0"/>
  </r>
  <r>
    <n v="7819"/>
    <d v="2025-07-22T14:13:28"/>
    <x v="70"/>
    <s v="STJ/2025/07/11337"/>
    <s v="Inventory Valuation"/>
    <s v="CM/MTI/2025/01982 - [FG001] CEMENT 42.5 R / MRQ/2025/02677"/>
    <s v="CM/MTI/2025/01982 - [FG001] CEMENT 42.5 R / MRQ/2025/02677"/>
    <m/>
    <m/>
    <s v="Cost Of Revenue"/>
    <s v="Cost of Revenue"/>
    <s v="721001"/>
    <s v="721001 COST OF GOODS SOLD (COGS)"/>
    <s v="CWIP-INSTALLATION OF NEW WEIGHBRIDGE AT QUARRY(2NOS)"/>
    <s v="QUARRY"/>
    <s v="MECHANICAL"/>
    <n v="490347.37"/>
    <n v="0"/>
    <n v="490347.37"/>
    <s v="TZS"/>
    <s v="[FG001] CEMENT 42.5 R"/>
    <s v="Finished Goods"/>
    <n v="-4"/>
    <s v="MT"/>
    <x v="0"/>
    <x v="0"/>
    <x v="14"/>
    <x v="3"/>
    <n v="192.29308627450979"/>
    <n v="0"/>
  </r>
  <r>
    <n v="8628"/>
    <d v="2025-07-31T13:43:52"/>
    <x v="78"/>
    <s v="STJ/2025/07/16285"/>
    <s v="Inventory Valuation"/>
    <s v="CM/MTI/2025/02167 - [FG001] CEMENT 42.5 R / MRQ/2025/02813"/>
    <s v="CM/MTI/2025/02167 - [FG001] CEMENT 42.5 R / MRQ/2025/02813"/>
    <m/>
    <m/>
    <s v="Cost Of Revenue"/>
    <s v="Cost of Revenue"/>
    <s v="721001"/>
    <s v="721001 COST OF GOODS SOLD (COGS)"/>
    <s v="CWIP-INSTALLATION OF NEW WEIGHBRIDGE AT QUARRY(2NOS)"/>
    <s v="QUARRY"/>
    <s v="MECHANICAL"/>
    <n v="187657.22"/>
    <n v="0"/>
    <n v="187657.22"/>
    <s v="TZS"/>
    <s v="[FG001] CEMENT 42.5 R"/>
    <s v="Finished Goods"/>
    <n v="-3"/>
    <s v="MT"/>
    <x v="0"/>
    <x v="0"/>
    <x v="14"/>
    <x v="3"/>
    <n v="73.591066666666663"/>
    <n v="0"/>
  </r>
  <r>
    <n v="8630"/>
    <d v="2025-07-31T13:32:22"/>
    <x v="78"/>
    <s v="STJ/2025/07/16278"/>
    <s v="Inventory Valuation"/>
    <s v="CM/MTI/2025/02163 - [FG003] CEMENT 42.5 N / MRQ/2025/02843_x000a_Rounding Adjustment: -0.01 TSh"/>
    <s v="CM/MTI/2025/02163 - [FG003] CEMENT 42.5 N / MRQ/2025/02843_x000a_Rounding Adjustment: -0.01 TSh"/>
    <m/>
    <m/>
    <s v="Cost Of Revenue"/>
    <s v="Cost of Revenue"/>
    <s v="721001"/>
    <s v="721001 COST OF GOODS SOLD (COGS)"/>
    <s v="CWIP-ROAD PHASE 07"/>
    <s v="PROJECT"/>
    <s v="MECHANICAL"/>
    <n v="122533.47"/>
    <n v="0"/>
    <n v="122533.47"/>
    <s v="TZS"/>
    <s v="[FG003] CEMENT 42.5 N"/>
    <s v="Finished Goods"/>
    <n v="-2"/>
    <s v="MT"/>
    <x v="0"/>
    <x v="0"/>
    <x v="17"/>
    <x v="6"/>
    <n v="48.052341176470591"/>
    <n v="0"/>
  </r>
  <r>
    <n v="8631"/>
    <d v="2025-07-31T13:24:44"/>
    <x v="78"/>
    <s v="STJ/2025/07/16269"/>
    <s v="Inventory Valuation"/>
    <s v="CM/MTI/2025/02159 - [FG001] CEMENT 42.5 R / MRQ/2025/02859"/>
    <s v="CM/MTI/2025/02159 - [FG001] CEMENT 42.5 R / MRQ/2025/02859"/>
    <m/>
    <m/>
    <s v="Cost Of Revenue"/>
    <s v="Cost of Revenue"/>
    <s v="721001"/>
    <s v="721001 COST OF GOODS SOLD (COGS)"/>
    <s v="CWIP-INSTALLATION OF NEW WEIGHBRIDGE AT QUARRY(2NOS)"/>
    <s v="QUARRY"/>
    <s v="MECHANICAL"/>
    <n v="93828.61"/>
    <n v="0"/>
    <n v="93828.61"/>
    <s v="TZS"/>
    <s v="[FG001] CEMENT 42.5 R"/>
    <s v="Finished Goods"/>
    <n v="-1.5"/>
    <s v="MT"/>
    <x v="0"/>
    <x v="0"/>
    <x v="14"/>
    <x v="3"/>
    <n v="36.795533333333331"/>
    <n v="0"/>
  </r>
  <r>
    <n v="9002"/>
    <d v="2025-08-04T14:20:17"/>
    <x v="81"/>
    <s v="STJ/2025/08/01653"/>
    <s v="Inventory Valuation"/>
    <s v="CM/MTI/2025/02223 - [FG001] CEMENT 42.5 R / MRQ/2025/03079"/>
    <s v="CM/MTI/2025/02223 - [FG001] CEMENT 42.5 R / MRQ/2025/03079"/>
    <m/>
    <m/>
    <s v="Cost Of Revenue"/>
    <s v="Cost of Revenue"/>
    <s v="721001"/>
    <s v="721001 COST OF GOODS SOLD (COGS)"/>
    <s v="CWIP-INSTALLATION OF NEW WEIGHBRIDGE AT QUARRY(2NOS)"/>
    <s v="QUARRY"/>
    <s v="MECHANICAL"/>
    <n v="187530.02"/>
    <n v="0"/>
    <n v="187530.02"/>
    <s v="TZS"/>
    <s v="[FG001] CEMENT 42.5 R"/>
    <s v="Finished Goods"/>
    <n v="-3"/>
    <s v="MT"/>
    <x v="0"/>
    <x v="0"/>
    <x v="14"/>
    <x v="3"/>
    <n v="73.541184313725481"/>
    <n v="0"/>
  </r>
  <r>
    <n v="9669"/>
    <d v="2025-08-11T13:45:59"/>
    <x v="86"/>
    <s v="STJ/2025/08/04722"/>
    <s v="Inventory Valuation"/>
    <s v="CM/MTI/2025/02323 - [FG001] CEMENT 42.5 R / MRQ/2025/03171"/>
    <s v="CM/MTI/2025/02323 - [FG001] CEMENT 42.5 R / MRQ/2025/03171"/>
    <m/>
    <m/>
    <s v="Cost Of Revenue"/>
    <s v="Cost of Revenue"/>
    <s v="721001"/>
    <s v="721001 COST OF GOODS SOLD (COGS)"/>
    <s v="CWIP-INSTALLATION OF NEW WEIGHBRIDGE AT QUARRY(2NOS)"/>
    <s v="QUARRY"/>
    <s v="MECHANICAL"/>
    <n v="444936.84"/>
    <n v="0"/>
    <n v="444936.84"/>
    <s v="TZS"/>
    <s v="[FG001] CEMENT 42.5 R"/>
    <s v="Finished Goods"/>
    <n v="-3"/>
    <s v="MT"/>
    <x v="0"/>
    <x v="0"/>
    <x v="14"/>
    <x v="3"/>
    <n v="174.48503529411767"/>
    <n v="0"/>
  </r>
  <r>
    <n v="12393"/>
    <d v="2025-09-10T14:16:50"/>
    <x v="110"/>
    <s v="STJ/2025/09/05340"/>
    <s v="Inventory Valuation"/>
    <s v="CM/MTI/2025/02863 - [FG001] CEMENT 42.5 R / MRQ/2025/04039"/>
    <s v="CM/MTI/2025/02863 - [FG001] CEMENT 42.5 R / MRQ/2025/04039"/>
    <m/>
    <m/>
    <s v="Cost Of Revenue"/>
    <s v="Cost of Revenue"/>
    <s v="721001"/>
    <s v="721001 COST OF GOODS SOLD (COGS)"/>
    <s v="CWIP-ROAD PHASE 07"/>
    <s v="PROJECT"/>
    <s v="MECHANICAL"/>
    <n v="311090.90999999997"/>
    <n v="0"/>
    <n v="311090.90999999997"/>
    <s v="TZS"/>
    <s v="[FG001] CEMENT 42.5 R"/>
    <s v="Finished Goods"/>
    <n v="-5"/>
    <s v="MT"/>
    <x v="0"/>
    <x v="0"/>
    <x v="17"/>
    <x v="6"/>
    <n v="121.99643529411763"/>
    <n v="0"/>
  </r>
  <r>
    <n v="12398"/>
    <d v="2025-09-10T13:52:52"/>
    <x v="110"/>
    <s v="STJ/2025/09/05308"/>
    <s v="Inventory Valuation"/>
    <s v="CM/MTI/2025/02850 - [FG001] CEMENT 42.5 R / MRQ/2025/03788_x000a_Rounding Adjustment: +0.01 TSh"/>
    <s v="CM/MTI/2025/02850 - [FG001] CEMENT 42.5 R / MRQ/2025/03788_x000a_Rounding Adjustment: +0.01 TSh"/>
    <m/>
    <m/>
    <s v="Cost Of Revenue"/>
    <s v="Cost of Revenue"/>
    <s v="721001"/>
    <s v="721001 COST OF GOODS SOLD (COGS)"/>
    <s v="CWIP-QUARRY RAW MATERIAL SHED EXTENSION"/>
    <s v="QUARRY"/>
    <s v="MECHANICAL"/>
    <n v="248872.72"/>
    <n v="0"/>
    <n v="248872.72"/>
    <s v="TZS"/>
    <s v="[FG001] CEMENT 42.5 R"/>
    <s v="Finished Goods"/>
    <n v="-4"/>
    <s v="MT"/>
    <x v="0"/>
    <x v="0"/>
    <x v="18"/>
    <x v="7"/>
    <n v="97.597145098039221"/>
    <n v="0"/>
  </r>
  <r>
    <n v="12399"/>
    <d v="2025-09-10T13:51:58"/>
    <x v="110"/>
    <s v="STJ/2025/09/05306"/>
    <s v="Inventory Valuation"/>
    <s v="CM/MTI/2025/02849 - [FG001] CEMENT 42.5 R / MRQ/2025/03952"/>
    <s v="CM/MTI/2025/02849 - [FG001] CEMENT 42.5 R / MRQ/2025/03952"/>
    <m/>
    <m/>
    <s v="Cost Of Revenue"/>
    <s v="Cost of Revenue"/>
    <s v="721001"/>
    <s v="721001 COST OF GOODS SOLD (COGS)"/>
    <s v="CWIP-ROAD PHASE 07"/>
    <s v="PROJECT"/>
    <s v="MECHANICAL"/>
    <n v="311090.90999999997"/>
    <n v="0"/>
    <n v="311090.90999999997"/>
    <s v="TZS"/>
    <s v="[FG001] CEMENT 42.5 R"/>
    <s v="Finished Goods"/>
    <n v="-5"/>
    <s v="MT"/>
    <x v="0"/>
    <x v="0"/>
    <x v="17"/>
    <x v="6"/>
    <n v="121.99643529411763"/>
    <n v="0"/>
  </r>
  <r>
    <n v="13174"/>
    <d v="2025-09-18T14:27:53"/>
    <x v="117"/>
    <s v="STJ/2025/09/09967"/>
    <s v="Inventory Valuation"/>
    <s v="CM/MTI/2025/02982 - [FG003] CEMENT 42.5 N / MRQ/2025/04240"/>
    <s v="CM/MTI/2025/02982 - [FG003] CEMENT 42.5 N / MRQ/2025/04240"/>
    <m/>
    <m/>
    <s v="Cost Of Revenue"/>
    <s v="Cost of Revenue"/>
    <s v="721001"/>
    <s v="721001 COST OF GOODS SOLD (COGS)"/>
    <s v="CWIP-QUARRY RAW MATERIAL SHED EXTENSION"/>
    <s v="QUARRY"/>
    <s v="MECHANICAL"/>
    <n v="301186.59999999998"/>
    <n v="0"/>
    <n v="301186.59999999998"/>
    <s v="TZS"/>
    <s v="[FG003] CEMENT 42.5 N"/>
    <s v="Finished Goods"/>
    <n v="-2"/>
    <s v="MT"/>
    <x v="0"/>
    <x v="0"/>
    <x v="18"/>
    <x v="7"/>
    <n v="118.11239215686274"/>
    <n v="0"/>
  </r>
  <r>
    <n v="13175"/>
    <d v="2025-09-18T14:26:39"/>
    <x v="117"/>
    <s v="STJ/2025/09/09965"/>
    <s v="Inventory Valuation"/>
    <s v="CM/MTI/2025/02981 - [FG003] CEMENT 42.5 N / MRQ/2025/04239"/>
    <s v="CM/MTI/2025/02981 - [FG003] CEMENT 42.5 N / MRQ/2025/04239"/>
    <m/>
    <m/>
    <s v="Cost Of Revenue"/>
    <s v="Cost of Revenue"/>
    <s v="721001"/>
    <s v="721001 COST OF GOODS SOLD (COGS)"/>
    <s v="CWIP-ROAD PHASE 07"/>
    <s v="PROJECT"/>
    <s v="MECHANICAL"/>
    <n v="602373.19999999995"/>
    <n v="0"/>
    <n v="602373.19999999995"/>
    <s v="TZS"/>
    <s v="[FG003] CEMENT 42.5 N"/>
    <s v="Finished Goods"/>
    <n v="-4"/>
    <s v="MT"/>
    <x v="0"/>
    <x v="0"/>
    <x v="17"/>
    <x v="6"/>
    <n v="236.22478431372548"/>
    <n v="0"/>
  </r>
  <r>
    <n v="13545"/>
    <d v="2025-09-22T06:48:15"/>
    <x v="119"/>
    <s v="STJ/2025/09/11333"/>
    <s v="Inventory Valuation"/>
    <s v="CM/MTI/2025/03030 - [FG001] CEMENT 42.5 R / MRQ/2025/04326"/>
    <s v="CM/MTI/2025/03030 - [FG001] CEMENT 42.5 R / MRQ/2025/04326"/>
    <m/>
    <m/>
    <s v="Cost Of Revenue"/>
    <s v="Cost of Revenue"/>
    <s v="721001"/>
    <s v="721001 COST OF GOODS SOLD (COGS)"/>
    <s v="CWIP-QUARRY RAW MATERIAL SHED EXTENSION"/>
    <s v="QUARRY"/>
    <s v="MECHANICAL"/>
    <n v="872673.57"/>
    <n v="0"/>
    <n v="872673.57"/>
    <s v="TZS"/>
    <s v="[FG001] CEMENT 42.5 R"/>
    <s v="Finished Goods"/>
    <n v="-14"/>
    <s v="MT"/>
    <x v="0"/>
    <x v="0"/>
    <x v="18"/>
    <x v="7"/>
    <n v="342.22492941176466"/>
    <n v="0"/>
  </r>
  <r>
    <n v="13832"/>
    <d v="2025-09-25T14:10:11"/>
    <x v="122"/>
    <s v="STJ/2025/09/14101"/>
    <s v="Inventory Valuation"/>
    <s v="CM/MTI/2025/03106 - [FG003] CEMENT 42.5 N / MRQ/2025/04394"/>
    <s v="CM/MTI/2025/03106 - [FG003] CEMENT 42.5 N / MRQ/2025/04394"/>
    <m/>
    <m/>
    <s v="Cost Of Revenue"/>
    <s v="Cost of Revenue"/>
    <s v="721001"/>
    <s v="721001 COST OF GOODS SOLD (COGS)"/>
    <s v="CWIP-CONSTRUCTION OF PLANT BOUNDARY WALL"/>
    <s v="PROJECT"/>
    <s v="MECHANICAL"/>
    <n v="580067.21"/>
    <n v="0"/>
    <n v="580067.21"/>
    <s v="TZS"/>
    <s v="[FG003] CEMENT 42.5 N"/>
    <s v="Finished Goods"/>
    <n v="-4"/>
    <s v="MT"/>
    <x v="0"/>
    <x v="0"/>
    <x v="21"/>
    <x v="8"/>
    <n v="227.47733725490195"/>
    <n v="0"/>
  </r>
  <r>
    <n v="14962"/>
    <d v="2025-10-07T14:16:46"/>
    <x v="143"/>
    <s v="STJ/2025/10/03674"/>
    <s v="Inventory Valuation"/>
    <s v="CM/MTI/2025/03316 - [FG001] CEMENT 42.5 R / MRQ/2025/04710"/>
    <s v="CM/MTI/2025/03316 - [FG001] CEMENT 42.5 R / MRQ/2025/04710"/>
    <m/>
    <m/>
    <s v="Cost Of Revenue"/>
    <s v="Cost of Revenue"/>
    <s v="721001"/>
    <s v="721001 COST OF GOODS SOLD (COGS)"/>
    <s v="CWIP-QUARRY RAW MATERIAL SHED EXTENSION"/>
    <s v="QUARRY"/>
    <s v="MECHANICAL"/>
    <n v="1841949.32"/>
    <n v="0"/>
    <n v="1841949.32"/>
    <s v="TZS"/>
    <s v="[FG001] CEMENT 42.5 R"/>
    <s v="Finished Goods"/>
    <n v="-12.5"/>
    <s v="MT"/>
    <x v="0"/>
    <x v="0"/>
    <x v="18"/>
    <x v="7"/>
    <n v="722.3330666666667"/>
    <n v="0"/>
  </r>
  <r>
    <n v="15987"/>
    <d v="2025-10-17T14:52:54"/>
    <x v="134"/>
    <s v="STJ/2025/10/09466"/>
    <s v="Inventory Valuation"/>
    <s v="CM/MTI/2025/03498 - [FG001] CEMENT 42.5 R / MRQ/2025/04773"/>
    <s v="CM/MTI/2025/03498 - [FG001] CEMENT 42.5 R / MRQ/2025/04773"/>
    <m/>
    <m/>
    <s v="Cost Of Revenue"/>
    <s v="Cost of Revenue"/>
    <s v="721001"/>
    <s v="721001 COST OF GOODS SOLD (COGS)"/>
    <s v="CWIP-QUARRY RAW MATERIAL SHED EXTENSION"/>
    <s v="QUARRY"/>
    <s v="MECHANICAL"/>
    <n v="837900.66"/>
    <n v="0"/>
    <n v="837900.66"/>
    <s v="TZS"/>
    <s v="[FG001] CEMENT 42.5 R"/>
    <s v="Finished Goods"/>
    <n v="-14"/>
    <s v="MT"/>
    <x v="0"/>
    <x v="0"/>
    <x v="18"/>
    <x v="7"/>
    <n v="328.58849411764709"/>
    <n v="0"/>
  </r>
  <r>
    <n v="364"/>
    <d v="2025-11-04T12:44:45"/>
    <x v="163"/>
    <s v="STJ/2025/11/00290"/>
    <s v="Inventory Valuation"/>
    <s v="CM/MTI/2025/03730 - [CWCGC041] CUTTING WHEEL 7'' / MRQ/2025/05351"/>
    <s v="CM/MTI/2025/03730 - [CWCGC041] CUTTING WHEEL 7'' / MRQ/2025/05351"/>
    <m/>
    <m/>
    <s v="MATERIAL COST"/>
    <s v="Expenses"/>
    <s v="731002"/>
    <s v="731002 STORE SPARES &amp; CONSUMABLES - GENERAL"/>
    <s v="CWIP-QUARRY RAW MATERIAL SHED EXTENSION"/>
    <s v="QUARRY"/>
    <s v="MECHANICAL"/>
    <n v="32204.11"/>
    <n v="0"/>
    <n v="32204.11"/>
    <s v="TZS"/>
    <s v="[CWCGC041] CUTTING WHEEL 7''"/>
    <s v="Gas Cutting"/>
    <n v="-10"/>
    <s v="NOS"/>
    <x v="0"/>
    <x v="0"/>
    <x v="18"/>
    <x v="7"/>
    <n v="12.629062745098039"/>
    <n v="0"/>
  </r>
  <r>
    <n v="365"/>
    <d v="2025-11-04T12:44:45"/>
    <x v="163"/>
    <s v="STJ/2025/11/00289"/>
    <s v="Inventory Valuation"/>
    <s v="CM/MTI/2025/03730 - [CCLGC032] WIRE FOR BINDING / MRQ/2025/05351"/>
    <s v="CM/MTI/2025/03730 - [CCLGC032] WIRE FOR BINDING / MRQ/2025/05351"/>
    <m/>
    <m/>
    <s v="MATERIAL COST"/>
    <s v="Expenses"/>
    <s v="731002"/>
    <s v="731002 STORE SPARES &amp; CONSUMABLES - GENERAL"/>
    <s v="CWIP-QUARRY RAW MATERIAL SHED EXTENSION"/>
    <s v="QUARRY"/>
    <s v="MECHANICAL"/>
    <n v="143500"/>
    <n v="0"/>
    <n v="143500"/>
    <s v="TZS"/>
    <s v="[CCLGC032] WIRE FOR BINDING"/>
    <s v="General Consumables"/>
    <n v="-28.7"/>
    <s v="KG"/>
    <x v="0"/>
    <x v="0"/>
    <x v="18"/>
    <x v="7"/>
    <n v="56.274509803921568"/>
    <n v="0"/>
  </r>
  <r>
    <n v="368"/>
    <d v="2025-11-04T12:44:45"/>
    <x v="163"/>
    <s v="STJ/2025/11/00288"/>
    <s v="Inventory Valuation"/>
    <s v="CM/MTI/2025/03730 - [CCLGC028] NAILS CONCRETE SIZE 4'' / MRQ/2025/05351_x000a_Rounding Adjustment: -0.01 TSh"/>
    <s v="CM/MTI/2025/03730 - [CCLGC028] NAILS CONCRETE SIZE 4'' / MRQ/2025/05351_x000a_Rounding Adjustment: -0.01 TSh"/>
    <m/>
    <m/>
    <s v="MATERIAL COST"/>
    <s v="Expenses"/>
    <s v="731002"/>
    <s v="731002 STORE SPARES &amp; CONSUMABLES - GENERAL"/>
    <s v="CWIP-QUARRY RAW MATERIAL SHED EXTENSION"/>
    <s v="QUARRY"/>
    <s v="MECHANICAL"/>
    <n v="49756.37"/>
    <n v="0"/>
    <n v="49756.37"/>
    <s v="TZS"/>
    <s v="[CCLGC028] NAILS CONCRETE SIZE 4''"/>
    <s v="General Consumables"/>
    <n v="-5"/>
    <s v="KG"/>
    <x v="0"/>
    <x v="0"/>
    <x v="18"/>
    <x v="7"/>
    <n v="19.512301960784313"/>
    <n v="0"/>
  </r>
  <r>
    <n v="1345"/>
    <d v="2025-11-05T14:47:30"/>
    <x v="162"/>
    <s v="STJ/2025/11/02292"/>
    <s v="Inventory Valuation"/>
    <s v="CM/MTI/2025/03789 - [CCLGC330] TMT BAR SIZE 16 MM GRADE FY500. / MRQ/2025/05424"/>
    <s v="CM/MTI/2025/03789 - [CCLGC330] TMT BAR SIZE 16 MM GRADE FY500. / MRQ/2025/05424"/>
    <m/>
    <m/>
    <s v="MATERIAL COST"/>
    <s v="Expenses"/>
    <s v="731002"/>
    <s v="731002 STORE SPARES &amp; CONSUMABLES - GENERAL"/>
    <s v="CWIP-CONSTRUCTION OF PLANT BOUNDARY WALL"/>
    <s v="PROJECT"/>
    <s v="MECHANICAL"/>
    <n v="1822302.65"/>
    <n v="0"/>
    <n v="1822302.65"/>
    <s v="TZS"/>
    <s v="[CCLGC330] TMT BAR SIZE 16 MM GRADE FY500."/>
    <s v="General Consumables"/>
    <n v="-50"/>
    <s v="PCS"/>
    <x v="0"/>
    <x v="0"/>
    <x v="21"/>
    <x v="8"/>
    <n v="714.62849019607836"/>
    <n v="0"/>
  </r>
  <r>
    <n v="1351"/>
    <d v="2025-11-05T14:45:51"/>
    <x v="162"/>
    <s v="STJ/2025/11/02289"/>
    <s v="Inventory Valuation"/>
    <s v="CM/MTI/2025/03787 - [CCLGC331] TMT BAR SIZE 20 MM GRADE FY500. / MRQ/2025/05391"/>
    <s v="CM/MTI/2025/03787 - [CCLGC331] TMT BAR SIZE 20 MM GRADE FY500. / MRQ/2025/05391"/>
    <m/>
    <m/>
    <s v="MATERIAL COST"/>
    <s v="Expenses"/>
    <s v="731002"/>
    <s v="731002 STORE SPARES &amp; CONSUMABLES - GENERAL"/>
    <s v="CWIP-QUARRY RAW MATERIAL SHED EXTENSION"/>
    <s v="QUARRY"/>
    <s v="MECHANICAL"/>
    <n v="738783.63"/>
    <n v="0"/>
    <n v="738783.63"/>
    <s v="TZS"/>
    <s v="[CCLGC331] TMT BAR SIZE 20 MM GRADE FY500."/>
    <s v="General Consumables"/>
    <n v="-13"/>
    <s v="PCS"/>
    <x v="0"/>
    <x v="0"/>
    <x v="18"/>
    <x v="7"/>
    <n v="289.7190705882353"/>
    <n v="0"/>
  </r>
  <r>
    <n v="1352"/>
    <d v="2025-11-05T14:45:51"/>
    <x v="162"/>
    <s v="STJ/2025/11/02288"/>
    <s v="Inventory Valuation"/>
    <s v="CM/MTI/2025/03787 - [CCLGC327] TMT BAR SIZE 8 MM GRADE FY500. / MRQ/2025/05391"/>
    <s v="CM/MTI/2025/03787 - [CCLGC327] TMT BAR SIZE 8 MM GRADE FY500. / MRQ/2025/05391"/>
    <m/>
    <m/>
    <s v="MATERIAL COST"/>
    <s v="Expenses"/>
    <s v="731002"/>
    <s v="731002 STORE SPARES &amp; CONSUMABLES - GENERAL"/>
    <s v="CWIP-QUARRY RAW MATERIAL SHED EXTENSION"/>
    <s v="QUARRY"/>
    <s v="MECHANICAL"/>
    <n v="757210.64"/>
    <n v="0"/>
    <n v="757210.64"/>
    <s v="TZS"/>
    <s v="[CCLGC327] TMT BAR SIZE 8 MM GRADE FY500."/>
    <s v="General Consumables"/>
    <n v="-80"/>
    <s v="PCS"/>
    <x v="0"/>
    <x v="0"/>
    <x v="18"/>
    <x v="7"/>
    <n v="296.94534901960787"/>
    <n v="0"/>
  </r>
  <r>
    <n v="1354"/>
    <d v="2025-11-05T14:45:51"/>
    <x v="162"/>
    <s v="STJ/2025/11/02287"/>
    <s v="Inventory Valuation"/>
    <s v="CM/MTI/2025/03787 - [CCLGC183] POLES WOODEN MIRUNDA  / MRQ/2025/05391"/>
    <s v="CM/MTI/2025/03787 - [CCLGC183] POLES WOODEN MIRUNDA  / MRQ/2025/05391"/>
    <m/>
    <m/>
    <s v="MATERIAL COST"/>
    <s v="Expenses"/>
    <s v="731002"/>
    <s v="731002 STORE SPARES &amp; CONSUMABLES - GENERAL"/>
    <s v="CWIP-QUARRY RAW MATERIAL SHED EXTENSION"/>
    <s v="QUARRY"/>
    <s v="MECHANICAL"/>
    <n v="750000"/>
    <n v="0"/>
    <n v="750000"/>
    <s v="TZS"/>
    <s v="[CCLGC183] POLES WOODEN MIRUNDA "/>
    <s v="General Consumables"/>
    <n v="-150"/>
    <s v="NOS"/>
    <x v="0"/>
    <x v="0"/>
    <x v="18"/>
    <x v="7"/>
    <n v="294.11764705882354"/>
    <n v="0"/>
  </r>
  <r>
    <n v="1357"/>
    <d v="2025-11-05T14:45:51"/>
    <x v="162"/>
    <s v="STJ/2025/11/02286"/>
    <s v="Inventory Valuation"/>
    <s v="CM/MTI/2025/03787 - [CCLGC052] PLYWOOD 8FEET X 4FEET X 18 MM THICK  / MRQ/2025/05391"/>
    <s v="CM/MTI/2025/03787 - [CCLGC052] PLYWOOD 8FEET X 4FEET X 18 MM THICK  / MRQ/2025/05391"/>
    <m/>
    <m/>
    <s v="MATERIAL COST"/>
    <s v="Expenses"/>
    <s v="731002"/>
    <s v="731002 STORE SPARES &amp; CONSUMABLES - GENERAL"/>
    <s v="CWIP-QUARRY RAW MATERIAL SHED EXTENSION"/>
    <s v="QUARRY"/>
    <s v="MECHANICAL"/>
    <n v="879237.25"/>
    <n v="0"/>
    <n v="879237.25"/>
    <s v="TZS"/>
    <s v="[CCLGC052] PLYWOOD 8FEET X 4FEET X 18 MM THICK "/>
    <s v="General Consumables"/>
    <n v="-25"/>
    <s v="NOS"/>
    <x v="0"/>
    <x v="0"/>
    <x v="18"/>
    <x v="7"/>
    <n v="344.79892156862746"/>
    <n v="0"/>
  </r>
  <r>
    <n v="1358"/>
    <d v="2025-11-05T14:45:51"/>
    <x v="162"/>
    <s v="STJ/2025/11/02285"/>
    <s v="Inventory Valuation"/>
    <s v="CM/MTI/2025/03787 - [CCLGC038] TIMBER 2 INCH X 4 INCH UNTREATED / MRQ/2025/05391"/>
    <s v="CM/MTI/2025/03787 - [CCLGC038] TIMBER 2 INCH X 4 INCH UNTREATED / MRQ/2025/05391"/>
    <m/>
    <m/>
    <s v="MATERIAL COST"/>
    <s v="Expenses"/>
    <s v="731002"/>
    <s v="731002 STORE SPARES &amp; CONSUMABLES - GENERAL"/>
    <s v="CWIP-QUARRY RAW MATERIAL SHED EXTENSION"/>
    <s v="QUARRY"/>
    <s v="MECHANICAL"/>
    <n v="245000"/>
    <n v="0"/>
    <n v="245000"/>
    <s v="TZS"/>
    <s v="[CCLGC038] TIMBER 2 INCH X 4 INCH UNTREATED"/>
    <s v="General Consumables"/>
    <n v="-35"/>
    <s v="NOS"/>
    <x v="0"/>
    <x v="0"/>
    <x v="18"/>
    <x v="7"/>
    <n v="96.078431372549019"/>
    <n v="0"/>
  </r>
  <r>
    <n v="1361"/>
    <d v="2025-11-05T14:45:51"/>
    <x v="162"/>
    <s v="STJ/2025/11/02284"/>
    <s v="Inventory Valuation"/>
    <s v="CM/MTI/2025/03787 - [CCLGC023] NAILS SIZE 4'' / MRQ/2025/05391"/>
    <s v="CM/MTI/2025/03787 - [CCLGC023] NAILS SIZE 4'' / MRQ/2025/05391"/>
    <m/>
    <m/>
    <s v="MATERIAL COST"/>
    <s v="Expenses"/>
    <s v="731002"/>
    <s v="731002 STORE SPARES &amp; CONSUMABLES - GENERAL"/>
    <s v="CWIP-QUARRY RAW MATERIAL SHED EXTENSION"/>
    <s v="QUARRY"/>
    <s v="MECHANICAL"/>
    <n v="114000"/>
    <n v="0"/>
    <n v="114000"/>
    <s v="TZS"/>
    <s v="[CCLGC023] NAILS SIZE 4''"/>
    <s v="General Consumables"/>
    <n v="-20"/>
    <s v="KG"/>
    <x v="0"/>
    <x v="0"/>
    <x v="18"/>
    <x v="7"/>
    <n v="44.705882352941174"/>
    <n v="0"/>
  </r>
  <r>
    <n v="1363"/>
    <d v="2025-11-05T14:45:51"/>
    <x v="162"/>
    <s v="STJ/2025/11/02283"/>
    <s v="Inventory Valuation"/>
    <s v="CM/MTI/2025/03787 - [CCLGC021] NAILS SIZE 2.5'' / MRQ/2025/05391"/>
    <s v="CM/MTI/2025/03787 - [CCLGC021] NAILS SIZE 2.5'' / MRQ/2025/05391"/>
    <m/>
    <m/>
    <s v="MATERIAL COST"/>
    <s v="Expenses"/>
    <s v="731002"/>
    <s v="731002 STORE SPARES &amp; CONSUMABLES - GENERAL"/>
    <s v="CWIP-QUARRY RAW MATERIAL SHED EXTENSION"/>
    <s v="QUARRY"/>
    <s v="MECHANICAL"/>
    <n v="118522.17"/>
    <n v="0"/>
    <n v="118522.17"/>
    <s v="TZS"/>
    <s v="[CCLGC021] NAILS SIZE 2.5''"/>
    <s v="General Consumables"/>
    <n v="-20"/>
    <s v="KG"/>
    <x v="0"/>
    <x v="0"/>
    <x v="18"/>
    <x v="7"/>
    <n v="46.479282352941176"/>
    <n v="0"/>
  </r>
  <r>
    <n v="1509"/>
    <d v="2025-11-05T14:25:49"/>
    <x v="162"/>
    <s v="STJ/2025/11/02210"/>
    <s v="Inventory Valuation"/>
    <s v="CM/MTI/2025/03777 - [CWCGC041] CUTTING WHEEL 7'' / MRQ/2025/05360"/>
    <s v="CM/MTI/2025/03777 - [CWCGC041] CUTTING WHEEL 7'' / MRQ/2025/05360"/>
    <m/>
    <m/>
    <s v="MATERIAL COST"/>
    <s v="Expenses"/>
    <s v="731002"/>
    <s v="731002 STORE SPARES &amp; CONSUMABLES - GENERAL"/>
    <s v="CWIP-INSTALLATION OF NEW WEIGHBRIDGE AT QUARRY(2NOS)"/>
    <s v="PROJECT"/>
    <s v="MECHANICAL"/>
    <n v="16102.05"/>
    <n v="0"/>
    <n v="16102.05"/>
    <s v="TZS"/>
    <s v="[CWCGC041] CUTTING WHEEL 7''"/>
    <s v="Gas Cutting"/>
    <n v="-5"/>
    <s v="NOS"/>
    <x v="0"/>
    <x v="0"/>
    <x v="14"/>
    <x v="3"/>
    <n v="6.3145294117647053"/>
    <n v="0"/>
  </r>
  <r>
    <n v="1595"/>
    <d v="2025-11-05T14:10:03"/>
    <x v="162"/>
    <s v="STJ/2025/11/02167"/>
    <s v="Inventory Valuation"/>
    <s v="CM/MTI/2025/03764 - [CPAPT009] PAINT OIL BLACK / MRQ/2025/05436"/>
    <s v="CM/MTI/2025/03764 - [CPAPT009] PAINT OIL BLACK / MRQ/2025/05436"/>
    <m/>
    <m/>
    <s v="MATERIAL COST"/>
    <s v="Expenses"/>
    <s v="731002"/>
    <s v="731002 STORE SPARES &amp; CONSUMABLES - GENERAL"/>
    <s v="CWIP-INSTALLATION OF NEW WEIGHBRIDGE AT QUARRY(2NOS)"/>
    <s v="PROJECT"/>
    <s v="MECHANICAL"/>
    <n v="71251.5"/>
    <n v="0"/>
    <n v="71251.5"/>
    <s v="TZS"/>
    <s v="[CPAPT009] PAINT OIL BLACK"/>
    <s v="Paint"/>
    <n v="-16"/>
    <s v="LTR"/>
    <x v="0"/>
    <x v="0"/>
    <x v="14"/>
    <x v="3"/>
    <n v="27.941764705882353"/>
    <n v="0"/>
  </r>
  <r>
    <n v="4837"/>
    <d v="2025-11-05T06:47:43"/>
    <x v="162"/>
    <s v="STJ/2025/11/00546"/>
    <s v="Inventory Valuation"/>
    <s v="CM/MTI/2025/03756 - [CCLGC023] NAILS SIZE 4'' / MRQ/2025/05289"/>
    <s v="CM/MTI/2025/03756 - [CCLGC023] NAILS SIZE 4'' / MRQ/2025/05289"/>
    <m/>
    <m/>
    <s v="MATERIAL COST"/>
    <s v="Expenses"/>
    <s v="731002"/>
    <s v="731002 STORE SPARES &amp; CONSUMABLES - GENERAL"/>
    <s v="CWIP-CONSTRUCTION OF PLANT BOUNDARY WALL"/>
    <s v="PROJECT"/>
    <s v="MECHANICAL"/>
    <n v="34200"/>
    <n v="0"/>
    <n v="34200"/>
    <s v="TZS"/>
    <s v="[CCLGC023] NAILS SIZE 4''"/>
    <s v="General Consumables"/>
    <n v="-6"/>
    <s v="KG"/>
    <x v="0"/>
    <x v="0"/>
    <x v="21"/>
    <x v="8"/>
    <n v="13.411764705882353"/>
    <n v="0"/>
  </r>
  <r>
    <n v="6371"/>
    <d v="2025-11-06T14:50:42"/>
    <x v="159"/>
    <s v="STJ/2025/11/02761"/>
    <s v="Inventory Valuation"/>
    <s v="CM/MTI/2025/03825 - [CCLGC038] TIMBER 2 INCH X 4 INCH UNTREATED / MRQ/2025/05458"/>
    <s v="CM/MTI/2025/03825 - [CCLGC038] TIMBER 2 INCH X 4 INCH UNTREATED / MRQ/2025/05458"/>
    <m/>
    <m/>
    <s v="MATERIAL COST"/>
    <s v="Expenses"/>
    <s v="731002"/>
    <s v="731002 STORE SPARES &amp; CONSUMABLES - GENERAL"/>
    <s v="CWIP-QUARRY RAW MATERIAL SHED EXTENSION"/>
    <s v="QUARRY"/>
    <s v="MECHANICAL"/>
    <n v="840000"/>
    <n v="0"/>
    <n v="840000"/>
    <s v="TZS"/>
    <s v="[CCLGC038] TIMBER 2 INCH X 4 INCH UNTREATED"/>
    <s v="General Consumables"/>
    <n v="-120"/>
    <s v="NOS"/>
    <x v="0"/>
    <x v="0"/>
    <x v="18"/>
    <x v="7"/>
    <n v="329.41176470588238"/>
    <n v="0"/>
  </r>
  <r>
    <n v="6373"/>
    <d v="2025-11-06T14:50:42"/>
    <x v="159"/>
    <s v="STJ/2025/11/02760"/>
    <s v="Inventory Valuation"/>
    <s v="CM/MTI/2025/03825 - [CCLGC032] WIRE FOR BINDING / MRQ/2025/05458"/>
    <s v="CM/MTI/2025/03825 - [CCLGC032] WIRE FOR BINDING / MRQ/2025/05458"/>
    <m/>
    <m/>
    <s v="MATERIAL COST"/>
    <s v="Expenses"/>
    <s v="731002"/>
    <s v="731002 STORE SPARES &amp; CONSUMABLES - GENERAL"/>
    <s v="CWIP-QUARRY RAW MATERIAL SHED EXTENSION"/>
    <s v="QUARRY"/>
    <s v="MECHANICAL"/>
    <n v="116750"/>
    <n v="0"/>
    <n v="116750"/>
    <s v="TZS"/>
    <s v="[CCLGC032] WIRE FOR BINDING"/>
    <s v="General Consumables"/>
    <n v="-23.35"/>
    <s v="KG"/>
    <x v="0"/>
    <x v="0"/>
    <x v="18"/>
    <x v="7"/>
    <n v="45.784313725490193"/>
    <n v="0"/>
  </r>
  <r>
    <n v="6375"/>
    <d v="2025-11-06T14:50:42"/>
    <x v="159"/>
    <s v="STJ/2025/11/02759"/>
    <s v="Inventory Valuation"/>
    <s v="CM/MTI/2025/03825 - [CCLGC023] NAILS SIZE 4'' / MRQ/2025/05458"/>
    <s v="CM/MTI/2025/03825 - [CCLGC023] NAILS SIZE 4'' / MRQ/2025/05458"/>
    <m/>
    <m/>
    <s v="MATERIAL COST"/>
    <s v="Expenses"/>
    <s v="731002"/>
    <s v="731002 STORE SPARES &amp; CONSUMABLES - GENERAL"/>
    <s v="CWIP-QUARRY RAW MATERIAL SHED EXTENSION"/>
    <s v="QUARRY"/>
    <s v="MECHANICAL"/>
    <n v="57000"/>
    <n v="0"/>
    <n v="57000"/>
    <s v="TZS"/>
    <s v="[CCLGC023] NAILS SIZE 4''"/>
    <s v="General Consumables"/>
    <n v="-10"/>
    <s v="KG"/>
    <x v="0"/>
    <x v="0"/>
    <x v="18"/>
    <x v="7"/>
    <n v="22.352941176470587"/>
    <n v="0"/>
  </r>
  <r>
    <n v="6467"/>
    <d v="2025-11-06T14:17:36"/>
    <x v="159"/>
    <s v="STJ/2025/11/02713"/>
    <s v="Inventory Valuation"/>
    <s v="CM/MTI/2025/03810 - [CIGGS001] GAS OXYGEN FULL CYLINDER, O2 / MRQ/2025/05468"/>
    <s v="CM/MTI/2025/03810 - [CIGGS001] GAS OXYGEN FULL CYLINDER, O2 / MRQ/2025/05468"/>
    <m/>
    <m/>
    <s v="MATERIAL COST"/>
    <s v="Expenses"/>
    <s v="731002"/>
    <s v="731002 STORE SPARES &amp; CONSUMABLES - GENERAL"/>
    <s v="CWIP-INSTALLATION OF NEW WEIGHBRIDGE AT QUARRY(2NOS)"/>
    <s v="QUARRY"/>
    <s v="MECHANICAL"/>
    <n v="75000"/>
    <n v="0"/>
    <n v="75000"/>
    <s v="TZS"/>
    <s v="[CIGGS001] GAS OXYGEN FULL CYLINDER, O2"/>
    <s v="Gases"/>
    <n v="-5"/>
    <s v="NOS"/>
    <x v="0"/>
    <x v="0"/>
    <x v="14"/>
    <x v="3"/>
    <n v="29.411764705882351"/>
    <n v="0"/>
  </r>
  <r>
    <n v="9942"/>
    <d v="2025-11-08T12:03:05"/>
    <x v="147"/>
    <s v="STJ/2025/11/03813"/>
    <s v="Inventory Valuation"/>
    <s v="CM/MTI/2025/03847 - [EFSHB117] BOLT HT HEX HEAD M16 X 65MM HALF THREAD GRADE 8.8  / MRQ/2025/05514"/>
    <s v="CM/MTI/2025/03847 - [EFSHB117] BOLT HT HEX HEAD M16 X 65MM HALF THREAD GRADE 8.8  / MRQ/2025/05514"/>
    <m/>
    <m/>
    <s v="MATERIAL COST"/>
    <s v="Expenses"/>
    <s v="731002"/>
    <s v="731002 STORE SPARES &amp; CONSUMABLES - GENERAL"/>
    <s v="CWIP-INSTALLATION OF NEW WEIGHBRIDGE AT QUARRY(2NOS)"/>
    <s v="QUARRY"/>
    <s v="MECHANICAL"/>
    <n v="41691.81"/>
    <n v="0"/>
    <n v="41691.81"/>
    <s v="TZS"/>
    <s v="[EFSHB117] BOLT HT HEX HEAD M16 X 65MM HALF THREAD GRADE 8.8 "/>
    <s v="Hex Bolt"/>
    <n v="-50"/>
    <s v="NOS"/>
    <x v="0"/>
    <x v="0"/>
    <x v="14"/>
    <x v="3"/>
    <n v="16.349729411764706"/>
    <n v="0"/>
  </r>
  <r>
    <n v="9944"/>
    <d v="2025-11-08T12:03:05"/>
    <x v="147"/>
    <s v="STJ/2025/11/03812"/>
    <s v="Inventory Valuation"/>
    <s v="CM/MTI/2025/03847 - [EFSHB115] BOLT HT HEX HEAD M16 X 50MM FULL THREAD WITH NUT AND WASHER GRADE 8.8 / MRQ/2025/05514"/>
    <s v="CM/MTI/2025/03847 - [EFSHB115] BOLT HT HEX HEAD M16 X 50MM FULL THREAD WITH NUT AND WASHER GRADE 8.8 / MRQ/2025/05514"/>
    <m/>
    <m/>
    <s v="MATERIAL COST"/>
    <s v="Expenses"/>
    <s v="731002"/>
    <s v="731002 STORE SPARES &amp; CONSUMABLES - GENERAL"/>
    <s v="CWIP-INSTALLATION OF NEW WEIGHBRIDGE AT QUARRY(2NOS)"/>
    <s v="QUARRY"/>
    <s v="MECHANICAL"/>
    <n v="81266.13"/>
    <n v="0"/>
    <n v="81266.13"/>
    <s v="TZS"/>
    <s v="[EFSHB115] BOLT HT HEX HEAD M16 X 50MM FULL THREAD WITH NUT AND WASHER GRADE 8.8"/>
    <s v="Hex Bolt"/>
    <n v="-50"/>
    <s v="NOS"/>
    <x v="0"/>
    <x v="0"/>
    <x v="14"/>
    <x v="3"/>
    <n v="31.869070588235296"/>
    <n v="0"/>
  </r>
  <r>
    <n v="9961"/>
    <d v="2025-11-08T12:00:58"/>
    <x v="147"/>
    <s v="STJ/2025/11/03804"/>
    <s v="Inventory Valuation"/>
    <s v="CM/MTI/2025/03845 - [CWCGC041] CUTTING WHEEL 7'' / MRQ/2025/05519"/>
    <s v="CM/MTI/2025/03845 - [CWCGC041] CUTTING WHEEL 7'' / MRQ/2025/05519"/>
    <m/>
    <m/>
    <s v="MATERIAL COST"/>
    <s v="Expenses"/>
    <s v="731002"/>
    <s v="731002 STORE SPARES &amp; CONSUMABLES - GENERAL"/>
    <s v="CWIP-QUARRY RAW MATERIAL SHED EXTENSION"/>
    <s v="QUARRY"/>
    <s v="MECHANICAL"/>
    <n v="32204.11"/>
    <n v="0"/>
    <n v="32204.11"/>
    <s v="TZS"/>
    <s v="[CWCGC041] CUTTING WHEEL 7''"/>
    <s v="Gas Cutting"/>
    <n v="-10"/>
    <s v="NOS"/>
    <x v="0"/>
    <x v="0"/>
    <x v="18"/>
    <x v="7"/>
    <n v="12.629062745098039"/>
    <n v="0"/>
  </r>
  <r>
    <n v="12878"/>
    <d v="2025-11-10T14:28:08"/>
    <x v="148"/>
    <s v="STJ/2025/11/04951"/>
    <s v="Inventory Valuation"/>
    <s v="CM/MTI/2025/03874 - [EISWE094] AMPLIFIER AUDIO 15 WATT POWER SUPPLY 230 VAC MAKE AHUJA / MRQ/2025/05542"/>
    <s v="CM/MTI/2025/03874 - [EISWE094] AMPLIFIER AUDIO 15 WATT POWER SUPPLY 230 VAC MAKE AHUJA / MRQ/2025/05542"/>
    <m/>
    <m/>
    <s v="MATERIAL COST"/>
    <s v="Expenses"/>
    <s v="731002"/>
    <s v="731002 STORE SPARES &amp; CONSUMABLES - GENERAL"/>
    <s v="CWIP-INSTALLATION OF NEW WEIGHBRIDGE AT QUARRY(2NOS)"/>
    <s v="QUARRY"/>
    <s v="INSTRUMENTATION"/>
    <n v="534143.65"/>
    <n v="0"/>
    <n v="534143.65"/>
    <s v="TZS"/>
    <s v="[EISWE094] AMPLIFIER AUDIO 15 WATT POWER SUPPLY 230 VAC MAKE AHUJA"/>
    <s v="Weighing Systems"/>
    <n v="-1"/>
    <s v="NOS"/>
    <x v="0"/>
    <x v="0"/>
    <x v="14"/>
    <x v="3"/>
    <n v="209.4680980392157"/>
    <n v="0"/>
  </r>
  <r>
    <n v="12881"/>
    <d v="2025-11-10T14:28:08"/>
    <x v="148"/>
    <s v="STJ/2025/11/04950"/>
    <s v="Inventory Valuation"/>
    <s v="CM/MTI/2025/03874 - [EISGS022] SMPS MODULE / INPUT 100-240 VOLT AC 50HZ/ OUT PUT V1 +5VOLT  4 AMPS V2  +24 VOLT  1.4AMPS / MRQ/2025/05542"/>
    <s v="CM/MTI/2025/03874 - [EISGS022] SMPS MODULE / INPUT 100-240 VOLT AC 50HZ/ OUT PUT V1 +5VOLT  4 AMPS V2  +24 VOLT  1.4AMPS / MRQ/2025/05542"/>
    <m/>
    <m/>
    <s v="MATERIAL COST"/>
    <s v="Expenses"/>
    <s v="731002"/>
    <s v="731002 STORE SPARES &amp; CONSUMABLES - GENERAL"/>
    <s v="CWIP-INSTALLATION OF NEW WEIGHBRIDGE AT QUARRY(2NOS)"/>
    <s v="QUARRY"/>
    <s v="INSTRUMENTATION"/>
    <n v="130059.26"/>
    <n v="0"/>
    <n v="130059.26"/>
    <s v="TZS"/>
    <s v="[EISGS022] SMPS MODULE / INPUT 100-240 VOLT AC 50HZ/ OUT PUT V1 +5VOLT  4 AMPS V2  +24 VOLT  1.4AMPS"/>
    <s v="General Spares"/>
    <n v="-1"/>
    <s v="NOS"/>
    <x v="0"/>
    <x v="0"/>
    <x v="14"/>
    <x v="3"/>
    <n v="51.003631372549016"/>
    <n v="0"/>
  </r>
  <r>
    <n v="12883"/>
    <d v="2025-11-10T14:28:08"/>
    <x v="148"/>
    <s v="STJ/2025/11/04949"/>
    <s v="Inventory Valuation"/>
    <s v="CM/MTI/2025/03874 - [EELSW120] SWITCH 8 PORT 2.5 GIGABIT POE COMPATIBLE WITH 10/100/1000MBPS / MRQ/2025/05542"/>
    <s v="CM/MTI/2025/03874 - [EELSW120] SWITCH 8 PORT 2.5 GIGABIT POE COMPATIBLE WITH 10/100/1000MBPS / MRQ/2025/05542"/>
    <m/>
    <m/>
    <s v="MATERIAL COST"/>
    <s v="Expenses"/>
    <s v="731002"/>
    <s v="731002 STORE SPARES &amp; CONSUMABLES - GENERAL"/>
    <s v="CWIP-INSTALLATION OF NEW WEIGHBRIDGE AT QUARRY(2NOS)"/>
    <s v="QUARRY"/>
    <s v="INSTRUMENTATION"/>
    <n v="137000"/>
    <n v="0"/>
    <n v="137000"/>
    <s v="TZS"/>
    <s v="[EELSW120] SWITCH 8 PORT 2.5 GIGABIT POE COMPATIBLE WITH 10/100/1000MBPS"/>
    <s v="Switch"/>
    <n v="-1"/>
    <s v="NOS"/>
    <x v="0"/>
    <x v="0"/>
    <x v="14"/>
    <x v="3"/>
    <n v="53.725490196078432"/>
    <n v="0"/>
  </r>
  <r>
    <n v="12885"/>
    <d v="2025-11-10T14:28:08"/>
    <x v="148"/>
    <s v="STJ/2025/11/04948"/>
    <s v="Inventory Valuation"/>
    <s v="CM/MTI/2025/03874 - [EELLT139] LED FOR WEIGHT DISPLAY REMOTE TYPE MODEL IMS-LED-LN02,2 LINE LED DISPLAY WITH 12 CHART PER LINE,100 FEET VISIBILITY WITH CHAR SIZE 4.5&quot;WEATHERPROOF OUTDOOR TYPE POWER SUPLY 230 VAC COMMUNICATION  RS485 SIZE 40 X 18 INCH / MRQ/2025/05542"/>
    <s v="CM/MTI/2025/03874 - [EELLT139] LED FOR WEIGHT DISPLAY REMOTE TYPE MODEL IMS-LED-LN02,2 LINE LED DISPLAY WITH 12 CHART PER LINE,100 FEET VISIBILITY WITH CHAR SIZE 4.5&quot;WEATHERPROOF OUTDOOR TYPE POWER SUPLY 230 VAC COMMUNICATION  RS485 SIZE 40 X 18 INCH / MRQ/2025/05542"/>
    <m/>
    <m/>
    <s v="MATERIAL COST"/>
    <s v="Expenses"/>
    <s v="731002"/>
    <s v="731002 STORE SPARES &amp; CONSUMABLES - GENERAL"/>
    <s v="CWIP-INSTALLATION OF NEW WEIGHBRIDGE AT QUARRY(2NOS)"/>
    <s v="QUARRY"/>
    <s v="INSTRUMENTATION"/>
    <n v="1949833.85"/>
    <n v="0"/>
    <n v="1949833.85"/>
    <s v="TZS"/>
    <s v="[EELLT139] LED FOR WEIGHT DISPLAY REMOTE TYPE MODEL IMS-LED-LN02,2 LINE LED DISPLAY WITH 12 CHART PER LINE,100 FEET VISIBILITY WITH CHAR SIZE 4.5&quot;WEATHERPROOF OUTDOOR TYPE POWER SUPLY 230 VAC COMMUNICATION  RS485 SIZE 40 X 18 INCH"/>
    <s v="Lighting"/>
    <n v="-1"/>
    <s v="NOS"/>
    <x v="0"/>
    <x v="0"/>
    <x v="14"/>
    <x v="3"/>
    <n v="764.64072549019613"/>
    <n v="0"/>
  </r>
  <r>
    <n v="12887"/>
    <d v="2025-11-10T14:26:45"/>
    <x v="148"/>
    <s v="STJ/2025/11/04947"/>
    <s v="Inventory Valuation"/>
    <s v="CM/MTI/2025/03873 - [CWCWR003] WELDING ELECTRODE MS 6013 SIZE 4 MM X 450 MM / MRQ/2025/05538_x000a_Rounding Adjustment: +0.01 TSh"/>
    <s v="CM/MTI/2025/03873 - [CWCWR003] WELDING ELECTRODE MS 6013 SIZE 4 MM X 450 MM / MRQ/2025/05538_x000a_Rounding Adjustment: +0.01 TSh"/>
    <m/>
    <m/>
    <s v="MATERIAL COST"/>
    <s v="Expenses"/>
    <s v="731002"/>
    <s v="731002 STORE SPARES &amp; CONSUMABLES - GENERAL"/>
    <s v="CWIP-INSTALLATION OF NEW WEIGHBRIDGE AT QUARRY(2NOS)"/>
    <s v="QUARRY"/>
    <s v="MECHANICAL"/>
    <n v="61462.63"/>
    <n v="0"/>
    <n v="61462.63"/>
    <s v="TZS"/>
    <s v="[CWCWR003] WELDING ELECTRODE MS 6013 SIZE 4 MM X 450 MM"/>
    <s v="Welding Rod"/>
    <n v="-15"/>
    <s v="KG"/>
    <x v="0"/>
    <x v="0"/>
    <x v="14"/>
    <x v="3"/>
    <n v="24.102992156862744"/>
    <n v="0"/>
  </r>
  <r>
    <n v="12889"/>
    <d v="2025-11-10T14:26:45"/>
    <x v="148"/>
    <s v="STJ/2025/11/04946"/>
    <s v="Inventory Valuation"/>
    <s v="CM/MTI/2025/03873 - [CWCGC041] CUTTING WHEEL 7'' / MRQ/2025/05538_x000a_Rounding Adjustment: -0.01 TSh"/>
    <s v="CM/MTI/2025/03873 - [CWCGC041] CUTTING WHEEL 7'' / MRQ/2025/05538_x000a_Rounding Adjustment: -0.01 TSh"/>
    <m/>
    <m/>
    <s v="MATERIAL COST"/>
    <s v="Expenses"/>
    <s v="731002"/>
    <s v="731002 STORE SPARES &amp; CONSUMABLES - GENERAL"/>
    <s v="CWIP-INSTALLATION OF NEW WEIGHBRIDGE AT QUARRY(2NOS)"/>
    <s v="QUARRY"/>
    <s v="MECHANICAL"/>
    <n v="16102.06"/>
    <n v="0"/>
    <n v="16102.06"/>
    <s v="TZS"/>
    <s v="[CWCGC041] CUTTING WHEEL 7''"/>
    <s v="Gas Cutting"/>
    <n v="-5"/>
    <s v="NOS"/>
    <x v="0"/>
    <x v="0"/>
    <x v="14"/>
    <x v="3"/>
    <n v="6.3145333333333333"/>
    <n v="0"/>
  </r>
  <r>
    <n v="12890"/>
    <d v="2025-11-10T14:26:45"/>
    <x v="148"/>
    <s v="STJ/2025/11/04945"/>
    <s v="Inventory Valuation"/>
    <s v="CM/MTI/2025/03873 - [CIGGS001] GAS OXYGEN FULL CYLINDER, O2 / MRQ/2025/05538"/>
    <s v="CM/MTI/2025/03873 - [CIGGS001] GAS OXYGEN FULL CYLINDER, O2 / MRQ/2025/05538"/>
    <m/>
    <m/>
    <s v="MATERIAL COST"/>
    <s v="Expenses"/>
    <s v="731002"/>
    <s v="731002 STORE SPARES &amp; CONSUMABLES - GENERAL"/>
    <s v="CWIP-INSTALLATION OF NEW WEIGHBRIDGE AT QUARRY(2NOS)"/>
    <s v="QUARRY"/>
    <s v="MECHANICAL"/>
    <n v="75000"/>
    <n v="0"/>
    <n v="75000"/>
    <s v="TZS"/>
    <s v="[CIGGS001] GAS OXYGEN FULL CYLINDER, O2"/>
    <s v="Gases"/>
    <n v="-5"/>
    <s v="NOS"/>
    <x v="0"/>
    <x v="0"/>
    <x v="14"/>
    <x v="3"/>
    <n v="29.411764705882351"/>
    <n v="0"/>
  </r>
  <r>
    <n v="12901"/>
    <d v="2025-11-10T14:25:01"/>
    <x v="148"/>
    <s v="STJ/2025/11/04940"/>
    <s v="Inventory Valuation"/>
    <s v="CM/MTI/2025/03871 - [CCLGC327] TMT BAR SIZE 8 MM GRADE FY500. / MRQ/2025/05489"/>
    <s v="CM/MTI/2025/03871 - [CCLGC327] TMT BAR SIZE 8 MM GRADE FY500. / MRQ/2025/05489"/>
    <m/>
    <m/>
    <s v="MATERIAL COST"/>
    <s v="Expenses"/>
    <s v="731002"/>
    <s v="731002 STORE SPARES &amp; CONSUMABLES - GENERAL"/>
    <s v="CWIP-QUARRY RAW MATERIAL SHED EXTENSION"/>
    <s v="QUARRY"/>
    <s v="MECHANICAL"/>
    <n v="946513.3"/>
    <n v="0"/>
    <n v="946513.3"/>
    <s v="TZS"/>
    <s v="[CCLGC327] TMT BAR SIZE 8 MM GRADE FY500."/>
    <s v="General Consumables"/>
    <n v="-100"/>
    <s v="PCS"/>
    <x v="0"/>
    <x v="0"/>
    <x v="18"/>
    <x v="7"/>
    <n v="371.18168627450984"/>
    <n v="0"/>
  </r>
  <r>
    <n v="12919"/>
    <d v="2025-11-10T14:18:51"/>
    <x v="148"/>
    <s v="STJ/2025/11/04931"/>
    <s v="Inventory Valuation"/>
    <s v="CM/MTI/2025/03867 - [CCLGC023] NAILS SIZE 4'' / MRQ/2025/05543"/>
    <s v="CM/MTI/2025/03867 - [CCLGC023] NAILS SIZE 4'' / MRQ/2025/05543"/>
    <m/>
    <m/>
    <s v="MATERIAL COST"/>
    <s v="Expenses"/>
    <s v="731002"/>
    <s v="731002 STORE SPARES &amp; CONSUMABLES - GENERAL"/>
    <s v="CWIP-QUARRY RAW MATERIAL SHED EXTENSION"/>
    <s v="QUARRY"/>
    <s v="MECHANICAL"/>
    <n v="114000"/>
    <n v="0"/>
    <n v="114000"/>
    <s v="TZS"/>
    <s v="[CCLGC023] NAILS SIZE 4''"/>
    <s v="General Consumables"/>
    <n v="-20"/>
    <s v="KG"/>
    <x v="0"/>
    <x v="0"/>
    <x v="18"/>
    <x v="7"/>
    <n v="44.705882352941174"/>
    <n v="0"/>
  </r>
  <r>
    <n v="12932"/>
    <d v="2025-11-10T14:12:37"/>
    <x v="148"/>
    <s v="STJ/2025/11/04924"/>
    <s v="Inventory Valuation"/>
    <s v="CM/MTI/2025/03864 - [FG001] CEMENT 42.5 R / MRQ/2025/05518"/>
    <s v="CM/MTI/2025/03864 - [FG001] CEMENT 42.5 R / MRQ/2025/05518"/>
    <m/>
    <m/>
    <s v="Cost Of Revenue"/>
    <s v="Cost of Revenue"/>
    <s v="721001"/>
    <s v="721001 COST OF GOODS SOLD (COGS)"/>
    <s v="CWIP-CONSTRUCTION OF PLANT BOUNDARY WALL"/>
    <s v="PROJECT"/>
    <s v="MECHANICAL"/>
    <n v="883627.83"/>
    <n v="0"/>
    <n v="883627.83"/>
    <s v="TZS"/>
    <s v="[FG001] CEMENT 42.5 R"/>
    <s v="Finished Goods"/>
    <n v="-6"/>
    <s v="MT"/>
    <x v="0"/>
    <x v="0"/>
    <x v="21"/>
    <x v="8"/>
    <n v="346.5207176470588"/>
    <n v="0"/>
  </r>
  <r>
    <n v="12935"/>
    <d v="2025-11-10T14:12:37"/>
    <x v="148"/>
    <s v="STJ/2025/11/04923"/>
    <s v="Inventory Valuation"/>
    <s v="CM/MTI/2025/03864 - [CPMBG002] BAG EMPTY FOR CEMENT PACKING GRADE 42.5R MATERIAL WOVEN POLYPROPYLENE CAPACITY 50KG COLOR ORANGE / MRQ/2025/05518_x000a_Rounding Adjustment: -0.01 TSh"/>
    <s v="CM/MTI/2025/03864 - [CPMBG002] BAG EMPTY FOR CEMENT PACKING GRADE 42.5R MATERIAL WOVEN POLYPROPYLENE CAPACITY 50KG COLOR ORANGE / MRQ/2025/05518_x000a_Rounding Adjustment: -0.01 TSh"/>
    <m/>
    <m/>
    <s v="MATERIAL COST"/>
    <s v="Expenses"/>
    <s v="731006"/>
    <s v="731006 PACKING BAGS CONSUMED"/>
    <s v="CWIP-CONSTRUCTION OF PLANT BOUNDARY WALL"/>
    <s v="PROJECT"/>
    <s v="MECHANICAL"/>
    <n v="50400.01"/>
    <n v="0"/>
    <n v="50400.01"/>
    <s v="TZS"/>
    <s v="[CPMBG002] BAG EMPTY FOR CEMENT PACKING GRADE 42.5R MATERIAL WOVEN POLYPROPYLENE CAPACITY 50KG COLOR ORANGE"/>
    <s v="Bag"/>
    <n v="-120"/>
    <s v="NOS"/>
    <x v="0"/>
    <x v="0"/>
    <x v="21"/>
    <x v="8"/>
    <n v="19.764709803921569"/>
    <n v="0"/>
  </r>
  <r>
    <n v="14916"/>
    <d v="2025-11-11T14:15:46"/>
    <x v="149"/>
    <s v="STJ/2025/11/05372"/>
    <s v="Inventory Valuation"/>
    <s v="CM/MTI/2025/03883 - [ESSAG008] ISA 65 X 65 X 6 / MRQ/2025/05459"/>
    <s v="CM/MTI/2025/03883 - [ESSAG008] ISA 65 X 65 X 6 / MRQ/2025/05459"/>
    <m/>
    <m/>
    <s v="MATERIAL COST"/>
    <s v="Expenses"/>
    <s v="731002"/>
    <s v="731002 STORE SPARES &amp; CONSUMABLES - GENERAL"/>
    <s v="CWIP-CONSTRUCTION OF PLANT BOUNDARY WALL"/>
    <s v="PROJECT"/>
    <s v="MECHANICAL"/>
    <n v="1590000"/>
    <n v="0"/>
    <n v="1590000"/>
    <s v="TZS"/>
    <s v="[ESSAG008] ISA 65 X 65 X 6"/>
    <s v="Angle"/>
    <n v="-20"/>
    <s v="NOS"/>
    <x v="0"/>
    <x v="0"/>
    <x v="21"/>
    <x v="8"/>
    <n v="623.52941176470586"/>
    <n v="0"/>
  </r>
  <r>
    <n v="14917"/>
    <d v="2025-11-11T14:15:46"/>
    <x v="149"/>
    <s v="STJ/2025/11/05371"/>
    <s v="Inventory Valuation"/>
    <s v="CM/MTI/2025/03883 - [CCLGC329] TMT BAR SIZE 12 MM GRADE FY500. / MRQ/2025/05459"/>
    <s v="CM/MTI/2025/03883 - [CCLGC329] TMT BAR SIZE 12 MM GRADE FY500. / MRQ/2025/05459"/>
    <m/>
    <m/>
    <s v="MATERIAL COST"/>
    <s v="Expenses"/>
    <s v="731002"/>
    <s v="731002 STORE SPARES &amp; CONSUMABLES - GENERAL"/>
    <s v="CWIP-CONSTRUCTION OF PLANT BOUNDARY WALL"/>
    <s v="PROJECT"/>
    <s v="MECHANICAL"/>
    <n v="815575.68"/>
    <n v="0"/>
    <n v="815575.68"/>
    <s v="TZS"/>
    <s v="[CCLGC329] TMT BAR SIZE 12 MM GRADE FY500."/>
    <s v="General Consumables"/>
    <n v="-40"/>
    <s v="PCS"/>
    <x v="0"/>
    <x v="0"/>
    <x v="21"/>
    <x v="8"/>
    <n v="319.83360000000005"/>
    <n v="0"/>
  </r>
  <r>
    <n v="14946"/>
    <d v="2025-11-11T14:13:19"/>
    <x v="149"/>
    <s v="STJ/2025/11/05357"/>
    <s v="Inventory Valuation"/>
    <s v="CM/MTI/2025/03884 - [CCLGC331] TMT BAR SIZE 20 MM GRADE FY500. / MRQ/2025/05571"/>
    <s v="CM/MTI/2025/03884 - [CCLGC331] TMT BAR SIZE 20 MM GRADE FY500. / MRQ/2025/05571"/>
    <m/>
    <m/>
    <s v="MATERIAL COST"/>
    <s v="Expenses"/>
    <s v="731002"/>
    <s v="731002 STORE SPARES &amp; CONSUMABLES - GENERAL"/>
    <s v="CWIP-QUARRY RAW MATERIAL SHED EXTENSION"/>
    <s v="QUARRY"/>
    <s v="MECHANICAL"/>
    <n v="681954.12"/>
    <n v="0"/>
    <n v="681954.12"/>
    <s v="TZS"/>
    <s v="[CCLGC331] TMT BAR SIZE 20 MM GRADE FY500."/>
    <s v="General Consumables"/>
    <n v="-12"/>
    <s v="PCS"/>
    <x v="0"/>
    <x v="0"/>
    <x v="18"/>
    <x v="7"/>
    <n v="267.43298823529409"/>
    <n v="0"/>
  </r>
  <r>
    <n v="14948"/>
    <d v="2025-11-11T14:13:19"/>
    <x v="149"/>
    <s v="STJ/2025/11/05356"/>
    <s v="Inventory Valuation"/>
    <s v="CM/MTI/2025/03884 - [CCLGC330] TMT BAR SIZE 16 MM GRADE FY500. / MRQ/2025/05571_x000a_Rounding Adjustment: -0.01 TSh"/>
    <s v="CM/MTI/2025/03884 - [CCLGC330] TMT BAR SIZE 16 MM GRADE FY500. / MRQ/2025/05571_x000a_Rounding Adjustment: -0.01 TSh"/>
    <m/>
    <m/>
    <s v="MATERIAL COST"/>
    <s v="Expenses"/>
    <s v="731002"/>
    <s v="731002 STORE SPARES &amp; CONSUMABLES - GENERAL"/>
    <s v="CWIP-QUARRY RAW MATERIAL SHED EXTENSION"/>
    <s v="QUARRY"/>
    <s v="MECHANICAL"/>
    <n v="1822302.66"/>
    <n v="0"/>
    <n v="1822302.66"/>
    <s v="TZS"/>
    <s v="[CCLGC330] TMT BAR SIZE 16 MM GRADE FY500."/>
    <s v="General Consumables"/>
    <n v="-50"/>
    <s v="PCS"/>
    <x v="0"/>
    <x v="0"/>
    <x v="18"/>
    <x v="7"/>
    <n v="714.62849411764705"/>
    <n v="0"/>
  </r>
  <r>
    <n v="17926"/>
    <d v="2025-11-12T14:26:30"/>
    <x v="150"/>
    <s v="STJ/2025/11/05936"/>
    <s v="Inventory Valuation"/>
    <s v="CM/MTI/2025/03936 - [CCLGC038] TIMBER 2 INCH X 4 INCH UNTREATED / MRQ/2025/05632"/>
    <s v="CM/MTI/2025/03936 - [CCLGC038] TIMBER 2 INCH X 4 INCH UNTREATED / MRQ/2025/05632"/>
    <m/>
    <m/>
    <s v="MATERIAL COST"/>
    <s v="Expenses"/>
    <s v="731002"/>
    <s v="731002 STORE SPARES &amp; CONSUMABLES - GENERAL"/>
    <s v="CWIP-QUARRY RAW MATERIAL SHED EXTENSION"/>
    <s v="QUARRY"/>
    <s v="MECHANICAL"/>
    <n v="280000"/>
    <n v="0"/>
    <n v="280000"/>
    <s v="TZS"/>
    <s v="[CCLGC038] TIMBER 2 INCH X 4 INCH UNTREATED"/>
    <s v="General Consumables"/>
    <n v="-40"/>
    <s v="NOS"/>
    <x v="0"/>
    <x v="0"/>
    <x v="18"/>
    <x v="7"/>
    <n v="109.80392156862744"/>
    <n v="0"/>
  </r>
  <r>
    <n v="17929"/>
    <d v="2025-11-12T14:26:30"/>
    <x v="150"/>
    <s v="STJ/2025/11/05935"/>
    <s v="Inventory Valuation"/>
    <s v="CM/MTI/2025/03936 - [CCLGC032] WIRE FOR BINDING / MRQ/2025/05632"/>
    <s v="CM/MTI/2025/03936 - [CCLGC032] WIRE FOR BINDING / MRQ/2025/05632"/>
    <m/>
    <m/>
    <s v="MATERIAL COST"/>
    <s v="Expenses"/>
    <s v="731002"/>
    <s v="731002 STORE SPARES &amp; CONSUMABLES - GENERAL"/>
    <s v="CWIP-QUARRY RAW MATERIAL SHED EXTENSION"/>
    <s v="QUARRY"/>
    <s v="MECHANICAL"/>
    <n v="75000"/>
    <n v="0"/>
    <n v="75000"/>
    <s v="TZS"/>
    <s v="[CCLGC032] WIRE FOR BINDING"/>
    <s v="General Consumables"/>
    <n v="-15"/>
    <s v="KG"/>
    <x v="0"/>
    <x v="0"/>
    <x v="18"/>
    <x v="7"/>
    <n v="29.411764705882351"/>
    <n v="0"/>
  </r>
  <r>
    <n v="17990"/>
    <d v="2025-11-12T13:52:41"/>
    <x v="150"/>
    <s v="STJ/2025/11/05904"/>
    <s v="Inventory Valuation"/>
    <s v="CM/MTI/2025/03920 - [EELLT111] DISTRIBUTION BOARD SINGLE PHASE WITH ENCLOSURE INCOMING 63 AMPS 2 POLE OUTGOING 6 AMPS 1 POLE 8NOS / MRQ/2025/05653"/>
    <s v="CM/MTI/2025/03920 - [EELLT111] DISTRIBUTION BOARD SINGLE PHASE WITH ENCLOSURE INCOMING 63 AMPS 2 POLE OUTGOING 6 AMPS 1 POLE 8NOS / MRQ/2025/05653"/>
    <m/>
    <m/>
    <s v="MATERIAL COST"/>
    <s v="Expenses"/>
    <s v="731002"/>
    <s v="731002 STORE SPARES &amp; CONSUMABLES - GENERAL"/>
    <s v="CWIP-INSTALLATION OF NEW WEIGHBRIDGE AT QUARRY(2NOS)"/>
    <s v="QUARRY"/>
    <s v="ELECTRICAL"/>
    <n v="641741.99"/>
    <n v="0"/>
    <n v="641741.99"/>
    <s v="TZS"/>
    <s v="[EELLT111] DISTRIBUTION BOARD SINGLE PHASE WITH ENCLOSURE INCOMING 63 AMPS 2 POLE OUTGOING 6 AMPS 1 POLE 8NOS"/>
    <s v="Lighting"/>
    <n v="-1"/>
    <s v="NOS"/>
    <x v="0"/>
    <x v="0"/>
    <x v="14"/>
    <x v="3"/>
    <n v="251.66352549019606"/>
    <n v="0"/>
  </r>
  <r>
    <n v="18004"/>
    <d v="2025-11-12T13:45:46"/>
    <x v="150"/>
    <s v="STJ/2025/11/05897"/>
    <s v="Inventory Valuation"/>
    <s v="CM/MTI/2025/03918 - [CWCGC041] CUTTING WHEEL 7'' / MRQ/2025/05623"/>
    <s v="CM/MTI/2025/03918 - [CWCGC041] CUTTING WHEEL 7'' / MRQ/2025/05623"/>
    <m/>
    <m/>
    <s v="MATERIAL COST"/>
    <s v="Expenses"/>
    <s v="731002"/>
    <s v="731002 STORE SPARES &amp; CONSUMABLES - GENERAL"/>
    <s v="CWIP-QUARRY RAW MATERIAL SHED EXTENSION"/>
    <s v="QUARRY"/>
    <s v="MECHANICAL"/>
    <n v="32204.11"/>
    <n v="0"/>
    <n v="32204.11"/>
    <s v="TZS"/>
    <s v="[CWCGC041] CUTTING WHEEL 7''"/>
    <s v="Gas Cutting"/>
    <n v="-10"/>
    <s v="NOS"/>
    <x v="0"/>
    <x v="0"/>
    <x v="18"/>
    <x v="7"/>
    <n v="12.629062745098039"/>
    <n v="0"/>
  </r>
  <r>
    <n v="18938"/>
    <d v="2025-11-12T06:49:47"/>
    <x v="150"/>
    <s v="SERBL/2025/11/0035"/>
    <s v="Service Bills"/>
    <s v="AIR TICKET CHARGES "/>
    <s v="ITI00003293"/>
    <s v="CMMI1985"/>
    <s v="Blueberry Travel India Private Limited"/>
    <s v="PLANT &amp; MANUFACTURING"/>
    <s v="Expenses"/>
    <s v="751017"/>
    <s v="751017 TRAVELLING &amp; OTHER EXPENSES - CONSULTANTS &amp; CONTRACTORS"/>
    <s v="CWIP-PRE OPERATIVE EXPENSE"/>
    <s v="PROJECT"/>
    <s v="PROJECT"/>
    <n v="2159117.5"/>
    <n v="0"/>
    <n v="2159117.5"/>
    <s v="INR"/>
    <m/>
    <m/>
    <n v="1"/>
    <m/>
    <x v="0"/>
    <x v="0"/>
    <x v="3"/>
    <x v="0"/>
    <n v="846.71274509803925"/>
    <n v="0"/>
  </r>
  <r>
    <n v="19734"/>
    <d v="2025-11-13T14:37:37"/>
    <x v="164"/>
    <s v="STJ/2025/11/07268"/>
    <s v="Inventory Valuation"/>
    <s v="CM/MTI/2025/03963 - [FG001] CEMENT 42.5 R / MRQ/2025/05517"/>
    <s v="CM/MTI/2025/03963 - [FG001] CEMENT 42.5 R / MRQ/2025/05517"/>
    <m/>
    <m/>
    <s v="Cost Of Revenue"/>
    <s v="Cost of Revenue"/>
    <s v="721001"/>
    <s v="721001 COST OF GOODS SOLD (COGS)"/>
    <s v="CWIP-QUARRY RAW MATERIAL SHED EXTENSION"/>
    <s v="QUARRY"/>
    <s v="MECHANICAL"/>
    <n v="801124.42"/>
    <n v="0"/>
    <n v="801124.42"/>
    <s v="TZS"/>
    <s v="[FG001] CEMENT 42.5 R"/>
    <s v="Finished Goods"/>
    <n v="-13"/>
    <s v="MT"/>
    <x v="0"/>
    <x v="0"/>
    <x v="18"/>
    <x v="7"/>
    <n v="314.1664392156863"/>
    <n v="0"/>
  </r>
  <r>
    <n v="19737"/>
    <d v="2025-11-13T14:37:37"/>
    <x v="164"/>
    <s v="STJ/2025/11/07267"/>
    <s v="Inventory Valuation"/>
    <s v="CM/MTI/2025/03963 - [CPMBG002] BAG EMPTY FOR CEMENT PACKING GRADE 42.5R MATERIAL WOVEN POLYPROPYLENE CAPACITY 50KG COLOR ORANGE / MRQ/2025/05517"/>
    <s v="CM/MTI/2025/03963 - [CPMBG002] BAG EMPTY FOR CEMENT PACKING GRADE 42.5R MATERIAL WOVEN POLYPROPYLENE CAPACITY 50KG COLOR ORANGE / MRQ/2025/05517"/>
    <m/>
    <m/>
    <s v="MATERIAL COST"/>
    <s v="Expenses"/>
    <s v="731006"/>
    <s v="731006 PACKING BAGS CONSUMED"/>
    <s v="CWIP-QUARRY RAW MATERIAL SHED EXTENSION"/>
    <s v="QUARRY"/>
    <s v="MECHANICAL"/>
    <n v="109200"/>
    <n v="0"/>
    <n v="109200"/>
    <s v="TZS"/>
    <s v="[CPMBG002] BAG EMPTY FOR CEMENT PACKING GRADE 42.5R MATERIAL WOVEN POLYPROPYLENE CAPACITY 50KG COLOR ORANGE"/>
    <s v="Bag"/>
    <n v="-260"/>
    <s v="NOS"/>
    <x v="0"/>
    <x v="0"/>
    <x v="18"/>
    <x v="7"/>
    <n v="42.823529411764703"/>
    <n v="0"/>
  </r>
  <r>
    <n v="19780"/>
    <d v="2025-11-13T14:22:52"/>
    <x v="164"/>
    <s v="STJ/2025/11/07245"/>
    <s v="Inventory Valuation"/>
    <s v="CM/MTI/2025/03951 - [CCLGC327] TMT BAR SIZE 8 MM GRADE FY500. / MRQ/2025/05692"/>
    <s v="CM/MTI/2025/03951 - [CCLGC327] TMT BAR SIZE 8 MM GRADE FY500. / MRQ/2025/05692"/>
    <m/>
    <m/>
    <s v="MATERIAL COST"/>
    <s v="Expenses"/>
    <s v="731002"/>
    <s v="731002 STORE SPARES &amp; CONSUMABLES - GENERAL"/>
    <s v="CWIP-QUARRY RAW MATERIAL SHED EXTENSION"/>
    <s v="QUARRY"/>
    <s v="MECHANICAL"/>
    <n v="946513.3"/>
    <n v="0"/>
    <n v="946513.3"/>
    <s v="TZS"/>
    <s v="[CCLGC327] TMT BAR SIZE 8 MM GRADE FY500."/>
    <s v="General Consumables"/>
    <n v="-100"/>
    <s v="PCS"/>
    <x v="0"/>
    <x v="0"/>
    <x v="18"/>
    <x v="7"/>
    <n v="371.18168627450984"/>
    <n v="0"/>
  </r>
  <r>
    <n v="19783"/>
    <d v="2025-11-13T14:22:52"/>
    <x v="164"/>
    <s v="STJ/2025/11/07244"/>
    <s v="Inventory Valuation"/>
    <s v="CM/MTI/2025/03951 - [CCLGC032] WIRE FOR BINDING / MRQ/2025/05692"/>
    <s v="CM/MTI/2025/03951 - [CCLGC032] WIRE FOR BINDING / MRQ/2025/05692"/>
    <m/>
    <m/>
    <s v="MATERIAL COST"/>
    <s v="Expenses"/>
    <s v="731002"/>
    <s v="731002 STORE SPARES &amp; CONSUMABLES - GENERAL"/>
    <s v="CWIP-QUARRY RAW MATERIAL SHED EXTENSION"/>
    <s v="QUARRY"/>
    <s v="MECHANICAL"/>
    <n v="71250"/>
    <n v="0"/>
    <n v="71250"/>
    <s v="TZS"/>
    <s v="[CCLGC032] WIRE FOR BINDING"/>
    <s v="General Consumables"/>
    <n v="-14.25"/>
    <s v="KG"/>
    <x v="0"/>
    <x v="0"/>
    <x v="18"/>
    <x v="7"/>
    <n v="27.941176470588236"/>
    <n v="0"/>
  </r>
  <r>
    <n v="19784"/>
    <d v="2025-11-13T14:21:22"/>
    <x v="164"/>
    <s v="STJ/2025/11/07243"/>
    <s v="Inventory Valuation"/>
    <s v="CM/MTI/2025/03950 - [CCLGC002] AGGREGATE GRANITE SIZE 14 MM TO 20 MM  / MRQ/2025/05691"/>
    <s v="CM/MTI/2025/03950 - [CCLGC002] AGGREGATE GRANITE SIZE 14 MM TO 20 MM  / MRQ/2025/05691"/>
    <m/>
    <m/>
    <s v="MATERIAL COST"/>
    <s v="Expenses"/>
    <s v="731002"/>
    <s v="731002 STORE SPARES &amp; CONSUMABLES - GENERAL"/>
    <s v="CWIP-CONSTRUCTION OF PLANT BOUNDARY WALL"/>
    <s v="PROJECT"/>
    <s v="MECHANICAL"/>
    <n v="12578436"/>
    <n v="0"/>
    <n v="12578436"/>
    <s v="TZS"/>
    <s v="[CCLGC002] AGGREGATE GRANITE SIZE 14 MM TO 20 MM "/>
    <s v="General Consumables"/>
    <n v="-116.467"/>
    <s v="CUM"/>
    <x v="0"/>
    <x v="0"/>
    <x v="21"/>
    <x v="8"/>
    <n v="4932.72"/>
    <n v="0"/>
  </r>
  <r>
    <n v="21746"/>
    <d v="2025-11-14T14:27:49"/>
    <x v="160"/>
    <s v="STJ/2025/11/07621"/>
    <s v="Inventory Valuation"/>
    <s v="CM/MTI/2025/03986 - [CCLGC330] TMT BAR SIZE 16 MM GRADE FY500. / MRQ/2025/05733"/>
    <s v="CM/MTI/2025/03986 - [CCLGC330] TMT BAR SIZE 16 MM GRADE FY500. / MRQ/2025/05733"/>
    <m/>
    <m/>
    <s v="MATERIAL COST"/>
    <s v="Expenses"/>
    <s v="731002"/>
    <s v="731002 STORE SPARES &amp; CONSUMABLES - GENERAL"/>
    <s v="CWIP-QUARRY RAW MATERIAL SHED EXTENSION"/>
    <s v="QUARRY"/>
    <s v="MECHANICAL"/>
    <n v="1822302.65"/>
    <n v="0"/>
    <n v="1822302.65"/>
    <s v="TZS"/>
    <s v="[CCLGC330] TMT BAR SIZE 16 MM GRADE FY500."/>
    <s v="General Consumables"/>
    <n v="-50"/>
    <s v="PCS"/>
    <x v="0"/>
    <x v="0"/>
    <x v="18"/>
    <x v="7"/>
    <n v="714.62849019607836"/>
    <n v="0"/>
  </r>
  <r>
    <n v="21749"/>
    <d v="2025-11-14T14:27:49"/>
    <x v="160"/>
    <s v="STJ/2025/11/07620"/>
    <s v="Inventory Valuation"/>
    <s v="CM/MTI/2025/03986 - [CCLGC032] WIRE FOR BINDING / MRQ/2025/05733"/>
    <s v="CM/MTI/2025/03986 - [CCLGC032] WIRE FOR BINDING / MRQ/2025/05733"/>
    <m/>
    <m/>
    <s v="MATERIAL COST"/>
    <s v="Expenses"/>
    <s v="731002"/>
    <s v="731002 STORE SPARES &amp; CONSUMABLES - GENERAL"/>
    <s v="CWIP-QUARRY RAW MATERIAL SHED EXTENSION"/>
    <s v="QUARRY"/>
    <s v="MECHANICAL"/>
    <n v="74000"/>
    <n v="0"/>
    <n v="74000"/>
    <s v="TZS"/>
    <s v="[CCLGC032] WIRE FOR BINDING"/>
    <s v="General Consumables"/>
    <n v="-14.8"/>
    <s v="KG"/>
    <x v="0"/>
    <x v="0"/>
    <x v="18"/>
    <x v="7"/>
    <n v="29.019607843137255"/>
    <n v="0"/>
  </r>
  <r>
    <n v="21751"/>
    <d v="2025-11-14T14:27:49"/>
    <x v="160"/>
    <s v="STJ/2025/11/07619"/>
    <s v="Inventory Valuation"/>
    <s v="CM/MTI/2025/03986 - [CCLGC028] NAILS CONCRETE SIZE 4'' / MRQ/2025/05733"/>
    <s v="CM/MTI/2025/03986 - [CCLGC028] NAILS CONCRETE SIZE 4'' / MRQ/2025/05733"/>
    <m/>
    <m/>
    <s v="MATERIAL COST"/>
    <s v="Expenses"/>
    <s v="731002"/>
    <s v="731002 STORE SPARES &amp; CONSUMABLES - GENERAL"/>
    <s v="CWIP-QUARRY RAW MATERIAL SHED EXTENSION"/>
    <s v="QUARRY"/>
    <s v="MECHANICAL"/>
    <n v="39805.089999999997"/>
    <n v="0"/>
    <n v="39805.089999999997"/>
    <s v="TZS"/>
    <s v="[CCLGC028] NAILS CONCRETE SIZE 4''"/>
    <s v="General Consumables"/>
    <n v="-4"/>
    <s v="KG"/>
    <x v="0"/>
    <x v="0"/>
    <x v="18"/>
    <x v="7"/>
    <n v="15.609839215686273"/>
    <n v="0"/>
  </r>
  <r>
    <n v="21753"/>
    <d v="2025-11-14T14:27:49"/>
    <x v="160"/>
    <s v="STJ/2025/11/07618"/>
    <s v="Inventory Valuation"/>
    <s v="CM/MTI/2025/03986 - [CCLGC023] NAILS SIZE 4'' / MRQ/2025/05733"/>
    <s v="CM/MTI/2025/03986 - [CCLGC023] NAILS SIZE 4'' / MRQ/2025/05733"/>
    <m/>
    <m/>
    <s v="MATERIAL COST"/>
    <s v="Expenses"/>
    <s v="731002"/>
    <s v="731002 STORE SPARES &amp; CONSUMABLES - GENERAL"/>
    <s v="CWIP-QUARRY RAW MATERIAL SHED EXTENSION"/>
    <s v="QUARRY"/>
    <s v="MECHANICAL"/>
    <n v="114000"/>
    <n v="0"/>
    <n v="114000"/>
    <s v="TZS"/>
    <s v="[CCLGC023] NAILS SIZE 4''"/>
    <s v="General Consumables"/>
    <n v="-20"/>
    <s v="KG"/>
    <x v="0"/>
    <x v="0"/>
    <x v="18"/>
    <x v="7"/>
    <n v="44.705882352941174"/>
    <n v="0"/>
  </r>
  <r>
    <n v="25791"/>
    <d v="2025-11-17T14:23:22"/>
    <x v="151"/>
    <s v="STJ/2025/11/09171"/>
    <s v="Inventory Valuation"/>
    <s v="CM/MTI/2025/04054 - [CWCGC041] CUTTING WHEEL 7'' / MRQ/2025/05809_x000a_Rounding Adjustment: +0.01 TSh"/>
    <s v="CM/MTI/2025/04054 - [CWCGC041] CUTTING WHEEL 7'' / MRQ/2025/05809_x000a_Rounding Adjustment: +0.01 TSh"/>
    <m/>
    <m/>
    <s v="MATERIAL COST"/>
    <s v="Expenses"/>
    <s v="731002"/>
    <s v="731002 STORE SPARES &amp; CONSUMABLES - GENERAL"/>
    <s v="CWIP-CONSTRUCTION OF PLANT BOUNDARY WALL"/>
    <s v="PROJECT"/>
    <s v="MECHANICAL"/>
    <n v="25763.27"/>
    <n v="0"/>
    <n v="25763.27"/>
    <s v="TZS"/>
    <s v="[CWCGC041] CUTTING WHEEL 7''"/>
    <s v="Gas Cutting"/>
    <n v="-8"/>
    <s v="NOS"/>
    <x v="0"/>
    <x v="0"/>
    <x v="21"/>
    <x v="8"/>
    <n v="10.103243137254902"/>
    <n v="0"/>
  </r>
  <r>
    <n v="25793"/>
    <d v="2025-11-17T14:23:22"/>
    <x v="151"/>
    <s v="STJ/2025/11/09170"/>
    <s v="Inventory Valuation"/>
    <s v="CM/MTI/2025/04054 - [CCLGC329] TMT BAR SIZE 12 MM GRADE FY500. / MRQ/2025/05809"/>
    <s v="CM/MTI/2025/04054 - [CCLGC329] TMT BAR SIZE 12 MM GRADE FY500. / MRQ/2025/05809"/>
    <m/>
    <m/>
    <s v="MATERIAL COST"/>
    <s v="Expenses"/>
    <s v="731002"/>
    <s v="731002 STORE SPARES &amp; CONSUMABLES - GENERAL"/>
    <s v="CWIP-CONSTRUCTION OF PLANT BOUNDARY WALL"/>
    <s v="PROJECT"/>
    <s v="MECHANICAL"/>
    <n v="509734.8"/>
    <n v="0"/>
    <n v="509734.8"/>
    <s v="TZS"/>
    <s v="[CCLGC329] TMT BAR SIZE 12 MM GRADE FY500."/>
    <s v="General Consumables"/>
    <n v="-25"/>
    <s v="PCS"/>
    <x v="0"/>
    <x v="0"/>
    <x v="21"/>
    <x v="8"/>
    <n v="199.89599999999999"/>
    <n v="0"/>
  </r>
  <r>
    <n v="25796"/>
    <d v="2025-11-17T14:23:22"/>
    <x v="151"/>
    <s v="STJ/2025/11/09169"/>
    <s v="Inventory Valuation"/>
    <s v="CM/MTI/2025/04054 - [CCLGC328] TMT BAR SIZE 10 MM GRADE FY500. / MRQ/2025/05809_x000a_Rounding Adjustment: -0.01 TSh"/>
    <s v="CM/MTI/2025/04054 - [CCLGC328] TMT BAR SIZE 10 MM GRADE FY500. / MRQ/2025/05809_x000a_Rounding Adjustment: -0.01 TSh"/>
    <m/>
    <m/>
    <s v="MATERIAL COST"/>
    <s v="Expenses"/>
    <s v="731002"/>
    <s v="731002 STORE SPARES &amp; CONSUMABLES - GENERAL"/>
    <s v="CWIP-CONSTRUCTION OF PLANT BOUNDARY WALL"/>
    <s v="PROJECT"/>
    <s v="MECHANICAL"/>
    <n v="357014.7"/>
    <n v="0"/>
    <n v="357014.7"/>
    <s v="TZS"/>
    <s v="[CCLGC328] TMT BAR SIZE 10 MM GRADE FY500."/>
    <s v="General Consumables"/>
    <n v="-25"/>
    <s v="PCS"/>
    <x v="0"/>
    <x v="0"/>
    <x v="21"/>
    <x v="8"/>
    <n v="140.00576470588237"/>
    <n v="0"/>
  </r>
  <r>
    <n v="25798"/>
    <d v="2025-11-17T14:23:22"/>
    <x v="151"/>
    <s v="STJ/2025/11/09168"/>
    <s v="Inventory Valuation"/>
    <s v="CM/MTI/2025/04054 - [CCLGC327] TMT BAR SIZE 8 MM GRADE FY500. / MRQ/2025/05809_x000a_Rounding Adjustment: +0.01 TSh"/>
    <s v="CM/MTI/2025/04054 - [CCLGC327] TMT BAR SIZE 8 MM GRADE FY500. / MRQ/2025/05809_x000a_Rounding Adjustment: +0.01 TSh"/>
    <m/>
    <m/>
    <s v="MATERIAL COST"/>
    <s v="Expenses"/>
    <s v="731002"/>
    <s v="731002 STORE SPARES &amp; CONSUMABLES - GENERAL"/>
    <s v="CWIP-CONSTRUCTION OF PLANT BOUNDARY WALL"/>
    <s v="PROJECT"/>
    <s v="MECHANICAL"/>
    <n v="946513.29"/>
    <n v="0"/>
    <n v="946513.29"/>
    <s v="TZS"/>
    <s v="[CCLGC327] TMT BAR SIZE 8 MM GRADE FY500."/>
    <s v="General Consumables"/>
    <n v="-100"/>
    <s v="PCS"/>
    <x v="0"/>
    <x v="0"/>
    <x v="21"/>
    <x v="8"/>
    <n v="371.18168235294121"/>
    <n v="0"/>
  </r>
  <r>
    <n v="25800"/>
    <d v="2025-11-17T14:23:22"/>
    <x v="151"/>
    <s v="STJ/2025/11/09167"/>
    <s v="Inventory Valuation"/>
    <s v="CM/MTI/2025/04054 - [CCLGC032] WIRE FOR BINDING / MRQ/2025/05809"/>
    <s v="CM/MTI/2025/04054 - [CCLGC032] WIRE FOR BINDING / MRQ/2025/05809"/>
    <m/>
    <m/>
    <s v="MATERIAL COST"/>
    <s v="Expenses"/>
    <s v="731002"/>
    <s v="731002 STORE SPARES &amp; CONSUMABLES - GENERAL"/>
    <s v="CWIP-CONSTRUCTION OF PLANT BOUNDARY WALL"/>
    <s v="PROJECT"/>
    <s v="MECHANICAL"/>
    <n v="75000"/>
    <n v="0"/>
    <n v="75000"/>
    <s v="TZS"/>
    <s v="[CCLGC032] WIRE FOR BINDING"/>
    <s v="General Consumables"/>
    <n v="-15"/>
    <s v="KG"/>
    <x v="0"/>
    <x v="0"/>
    <x v="21"/>
    <x v="8"/>
    <n v="29.411764705882351"/>
    <n v="0"/>
  </r>
  <r>
    <n v="27848"/>
    <d v="2025-11-18T14:12:38"/>
    <x v="161"/>
    <s v="STJ/2025/11/09687"/>
    <s v="Inventory Valuation"/>
    <s v="CM/MTI/2025/04080 - [FG001] CEMENT 42.5 R / MRQ/2025/05673"/>
    <s v="CM/MTI/2025/04080 - [FG001] CEMENT 42.5 R / MRQ/2025/05673"/>
    <m/>
    <m/>
    <s v="Cost Of Revenue"/>
    <s v="Cost of Revenue"/>
    <s v="721001"/>
    <s v="721001 COST OF GOODS SOLD (COGS)"/>
    <s v="CWIP-CONSTRUCTION OF PLANT BOUNDARY WALL"/>
    <s v="PROJECT"/>
    <s v="MECHANICAL"/>
    <n v="200205.47"/>
    <n v="0"/>
    <n v="200205.47"/>
    <s v="TZS"/>
    <s v="[FG001] CEMENT 42.5 R"/>
    <s v="Finished Goods"/>
    <n v="-3"/>
    <s v="MT"/>
    <x v="0"/>
    <x v="0"/>
    <x v="21"/>
    <x v="8"/>
    <n v="78.51194901960784"/>
    <n v="0"/>
  </r>
  <r>
    <n v="27851"/>
    <d v="2025-11-18T14:12:38"/>
    <x v="161"/>
    <s v="STJ/2025/11/09686"/>
    <s v="Inventory Valuation"/>
    <s v="CM/MTI/2025/04080 - [CPMBG002] BAG EMPTY FOR CEMENT PACKING GRADE 42.5R MATERIAL WOVEN POLYPROPYLENE CAPACITY 50KG COLOR ORANGE / MRQ/2025/05673"/>
    <s v="CM/MTI/2025/04080 - [CPMBG002] BAG EMPTY FOR CEMENT PACKING GRADE 42.5R MATERIAL WOVEN POLYPROPYLENE CAPACITY 50KG COLOR ORANGE / MRQ/2025/05673"/>
    <m/>
    <m/>
    <s v="MATERIAL COST"/>
    <s v="Expenses"/>
    <s v="731006"/>
    <s v="731006 PACKING BAGS CONSUMED"/>
    <s v="CWIP-CONSTRUCTION OF PLANT BOUNDARY WALL"/>
    <s v="PROJECT"/>
    <s v="MECHANICAL"/>
    <n v="25200"/>
    <n v="0"/>
    <n v="25200"/>
    <s v="TZS"/>
    <s v="[CPMBG002] BAG EMPTY FOR CEMENT PACKING GRADE 42.5R MATERIAL WOVEN POLYPROPYLENE CAPACITY 50KG COLOR ORANGE"/>
    <s v="Bag"/>
    <n v="-60"/>
    <s v="NOS"/>
    <x v="0"/>
    <x v="0"/>
    <x v="21"/>
    <x v="8"/>
    <n v="9.882352941176471"/>
    <n v="0"/>
  </r>
  <r>
    <n v="32704"/>
    <d v="2025-11-21T14:10:13"/>
    <x v="153"/>
    <s v="STJ/2025/11/11052"/>
    <s v="Inventory Valuation"/>
    <s v="CM/MTI/2025/04137 - [CWCGC041] CUTTING WHEEL 7'' / MRQ/2025/05909_x000a_Rounding Adjustment: -0.01 TSh"/>
    <s v="CM/MTI/2025/04137 - [CWCGC041] CUTTING WHEEL 7'' / MRQ/2025/05909_x000a_Rounding Adjustment: -0.01 TSh"/>
    <m/>
    <m/>
    <s v="MATERIAL COST"/>
    <s v="Expenses"/>
    <s v="731002"/>
    <s v="731002 STORE SPARES &amp; CONSUMABLES - GENERAL"/>
    <s v="CWIP-QUARRY RAW MATERIAL SHED EXTENSION"/>
    <s v="QUARRY"/>
    <s v="CIVIL"/>
    <n v="25763.29"/>
    <n v="0"/>
    <n v="25763.29"/>
    <s v="TZS"/>
    <s v="[CWCGC041] CUTTING WHEEL 7''"/>
    <s v="Gas Cutting"/>
    <n v="-8"/>
    <s v="NOS"/>
    <x v="0"/>
    <x v="0"/>
    <x v="18"/>
    <x v="7"/>
    <n v="10.103250980392158"/>
    <n v="0"/>
  </r>
  <r>
    <n v="32706"/>
    <d v="2025-11-21T14:10:13"/>
    <x v="153"/>
    <s v="STJ/2025/11/11051"/>
    <s v="Inventory Valuation"/>
    <s v="CM/MTI/2025/04137 - [CCLGC330] TMT BAR SIZE 16 MM GRADE FY500. / MRQ/2025/05909"/>
    <s v="CM/MTI/2025/04137 - [CCLGC330] TMT BAR SIZE 16 MM GRADE FY500. / MRQ/2025/05909"/>
    <m/>
    <m/>
    <s v="MATERIAL COST"/>
    <s v="Expenses"/>
    <s v="731002"/>
    <s v="731002 STORE SPARES &amp; CONSUMABLES - GENERAL"/>
    <s v="CWIP-QUARRY RAW MATERIAL SHED EXTENSION"/>
    <s v="QUARRY"/>
    <s v="CIVIL"/>
    <n v="1822302.65"/>
    <n v="0"/>
    <n v="1822302.65"/>
    <s v="TZS"/>
    <s v="[CCLGC330] TMT BAR SIZE 16 MM GRADE FY500."/>
    <s v="General Consumables"/>
    <n v="-50"/>
    <s v="PCS"/>
    <x v="0"/>
    <x v="0"/>
    <x v="18"/>
    <x v="7"/>
    <n v="714.62849019607836"/>
    <n v="0"/>
  </r>
  <r>
    <n v="32708"/>
    <d v="2025-11-21T14:10:13"/>
    <x v="153"/>
    <s v="STJ/2025/11/11050"/>
    <s v="Inventory Valuation"/>
    <s v="CM/MTI/2025/04137 - [CCLGC032] WIRE FOR BINDING / MRQ/2025/05909"/>
    <s v="CM/MTI/2025/04137 - [CCLGC032] WIRE FOR BINDING / MRQ/2025/05909"/>
    <m/>
    <m/>
    <s v="MATERIAL COST"/>
    <s v="Expenses"/>
    <s v="731002"/>
    <s v="731002 STORE SPARES &amp; CONSUMABLES - GENERAL"/>
    <s v="CWIP-QUARRY RAW MATERIAL SHED EXTENSION"/>
    <s v="QUARRY"/>
    <s v="CIVIL"/>
    <n v="150000"/>
    <n v="0"/>
    <n v="150000"/>
    <s v="TZS"/>
    <s v="[CCLGC032] WIRE FOR BINDING"/>
    <s v="General Consumables"/>
    <n v="-30"/>
    <s v="KG"/>
    <x v="0"/>
    <x v="0"/>
    <x v="18"/>
    <x v="7"/>
    <n v="58.823529411764703"/>
    <n v="0"/>
  </r>
  <r>
    <n v="32711"/>
    <d v="2025-11-21T14:10:13"/>
    <x v="153"/>
    <s v="STJ/2025/11/11049"/>
    <s v="Inventory Valuation"/>
    <s v="CM/MTI/2025/04137 - [CCLGC023] NAILS SIZE 4'' / MRQ/2025/05909"/>
    <s v="CM/MTI/2025/04137 - [CCLGC023] NAILS SIZE 4'' / MRQ/2025/05909"/>
    <m/>
    <m/>
    <s v="MATERIAL COST"/>
    <s v="Expenses"/>
    <s v="731002"/>
    <s v="731002 STORE SPARES &amp; CONSUMABLES - GENERAL"/>
    <s v="CWIP-QUARRY RAW MATERIAL SHED EXTENSION"/>
    <s v="QUARRY"/>
    <s v="CIVIL"/>
    <n v="85500"/>
    <n v="0"/>
    <n v="85500"/>
    <s v="TZS"/>
    <s v="[CCLGC023] NAILS SIZE 4''"/>
    <s v="General Consumables"/>
    <n v="-15"/>
    <s v="KG"/>
    <x v="0"/>
    <x v="0"/>
    <x v="18"/>
    <x v="7"/>
    <n v="33.529411764705884"/>
    <n v="0"/>
  </r>
  <r>
    <n v="32712"/>
    <d v="2025-11-21T14:10:13"/>
    <x v="153"/>
    <s v="STJ/2025/11/11048"/>
    <s v="Inventory Valuation"/>
    <s v="CM/MTI/2025/04137 - [CCLGC021] NAILS SIZE 2.5'' / MRQ/2025/05909"/>
    <s v="CM/MTI/2025/04137 - [CCLGC021] NAILS SIZE 2.5'' / MRQ/2025/05909"/>
    <m/>
    <m/>
    <s v="MATERIAL COST"/>
    <s v="Expenses"/>
    <s v="731002"/>
    <s v="731002 STORE SPARES &amp; CONSUMABLES - GENERAL"/>
    <s v="CWIP-QUARRY RAW MATERIAL SHED EXTENSION"/>
    <s v="QUARRY"/>
    <s v="CIVIL"/>
    <n v="118522.17"/>
    <n v="0"/>
    <n v="118522.17"/>
    <s v="TZS"/>
    <s v="[CCLGC021] NAILS SIZE 2.5''"/>
    <s v="General Consumables"/>
    <n v="-20"/>
    <s v="KG"/>
    <x v="0"/>
    <x v="0"/>
    <x v="18"/>
    <x v="7"/>
    <n v="46.479282352941176"/>
    <n v="0"/>
  </r>
  <r>
    <n v="32715"/>
    <d v="2025-11-21T14:09:12"/>
    <x v="153"/>
    <s v="STJ/2025/11/11047"/>
    <s v="Inventory Valuation"/>
    <s v="CM/MTI/2025/04136 - [CCLGC330] TMT BAR SIZE 16 MM GRADE FY500. / MRQ/2025/05924"/>
    <s v="CM/MTI/2025/04136 - [CCLGC330] TMT BAR SIZE 16 MM GRADE FY500. / MRQ/2025/05924"/>
    <m/>
    <m/>
    <s v="MATERIAL COST"/>
    <s v="Expenses"/>
    <s v="731002"/>
    <s v="731002 STORE SPARES &amp; CONSUMABLES - GENERAL"/>
    <s v="CWIP-CONSTRUCTION OF PLANT BOUNDARY WALL"/>
    <s v="PROJECT"/>
    <s v="CIVIL"/>
    <n v="728921.06"/>
    <n v="0"/>
    <n v="728921.06"/>
    <s v="TZS"/>
    <s v="[CCLGC330] TMT BAR SIZE 16 MM GRADE FY500."/>
    <s v="General Consumables"/>
    <n v="-20"/>
    <s v="PCS"/>
    <x v="0"/>
    <x v="0"/>
    <x v="21"/>
    <x v="8"/>
    <n v="285.85139607843138"/>
    <n v="0"/>
  </r>
  <r>
    <n v="32717"/>
    <d v="2025-11-21T14:09:12"/>
    <x v="153"/>
    <s v="STJ/2025/11/11046"/>
    <s v="Inventory Valuation"/>
    <s v="CM/MTI/2025/04136 - [CCLGC327] TMT BAR SIZE 8 MM GRADE FY500. / MRQ/2025/05924"/>
    <s v="CM/MTI/2025/04136 - [CCLGC327] TMT BAR SIZE 8 MM GRADE FY500. / MRQ/2025/05924"/>
    <m/>
    <m/>
    <s v="MATERIAL COST"/>
    <s v="Expenses"/>
    <s v="731002"/>
    <s v="731002 STORE SPARES &amp; CONSUMABLES - GENERAL"/>
    <s v="CWIP-CONSTRUCTION OF PLANT BOUNDARY WALL"/>
    <s v="PROJECT"/>
    <s v="CIVIL"/>
    <n v="946513.3"/>
    <n v="0"/>
    <n v="946513.3"/>
    <s v="TZS"/>
    <s v="[CCLGC327] TMT BAR SIZE 8 MM GRADE FY500."/>
    <s v="General Consumables"/>
    <n v="-100"/>
    <s v="PCS"/>
    <x v="0"/>
    <x v="0"/>
    <x v="21"/>
    <x v="8"/>
    <n v="371.18168627450984"/>
    <n v="0"/>
  </r>
  <r>
    <n v="32719"/>
    <d v="2025-11-21T14:09:12"/>
    <x v="153"/>
    <s v="STJ/2025/11/11045"/>
    <s v="Inventory Valuation"/>
    <s v="CM/MTI/2025/04136 - [CCLGC028] NAILS CONCRETE SIZE 4'' / MRQ/2025/05924_x000a_Rounding Adjustment: +0.01 TSh"/>
    <s v="CM/MTI/2025/04136 - [CCLGC028] NAILS CONCRETE SIZE 4'' / MRQ/2025/05924_x000a_Rounding Adjustment: +0.01 TSh"/>
    <m/>
    <m/>
    <s v="MATERIAL COST"/>
    <s v="Expenses"/>
    <s v="731002"/>
    <s v="731002 STORE SPARES &amp; CONSUMABLES - GENERAL"/>
    <s v="CWIP-CONSTRUCTION OF PLANT BOUNDARY WALL"/>
    <s v="PROJECT"/>
    <s v="CIVIL"/>
    <n v="39805.08"/>
    <n v="0"/>
    <n v="39805.08"/>
    <s v="TZS"/>
    <s v="[CCLGC028] NAILS CONCRETE SIZE 4''"/>
    <s v="General Consumables"/>
    <n v="-4"/>
    <s v="KG"/>
    <x v="0"/>
    <x v="0"/>
    <x v="21"/>
    <x v="8"/>
    <n v="15.609835294117648"/>
    <n v="0"/>
  </r>
  <r>
    <n v="32720"/>
    <d v="2025-11-21T14:07:56"/>
    <x v="153"/>
    <s v="STJ/2025/11/11044"/>
    <s v="Inventory Valuation"/>
    <s v="CM/MTI/2025/04135 - [CCLGC328] TMT BAR SIZE 10 MM GRADE FY500. / MRQ/2025/05910"/>
    <s v="CM/MTI/2025/04135 - [CCLGC328] TMT BAR SIZE 10 MM GRADE FY500. / MRQ/2025/05910"/>
    <m/>
    <m/>
    <s v="MATERIAL COST"/>
    <s v="Expenses"/>
    <s v="731002"/>
    <s v="731002 STORE SPARES &amp; CONSUMABLES - GENERAL"/>
    <s v="CWIP-ROAD PHASE 07"/>
    <s v="PROJECT"/>
    <s v="CIVIL"/>
    <n v="428417.62"/>
    <n v="0"/>
    <n v="428417.62"/>
    <s v="TZS"/>
    <s v="[CCLGC328] TMT BAR SIZE 10 MM GRADE FY500."/>
    <s v="General Consumables"/>
    <n v="-30"/>
    <s v="PCS"/>
    <x v="0"/>
    <x v="0"/>
    <x v="17"/>
    <x v="6"/>
    <n v="168.00690980392156"/>
    <n v="0"/>
  </r>
  <r>
    <n v="36671"/>
    <d v="2025-11-24T13:48:57"/>
    <x v="154"/>
    <s v="STJ/2025/11/12294"/>
    <s v="Inventory Valuation"/>
    <s v="CM/MTI/2025/04168 - [FG001] CEMENT 42.5 R / MRQ/2025/05851"/>
    <s v="CM/MTI/2025/04168 - [FG001] CEMENT 42.5 R / MRQ/2025/05851"/>
    <m/>
    <m/>
    <s v="Cost Of Revenue"/>
    <s v="Cost of Revenue"/>
    <s v="721001"/>
    <s v="721001 COST OF GOODS SOLD (COGS)"/>
    <s v="CWIP-QUARRY RAW MATERIAL SHED EXTENSION"/>
    <s v="QUARRY"/>
    <s v="MECHANICAL"/>
    <n v="222958.12"/>
    <n v="0"/>
    <n v="222958.12"/>
    <s v="TZS"/>
    <s v="[FG001] CEMENT 42.5 R"/>
    <s v="Finished Goods"/>
    <n v="-3.5"/>
    <s v="MT"/>
    <x v="0"/>
    <x v="0"/>
    <x v="18"/>
    <x v="7"/>
    <n v="87.434556862745097"/>
    <n v="0"/>
  </r>
  <r>
    <n v="36673"/>
    <d v="2025-11-24T13:48:57"/>
    <x v="154"/>
    <s v="STJ/2025/11/12293"/>
    <s v="Inventory Valuation"/>
    <s v="CM/MTI/2025/04168 - [CPMBG002] BAG EMPTY FOR CEMENT PACKING GRADE 42.5R MATERIAL WOVEN POLYPROPYLENE CAPACITY 50KG COLOR ORANGE / MRQ/2025/05851"/>
    <s v="CM/MTI/2025/04168 - [CPMBG002] BAG EMPTY FOR CEMENT PACKING GRADE 42.5R MATERIAL WOVEN POLYPROPYLENE CAPACITY 50KG COLOR ORANGE / MRQ/2025/05851"/>
    <m/>
    <m/>
    <s v="MATERIAL COST"/>
    <s v="Expenses"/>
    <s v="731006"/>
    <s v="731006 PACKING BAGS CONSUMED"/>
    <s v="CWIP-QUARRY RAW MATERIAL SHED EXTENSION"/>
    <s v="QUARRY"/>
    <s v="MECHANICAL"/>
    <n v="29400"/>
    <n v="0"/>
    <n v="29400"/>
    <s v="TZS"/>
    <s v="[CPMBG002] BAG EMPTY FOR CEMENT PACKING GRADE 42.5R MATERIAL WOVEN POLYPROPYLENE CAPACITY 50KG COLOR ORANGE"/>
    <s v="Bag"/>
    <n v="-70"/>
    <s v="NOS"/>
    <x v="0"/>
    <x v="0"/>
    <x v="18"/>
    <x v="7"/>
    <n v="11.529411764705882"/>
    <n v="0"/>
  </r>
  <r>
    <n v="36675"/>
    <d v="2025-11-24T13:47:25"/>
    <x v="154"/>
    <s v="STJ/2025/11/12292"/>
    <s v="Inventory Valuation"/>
    <s v="CM/MTI/2025/04167 - [FG001] CEMENT 42.5 R / MRQ/2025/05923"/>
    <s v="CM/MTI/2025/04167 - [FG001] CEMENT 42.5 R / MRQ/2025/05923"/>
    <m/>
    <m/>
    <s v="Cost Of Revenue"/>
    <s v="Cost of Revenue"/>
    <s v="721001"/>
    <s v="721001 COST OF GOODS SOLD (COGS)"/>
    <s v="CWIP-QUARRY RAW MATERIAL SHED EXTENSION"/>
    <s v="QUARRY"/>
    <s v="CIVIL"/>
    <n v="318511.59999999998"/>
    <n v="0"/>
    <n v="318511.59999999998"/>
    <s v="TZS"/>
    <s v="[FG001] CEMENT 42.5 R"/>
    <s v="Finished Goods"/>
    <n v="-5"/>
    <s v="MT"/>
    <x v="0"/>
    <x v="0"/>
    <x v="18"/>
    <x v="7"/>
    <n v="124.90650980392157"/>
    <n v="0"/>
  </r>
  <r>
    <n v="36677"/>
    <d v="2025-11-24T13:47:25"/>
    <x v="154"/>
    <s v="STJ/2025/11/12291"/>
    <s v="Inventory Valuation"/>
    <s v="CM/MTI/2025/04167 - [CPMBG002] BAG EMPTY FOR CEMENT PACKING GRADE 42.5R MATERIAL WOVEN POLYPROPYLENE CAPACITY 50KG COLOR ORANGE / MRQ/2025/05923"/>
    <s v="CM/MTI/2025/04167 - [CPMBG002] BAG EMPTY FOR CEMENT PACKING GRADE 42.5R MATERIAL WOVEN POLYPROPYLENE CAPACITY 50KG COLOR ORANGE / MRQ/2025/05923"/>
    <m/>
    <m/>
    <s v="MATERIAL COST"/>
    <s v="Expenses"/>
    <s v="731006"/>
    <s v="731006 PACKING BAGS CONSUMED"/>
    <s v="CWIP-QUARRY RAW MATERIAL SHED EXTENSION"/>
    <s v="QUARRY"/>
    <s v="CIVIL"/>
    <n v="42000"/>
    <n v="0"/>
    <n v="42000"/>
    <s v="TZS"/>
    <s v="[CPMBG002] BAG EMPTY FOR CEMENT PACKING GRADE 42.5R MATERIAL WOVEN POLYPROPYLENE CAPACITY 50KG COLOR ORANGE"/>
    <s v="Bag"/>
    <n v="-100"/>
    <s v="NOS"/>
    <x v="0"/>
    <x v="0"/>
    <x v="18"/>
    <x v="7"/>
    <n v="16.470588235294116"/>
    <n v="0"/>
  </r>
  <r>
    <n v="38736"/>
    <d v="2025-11-25T14:35:26"/>
    <x v="155"/>
    <s v="STJ/2025/11/13123"/>
    <s v="Inventory Valuation"/>
    <s v="CM/MTI/2025/04209 - [CCLGC327] TMT BAR SIZE 8 MM GRADE FY500. / MRQ/2025/05968"/>
    <s v="CM/MTI/2025/04209 - [CCLGC327] TMT BAR SIZE 8 MM GRADE FY500. / MRQ/2025/05968"/>
    <m/>
    <m/>
    <s v="MATERIAL COST"/>
    <s v="Expenses"/>
    <s v="731002"/>
    <s v="731002 STORE SPARES &amp; CONSUMABLES - GENERAL"/>
    <s v="CWIP-CONSTRUCTION OF PLANT BOUNDARY WALL"/>
    <s v="PROJECT"/>
    <s v="CIVIL"/>
    <n v="946513.3"/>
    <n v="0"/>
    <n v="946513.3"/>
    <s v="TZS"/>
    <s v="[CCLGC327] TMT BAR SIZE 8 MM GRADE FY500."/>
    <s v="General Consumables"/>
    <n v="-100"/>
    <s v="PCS"/>
    <x v="0"/>
    <x v="0"/>
    <x v="21"/>
    <x v="8"/>
    <n v="371.18168627450984"/>
    <n v="0"/>
  </r>
  <r>
    <n v="38744"/>
    <d v="2025-11-25T14:33:23"/>
    <x v="155"/>
    <s v="STJ/2025/11/13119"/>
    <s v="Inventory Valuation"/>
    <s v="CM/MTI/2025/04207 - [EISWE011] LOAD CELL 30 TON FOR WEIGHBRIDGE TYPE DIGITAL MAKE ENDEL / MRQ/2025/05993"/>
    <s v="CM/MTI/2025/04207 - [EISWE011] LOAD CELL 30 TON FOR WEIGHBRIDGE TYPE DIGITAL MAKE ENDEL / MRQ/2025/05993"/>
    <m/>
    <m/>
    <s v="MATERIAL COST"/>
    <s v="Expenses"/>
    <s v="731002"/>
    <s v="731002 STORE SPARES &amp; CONSUMABLES - GENERAL"/>
    <s v="CWIP-INSTALLATION OF NEW WEIGHBRIDGE AT QUARRY(2NOS)"/>
    <s v="QUARRY"/>
    <s v="INSTRUMENTATION"/>
    <n v="932203"/>
    <n v="0"/>
    <n v="932203"/>
    <s v="TZS"/>
    <s v="[EISWE011] LOAD CELL 30 TON FOR WEIGHBRIDGE TYPE DIGITAL MAKE ENDEL"/>
    <s v="Weighing Systems"/>
    <n v="-1"/>
    <s v="NOS"/>
    <x v="0"/>
    <x v="0"/>
    <x v="14"/>
    <x v="3"/>
    <n v="365.56980392156862"/>
    <n v="0"/>
  </r>
  <r>
    <n v="40814"/>
    <d v="2025-11-26T14:44:27"/>
    <x v="165"/>
    <s v="STJ/2025/11/13477"/>
    <s v="Inventory Valuation"/>
    <s v="CM/MTI/2025/04232 - [CWCGC041] CUTTING WHEEL 7'' / MRQ/2025/06039"/>
    <s v="CM/MTI/2025/04232 - [CWCGC041] CUTTING WHEEL 7'' / MRQ/2025/06039"/>
    <m/>
    <m/>
    <s v="MATERIAL COST"/>
    <s v="Expenses"/>
    <s v="731002"/>
    <s v="731002 STORE SPARES &amp; CONSUMABLES - GENERAL"/>
    <s v="CWIP-QUARRY RAW MATERIAL SHED EXTENSION"/>
    <s v="QUARRY"/>
    <s v="CIVIL"/>
    <n v="25763.279999999999"/>
    <n v="0"/>
    <n v="25763.279999999999"/>
    <s v="TZS"/>
    <s v="[CWCGC041] CUTTING WHEEL 7''"/>
    <s v="Gas Cutting"/>
    <n v="-8"/>
    <s v="NOS"/>
    <x v="0"/>
    <x v="0"/>
    <x v="18"/>
    <x v="7"/>
    <n v="10.103247058823529"/>
    <n v="0"/>
  </r>
  <r>
    <n v="40816"/>
    <d v="2025-11-26T14:44:27"/>
    <x v="165"/>
    <s v="STJ/2025/11/13476"/>
    <s v="Inventory Valuation"/>
    <s v="CM/MTI/2025/04232 - [CCLGC330] TMT BAR SIZE 16 MM GRADE FY500. / MRQ/2025/06039"/>
    <s v="CM/MTI/2025/04232 - [CCLGC330] TMT BAR SIZE 16 MM GRADE FY500. / MRQ/2025/06039"/>
    <m/>
    <m/>
    <s v="MATERIAL COST"/>
    <s v="Expenses"/>
    <s v="731002"/>
    <s v="731002 STORE SPARES &amp; CONSUMABLES - GENERAL"/>
    <s v="CWIP-QUARRY RAW MATERIAL SHED EXTENSION"/>
    <s v="QUARRY"/>
    <s v="CIVIL"/>
    <n v="2186763.1800000002"/>
    <n v="0"/>
    <n v="2186763.1800000002"/>
    <s v="TZS"/>
    <s v="[CCLGC330] TMT BAR SIZE 16 MM GRADE FY500."/>
    <s v="General Consumables"/>
    <n v="-60"/>
    <s v="PCS"/>
    <x v="0"/>
    <x v="0"/>
    <x v="18"/>
    <x v="7"/>
    <n v="857.55418823529419"/>
    <n v="0"/>
  </r>
  <r>
    <n v="40818"/>
    <d v="2025-11-26T14:44:27"/>
    <x v="165"/>
    <s v="STJ/2025/11/13475"/>
    <s v="Inventory Valuation"/>
    <s v="CM/MTI/2025/04232 - [CCLGC032] WIRE FOR BINDING / MRQ/2025/06039"/>
    <s v="CM/MTI/2025/04232 - [CCLGC032] WIRE FOR BINDING / MRQ/2025/06039"/>
    <m/>
    <m/>
    <s v="MATERIAL COST"/>
    <s v="Expenses"/>
    <s v="731002"/>
    <s v="731002 STORE SPARES &amp; CONSUMABLES - GENERAL"/>
    <s v="CWIP-QUARRY RAW MATERIAL SHED EXTENSION"/>
    <s v="QUARRY"/>
    <s v="CIVIL"/>
    <n v="144000"/>
    <n v="0"/>
    <n v="144000"/>
    <s v="TZS"/>
    <s v="[CCLGC032] WIRE FOR BINDING"/>
    <s v="General Consumables"/>
    <n v="-28.8"/>
    <s v="KG"/>
    <x v="0"/>
    <x v="0"/>
    <x v="18"/>
    <x v="7"/>
    <n v="56.470588235294116"/>
    <n v="0"/>
  </r>
  <r>
    <n v="43154"/>
    <d v="2025-11-27T14:22:52"/>
    <x v="156"/>
    <s v="STJ/2025/11/14283"/>
    <s v="Inventory Valuation"/>
    <s v="CM/MTI/2025/04254 - [CCLGC028] NAILS CONCRETE SIZE 4'' / MRQ/2025/06080"/>
    <s v="CM/MTI/2025/04254 - [CCLGC028] NAILS CONCRETE SIZE 4'' / MRQ/2025/06080"/>
    <m/>
    <m/>
    <s v="MATERIAL COST"/>
    <s v="Expenses"/>
    <s v="731002"/>
    <s v="731002 STORE SPARES &amp; CONSUMABLES - GENERAL"/>
    <s v="CWIP-QUARRY RAW MATERIAL SHED EXTENSION"/>
    <s v="QUARRY"/>
    <s v="CIVIL"/>
    <n v="79610.17"/>
    <n v="0"/>
    <n v="79610.17"/>
    <s v="TZS"/>
    <s v="[CCLGC028] NAILS CONCRETE SIZE 4''"/>
    <s v="General Consumables"/>
    <n v="-8"/>
    <s v="KG"/>
    <x v="0"/>
    <x v="0"/>
    <x v="18"/>
    <x v="7"/>
    <n v="31.219674509803919"/>
    <n v="0"/>
  </r>
  <r>
    <n v="43157"/>
    <d v="2025-11-27T14:22:52"/>
    <x v="156"/>
    <s v="STJ/2025/11/14282"/>
    <s v="Inventory Valuation"/>
    <s v="CM/MTI/2025/04254 - [CCLGC023] NAILS SIZE 4'' / MRQ/2025/06080"/>
    <s v="CM/MTI/2025/04254 - [CCLGC023] NAILS SIZE 4'' / MRQ/2025/06080"/>
    <m/>
    <m/>
    <s v="MATERIAL COST"/>
    <s v="Expenses"/>
    <s v="731002"/>
    <s v="731002 STORE SPARES &amp; CONSUMABLES - GENERAL"/>
    <s v="CWIP-QUARRY RAW MATERIAL SHED EXTENSION"/>
    <s v="QUARRY"/>
    <s v="CIVIL"/>
    <n v="45600"/>
    <n v="0"/>
    <n v="45600"/>
    <s v="TZS"/>
    <s v="[CCLGC023] NAILS SIZE 4''"/>
    <s v="General Consumables"/>
    <n v="-8"/>
    <s v="KG"/>
    <x v="0"/>
    <x v="0"/>
    <x v="18"/>
    <x v="7"/>
    <n v="17.882352941176471"/>
    <n v="0"/>
  </r>
  <r>
    <n v="45747"/>
    <d v="2025-11-28T13:27:01"/>
    <x v="157"/>
    <s v="STJ/2025/11/14767"/>
    <s v="Inventory Valuation"/>
    <s v="CM/MTI/2025/04295 - [CCLGC002] AGGREGATE GRANITE SIZE 14 MM TO 20 MM  / MRQ/2025/06101"/>
    <s v="CM/MTI/2025/04295 - [CCLGC002] AGGREGATE GRANITE SIZE 14 MM TO 20 MM  / MRQ/2025/06101"/>
    <m/>
    <m/>
    <s v="MATERIAL COST"/>
    <s v="Expenses"/>
    <s v="731002"/>
    <s v="731002 STORE SPARES &amp; CONSUMABLES - GENERAL"/>
    <s v="CWIP-QUARRY RAW MATERIAL SHED EXTENSION"/>
    <s v="QUARRY"/>
    <s v="CIVIL"/>
    <n v="8507484"/>
    <n v="0"/>
    <n v="8507484"/>
    <s v="TZS"/>
    <s v="[CCLGC002] AGGREGATE GRANITE SIZE 14 MM TO 20 MM "/>
    <s v="General Consumables"/>
    <n v="-78.772999999999996"/>
    <s v="CUM"/>
    <x v="0"/>
    <x v="0"/>
    <x v="18"/>
    <x v="7"/>
    <n v="3336.2682352941179"/>
    <n v="0"/>
  </r>
  <r>
    <n v="48633"/>
    <d v="2025-11-29T10:07:42"/>
    <x v="158"/>
    <s v="STJ/2025/11/15041"/>
    <s v="Inventory Valuation"/>
    <s v="CM/MTI/2025/04313 - [CWCGC041] CUTTING WHEEL 7'' / MRQ/2025/06133_x000a_Rounding Adjustment: +0.01 TSh"/>
    <s v="CM/MTI/2025/04313 - [CWCGC041] CUTTING WHEEL 7'' / MRQ/2025/06133_x000a_Rounding Adjustment: +0.01 TSh"/>
    <m/>
    <m/>
    <s v="MATERIAL COST"/>
    <s v="Expenses"/>
    <s v="731002"/>
    <s v="731002 STORE SPARES &amp; CONSUMABLES - GENERAL"/>
    <s v="CWIP-QUARRY RAW MATERIAL SHED EXTENSION"/>
    <s v="QUARRY"/>
    <s v="CIVIL"/>
    <n v="25762.82"/>
    <n v="0"/>
    <n v="25762.82"/>
    <s v="TZS"/>
    <s v="[CWCGC041] CUTTING WHEEL 7''"/>
    <s v="Gas Cutting"/>
    <n v="-8"/>
    <s v="NOS"/>
    <x v="0"/>
    <x v="0"/>
    <x v="18"/>
    <x v="7"/>
    <n v="10.103066666666667"/>
    <n v="0"/>
  </r>
  <r>
    <n v="48634"/>
    <d v="2025-11-29T10:07:42"/>
    <x v="158"/>
    <s v="STJ/2025/11/15040"/>
    <s v="Inventory Valuation"/>
    <s v="CM/MTI/2025/04313 - [CCLGC327] TMT BAR SIZE 8 MM GRADE FY500. / MRQ/2025/06133_x000a_Rounding Adjustment: +0.01 TSh"/>
    <s v="CM/MTI/2025/04313 - [CCLGC327] TMT BAR SIZE 8 MM GRADE FY500. / MRQ/2025/06133_x000a_Rounding Adjustment: +0.01 TSh"/>
    <m/>
    <m/>
    <s v="MATERIAL COST"/>
    <s v="Expenses"/>
    <s v="731002"/>
    <s v="731002 STORE SPARES &amp; CONSUMABLES - GENERAL"/>
    <s v="CWIP-QUARRY RAW MATERIAL SHED EXTENSION"/>
    <s v="QUARRY"/>
    <s v="CIVIL"/>
    <n v="473256.64"/>
    <n v="0"/>
    <n v="473256.64"/>
    <s v="TZS"/>
    <s v="[CCLGC327] TMT BAR SIZE 8 MM GRADE FY500."/>
    <s v="General Consumables"/>
    <n v="-50"/>
    <s v="PCS"/>
    <x v="0"/>
    <x v="0"/>
    <x v="18"/>
    <x v="7"/>
    <n v="185.59083921568629"/>
    <n v="0"/>
  </r>
  <r>
    <n v="48636"/>
    <d v="2025-11-29T10:07:42"/>
    <x v="158"/>
    <s v="STJ/2025/11/15039"/>
    <s v="Inventory Valuation"/>
    <s v="CM/MTI/2025/04313 - [CCLGC052] PLYWOOD 8FEET X 4FEET X 18 MM THICK  / MRQ/2025/06133"/>
    <s v="CM/MTI/2025/04313 - [CCLGC052] PLYWOOD 8FEET X 4FEET X 18 MM THICK  / MRQ/2025/06133"/>
    <m/>
    <m/>
    <s v="MATERIAL COST"/>
    <s v="Expenses"/>
    <s v="731002"/>
    <s v="731002 STORE SPARES &amp; CONSUMABLES - GENERAL"/>
    <s v="CWIP-QUARRY RAW MATERIAL SHED EXTENSION"/>
    <s v="QUARRY"/>
    <s v="CIVIL"/>
    <n v="492372.86"/>
    <n v="0"/>
    <n v="492372.86"/>
    <s v="TZS"/>
    <s v="[CCLGC052] PLYWOOD 8FEET X 4FEET X 18 MM THICK "/>
    <s v="General Consumables"/>
    <n v="-14"/>
    <s v="NOS"/>
    <x v="0"/>
    <x v="0"/>
    <x v="18"/>
    <x v="7"/>
    <n v="193.08739607843137"/>
    <n v="0"/>
  </r>
  <r>
    <n v="48639"/>
    <d v="2025-11-29T10:07:42"/>
    <x v="158"/>
    <s v="STJ/2025/11/15038"/>
    <s v="Inventory Valuation"/>
    <s v="CM/MTI/2025/04313 - [CCLGC032] WIRE FOR BINDING / MRQ/2025/06133"/>
    <s v="CM/MTI/2025/04313 - [CCLGC032] WIRE FOR BINDING / MRQ/2025/06133"/>
    <m/>
    <m/>
    <s v="MATERIAL COST"/>
    <s v="Expenses"/>
    <s v="731002"/>
    <s v="731002 STORE SPARES &amp; CONSUMABLES - GENERAL"/>
    <s v="CWIP-QUARRY RAW MATERIAL SHED EXTENSION"/>
    <s v="QUARRY"/>
    <s v="CIVIL"/>
    <n v="150000"/>
    <n v="0"/>
    <n v="150000"/>
    <s v="TZS"/>
    <s v="[CCLGC032] WIRE FOR BINDING"/>
    <s v="General Consumables"/>
    <n v="-30"/>
    <s v="KG"/>
    <x v="0"/>
    <x v="0"/>
    <x v="18"/>
    <x v="7"/>
    <n v="58.823529411764703"/>
    <n v="0"/>
  </r>
  <r>
    <n v="48641"/>
    <d v="2025-11-29T10:07:42"/>
    <x v="158"/>
    <s v="STJ/2025/11/15037"/>
    <s v="Inventory Valuation"/>
    <s v="CM/MTI/2025/04313 - [CCLGC028] NAILS CONCRETE SIZE 4'' / MRQ/2025/06133"/>
    <s v="CM/MTI/2025/04313 - [CCLGC028] NAILS CONCRETE SIZE 4'' / MRQ/2025/06133"/>
    <m/>
    <m/>
    <s v="MATERIAL COST"/>
    <s v="Expenses"/>
    <s v="731002"/>
    <s v="731002 STORE SPARES &amp; CONSUMABLES - GENERAL"/>
    <s v="CWIP-QUARRY RAW MATERIAL SHED EXTENSION"/>
    <s v="QUARRY"/>
    <s v="CIVIL"/>
    <n v="79610.17"/>
    <n v="0"/>
    <n v="79610.17"/>
    <s v="TZS"/>
    <s v="[CCLGC028] NAILS CONCRETE SIZE 4''"/>
    <s v="General Consumables"/>
    <n v="-8"/>
    <s v="KG"/>
    <x v="0"/>
    <x v="0"/>
    <x v="18"/>
    <x v="7"/>
    <n v="31.219674509803919"/>
    <n v="0"/>
  </r>
  <r>
    <n v="48643"/>
    <d v="2025-11-29T10:07:42"/>
    <x v="158"/>
    <s v="STJ/2025/11/15036"/>
    <s v="Inventory Valuation"/>
    <s v="CM/MTI/2025/04313 - [CCLGC023] NAILS SIZE 4'' / MRQ/2025/06133"/>
    <s v="CM/MTI/2025/04313 - [CCLGC023] NAILS SIZE 4'' / MRQ/2025/06133"/>
    <m/>
    <m/>
    <s v="MATERIAL COST"/>
    <s v="Expenses"/>
    <s v="731002"/>
    <s v="731002 STORE SPARES &amp; CONSUMABLES - GENERAL"/>
    <s v="CWIP-QUARRY RAW MATERIAL SHED EXTENSION"/>
    <s v="QUARRY"/>
    <s v="CIVIL"/>
    <n v="22800"/>
    <n v="0"/>
    <n v="22800"/>
    <s v="TZS"/>
    <s v="[CCLGC023] NAILS SIZE 4''"/>
    <s v="General Consumables"/>
    <n v="-4"/>
    <s v="KG"/>
    <x v="0"/>
    <x v="0"/>
    <x v="18"/>
    <x v="7"/>
    <n v="8.9411764705882355"/>
    <n v="0"/>
  </r>
  <r>
    <n v="48698"/>
    <d v="2025-11-29T07:45:08"/>
    <x v="158"/>
    <s v="STJ/2025/11/15008"/>
    <s v="Inventory Valuation"/>
    <s v="CM/MTI/2025/04304 - [FG001] CEMENT 42.5 R / MRQ/2025/06059"/>
    <s v="CM/MTI/2025/04304 - [FG001] CEMENT 42.5 R / MRQ/2025/06059"/>
    <m/>
    <m/>
    <s v="Cost Of Revenue"/>
    <s v="Cost of Revenue"/>
    <s v="721001"/>
    <s v="721001 COST OF GOODS SOLD (COGS)"/>
    <s v="CWIP-CONSTRUCTION OF PLANT BOUNDARY WALL"/>
    <s v="PROJECT"/>
    <s v="CIVIL"/>
    <n v="168779.76"/>
    <n v="0"/>
    <n v="168779.76"/>
    <s v="TZS"/>
    <s v="[FG001] CEMENT 42.5 R"/>
    <s v="Finished Goods"/>
    <n v="-2.5"/>
    <s v="MT"/>
    <x v="0"/>
    <x v="0"/>
    <x v="21"/>
    <x v="8"/>
    <n v="66.188141176470594"/>
    <n v="0"/>
  </r>
  <r>
    <n v="48700"/>
    <d v="2025-11-29T07:45:08"/>
    <x v="158"/>
    <s v="STJ/2025/11/15007"/>
    <s v="Inventory Valuation"/>
    <s v="CM/MTI/2025/04304 - [CPMBG002] BAG EMPTY FOR CEMENT PACKING GRADE 42.5R MATERIAL WOVEN POLYPROPYLENE CAPACITY 50KG COLOR ORANGE / MRQ/2025/06059"/>
    <s v="CM/MTI/2025/04304 - [CPMBG002] BAG EMPTY FOR CEMENT PACKING GRADE 42.5R MATERIAL WOVEN POLYPROPYLENE CAPACITY 50KG COLOR ORANGE / MRQ/2025/06059"/>
    <m/>
    <m/>
    <s v="MATERIAL COST"/>
    <s v="Expenses"/>
    <s v="731006"/>
    <s v="731006 PACKING BAGS CONSUMED"/>
    <s v="CWIP-CONSTRUCTION OF PLANT BOUNDARY WALL"/>
    <s v="PROJECT"/>
    <s v="CIVIL"/>
    <n v="21000"/>
    <n v="0"/>
    <n v="21000"/>
    <s v="TZS"/>
    <s v="[CPMBG002] BAG EMPTY FOR CEMENT PACKING GRADE 42.5R MATERIAL WOVEN POLYPROPYLENE CAPACITY 50KG COLOR ORANGE"/>
    <s v="Bag"/>
    <n v="-50"/>
    <s v="NOS"/>
    <x v="0"/>
    <x v="0"/>
    <x v="21"/>
    <x v="8"/>
    <n v="8.235294117647058"/>
    <n v="0"/>
  </r>
  <r>
    <n v="2549"/>
    <d v="2025-12-02T13:15:17"/>
    <x v="166"/>
    <s v="MISC/2025/12/0073"/>
    <s v="Miscellaneous Operations"/>
    <s v="TRAVELLING EXPENSES "/>
    <s v="BEING SETTLEMENT AGAINST AGAINST IMPREST TAKEN BY ARNOL KADURI DURING TARAWANDA WORKS"/>
    <m/>
    <m/>
    <s v="CAPITAL WORK IN PROGRESS"/>
    <s v="Fixed Assets"/>
    <s v="371056"/>
    <s v="371056 MINERAL EXPLORATION &amp; DEVELOPMENT-TARAWANDA"/>
    <s v="TARAWANDA EXPENSE"/>
    <s v="QUARRY"/>
    <s v="QUARRYING"/>
    <n v="3150000"/>
    <n v="0"/>
    <n v="3150000"/>
    <s v="TZS"/>
    <m/>
    <m/>
    <n v="1"/>
    <m/>
    <x v="0"/>
    <x v="0"/>
    <x v="1"/>
    <x v="1"/>
    <n v="1235.2941176470588"/>
    <m/>
  </r>
  <r>
    <n v="2550"/>
    <d v="2025-12-02T13:15:17"/>
    <x v="166"/>
    <s v="MISC/2025/12/0073"/>
    <s v="Miscellaneous Operations"/>
    <s v="LOCAL TRANSPORT CHARGES "/>
    <s v="BEING SETTLEMENT AGAINST AGAINST IMPREST TAKEN BY ARNOL KADURI DURING TARAWANDA WORKS"/>
    <m/>
    <m/>
    <s v="CAPITAL WORK IN PROGRESS"/>
    <s v="Fixed Assets"/>
    <s v="371056"/>
    <s v="371056 MINERAL EXPLORATION &amp; DEVELOPMENT-TARAWANDA"/>
    <s v="TARAWANDA EXPENSE"/>
    <s v="QUARRY"/>
    <s v="QUARRYING"/>
    <n v="259000"/>
    <n v="0"/>
    <n v="259000"/>
    <s v="TZS"/>
    <m/>
    <m/>
    <n v="1"/>
    <m/>
    <x v="0"/>
    <x v="0"/>
    <x v="1"/>
    <x v="1"/>
    <n v="101.56862745098039"/>
    <m/>
  </r>
  <r>
    <n v="2551"/>
    <d v="2025-12-02T13:15:17"/>
    <x v="166"/>
    <s v="MISC/2025/12/0073"/>
    <s v="Miscellaneous Operations"/>
    <s v="STATIONERY EXPENSES "/>
    <s v="BEING SETTLEMENT AGAINST AGAINST IMPREST TAKEN BY ARNOL KADURI DURING TARAWANDA WORKS"/>
    <m/>
    <m/>
    <s v="CAPITAL WORK IN PROGRESS"/>
    <s v="Fixed Assets"/>
    <s v="371056"/>
    <s v="371056 MINERAL EXPLORATION &amp; DEVELOPMENT-TARAWANDA"/>
    <s v="TARAWANDA EXPENSE"/>
    <s v="QUARRY"/>
    <s v="QUARRYING"/>
    <n v="116000"/>
    <n v="0"/>
    <n v="116000"/>
    <s v="TZS"/>
    <m/>
    <m/>
    <n v="1"/>
    <m/>
    <x v="0"/>
    <x v="0"/>
    <x v="1"/>
    <x v="1"/>
    <n v="45.490196078431374"/>
    <m/>
  </r>
  <r>
    <n v="2560"/>
    <d v="2025-12-02T09:28:24"/>
    <x v="166"/>
    <s v="MISC/2025/12/0069"/>
    <s v="Miscellaneous Operations"/>
    <s v="LAND PURCHASE "/>
    <s v="NMB TZS TT PAID LAND TO MR. HADIJA ATHUMANI KIYUMBO"/>
    <m/>
    <m/>
    <s v="LAND &amp; SITE DEVELOPMENT"/>
    <s v="Fixed Assets"/>
    <s v="301001"/>
    <s v="301001 LAND RIGHTS AQUISITION (TARAWANDA)"/>
    <s v="TARAWANDA EXPENSE"/>
    <s v="HO"/>
    <s v="ADMIN"/>
    <n v="8400100"/>
    <n v="0"/>
    <n v="8400100"/>
    <s v="TZS"/>
    <m/>
    <m/>
    <n v="1"/>
    <m/>
    <x v="0"/>
    <x v="1"/>
    <x v="1"/>
    <x v="1"/>
    <n v="3294.1568627450979"/>
    <m/>
  </r>
  <r>
    <n v="2561"/>
    <d v="2025-12-02T09:24:58"/>
    <x v="166"/>
    <s v="MISC/2025/12/0068"/>
    <s v="Miscellaneous Operations"/>
    <s v="LAND PURCHASE"/>
    <s v="NMB TZS TT PAID LAND TO MR.RAMADHANI HALFAN ZEMBWE"/>
    <m/>
    <m/>
    <s v="LAND &amp; SITE DEVELOPMENT"/>
    <s v="Fixed Assets"/>
    <s v="301001"/>
    <s v="301001 LAND RIGHTS AQUISITION (TARAWANDA)"/>
    <s v="TARAWANDA EXPENSE"/>
    <s v="HO"/>
    <s v="ADMIN"/>
    <n v="5367883"/>
    <n v="0"/>
    <n v="5367883"/>
    <s v="TZS"/>
    <m/>
    <m/>
    <n v="1"/>
    <m/>
    <x v="0"/>
    <x v="1"/>
    <x v="1"/>
    <x v="1"/>
    <n v="2105.0521568627451"/>
    <m/>
  </r>
  <r>
    <n v="4140"/>
    <d v="2025-12-03T09:35:35"/>
    <x v="167"/>
    <s v="PCVHO/2025/12/0067"/>
    <s v="PCV (PETTY CASH HO)"/>
    <s v="LAND PURCHASE "/>
    <s v="Being payment for purchase of land at Tarawanda plot No. TW/R/115 - Mohamedi  Idi Omari"/>
    <m/>
    <m/>
    <s v="LAND &amp; SITE DEVELOPMENT"/>
    <s v="Fixed Assets"/>
    <s v="301001"/>
    <s v="301001 LAND RIGHTS AQUISITION (TARAWANDA)"/>
    <s v="TARAWANDA EXPENSE"/>
    <s v="ADMIN"/>
    <s v="ADMIN"/>
    <n v="747000"/>
    <n v="0"/>
    <n v="747000"/>
    <s v="TZS"/>
    <m/>
    <m/>
    <n v="1"/>
    <m/>
    <x v="0"/>
    <x v="1"/>
    <x v="1"/>
    <x v="1"/>
    <n v="292.94117647058823"/>
    <m/>
  </r>
  <r>
    <n v="4143"/>
    <d v="2025-12-03T09:33:02"/>
    <x v="167"/>
    <s v="PCVHO/2025/12/0066"/>
    <s v="PCV (PETTY CASH HO)"/>
    <s v="LAND PURCHASE "/>
    <s v="Being payment for purchase of land at Tarawanda plot No. TW/F1/072- Mohamedi A. Mohamedi"/>
    <m/>
    <m/>
    <s v="LAND &amp; SITE DEVELOPMENT"/>
    <s v="Fixed Assets"/>
    <s v="301001"/>
    <s v="301001 LAND RIGHTS AQUISITION (TARAWANDA)"/>
    <s v="TARAWANDA EXPENSE"/>
    <s v="ADMIN"/>
    <s v="ADMIN"/>
    <n v="759000"/>
    <n v="0"/>
    <n v="759000"/>
    <s v="TZS"/>
    <m/>
    <m/>
    <n v="1"/>
    <m/>
    <x v="0"/>
    <x v="1"/>
    <x v="1"/>
    <x v="1"/>
    <n v="297.64705882352939"/>
    <m/>
  </r>
  <r>
    <n v="4145"/>
    <d v="2025-12-03T09:29:37"/>
    <x v="167"/>
    <s v="PCVHO/2025/12/0065"/>
    <s v="PCV (PETTY CASH HO)"/>
    <s v="LAND PURCHASE "/>
    <s v="Being payment for purchase of land at Tarawanda plot No. TW/W7/149 - Ramadhani H. Zembwe"/>
    <m/>
    <m/>
    <s v="LAND &amp; SITE DEVELOPMENT"/>
    <s v="Fixed Assets"/>
    <s v="301001"/>
    <s v="301001 LAND RIGHTS AQUISITION (TARAWANDA)"/>
    <s v="TARAWANDA EXPENSE"/>
    <s v="ADMIN"/>
    <s v="ADMIN"/>
    <n v="187000"/>
    <n v="0"/>
    <n v="187000"/>
    <s v="TZS"/>
    <m/>
    <m/>
    <n v="1"/>
    <m/>
    <x v="0"/>
    <x v="1"/>
    <x v="1"/>
    <x v="1"/>
    <n v="73.333333333333329"/>
    <m/>
  </r>
  <r>
    <n v="4147"/>
    <d v="2025-12-03T09:27:37"/>
    <x v="167"/>
    <s v="PCVHO/2025/12/0064"/>
    <s v="PCV (PETTY CASH HO)"/>
    <s v="LAND PURCHASE "/>
    <s v="Being payment for purchase of land at Tarawanda plot No. TW/S/073 - Miraji Saidi Vuteni"/>
    <m/>
    <m/>
    <s v="LAND &amp; SITE DEVELOPMENT"/>
    <s v="Fixed Assets"/>
    <s v="301001"/>
    <s v="301001 LAND RIGHTS AQUISITION (TARAWANDA)"/>
    <s v="TARAWANDA EXPENSE"/>
    <s v="ADMIN"/>
    <s v="ADMIN"/>
    <n v="494000"/>
    <n v="0"/>
    <n v="494000"/>
    <s v="TZS"/>
    <m/>
    <m/>
    <n v="1"/>
    <m/>
    <x v="0"/>
    <x v="1"/>
    <x v="1"/>
    <x v="1"/>
    <n v="193.72549019607843"/>
    <m/>
  </r>
  <r>
    <n v="4148"/>
    <d v="2025-12-03T09:25:43"/>
    <x v="167"/>
    <s v="PCVHO/2025/12/0063"/>
    <s v="PCV (PETTY CASH HO)"/>
    <s v="LAND PURCHASE "/>
    <s v="Being payment for purchase of land at Tarawanda plot No. TW/O1/135 - Mohamedi A. Mohamedi"/>
    <m/>
    <m/>
    <s v="LAND &amp; SITE DEVELOPMENT"/>
    <s v="Fixed Assets"/>
    <s v="301001"/>
    <s v="301001 LAND RIGHTS AQUISITION (TARAWANDA)"/>
    <s v="TARAWANDA EXPENSE"/>
    <s v="ADMIN"/>
    <s v="ADMIN"/>
    <n v="2648690"/>
    <n v="0"/>
    <n v="2648690"/>
    <s v="TZS"/>
    <m/>
    <m/>
    <n v="1"/>
    <m/>
    <x v="0"/>
    <x v="1"/>
    <x v="1"/>
    <x v="1"/>
    <n v="1038.7019607843138"/>
    <m/>
  </r>
  <r>
    <n v="4151"/>
    <d v="2025-12-03T09:24:03"/>
    <x v="167"/>
    <s v="PCVHO/2025/12/0062"/>
    <s v="PCV (PETTY CASH HO)"/>
    <s v="LAND PURCHASE "/>
    <s v="Being payment for purchase of land at Tarawanda plot No. TW/O1/135 - Mohamedi A. Mohamedi"/>
    <m/>
    <m/>
    <s v="LAND &amp; SITE DEVELOPMENT"/>
    <s v="Fixed Assets"/>
    <s v="301001"/>
    <s v="301001 LAND RIGHTS AQUISITION (TARAWANDA)"/>
    <s v="TARAWANDA EXPENSE"/>
    <s v="ADMIN"/>
    <s v="ADMIN"/>
    <n v="229000"/>
    <n v="0"/>
    <n v="229000"/>
    <s v="TZS"/>
    <m/>
    <m/>
    <n v="1"/>
    <m/>
    <x v="0"/>
    <x v="1"/>
    <x v="1"/>
    <x v="1"/>
    <n v="89.803921568627445"/>
    <m/>
  </r>
  <r>
    <n v="4153"/>
    <d v="2025-12-03T09:00:08"/>
    <x v="167"/>
    <s v="PCVHO/2025/12/0061"/>
    <s v="PCV (PETTY CASH HO)"/>
    <s v="LAND PURCHASE "/>
    <s v="Being payment for purchase of land at Tarawanda plot No. TW/A3 - Fadhili B. Mfaume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1"/>
    <x v="1"/>
    <n v="176.47058823529412"/>
    <m/>
  </r>
  <r>
    <n v="4154"/>
    <d v="2025-12-03T08:57:48"/>
    <x v="167"/>
    <s v="PCVHO/2025/12/0060"/>
    <s v="PCV (PETTY CASH HO)"/>
    <s v="LAND PURCHASE"/>
    <s v="Being payment for purchase of land at Tarawanda plot No. TW/T/147 - Ramadhani Hamisi Kiumbo"/>
    <m/>
    <m/>
    <s v="LAND &amp; SITE DEVELOPMENT"/>
    <s v="Fixed Assets"/>
    <s v="301001"/>
    <s v="301001 LAND RIGHTS AQUISITION (TARAWANDA)"/>
    <s v="TARAWANDA EXPENSE"/>
    <s v="ADMIN"/>
    <s v="ADMIN"/>
    <n v="4304526"/>
    <n v="0"/>
    <n v="4304526"/>
    <s v="TZS"/>
    <m/>
    <m/>
    <n v="1"/>
    <m/>
    <x v="0"/>
    <x v="1"/>
    <x v="1"/>
    <x v="1"/>
    <n v="1688.0494117647058"/>
    <m/>
  </r>
  <r>
    <n v="4157"/>
    <d v="2025-12-03T08:56:20"/>
    <x v="167"/>
    <s v="PCVHO/2025/12/0059"/>
    <s v="PCV (PETTY CASH HO)"/>
    <s v="LAND PURCHASE "/>
    <s v="Being payment for purchase of land at Tarawanda plot No. TW/T/147 - Ramadhani Hamisi Kiumbo"/>
    <m/>
    <m/>
    <s v="LAND &amp; SITE DEVELOPMENT"/>
    <s v="Fixed Assets"/>
    <s v="301001"/>
    <s v="301001 LAND RIGHTS AQUISITION (TARAWANDA)"/>
    <s v="TARAWANDA EXPENSE"/>
    <s v="ADMIN"/>
    <s v="ADMIN"/>
    <n v="347000"/>
    <n v="0"/>
    <n v="347000"/>
    <s v="TZS"/>
    <m/>
    <m/>
    <n v="1"/>
    <m/>
    <x v="0"/>
    <x v="1"/>
    <x v="1"/>
    <x v="1"/>
    <n v="136.07843137254903"/>
    <m/>
  </r>
  <r>
    <n v="4158"/>
    <d v="2025-12-03T08:54:13"/>
    <x v="167"/>
    <s v="PCVHO/2025/12/0058"/>
    <s v="PCV (PETTY CASH HO)"/>
    <s v="LAND PURCHASE "/>
    <s v="Being payment for purchase of land at Tarawanda plot No. TW/Q4 - Naima M. Athumani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1"/>
    <x v="1"/>
    <n v="176.47058823529412"/>
    <m/>
  </r>
  <r>
    <n v="4160"/>
    <d v="2025-12-03T08:52:34"/>
    <x v="167"/>
    <s v="PCVHO/2025/12/0057"/>
    <s v="PCV (PETTY CASH HO)"/>
    <s v="LAND PURCHASE "/>
    <s v="Being payment for purchase of land at Tarawanda plot No. TW/K3/087 - Masudi I. Hassani"/>
    <m/>
    <m/>
    <s v="LAND &amp; SITE DEVELOPMENT"/>
    <s v="Fixed Assets"/>
    <s v="301001"/>
    <s v="301001 LAND RIGHTS AQUISITION (TARAWANDA)"/>
    <s v="TARAWANDA EXPENSE"/>
    <s v="ADMIN"/>
    <s v="ADMIN"/>
    <n v="567988"/>
    <n v="0"/>
    <n v="567988"/>
    <s v="TZS"/>
    <m/>
    <m/>
    <n v="1"/>
    <m/>
    <x v="0"/>
    <x v="1"/>
    <x v="1"/>
    <x v="1"/>
    <n v="222.74039215686275"/>
    <m/>
  </r>
  <r>
    <n v="4163"/>
    <d v="2025-12-03T08:49:21"/>
    <x v="167"/>
    <s v="PCVHO/2025/12/0056"/>
    <s v="PCV (PETTY CASH HO)"/>
    <s v="LAND PURCHASE "/>
    <s v="Being payment for purchase of land at Tarawanda plot No. TW/J3/088 - Rashidi Ramadhani Kauzeni"/>
    <m/>
    <m/>
    <s v="LAND &amp; SITE DEVELOPMENT"/>
    <s v="Fixed Assets"/>
    <s v="301001"/>
    <s v="301001 LAND RIGHTS AQUISITION (TARAWANDA)"/>
    <s v="TARAWANDA EXPENSE"/>
    <s v="ADMIN"/>
    <s v="ADMIN"/>
    <n v="467698"/>
    <n v="0"/>
    <n v="467698"/>
    <s v="TZS"/>
    <m/>
    <m/>
    <n v="1"/>
    <m/>
    <x v="0"/>
    <x v="1"/>
    <x v="1"/>
    <x v="1"/>
    <n v="183.41098039215686"/>
    <m/>
  </r>
  <r>
    <n v="4165"/>
    <d v="2025-12-03T08:47:21"/>
    <x v="167"/>
    <s v="PCVHO/2025/12/0055"/>
    <s v="PCV (PETTY CASH HO)"/>
    <s v="LAND PURCHASE "/>
    <s v="Being payment for purchase of land at Tarawanda plot No. TW/Y1 - Pili Rashidi Ramadhani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1"/>
    <x v="1"/>
    <n v="176.47058823529412"/>
    <m/>
  </r>
  <r>
    <n v="4166"/>
    <d v="2025-12-03T08:45:22"/>
    <x v="167"/>
    <s v="PCVHO/2025/12/0054"/>
    <s v="PCV (PETTY CASH HO)"/>
    <s v="LAND PURCHASE "/>
    <s v="Being payment for purchase of land at Tarawanda plot No. TW/P6/091 - Ester P. Bundala"/>
    <m/>
    <m/>
    <s v="LAND &amp; SITE DEVELOPMENT"/>
    <s v="Fixed Assets"/>
    <s v="301001"/>
    <s v="301001 LAND RIGHTS AQUISITION (TARAWANDA)"/>
    <s v="TARAWANDA EXPENSE"/>
    <s v="ADMIN"/>
    <s v="ADMIN"/>
    <n v="735000"/>
    <n v="0"/>
    <n v="735000"/>
    <s v="TZS"/>
    <m/>
    <m/>
    <n v="1"/>
    <m/>
    <x v="0"/>
    <x v="1"/>
    <x v="1"/>
    <x v="1"/>
    <n v="288.23529411764707"/>
    <m/>
  </r>
  <r>
    <n v="4169"/>
    <d v="2025-12-03T08:43:54"/>
    <x v="167"/>
    <s v="PCVHO/2025/12/0053"/>
    <s v="PCV (PETTY CASH HO)"/>
    <s v="LAND PURCHASE "/>
    <s v="Being payment for purchase of land at Tarawanda plot No. TW/P6/091 - Ester P. Bundala"/>
    <m/>
    <m/>
    <s v="LAND &amp; SITE DEVELOPMENT"/>
    <s v="Fixed Assets"/>
    <s v="301001"/>
    <s v="301001 LAND RIGHTS AQUISITION (TARAWANDA)"/>
    <s v="TARAWANDA EXPENSE"/>
    <s v="ADMIN"/>
    <s v="ADMIN"/>
    <n v="69000"/>
    <n v="0"/>
    <n v="69000"/>
    <s v="TZS"/>
    <m/>
    <m/>
    <n v="1"/>
    <m/>
    <x v="0"/>
    <x v="1"/>
    <x v="1"/>
    <x v="1"/>
    <n v="27.058823529411764"/>
    <m/>
  </r>
  <r>
    <n v="4171"/>
    <d v="2025-12-03T08:42:00"/>
    <x v="167"/>
    <s v="PCVHO/2025/12/0052"/>
    <s v="PCV (PETTY CASH HO)"/>
    <s v="LAND PURCHASE "/>
    <s v="Being payment for purchase of land at Tarawanda plot No. TW/02/117 - Juma R. Selemani"/>
    <m/>
    <m/>
    <s v="LAND &amp; SITE DEVELOPMENT"/>
    <s v="Fixed Assets"/>
    <s v="301001"/>
    <s v="301001 LAND RIGHTS AQUISITION (TARAWANDA)"/>
    <s v="TARAWANDA EXPENSE"/>
    <s v="ADMIN"/>
    <s v="ADMIN"/>
    <n v="2190793"/>
    <n v="0"/>
    <n v="2190793"/>
    <s v="TZS"/>
    <m/>
    <m/>
    <n v="1"/>
    <m/>
    <x v="0"/>
    <x v="1"/>
    <x v="1"/>
    <x v="1"/>
    <n v="859.13450980392156"/>
    <m/>
  </r>
  <r>
    <n v="4173"/>
    <d v="2025-12-03T08:39:51"/>
    <x v="167"/>
    <s v="PCVHO/2025/12/0051"/>
    <s v="PCV (PETTY CASH HO)"/>
    <s v="LAND PURCHASE "/>
    <s v="Being payment for purchase of land at Tarawanda plot No. TW/M3/135/1- Riziki Mohamedi Athumani"/>
    <m/>
    <m/>
    <s v="LAND &amp; SITE DEVELOPMENT"/>
    <s v="Fixed Assets"/>
    <s v="301001"/>
    <s v="301001 LAND RIGHTS AQUISITION (TARAWANDA)"/>
    <s v="TARAWANDA EXPENSE"/>
    <s v="ADMIN"/>
    <s v="ADMIN"/>
    <n v="1949884"/>
    <n v="0"/>
    <n v="1949884"/>
    <s v="TZS"/>
    <m/>
    <m/>
    <n v="1"/>
    <m/>
    <x v="0"/>
    <x v="1"/>
    <x v="1"/>
    <x v="1"/>
    <n v="764.66039215686271"/>
    <m/>
  </r>
  <r>
    <n v="4174"/>
    <d v="2025-12-03T08:37:30"/>
    <x v="167"/>
    <s v="PCVHO/2025/12/0050"/>
    <s v="PCV (PETTY CASH HO)"/>
    <s v="LAND PURCHASE "/>
    <s v="Being payment for purchase of land at Tarawanda plot No. TW/ B5 - Riziki Mohamedi Athumani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1"/>
    <x v="1"/>
    <n v="176.47058823529412"/>
    <m/>
  </r>
  <r>
    <n v="4177"/>
    <d v="2025-12-03T07:38:06"/>
    <x v="167"/>
    <s v="PCVHO/2025/12/0049"/>
    <s v="PCV (PETTY CASH HO)"/>
    <s v="LAND PURCHASE "/>
    <s v="Being payment for purchase of land  at Tarawanda plot No. TW/Q/070 - Ramadahani M. Ramadhani"/>
    <m/>
    <m/>
    <s v="LAND &amp; SITE DEVELOPMENT"/>
    <s v="Fixed Assets"/>
    <s v="301001"/>
    <s v="301001 LAND RIGHTS AQUISITION (TARAWANDA)"/>
    <s v="TARAWANDA EXPENSE"/>
    <s v="ADMIN"/>
    <s v="ADMIN"/>
    <n v="4203608"/>
    <n v="0"/>
    <n v="4203608"/>
    <s v="TZS"/>
    <m/>
    <m/>
    <n v="1"/>
    <m/>
    <x v="0"/>
    <x v="1"/>
    <x v="1"/>
    <x v="1"/>
    <n v="1648.4737254901961"/>
    <m/>
  </r>
  <r>
    <n v="4178"/>
    <d v="2025-12-03T07:36:21"/>
    <x v="167"/>
    <s v="PCVHO/2025/12/0048"/>
    <s v="PCV (PETTY CASH HO)"/>
    <s v="LAND PURCHASE "/>
    <s v="Being payment for purchase of land  at Tarawanda plot No. TW/Q/070 - Ramadahani M. Ramadhani"/>
    <m/>
    <m/>
    <s v="LAND &amp; SITE DEVELOPMENT"/>
    <s v="Fixed Assets"/>
    <s v="301001"/>
    <s v="301001 LAND RIGHTS AQUISITION (TARAWANDA)"/>
    <s v="TARAWANDA EXPENSE"/>
    <s v="ADMIN"/>
    <s v="ADMIN"/>
    <n v="329000"/>
    <n v="0"/>
    <n v="329000"/>
    <s v="TZS"/>
    <m/>
    <m/>
    <n v="1"/>
    <m/>
    <x v="0"/>
    <x v="1"/>
    <x v="1"/>
    <x v="1"/>
    <n v="129.01960784313727"/>
    <m/>
  </r>
  <r>
    <n v="4180"/>
    <d v="2025-12-03T07:12:58"/>
    <x v="167"/>
    <s v="PCVHO/2025/12/0047"/>
    <s v="PCV (PETTY CASH HO)"/>
    <s v="LAND PURCHASE "/>
    <s v="Being payment for purchase of land  at Tarawanda plot No. TWL - Pili Saidi Dibwe"/>
    <m/>
    <m/>
    <s v="LAND &amp; SITE DEVELOPMENT"/>
    <s v="Fixed Assets"/>
    <s v="301001"/>
    <s v="301001 LAND RIGHTS AQUISITION (TARAWANDA)"/>
    <s v="TARAWANDA EXPENSE"/>
    <s v="ADMIN"/>
    <s v="ADMIN"/>
    <n v="506000"/>
    <n v="0"/>
    <n v="506000"/>
    <s v="TZS"/>
    <m/>
    <m/>
    <n v="1"/>
    <m/>
    <x v="0"/>
    <x v="1"/>
    <x v="1"/>
    <x v="1"/>
    <n v="198.43137254901961"/>
    <m/>
  </r>
  <r>
    <n v="4183"/>
    <d v="2025-12-03T07:10:12"/>
    <x v="167"/>
    <s v="PCVHO/2025/12/0046"/>
    <s v="PCV (PETTY CASH HO)"/>
    <s v="LAND PURCHASE "/>
    <s v="Being payment for purchase of land  at Tarawanda plot No. TW/U3/124 - Hamadi Shabani Kufikili"/>
    <m/>
    <m/>
    <s v="LAND &amp; SITE DEVELOPMENT"/>
    <s v="Fixed Assets"/>
    <s v="301001"/>
    <s v="301001 LAND RIGHTS AQUISITION (TARAWANDA)"/>
    <s v="TARAWANDA EXPENSE"/>
    <s v="ADMIN"/>
    <s v="ADMIN"/>
    <n v="3707261"/>
    <n v="0"/>
    <n v="3707261"/>
    <s v="TZS"/>
    <m/>
    <m/>
    <n v="1"/>
    <m/>
    <x v="0"/>
    <x v="1"/>
    <x v="1"/>
    <x v="1"/>
    <n v="1453.8278431372548"/>
    <m/>
  </r>
  <r>
    <n v="4184"/>
    <d v="2025-12-03T07:07:51"/>
    <x v="167"/>
    <s v="PCVHO/2025/12/0045"/>
    <s v="PCV (PETTY CASH HO)"/>
    <s v="LAND PURCHASE "/>
    <s v="Being payment for purchase of land  at Tarawanda plot No. TW/D2/130 - Shabani M. Dibwe"/>
    <m/>
    <m/>
    <s v="LAND &amp; SITE DEVELOPMENT"/>
    <s v="Fixed Assets"/>
    <s v="301001"/>
    <s v="301001 LAND RIGHTS AQUISITION (TARAWANDA)"/>
    <s v="TARAWANDA EXPENSE"/>
    <s v="ADMIN"/>
    <s v="ADMIN"/>
    <n v="706763"/>
    <n v="0"/>
    <n v="706763"/>
    <s v="TZS"/>
    <m/>
    <m/>
    <n v="1"/>
    <m/>
    <x v="0"/>
    <x v="1"/>
    <x v="1"/>
    <x v="1"/>
    <n v="277.16196078431375"/>
    <m/>
  </r>
  <r>
    <n v="4186"/>
    <d v="2025-12-03T07:00:38"/>
    <x v="167"/>
    <s v="PCVHO/2025/12/0044"/>
    <s v="PCV (PETTY CASH HO)"/>
    <s v="LAND PURCHASE "/>
    <s v="Being payment for purchase of land  at Tarawanda plot No. TW/W2 - Ramadhani H. Zembwe"/>
    <m/>
    <m/>
    <s v="LAND &amp; SITE DEVELOPMENT"/>
    <s v="Fixed Assets"/>
    <s v="301001"/>
    <s v="301001 LAND RIGHTS AQUISITION (TARAWANDA)"/>
    <s v="TARAWANDA EXPENSE"/>
    <s v="ADMIN"/>
    <s v="ADMIN"/>
    <n v="583000"/>
    <n v="0"/>
    <n v="583000"/>
    <s v="TZS"/>
    <m/>
    <m/>
    <n v="1"/>
    <m/>
    <x v="0"/>
    <x v="1"/>
    <x v="1"/>
    <x v="1"/>
    <n v="228.62745098039215"/>
    <m/>
  </r>
  <r>
    <n v="4188"/>
    <d v="2025-12-03T06:57:17"/>
    <x v="167"/>
    <s v="PCVHO/2025/12/0043"/>
    <s v="PCV (PETTY CASH HO)"/>
    <s v="LAND PURCHASE "/>
    <s v="Being payment for purchase of land  at Tarawanda plot No. TW/C3 - Ramadhani H. Zembwe"/>
    <m/>
    <m/>
    <s v="LAND &amp; SITE DEVELOPMENT"/>
    <s v="Fixed Assets"/>
    <s v="301001"/>
    <s v="301001 LAND RIGHTS AQUISITION (TARAWANDA)"/>
    <s v="TARAWANDA EXPENSE"/>
    <s v="ADMIN"/>
    <s v="ADMIN"/>
    <n v="594000"/>
    <n v="0"/>
    <n v="594000"/>
    <s v="TZS"/>
    <m/>
    <m/>
    <n v="1"/>
    <m/>
    <x v="0"/>
    <x v="1"/>
    <x v="1"/>
    <x v="1"/>
    <n v="232.94117647058823"/>
    <m/>
  </r>
  <r>
    <n v="4191"/>
    <d v="2025-12-03T06:54:13"/>
    <x v="167"/>
    <s v="PCVHO/2025/12/0042"/>
    <s v="PCV (PETTY CASH HO)"/>
    <s v="LAND PURCHASE "/>
    <s v="Being payment for purchase of land  at Tarawanda plot No. TW/T5 - Ramadhani Idi Omari"/>
    <m/>
    <m/>
    <s v="LAND &amp; SITE DEVELOPMENT"/>
    <s v="Fixed Assets"/>
    <s v="301001"/>
    <s v="301001 LAND RIGHTS AQUISITION (TARAWANDA)"/>
    <s v="TARAWANDA EXPENSE"/>
    <s v="ADMIN"/>
    <s v="ADMIN"/>
    <n v="94000"/>
    <n v="0"/>
    <n v="94000"/>
    <s v="TZS"/>
    <m/>
    <m/>
    <n v="1"/>
    <m/>
    <x v="0"/>
    <x v="1"/>
    <x v="1"/>
    <x v="1"/>
    <n v="36.862745098039213"/>
    <m/>
  </r>
  <r>
    <n v="4192"/>
    <d v="2025-12-03T06:51:59"/>
    <x v="167"/>
    <s v="PCVHO/2025/12/0041"/>
    <s v="PCV (PETTY CASH HO)"/>
    <s v="PURCHASE OF LAND "/>
    <s v="Being payment for purchase of land  at Tarawanda plot No. TW/T5 - Ramadhani Idi Omari"/>
    <m/>
    <m/>
    <s v="LAND &amp; SITE DEVELOPMENT"/>
    <s v="Fixed Assets"/>
    <s v="301001"/>
    <s v="301001 LAND RIGHTS AQUISITION (TARAWANDA)"/>
    <s v="TARAWANDA EXPENSE"/>
    <s v="ADMIN"/>
    <s v="ADMIN"/>
    <n v="940000"/>
    <n v="0"/>
    <n v="940000"/>
    <s v="TZS"/>
    <m/>
    <m/>
    <n v="1"/>
    <m/>
    <x v="0"/>
    <x v="1"/>
    <x v="1"/>
    <x v="1"/>
    <n v="368.62745098039215"/>
    <m/>
  </r>
  <r>
    <n v="4194"/>
    <d v="2025-12-03T06:40:54"/>
    <x v="167"/>
    <s v="PCVHO/2025/12/0040"/>
    <s v="PCV (PETTY CASH HO)"/>
    <s v="PURCHASE OF LAND "/>
    <s v="Being payment for purchase of land  at Tarawanda plot No. TW/U7 - Athumani J. Funza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1"/>
    <x v="1"/>
    <n v="176.47058823529412"/>
    <m/>
  </r>
  <r>
    <n v="4197"/>
    <d v="2025-12-03T06:39:04"/>
    <x v="167"/>
    <s v="PCVHO/2025/12/0039"/>
    <s v="PCV (PETTY CASH HO)"/>
    <s v="PURCHASE OF LAND "/>
    <s v="Being payment for purchase of land  at Tarawanda plot No. TW/R7/086A - Athumani J. Funza"/>
    <m/>
    <m/>
    <s v="LAND &amp; SITE DEVELOPMENT"/>
    <s v="Fixed Assets"/>
    <s v="301001"/>
    <s v="301001 LAND RIGHTS AQUISITION (TARAWANDA)"/>
    <s v="TARAWANDA EXPENSE"/>
    <s v="ADMIN"/>
    <s v="ADMIN"/>
    <n v="2441875"/>
    <n v="0"/>
    <n v="2441875"/>
    <s v="TZS"/>
    <m/>
    <m/>
    <n v="1"/>
    <m/>
    <x v="0"/>
    <x v="1"/>
    <x v="1"/>
    <x v="1"/>
    <n v="957.5980392156863"/>
    <m/>
  </r>
  <r>
    <n v="4198"/>
    <d v="2025-12-03T06:36:50"/>
    <x v="167"/>
    <s v="PCVHO/2025/12/0038"/>
    <s v="PCV (PETTY CASH HO)"/>
    <s v="PURCHASE OF LAND "/>
    <s v="Being payment for purchase of land  at Tarawanda plot No. TW/H2 - Hamis R. Kilimila"/>
    <m/>
    <m/>
    <s v="LAND &amp; SITE DEVELOPMENT"/>
    <s v="Fixed Assets"/>
    <s v="301001"/>
    <s v="301001 LAND RIGHTS AQUISITION (TARAWANDA)"/>
    <s v="TARAWANDA EXPENSE"/>
    <s v="ADMIN"/>
    <s v="ADMIN"/>
    <n v="450000"/>
    <n v="0"/>
    <n v="450000"/>
    <s v="TZS"/>
    <m/>
    <m/>
    <n v="1"/>
    <m/>
    <x v="0"/>
    <x v="1"/>
    <x v="1"/>
    <x v="1"/>
    <n v="176.47058823529412"/>
    <m/>
  </r>
  <r>
    <n v="4200"/>
    <d v="2025-12-03T06:34:28"/>
    <x v="167"/>
    <s v="PCVHO/2025/12/0037"/>
    <s v="PCV (PETTY CASH HO)"/>
    <s v="PURCHASE OF LAND "/>
    <s v="Being payment for purchase of land  at Tarawanda plot No. TW/L5/098 - Asha M. Athumani"/>
    <m/>
    <m/>
    <s v="LAND &amp; SITE DEVELOPMENT"/>
    <s v="Fixed Assets"/>
    <s v="301001"/>
    <s v="301001 LAND RIGHTS AQUISITION (TARAWANDA)"/>
    <s v="TARAWANDA EXPENSE"/>
    <s v="ADMIN"/>
    <s v="ADMIN"/>
    <n v="1182198"/>
    <n v="0"/>
    <n v="1182198"/>
    <s v="TZS"/>
    <m/>
    <m/>
    <n v="1"/>
    <m/>
    <x v="0"/>
    <x v="1"/>
    <x v="1"/>
    <x v="1"/>
    <n v="463.60705882352943"/>
    <m/>
  </r>
  <r>
    <n v="4203"/>
    <d v="2025-12-03T06:32:30"/>
    <x v="167"/>
    <s v="PCVHO/2025/12/0036"/>
    <s v="PCV (PETTY CASH HO)"/>
    <s v="PURCHASE OF LAND "/>
    <s v="Being payment for purchase of land  at Tarawanda plot No. TW/P4/063 - Asha M. Athumani"/>
    <m/>
    <m/>
    <s v="LAND &amp; SITE DEVELOPMENT"/>
    <s v="Fixed Assets"/>
    <s v="301001"/>
    <s v="301001 LAND RIGHTS AQUISITION (TARAWANDA)"/>
    <s v="TARAWANDA EXPENSE"/>
    <s v="ADMIN"/>
    <s v="ADMIN"/>
    <n v="1180206"/>
    <n v="0"/>
    <n v="1180206"/>
    <s v="TZS"/>
    <m/>
    <m/>
    <n v="1"/>
    <m/>
    <x v="0"/>
    <x v="1"/>
    <x v="1"/>
    <x v="1"/>
    <n v="462.82588235294116"/>
    <m/>
  </r>
  <r>
    <n v="4204"/>
    <d v="2025-12-03T06:30:41"/>
    <x v="167"/>
    <s v="PCVHO/2025/12/0035"/>
    <s v="PCV (PETTY CASH HO)"/>
    <s v="PURCHASE OF LAND "/>
    <s v="Being payment for purchase of land  at Tarawanda plot No. TW/B3/045 - Fatuma Abdul Ally"/>
    <m/>
    <m/>
    <s v="LAND &amp; SITE DEVELOPMENT"/>
    <s v="Fixed Assets"/>
    <s v="301001"/>
    <s v="301001 LAND RIGHTS AQUISITION (TARAWANDA)"/>
    <s v="TARAWANDA EXPENSE"/>
    <s v="ADMIN"/>
    <s v="ADMIN"/>
    <n v="1742911"/>
    <n v="0"/>
    <n v="1742911"/>
    <s v="TZS"/>
    <m/>
    <m/>
    <n v="1"/>
    <m/>
    <x v="0"/>
    <x v="1"/>
    <x v="1"/>
    <x v="1"/>
    <n v="683.49450980392157"/>
    <m/>
  </r>
  <r>
    <n v="4207"/>
    <d v="2025-12-03T06:26:39"/>
    <x v="167"/>
    <s v="PCVHO/2025/12/0034"/>
    <s v="PCV (PETTY CASH HO)"/>
    <s v="PURCHASE OF LAND "/>
    <s v="Being payment for purchase of land  at Tarawanda plot No. TW/D1/134 - Mohamedi A. Mohamedi"/>
    <m/>
    <m/>
    <s v="LAND &amp; SITE DEVELOPMENT"/>
    <s v="Fixed Assets"/>
    <s v="301001"/>
    <s v="301001 LAND RIGHTS AQUISITION (TARAWANDA)"/>
    <s v="TARAWANDA EXPENSE"/>
    <s v="ADMIN"/>
    <s v="ADMIN"/>
    <n v="839111"/>
    <n v="0"/>
    <n v="839111"/>
    <s v="TZS"/>
    <m/>
    <m/>
    <n v="1"/>
    <m/>
    <x v="0"/>
    <x v="1"/>
    <x v="1"/>
    <x v="1"/>
    <n v="329.06313725490196"/>
    <m/>
  </r>
  <r>
    <n v="4209"/>
    <d v="2025-12-03T06:24:28"/>
    <x v="167"/>
    <s v="PCVHO/2025/12/0033"/>
    <s v="PCV (PETTY CASH HO)"/>
    <s v="PURCHASE OF LAND "/>
    <s v="Being payment for purchase of land  at Tarawanda plot No. TW/E1/081 - Mohamedi A. Mohamedi"/>
    <m/>
    <m/>
    <s v="LAND &amp; SITE DEVELOPMENT"/>
    <s v="Fixed Assets"/>
    <s v="301001"/>
    <s v="301001 LAND RIGHTS AQUISITION (TARAWANDA)"/>
    <s v="TARAWANDA EXPENSE"/>
    <s v="ADMIN"/>
    <s v="ADMIN"/>
    <n v="1584157"/>
    <n v="0"/>
    <n v="1584157"/>
    <s v="TZS"/>
    <m/>
    <m/>
    <n v="1"/>
    <m/>
    <x v="0"/>
    <x v="1"/>
    <x v="1"/>
    <x v="1"/>
    <n v="621.23803921568629"/>
    <m/>
  </r>
  <r>
    <n v="4210"/>
    <d v="2025-12-03T06:22:45"/>
    <x v="167"/>
    <s v="PCVHO/2025/12/0032"/>
    <s v="PCV (PETTY CASH HO)"/>
    <s v="PURCHASE OF LAND"/>
    <s v="Being payment for purchase of land  at Tarawanda plot No. TW/E1/081 - Mohamedi A. Mohamedi"/>
    <m/>
    <m/>
    <s v="LAND &amp; SITE DEVELOPMENT"/>
    <s v="Fixed Assets"/>
    <s v="301001"/>
    <s v="301001 LAND RIGHTS AQUISITION (TARAWANDA)"/>
    <s v="TARAWANDA EXPENSE"/>
    <s v="ADMIN"/>
    <s v="ADMIN"/>
    <n v="2424912"/>
    <n v="0"/>
    <n v="2424912"/>
    <s v="TZS"/>
    <m/>
    <m/>
    <n v="1"/>
    <m/>
    <x v="0"/>
    <x v="1"/>
    <x v="1"/>
    <x v="1"/>
    <n v="950.94588235294123"/>
    <m/>
  </r>
  <r>
    <n v="4212"/>
    <d v="2025-12-03T06:19:36"/>
    <x v="167"/>
    <s v="PCVHO/2025/12/0031"/>
    <s v="PCV (PETTY CASH HO)"/>
    <s v="PURCHASE OF LAND "/>
    <s v="Being payment for purchase of land  at Tarawanda plot No. TW/U3/132 - Mohamedi A. Mohamedi"/>
    <m/>
    <m/>
    <s v="LAND &amp; SITE DEVELOPMENT"/>
    <s v="Fixed Assets"/>
    <s v="301001"/>
    <s v="301001 LAND RIGHTS AQUISITION (TARAWANDA)"/>
    <s v="TARAWANDA EXPENSE"/>
    <s v="ADMIN"/>
    <s v="ADMIN"/>
    <n v="2529784"/>
    <n v="0"/>
    <n v="2529784"/>
    <s v="TZS"/>
    <m/>
    <m/>
    <n v="1"/>
    <m/>
    <x v="0"/>
    <x v="1"/>
    <x v="1"/>
    <x v="1"/>
    <n v="992.07215686274515"/>
    <m/>
  </r>
  <r>
    <n v="4214"/>
    <d v="2025-12-03T06:11:46"/>
    <x v="167"/>
    <s v="PCVHO/2025/12/0030"/>
    <s v="PCV (PETTY CASH HO)"/>
    <s v="PURCHASE OF LAND "/>
    <s v="Being payment for purchase of land  at Tarawanda plot No. TW/K5/023 - Mohamedi A. Mohamedi"/>
    <m/>
    <m/>
    <s v="LAND &amp; SITE DEVELOPMENT"/>
    <s v="Fixed Assets"/>
    <s v="301001"/>
    <s v="301001 LAND RIGHTS AQUISITION (TARAWANDA)"/>
    <s v="TARAWANDA EXPENSE"/>
    <s v="ADMIN"/>
    <s v="ADMIN"/>
    <n v="3726387"/>
    <n v="0"/>
    <n v="3726387"/>
    <s v="TZS"/>
    <m/>
    <m/>
    <n v="1"/>
    <m/>
    <x v="0"/>
    <x v="1"/>
    <x v="1"/>
    <x v="1"/>
    <n v="1461.3282352941176"/>
    <m/>
  </r>
  <r>
    <n v="4216"/>
    <d v="2025-12-03T06:09:01"/>
    <x v="167"/>
    <s v="PCVHO/2025/12/0029"/>
    <s v="PCV (PETTY CASH HO)"/>
    <s v="PURCHASE OF LAND "/>
    <s v="Being payment for purchase of land  at Tarawanda plot No. TW/H1/006 - Pili Hamisi Kilimila"/>
    <m/>
    <m/>
    <s v="LAND &amp; SITE DEVELOPMENT"/>
    <s v="Fixed Assets"/>
    <s v="301001"/>
    <s v="301001 LAND RIGHTS AQUISITION (TARAWANDA)"/>
    <s v="TARAWANDA EXPENSE"/>
    <s v="ADMIN"/>
    <s v="ADMIN"/>
    <n v="4683209"/>
    <n v="0"/>
    <n v="4683209"/>
    <s v="TZS"/>
    <m/>
    <m/>
    <n v="1"/>
    <m/>
    <x v="0"/>
    <x v="1"/>
    <x v="1"/>
    <x v="1"/>
    <n v="1836.5525490196078"/>
    <m/>
  </r>
  <r>
    <n v="6273"/>
    <d v="2025-12-04T08:14:20"/>
    <x v="168"/>
    <s v="SERBL/2025/12/0014"/>
    <s v="Service Bills"/>
    <s v="CAR RENTAL CHARGES "/>
    <s v="5288"/>
    <s v="CMLT1147"/>
    <s v="Budget Travels Tours And Cars Rentals Limited"/>
    <s v="CAPITAL WORK IN PROGRESS"/>
    <s v="Fixed Assets"/>
    <s v="371056"/>
    <s v="371056 MINERAL EXPLORATION &amp; DEVELOPMENT-TARAWANDA"/>
    <s v="TARAWANDA EXPENSE"/>
    <s v="ADMIN"/>
    <s v="ADMIN"/>
    <n v="300000"/>
    <n v="0"/>
    <n v="300000"/>
    <s v="TZS"/>
    <m/>
    <m/>
    <n v="1"/>
    <m/>
    <x v="0"/>
    <x v="0"/>
    <x v="1"/>
    <x v="1"/>
    <n v="117.64705882352941"/>
    <m/>
  </r>
  <r>
    <n v="13113"/>
    <d v="2025-12-08T11:15:10"/>
    <x v="169"/>
    <s v="SERBL/2025/12/0032"/>
    <s v="Service Bills"/>
    <s v="AIR TICKET CHARGES "/>
    <s v="ITI00003661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2560560"/>
    <n v="0"/>
    <n v="2560560"/>
    <s v="INR"/>
    <m/>
    <m/>
    <n v="1"/>
    <m/>
    <x v="0"/>
    <x v="0"/>
    <x v="3"/>
    <x v="0"/>
    <n v="1004.1411764705882"/>
    <m/>
  </r>
  <r>
    <n v="13115"/>
    <d v="2025-12-08T11:00:16"/>
    <x v="169"/>
    <s v="SERBL/2025/12/0031"/>
    <s v="Service Bills"/>
    <s v="AIR TICKET CHARGES "/>
    <s v="ITI00003502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5831430.2400000002"/>
    <n v="0"/>
    <n v="5831430.2400000002"/>
    <s v="INR"/>
    <m/>
    <m/>
    <n v="1"/>
    <m/>
    <x v="0"/>
    <x v="0"/>
    <x v="3"/>
    <x v="0"/>
    <n v="2286.8353882352944"/>
    <m/>
  </r>
  <r>
    <n v="13127"/>
    <d v="2025-12-08T09:13:14"/>
    <x v="169"/>
    <s v="SERBL/2025/12/0025"/>
    <s v="Service Bills"/>
    <s v="AIR TICKET CHARGES "/>
    <s v="ITI00003524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3954975.6"/>
    <n v="0"/>
    <n v="3954975.6"/>
    <s v="INR"/>
    <m/>
    <m/>
    <n v="1"/>
    <m/>
    <x v="0"/>
    <x v="0"/>
    <x v="3"/>
    <x v="0"/>
    <n v="1550.9708235294117"/>
    <m/>
  </r>
  <r>
    <n v="13810"/>
    <d v="2025-12-08T11:04:56"/>
    <x v="169"/>
    <s v="DBN/2025/12/0002"/>
    <s v="Service Bills"/>
    <s v="CRN AGAINST AIR TICKET "/>
    <s v="ITC00000466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0"/>
    <n v="5722470.2400000002"/>
    <n v="-5722470.2400000002"/>
    <s v="INR"/>
    <m/>
    <m/>
    <n v="1"/>
    <m/>
    <x v="0"/>
    <x v="0"/>
    <x v="3"/>
    <x v="0"/>
    <n v="-2244.1059764705883"/>
    <m/>
  </r>
  <r>
    <n v="15230"/>
    <d v="2025-12-10T06:18:56"/>
    <x v="170"/>
    <s v="SERBL/2025/12/0044"/>
    <s v="Service Bills"/>
    <s v="CHEMICAL TRANSPORT PERMIT "/>
    <s v="994380609681  FILE NO. LCL/2025/3617 FOR TRAWANDA PROJECT NO LC INVOLVED -B/L NO."/>
    <s v="CMLT1566"/>
    <s v="Government Chemist Laboratory Agency"/>
    <s v="CAPITAL WORK IN PROGRESS"/>
    <s v="Fixed Assets"/>
    <s v="371056"/>
    <s v="371056 MINERAL EXPLORATION &amp; DEVELOPMENT-TARAWANDA"/>
    <s v="TARAWANDA EXPENSE"/>
    <s v="ADMIN"/>
    <s v="ADMIN"/>
    <n v="24500"/>
    <n v="0"/>
    <n v="24500"/>
    <s v="TZS"/>
    <m/>
    <m/>
    <n v="1"/>
    <m/>
    <x v="0"/>
    <x v="0"/>
    <x v="1"/>
    <x v="1"/>
    <n v="9.6078431372549016"/>
    <m/>
  </r>
  <r>
    <n v="15234"/>
    <d v="2025-12-10T06:15:18"/>
    <x v="170"/>
    <s v="SERBL/2025/12/0043"/>
    <s v="Service Bills"/>
    <s v="AGENCY FEE "/>
    <s v="IMPHLL/2025/12/2791 ( V.CODE- AE31F02791 )  FILE NO. LCL/2025/3617 FOR TRAWANDA PROJECT NO LC INVOLVED -B/L NO."/>
    <s v="CMLT0224"/>
    <s v="Honest Logistics Ltd"/>
    <s v="CAPITAL WORK IN PROGRESS"/>
    <s v="Fixed Assets"/>
    <s v="371056"/>
    <s v="371056 MINERAL EXPLORATION &amp; DEVELOPMENT-TARAWANDA"/>
    <s v="TARAWANDA EXPENSE"/>
    <s v="ADMIN"/>
    <s v="ADMIN"/>
    <n v="300000"/>
    <n v="0"/>
    <n v="300000"/>
    <s v="TZS"/>
    <m/>
    <m/>
    <n v="1"/>
    <m/>
    <x v="0"/>
    <x v="0"/>
    <x v="1"/>
    <x v="1"/>
    <n v="117.64705882352941"/>
    <m/>
  </r>
  <r>
    <n v="34140"/>
    <d v="2025-12-19T13:55:05"/>
    <x v="171"/>
    <s v="PCVHO/2025/12/0231"/>
    <s v="PCV (PETTY CASH HO)"/>
    <s v="AIR TICKET REIMBURSEMENT "/>
    <s v="Being payment for reimbursement for air ticket charges for Mr Balu for Tarawanda project - Balu"/>
    <m/>
    <m/>
    <s v="CAPITAL WORK IN PROGRESS"/>
    <s v="Fixed Assets"/>
    <s v="371056"/>
    <s v="371056 MINERAL EXPLORATION &amp; DEVELOPMENT-TARAWANDA"/>
    <s v="TARAWANDA EXPENSE"/>
    <s v="HO"/>
    <s v="ADMIN"/>
    <n v="816644"/>
    <n v="0"/>
    <n v="816644"/>
    <s v="USD"/>
    <m/>
    <m/>
    <n v="1"/>
    <m/>
    <x v="0"/>
    <x v="0"/>
    <x v="1"/>
    <x v="1"/>
    <n v="320.25254901960784"/>
    <m/>
  </r>
  <r>
    <n v="34148"/>
    <d v="2025-12-19T13:22:24"/>
    <x v="171"/>
    <s v="PCVHO/2025/12/0228"/>
    <s v="PCV (PETTY CASH HO)"/>
    <s v="LAND PURCHASE "/>
    <s v="Being payment for purchase of land at Tarawanda plot No. TW E7/127 - Mwajuma Maisha Sadi"/>
    <m/>
    <m/>
    <s v="LAND &amp; SITE DEVELOPMENT"/>
    <s v="Fixed Assets"/>
    <s v="301001"/>
    <s v="301001 LAND RIGHTS AQUISITION (TARAWANDA)"/>
    <s v="TARAWANDA EXPENSE"/>
    <s v="HO"/>
    <s v="ADMIN"/>
    <n v="1390162"/>
    <n v="0"/>
    <n v="1390162"/>
    <s v="TZS"/>
    <m/>
    <m/>
    <n v="1"/>
    <m/>
    <x v="0"/>
    <x v="1"/>
    <x v="1"/>
    <x v="1"/>
    <n v="545.16156862745095"/>
    <m/>
  </r>
  <r>
    <n v="34149"/>
    <d v="2025-12-19T13:06:47"/>
    <x v="171"/>
    <s v="PCVHO/2025/12/0227"/>
    <s v="PCV (PETTY CASH HO)"/>
    <s v="LAND PURCHASE "/>
    <s v="Being payment for purchase of land at Tarawanda plot No. TWN6/086 - Maua . Michael"/>
    <m/>
    <m/>
    <s v="LAND &amp; SITE DEVELOPMENT"/>
    <s v="Fixed Assets"/>
    <s v="301001"/>
    <s v="301001 LAND RIGHTS AQUISITION (TARAWANDA)"/>
    <s v="TARAWANDA EXPENSE"/>
    <s v="HO"/>
    <s v="ADMIN"/>
    <n v="834970"/>
    <n v="0"/>
    <n v="834970"/>
    <s v="TZS"/>
    <m/>
    <m/>
    <n v="1"/>
    <m/>
    <x v="0"/>
    <x v="1"/>
    <x v="1"/>
    <x v="1"/>
    <n v="327.43921568627451"/>
    <m/>
  </r>
  <r>
    <n v="34152"/>
    <d v="2025-12-19T13:04:31"/>
    <x v="171"/>
    <s v="PCVHO/2025/12/0226"/>
    <s v="PCV (PETTY CASH HO)"/>
    <s v="LAND PURCHASE "/>
    <s v="Being payment for purchase of land at Tarawanda plot No. TWN6/086 - Maua . Michael"/>
    <m/>
    <m/>
    <s v="LAND &amp; SITE DEVELOPMENT"/>
    <s v="Fixed Assets"/>
    <s v="301001"/>
    <s v="301001 LAND RIGHTS AQUISITION (TARAWANDA)"/>
    <s v="TARAWANDA EXPENSE"/>
    <s v="HO"/>
    <s v="ADMIN"/>
    <n v="54000"/>
    <n v="0"/>
    <n v="54000"/>
    <s v="TZS"/>
    <m/>
    <m/>
    <n v="1"/>
    <m/>
    <x v="0"/>
    <x v="1"/>
    <x v="1"/>
    <x v="1"/>
    <n v="21.176470588235293"/>
    <m/>
  </r>
  <r>
    <n v="34153"/>
    <d v="2025-12-19T13:01:54"/>
    <x v="171"/>
    <s v="PCVHO/2025/12/0225"/>
    <s v="PCV (PETTY CASH HO)"/>
    <s v="LAND PURCHASE "/>
    <s v="Being payment for purchase of land at Tarawanda plot No. TWP/068 - Juma H. Kiumbo"/>
    <m/>
    <m/>
    <s v="LAND &amp; SITE DEVELOPMENT"/>
    <s v="Fixed Assets"/>
    <s v="301001"/>
    <s v="301001 LAND RIGHTS AQUISITION (TARAWANDA)"/>
    <s v="TARAWANDA EXPENSE"/>
    <s v="HO"/>
    <s v="ADMIN"/>
    <n v="1220000"/>
    <n v="0"/>
    <n v="1220000"/>
    <s v="TZS"/>
    <m/>
    <m/>
    <n v="1"/>
    <m/>
    <x v="0"/>
    <x v="1"/>
    <x v="1"/>
    <x v="1"/>
    <n v="478.43137254901961"/>
    <m/>
  </r>
  <r>
    <n v="34155"/>
    <d v="2025-12-19T12:59:21"/>
    <x v="171"/>
    <s v="PCVHO/2025/12/0224"/>
    <s v="PCV (PETTY CASH HO)"/>
    <s v="LAND PURCHASE "/>
    <s v="Being payment for purchase of land at Tarawanda plot No. TWM7 - Alli M. Romani"/>
    <m/>
    <m/>
    <s v="LAND &amp; SITE DEVELOPMENT"/>
    <s v="Fixed Assets"/>
    <s v="301001"/>
    <s v="301001 LAND RIGHTS AQUISITION (TARAWANDA)"/>
    <s v="TARAWANDA EXPENSE"/>
    <s v="HO"/>
    <s v="ADMIN"/>
    <n v="600000"/>
    <n v="0"/>
    <n v="600000"/>
    <s v="TZS"/>
    <m/>
    <m/>
    <n v="1"/>
    <m/>
    <x v="0"/>
    <x v="1"/>
    <x v="1"/>
    <x v="1"/>
    <n v="235.29411764705881"/>
    <m/>
  </r>
  <r>
    <n v="34167"/>
    <d v="2025-12-19T12:33:07"/>
    <x v="171"/>
    <s v="PCVHO/2025/12/0219"/>
    <s v="PCV (PETTY CASH HO)"/>
    <s v="EXPENSES "/>
    <s v="Being payment for transport allowance for Tarawanda diversion road at Msanga - Benard Mwita"/>
    <m/>
    <m/>
    <s v="CAPITAL WORK IN PROGRESS"/>
    <s v="Fixed Assets"/>
    <s v="371056"/>
    <s v="371056 MINERAL EXPLORATION &amp; DEVELOPMENT-TARAWANDA"/>
    <s v="TARAWANDA EXPENSE"/>
    <s v="HO"/>
    <s v="ADMIN"/>
    <n v="300000"/>
    <n v="0"/>
    <n v="300000"/>
    <s v="TZS"/>
    <m/>
    <m/>
    <n v="1"/>
    <m/>
    <x v="0"/>
    <x v="0"/>
    <x v="1"/>
    <x v="1"/>
    <n v="117.64705882352941"/>
    <m/>
  </r>
  <r>
    <n v="34169"/>
    <d v="2025-12-19T12:30:25"/>
    <x v="171"/>
    <s v="PCVHO/2025/12/0218"/>
    <s v="PCV (PETTY CASH HO)"/>
    <s v="EXPENSES "/>
    <s v="Being payment for transport charges to Tarawanda wtare testing - Asha"/>
    <m/>
    <m/>
    <s v="CAPITAL WORK IN PROGRESS"/>
    <s v="Fixed Assets"/>
    <s v="371056"/>
    <s v="371056 MINERAL EXPLORATION &amp; DEVELOPMENT-TARAWANDA"/>
    <s v="TARAWANDA EXPENSE"/>
    <s v="HO"/>
    <s v="ADMIN"/>
    <n v="200000"/>
    <n v="0"/>
    <n v="200000"/>
    <s v="TZS"/>
    <m/>
    <m/>
    <n v="1"/>
    <m/>
    <x v="0"/>
    <x v="0"/>
    <x v="1"/>
    <x v="1"/>
    <n v="78.431372549019613"/>
    <m/>
  </r>
  <r>
    <n v="34170"/>
    <d v="2025-12-19T12:27:50"/>
    <x v="171"/>
    <s v="PCVHO/2025/12/0217"/>
    <s v="PCV (PETTY CASH HO)"/>
    <s v="EXPENSES "/>
    <s v="Being payment for transport charges from Dar to Tarawanda for testing Dawasa water pipe line - Ramadhan Ramadhan"/>
    <m/>
    <m/>
    <s v="CAPITAL WORK IN PROGRESS"/>
    <s v="Fixed Assets"/>
    <s v="371056"/>
    <s v="371056 MINERAL EXPLORATION &amp; DEVELOPMENT-TARAWANDA"/>
    <s v="TARAWANDA EXPENSE"/>
    <s v="HO"/>
    <s v="ADMIN"/>
    <n v="200000"/>
    <n v="0"/>
    <n v="200000"/>
    <s v="TZS"/>
    <m/>
    <m/>
    <n v="1"/>
    <m/>
    <x v="0"/>
    <x v="0"/>
    <x v="1"/>
    <x v="1"/>
    <n v="78.431372549019613"/>
    <m/>
  </r>
  <r>
    <n v="34173"/>
    <d v="2025-12-19T12:25:20"/>
    <x v="171"/>
    <s v="PCVHO/2025/12/0216"/>
    <s v="PCV (PETTY CASH HO)"/>
    <s v="EXPENSES "/>
    <s v="Being payment for allowance for collecting water sample at Tarawanda - Asha"/>
    <m/>
    <m/>
    <s v="CAPITAL WORK IN PROGRESS"/>
    <s v="Fixed Assets"/>
    <s v="371056"/>
    <s v="371056 MINERAL EXPLORATION &amp; DEVELOPMENT-TARAWANDA"/>
    <s v="TARAWANDA EXPENSE"/>
    <s v="ADMIN"/>
    <s v="ADMIN"/>
    <n v="130000"/>
    <n v="0"/>
    <n v="130000"/>
    <s v="TZS"/>
    <m/>
    <m/>
    <n v="1"/>
    <m/>
    <x v="0"/>
    <x v="0"/>
    <x v="1"/>
    <x v="1"/>
    <n v="50.980392156862742"/>
    <m/>
  </r>
  <r>
    <n v="37913"/>
    <d v="2025-12-22T09:26:52"/>
    <x v="172"/>
    <s v="SERBL/2025/12/0114"/>
    <s v="Service Bills"/>
    <s v="CHEMICAL IMPORT PERMIT "/>
    <s v="994380589378  FILE NO. LCL/2025/2534 FOR TARAWANDA PROJECT-B/L NO."/>
    <s v="CMLT1566"/>
    <s v="Government Chemist Laboratory Agency"/>
    <s v="CAPITAL WORK IN PROGRESS"/>
    <s v="Fixed Assets"/>
    <s v="371056"/>
    <s v="371056 MINERAL EXPLORATION &amp; DEVELOPMENT-TARAWANDA"/>
    <s v="TARAWANDA EXPENSE"/>
    <s v="HO"/>
    <s v="ADMIN"/>
    <n v="50000"/>
    <n v="0"/>
    <n v="50000"/>
    <s v="TZS"/>
    <m/>
    <m/>
    <n v="1"/>
    <m/>
    <x v="0"/>
    <x v="0"/>
    <x v="1"/>
    <x v="1"/>
    <n v="19.607843137254903"/>
    <m/>
  </r>
  <r>
    <n v="37914"/>
    <d v="2025-12-22T09:21:49"/>
    <x v="172"/>
    <s v="SERBL/2025/12/0113"/>
    <s v="Service Bills"/>
    <s v="CHEMICAL IMPORT PERMIT "/>
    <s v="994380589853  FILE NO. LCL/2025/2534 FOR TARAWANDA PROJECT-B/L NO."/>
    <s v="CMLT1566"/>
    <s v="Government Chemist Laboratory Agency"/>
    <s v="CAPITAL WORK IN PROGRESS"/>
    <s v="Fixed Assets"/>
    <s v="371056"/>
    <s v="371056 MINERAL EXPLORATION &amp; DEVELOPMENT-TARAWANDA"/>
    <s v="TARAWANDA EXPENSE"/>
    <s v="HO"/>
    <s v="ADMIN"/>
    <n v="24550"/>
    <n v="0"/>
    <n v="24550"/>
    <s v="TZS"/>
    <m/>
    <m/>
    <n v="1"/>
    <m/>
    <x v="0"/>
    <x v="0"/>
    <x v="1"/>
    <x v="1"/>
    <n v="9.6274509803921564"/>
    <m/>
  </r>
  <r>
    <n v="37916"/>
    <d v="2025-12-22T09:13:40"/>
    <x v="172"/>
    <s v="SERBL/2025/12/0112"/>
    <s v="Service Bills"/>
    <s v="CHEMICAL TRANSPORT PERMIT "/>
    <s v="994380576194  FILE NO. LCL/2025/2534 FOR TARAWANDA PROJECT-B/L NO."/>
    <s v="CMLT1566"/>
    <s v="Government Chemist Laboratory Agency"/>
    <s v="CAPITAL WORK IN PROGRESS"/>
    <s v="Fixed Assets"/>
    <s v="371056"/>
    <s v="371056 MINERAL EXPLORATION &amp; DEVELOPMENT-TARAWANDA"/>
    <s v="TARAWANDA EXPENSE"/>
    <s v="HO"/>
    <s v="ADMIN"/>
    <n v="320000"/>
    <n v="0"/>
    <n v="320000"/>
    <s v="TZS"/>
    <m/>
    <m/>
    <n v="1"/>
    <m/>
    <x v="0"/>
    <x v="0"/>
    <x v="1"/>
    <x v="1"/>
    <n v="125.49019607843137"/>
    <m/>
  </r>
  <r>
    <n v="40260"/>
    <d v="2025-12-23T13:00:57"/>
    <x v="173"/>
    <s v="PCVHO/2025/12/0271"/>
    <s v="PCV (PETTY CASH HO)"/>
    <s v="ACCOMMODATION "/>
    <s v="Being settlement against imprest taken by Arnold Kaduri for Tarawanda project"/>
    <s v="LCL/KIMB/071"/>
    <s v="ARNOLD KADURI"/>
    <s v="CAPITAL WORK IN PROGRESS"/>
    <s v="Fixed Assets"/>
    <s v="371056"/>
    <s v="371056 MINERAL EXPLORATION &amp; DEVELOPMENT-TARAWANDA"/>
    <s v="TARAWANDA EXPENSE"/>
    <s v="HO"/>
    <s v="ADMIN"/>
    <n v="500000"/>
    <n v="0"/>
    <n v="500000"/>
    <s v="TZS"/>
    <m/>
    <m/>
    <n v="1"/>
    <m/>
    <x v="0"/>
    <x v="0"/>
    <x v="1"/>
    <x v="1"/>
    <n v="196.07843137254903"/>
    <m/>
  </r>
  <r>
    <n v="40262"/>
    <d v="2025-12-23T13:00:57"/>
    <x v="173"/>
    <s v="PCVHO/2025/12/0271"/>
    <s v="PCV (PETTY CASH HO)"/>
    <s v="ACCOMMODATION "/>
    <s v="Being settlement against imprest taken by Arnold Kaduri for Tarawanda project"/>
    <s v="LCL/KIMB/071"/>
    <s v="ARNOLD KADURI"/>
    <s v="CAPITAL WORK IN PROGRESS"/>
    <s v="Fixed Assets"/>
    <s v="371056"/>
    <s v="371056 MINERAL EXPLORATION &amp; DEVELOPMENT-TARAWANDA"/>
    <s v="TARAWANDA EXPENSE"/>
    <s v="HO"/>
    <s v="ADMIN"/>
    <n v="500000"/>
    <n v="0"/>
    <n v="500000"/>
    <s v="TZS"/>
    <m/>
    <m/>
    <n v="1"/>
    <m/>
    <x v="0"/>
    <x v="0"/>
    <x v="1"/>
    <x v="1"/>
    <n v="196.07843137254903"/>
    <m/>
  </r>
  <r>
    <n v="40263"/>
    <d v="2025-12-23T13:00:57"/>
    <x v="173"/>
    <s v="PCVHO/2025/12/0271"/>
    <s v="PCV (PETTY CASH HO)"/>
    <s v="FUEL EXPENSES "/>
    <s v="Being settlement against imprest taken by Arnold Kaduri for Tarawanda project"/>
    <m/>
    <m/>
    <s v="CAPITAL WORK IN PROGRESS"/>
    <s v="Fixed Assets"/>
    <s v="371056"/>
    <s v="371056 MINERAL EXPLORATION &amp; DEVELOPMENT-TARAWANDA"/>
    <s v="TARAWANDA EXPENSE"/>
    <s v="HO"/>
    <s v="ADMIN"/>
    <n v="158870"/>
    <n v="0"/>
    <n v="158870"/>
    <s v="TZS"/>
    <m/>
    <m/>
    <n v="1"/>
    <m/>
    <x v="0"/>
    <x v="0"/>
    <x v="1"/>
    <x v="1"/>
    <n v="62.301960784313728"/>
    <m/>
  </r>
  <r>
    <n v="40264"/>
    <d v="2025-12-23T13:00:57"/>
    <x v="173"/>
    <s v="PCVHO/2025/12/0271"/>
    <s v="PCV (PETTY CASH HO)"/>
    <s v="EXPENSES"/>
    <s v="Being settlement against imprest taken by Arnold Kaduri for Tarawanda project"/>
    <m/>
    <m/>
    <s v="CAPITAL WORK IN PROGRESS"/>
    <s v="Fixed Assets"/>
    <s v="371056"/>
    <s v="371056 MINERAL EXPLORATION &amp; DEVELOPMENT-TARAWANDA"/>
    <s v="TARAWANDA EXPENSE"/>
    <s v="HO"/>
    <s v="ADMIN"/>
    <n v="35000"/>
    <n v="0"/>
    <n v="35000"/>
    <s v="TZS"/>
    <m/>
    <m/>
    <n v="1"/>
    <m/>
    <x v="0"/>
    <x v="0"/>
    <x v="1"/>
    <x v="1"/>
    <n v="13.725490196078431"/>
    <m/>
  </r>
  <r>
    <n v="40265"/>
    <d v="2025-12-23T13:00:57"/>
    <x v="173"/>
    <s v="PCVHO/2025/12/0271"/>
    <s v="PCV (PETTY CASH HO)"/>
    <s v="ACCOMMODATION "/>
    <s v="Being settlement against imprest taken by Arnold Kaduri for Tarawanda project"/>
    <s v="LCL/KIMB/071"/>
    <s v="ARNOLD KADURI"/>
    <s v="CAPITAL WORK IN PROGRESS"/>
    <s v="Fixed Assets"/>
    <s v="371056"/>
    <s v="371056 MINERAL EXPLORATION &amp; DEVELOPMENT-TARAWANDA"/>
    <s v="TARAWANDA EXPENSE"/>
    <s v="HO"/>
    <s v="ADMIN"/>
    <n v="500000"/>
    <n v="0"/>
    <n v="500000"/>
    <s v="TZS"/>
    <m/>
    <m/>
    <n v="1"/>
    <m/>
    <x v="0"/>
    <x v="0"/>
    <x v="1"/>
    <x v="1"/>
    <n v="196.07843137254903"/>
    <m/>
  </r>
  <r>
    <n v="40266"/>
    <d v="2025-12-23T13:00:57"/>
    <x v="173"/>
    <s v="PCVHO/2025/12/0271"/>
    <s v="PCV (PETTY CASH HO)"/>
    <s v="LAND PURCHASE "/>
    <s v="Being settlement against imprest taken by Arnold Kaduri for Tarawanda project"/>
    <m/>
    <m/>
    <s v="LAND &amp; SITE DEVELOPMENT"/>
    <s v="Fixed Assets"/>
    <s v="301001"/>
    <s v="301001 LAND RIGHTS AQUISITION (TARAWANDA)"/>
    <s v="TARAWANDA EXPENSE"/>
    <s v="HO"/>
    <s v="ADMIN"/>
    <n v="192000"/>
    <n v="0"/>
    <n v="192000"/>
    <s v="TZS"/>
    <m/>
    <m/>
    <n v="1"/>
    <m/>
    <x v="0"/>
    <x v="1"/>
    <x v="1"/>
    <x v="1"/>
    <n v="75.294117647058826"/>
    <m/>
  </r>
  <r>
    <n v="40267"/>
    <d v="2025-12-23T13:00:57"/>
    <x v="173"/>
    <s v="PCVHO/2025/12/0271"/>
    <s v="PCV (PETTY CASH HO)"/>
    <s v="FUEL EXPENSES "/>
    <s v="Being settlement against imprest taken by Arnold Kaduri for Tarawanda project"/>
    <m/>
    <m/>
    <s v="CAPITAL WORK IN PROGRESS"/>
    <s v="Fixed Assets"/>
    <s v="371056"/>
    <s v="371056 MINERAL EXPLORATION &amp; DEVELOPMENT-TARAWANDA"/>
    <s v="TARAWANDA EXPENSE"/>
    <s v="HO"/>
    <s v="ADMIN"/>
    <n v="131000"/>
    <n v="0"/>
    <n v="131000"/>
    <s v="TZS"/>
    <m/>
    <m/>
    <n v="1"/>
    <m/>
    <x v="0"/>
    <x v="0"/>
    <x v="1"/>
    <x v="1"/>
    <n v="51.372549019607845"/>
    <m/>
  </r>
  <r>
    <n v="40268"/>
    <d v="2025-12-23T13:00:57"/>
    <x v="173"/>
    <s v="PCVHO/2025/12/0271"/>
    <s v="PCV (PETTY CASH HO)"/>
    <s v="STATIONERY EXPENSES "/>
    <s v="Being settlement against imprest taken by Arnold Kaduri for Tarawanda project"/>
    <m/>
    <m/>
    <s v="CAPITAL WORK IN PROGRESS"/>
    <s v="Fixed Assets"/>
    <s v="371056"/>
    <s v="371056 MINERAL EXPLORATION &amp; DEVELOPMENT-TARAWANDA"/>
    <s v="TARAWANDA EXPENSE"/>
    <s v="HO"/>
    <s v="ADMIN"/>
    <n v="21500"/>
    <n v="0"/>
    <n v="21500"/>
    <s v="TZS"/>
    <m/>
    <m/>
    <n v="1"/>
    <m/>
    <x v="0"/>
    <x v="0"/>
    <x v="1"/>
    <x v="1"/>
    <n v="8.4313725490196081"/>
    <m/>
  </r>
  <r>
    <n v="40269"/>
    <d v="2025-12-23T13:00:57"/>
    <x v="173"/>
    <s v="PCVHO/2025/12/0271"/>
    <s v="PCV (PETTY CASH HO)"/>
    <s v="FUEL EXPENSES "/>
    <s v="Being settlement against imprest taken by Arnold Kaduri for Tarawanda project"/>
    <m/>
    <m/>
    <s v="CAPITAL WORK IN PROGRESS"/>
    <s v="Fixed Assets"/>
    <s v="371056"/>
    <s v="371056 MINERAL EXPLORATION &amp; DEVELOPMENT-TARAWANDA"/>
    <s v="TARAWANDA EXPENSE"/>
    <s v="HO"/>
    <s v="ADMIN"/>
    <n v="133000"/>
    <n v="0"/>
    <n v="133000"/>
    <s v="TZS"/>
    <m/>
    <m/>
    <n v="1"/>
    <m/>
    <x v="0"/>
    <x v="0"/>
    <x v="1"/>
    <x v="1"/>
    <n v="52.156862745098039"/>
    <m/>
  </r>
  <r>
    <n v="40270"/>
    <d v="2025-12-23T13:00:57"/>
    <x v="173"/>
    <s v="PCVHO/2025/12/0271"/>
    <s v="PCV (PETTY CASH HO)"/>
    <s v="NIGHT ALLOWANCE"/>
    <s v="Being settlement against imprest taken by Arnold Kaduri for Tarawanda project"/>
    <s v="LCL/KIMB/071"/>
    <s v="ARNOLD KADURI"/>
    <s v="CAPITAL WORK IN PROGRESS"/>
    <s v="Fixed Assets"/>
    <s v="371056"/>
    <s v="371056 MINERAL EXPLORATION &amp; DEVELOPMENT-TARAWANDA"/>
    <s v="TARAWANDA EXPENSE"/>
    <s v="QUARRY"/>
    <s v="QUARRYING"/>
    <n v="900000"/>
    <n v="0"/>
    <n v="900000"/>
    <s v="TZS"/>
    <m/>
    <m/>
    <n v="1"/>
    <m/>
    <x v="0"/>
    <x v="0"/>
    <x v="1"/>
    <x v="1"/>
    <n v="352.94117647058823"/>
    <m/>
  </r>
  <r>
    <n v="40271"/>
    <d v="2025-12-23T13:00:57"/>
    <x v="173"/>
    <s v="PCVHO/2025/12/0271"/>
    <s v="PCV (PETTY CASH HO)"/>
    <s v="FUEL EXPENSES "/>
    <s v="Being settlement against imprest taken by Arnold Kaduri for Tarawanda project"/>
    <m/>
    <m/>
    <s v="CAPITAL WORK IN PROGRESS"/>
    <s v="Fixed Assets"/>
    <s v="371056"/>
    <s v="371056 MINERAL EXPLORATION &amp; DEVELOPMENT-TARAWANDA"/>
    <s v="TARAWANDA EXPENSE"/>
    <s v="HO"/>
    <s v="ADMIN"/>
    <n v="100000"/>
    <n v="0"/>
    <n v="100000"/>
    <s v="TZS"/>
    <m/>
    <m/>
    <n v="1"/>
    <m/>
    <x v="0"/>
    <x v="0"/>
    <x v="1"/>
    <x v="1"/>
    <n v="39.215686274509807"/>
    <m/>
  </r>
  <r>
    <n v="40360"/>
    <d v="2026-01-05T08:06:22"/>
    <x v="173"/>
    <s v="MISC/2025/12/1496"/>
    <s v="Miscellaneous Operations"/>
    <s v=" MINERAL EXPLORATION"/>
    <s v="BEING PAYMENT TO PROFITAN INNOVATIVE SOLUTION FOR MINERAL EXPLORATION"/>
    <m/>
    <m/>
    <s v="CAPITAL WORK IN PROGRESS"/>
    <s v="Fixed Assets"/>
    <s v="371056"/>
    <s v="371056 MINERAL EXPLORATION &amp; DEVELOPMENT-TARAWANDA"/>
    <s v="Corporate"/>
    <s v="HO"/>
    <s v="ACCOUNTS"/>
    <n v="85000000"/>
    <n v="0"/>
    <n v="85000000"/>
    <s v="TZS"/>
    <m/>
    <m/>
    <n v="1"/>
    <m/>
    <x v="0"/>
    <x v="0"/>
    <x v="1"/>
    <x v="1"/>
    <n v="33333.333333333336"/>
    <m/>
  </r>
  <r>
    <n v="40361"/>
    <d v="2026-01-05T07:57:51"/>
    <x v="173"/>
    <s v="MISC/2025/12/1493"/>
    <s v="Miscellaneous Operations"/>
    <s v="MINERAL EXPLORATION"/>
    <s v="BEING PAYMENT TO WARIOBA KASUHU FOR MINERAL EXPLORATION"/>
    <m/>
    <m/>
    <s v="CAPITAL WORK IN PROGRESS"/>
    <s v="Fixed Assets"/>
    <s v="371056"/>
    <s v="371056 MINERAL EXPLORATION &amp; DEVELOPMENT-TARAWANDA"/>
    <s v="Corporate"/>
    <s v="HO"/>
    <s v="ACCOUNTS"/>
    <n v="127000000"/>
    <n v="0"/>
    <n v="127000000"/>
    <s v="TZS"/>
    <m/>
    <m/>
    <n v="1"/>
    <m/>
    <x v="0"/>
    <x v="0"/>
    <x v="1"/>
    <x v="1"/>
    <n v="49803.921568627447"/>
    <m/>
  </r>
  <r>
    <n v="42343"/>
    <d v="2025-12-24T14:24:20"/>
    <x v="174"/>
    <s v="SERBL/2025/12/0143"/>
    <s v="Service Bills"/>
    <s v="FIRST ANNUAL RENT FOR LICENSE (PL/33006/2025)"/>
    <s v="995021198913"/>
    <s v="CMLT1646"/>
    <s v="Ministry of Energy and Minerals"/>
    <s v="CAPITAL WORK IN PROGRESS"/>
    <s v="Fixed Assets"/>
    <s v="371056"/>
    <s v="371056 MINERAL EXPLORATION &amp; DEVELOPMENT-TARAWANDA"/>
    <s v="TARAWANDA EXPENSE"/>
    <s v="QUARRY"/>
    <s v="QUARRYING"/>
    <n v="20171660"/>
    <n v="0"/>
    <n v="20171660"/>
    <s v="TZS"/>
    <m/>
    <m/>
    <n v="1"/>
    <m/>
    <x v="0"/>
    <x v="0"/>
    <x v="1"/>
    <x v="1"/>
    <n v="7910.4549019607839"/>
    <m/>
  </r>
  <r>
    <n v="42346"/>
    <d v="2025-12-24T08:23:22"/>
    <x v="174"/>
    <s v="SERBL/2025/12/0141"/>
    <s v="Service Bills"/>
    <s v="AIR TICKET CHARGES "/>
    <s v="RST/25000187"/>
    <s v="CMLT2222"/>
    <s v="Routescape Travels Tanzania Limited"/>
    <s v="CAPITAL WORK IN PROGRESS"/>
    <s v="Fixed Assets"/>
    <s v="371030"/>
    <s v="371030 CWIP-PRE OPERATIVE EXPENSE"/>
    <s v="CWIP-PRE OPERATIVE EXPENSE"/>
    <s v="PROJECT"/>
    <s v="PROJECT"/>
    <n v="1229001.6000000001"/>
    <n v="0"/>
    <n v="1229001.6000000001"/>
    <s v="TZS"/>
    <m/>
    <m/>
    <n v="1"/>
    <m/>
    <x v="0"/>
    <x v="0"/>
    <x v="3"/>
    <x v="0"/>
    <n v="481.96141176470593"/>
    <m/>
  </r>
  <r>
    <n v="42473"/>
    <d v="2026-01-05T08:10:23"/>
    <x v="174"/>
    <s v="MISC/2025/12/1498"/>
    <s v="Miscellaneous Operations"/>
    <s v="MINERAL EXPLORATION"/>
    <s v="BEING PAYMENT TO WARIOBA KASUHU FOR MINERAL EXPLORATION"/>
    <m/>
    <m/>
    <s v="CAPITAL WORK IN PROGRESS"/>
    <s v="Fixed Assets"/>
    <s v="371056"/>
    <s v="371056 MINERAL EXPLORATION &amp; DEVELOPMENT-TARAWANDA"/>
    <s v="Corporate"/>
    <s v="HO"/>
    <s v="ACCOUNTS"/>
    <n v="120000000"/>
    <n v="0"/>
    <n v="120000000"/>
    <s v="TZS"/>
    <m/>
    <m/>
    <n v="1"/>
    <m/>
    <x v="0"/>
    <x v="0"/>
    <x v="1"/>
    <x v="1"/>
    <n v="47058.823529411762"/>
    <m/>
  </r>
  <r>
    <n v="42474"/>
    <d v="2026-01-05T08:08:21"/>
    <x v="174"/>
    <s v="MISC/2025/12/1497"/>
    <s v="Miscellaneous Operations"/>
    <s v="MINERAL EXPLORATION"/>
    <s v="BEING PAYMENT TO PROFITAN INNOVATIVE SOLUTION FOR MINERAL EXPLORATION"/>
    <m/>
    <m/>
    <s v="CAPITAL WORK IN PROGRESS"/>
    <s v="Fixed Assets"/>
    <s v="371056"/>
    <s v="371056 MINERAL EXPLORATION &amp; DEVELOPMENT-TARAWANDA"/>
    <s v="Marketing"/>
    <s v="HO"/>
    <s v="ACCOUNTS"/>
    <n v="47000000"/>
    <n v="0"/>
    <n v="47000000"/>
    <s v="TZS"/>
    <m/>
    <m/>
    <n v="1"/>
    <m/>
    <x v="0"/>
    <x v="0"/>
    <x v="1"/>
    <x v="1"/>
    <n v="18431.372549019608"/>
    <m/>
  </r>
  <r>
    <n v="42477"/>
    <d v="2026-01-05T08:03:14"/>
    <x v="174"/>
    <s v="MISC/2025/12/1495"/>
    <s v="Miscellaneous Operations"/>
    <s v="MINERAL EXPLORATION"/>
    <s v="BEING PAYMENT TO PROFITAN INNOVATIVE SOLUTION FOR MINERAL EXPLORATION"/>
    <m/>
    <m/>
    <s v="CAPITAL WORK IN PROGRESS"/>
    <s v="Fixed Assets"/>
    <s v="371056"/>
    <s v="371056 MINERAL EXPLORATION &amp; DEVELOPMENT-TARAWANDA"/>
    <s v="Corporate"/>
    <s v="HO"/>
    <s v="ACCOUNTS"/>
    <n v="168000000"/>
    <n v="0"/>
    <n v="168000000"/>
    <s v="TZS"/>
    <m/>
    <m/>
    <n v="1"/>
    <m/>
    <x v="0"/>
    <x v="0"/>
    <x v="1"/>
    <x v="1"/>
    <n v="65882.352941176476"/>
    <m/>
  </r>
  <r>
    <n v="42479"/>
    <d v="2026-01-05T07:59:46"/>
    <x v="174"/>
    <s v="MISC/2025/12/1494"/>
    <s v="Miscellaneous Operations"/>
    <s v="MINERAL EXPLORATION"/>
    <s v="BEING PAYMENT TO WARIOBA KASUHU FOR MINERAL EXPLORATION"/>
    <m/>
    <m/>
    <s v="CAPITAL WORK IN PROGRESS"/>
    <s v="Fixed Assets"/>
    <s v="371056"/>
    <s v="371056 MINERAL EXPLORATION &amp; DEVELOPMENT-TARAWANDA"/>
    <s v="Corporate"/>
    <s v="HO"/>
    <s v="ACCOUNTS"/>
    <n v="53000000"/>
    <n v="0"/>
    <n v="53000000"/>
    <s v="TZS"/>
    <m/>
    <m/>
    <n v="1"/>
    <m/>
    <x v="0"/>
    <x v="0"/>
    <x v="1"/>
    <x v="1"/>
    <n v="20784.313725490196"/>
    <m/>
  </r>
  <r>
    <n v="57673"/>
    <d v="2026-01-02T09:36:32"/>
    <x v="175"/>
    <s v="SERBL/2025/12/0178"/>
    <s v="Service Bills"/>
    <s v="LPORD/2025/01603: Construction of road from packing plant to big bag loading side"/>
    <s v="CN-0336"/>
    <s v="CMLT1838"/>
    <s v="Caneth Engineering Company Limited"/>
    <s v="CAPITAL WORK IN PROGRESS"/>
    <s v="Fixed Assets"/>
    <s v="371052"/>
    <s v="371052 CWIP-ROAD PHASE 07"/>
    <s v="CWIP-ROAD PHASE 07"/>
    <s v="PACKING-1"/>
    <s v="MECHANICAL"/>
    <n v="4645512"/>
    <n v="0"/>
    <n v="4645512"/>
    <s v="TZS"/>
    <s v="[SER034] Job Contract-12"/>
    <s v="Misc. Income"/>
    <n v="536"/>
    <s v="SM"/>
    <x v="0"/>
    <x v="0"/>
    <x v="17"/>
    <x v="6"/>
    <n v="1821.7694117647059"/>
    <m/>
  </r>
  <r>
    <n v="57678"/>
    <d v="2026-01-02T09:35:44"/>
    <x v="175"/>
    <s v="SERBL/2025/12/0177"/>
    <s v="Service Bills"/>
    <s v="LPORD/2025/01604: Scaffolding work during project"/>
    <s v="CN-0337"/>
    <s v="CMLT1838"/>
    <s v="Caneth Engineering Company Limited"/>
    <s v="CAPITAL WORK IN PROGRESS"/>
    <s v="Fixed Assets"/>
    <s v="371021"/>
    <s v="371021 CWIP-PYRO UPGRADATION"/>
    <s v="CWIP-Pyro Upgradation"/>
    <s v="PROJECT"/>
    <s v="PROJECT"/>
    <n v="12000000"/>
    <n v="0"/>
    <n v="12000000"/>
    <s v="TZS"/>
    <s v="[SER027] Job Contract-5"/>
    <s v="Misc. Income"/>
    <n v="1"/>
    <s v="Lumpsum"/>
    <x v="0"/>
    <x v="0"/>
    <x v="0"/>
    <x v="0"/>
    <n v="4705.8823529411766"/>
    <m/>
  </r>
  <r>
    <n v="39079"/>
    <d v="2025-12-23T14:17:48"/>
    <x v="173"/>
    <s v="STJ/2025/12/11138"/>
    <s v="Inventory Valuation"/>
    <s v="CM/MTI/2025/04656 - [FG001] CEMENT 42.5 R / MRQ/2025/06622"/>
    <s v="CM/MTI/2025/04656 - [FG001] CEMENT 42.5 R / MRQ/2025/06622"/>
    <m/>
    <m/>
    <s v="Cost Of Revenue"/>
    <s v="Cost of Revenue"/>
    <s v="721001"/>
    <s v="721001 COST OF GOODS SOLD (COGS)"/>
    <s v="CWIP-CONSTRUCTION OF PLANT BOUNDARY WALL"/>
    <s v="PROJECT"/>
    <s v="CIVIL"/>
    <n v="489802.84"/>
    <n v="0"/>
    <n v="489802.84"/>
    <s v="TZS"/>
    <s v="[FG001] CEMENT 42.5 R"/>
    <m/>
    <n v="-7.5"/>
    <s v="MT"/>
    <x v="0"/>
    <x v="0"/>
    <x v="21"/>
    <x v="8"/>
    <n v="192.07954509803923"/>
    <m/>
  </r>
  <r>
    <n v="39074"/>
    <d v="2025-12-23T14:18:37"/>
    <x v="173"/>
    <s v="STJ/2025/12/11140"/>
    <s v="Inventory Valuation"/>
    <s v="CM/MTI/2025/04657 - [FG001] CEMENT 42.5 R / MRQ/2025/06621"/>
    <s v="CM/MTI/2025/04657 - [FG001] CEMENT 42.5 R / MRQ/2025/06621"/>
    <m/>
    <m/>
    <s v="Cost Of Revenue"/>
    <s v="Cost of Revenue"/>
    <s v="721001"/>
    <s v="721001 COST OF GOODS SOLD (COGS)"/>
    <s v="CWIP-QUARRY RAW MATERIAL SHED EXTENSION"/>
    <s v="QUARRY"/>
    <s v="CIVIL"/>
    <n v="326535.21999999997"/>
    <n v="0"/>
    <n v="326535.21999999997"/>
    <s v="TZS"/>
    <s v="[FG001] CEMENT 42.5 R"/>
    <m/>
    <n v="-5"/>
    <s v="MT"/>
    <x v="0"/>
    <x v="0"/>
    <x v="18"/>
    <x v="7"/>
    <n v="128.05302745098038"/>
    <m/>
  </r>
  <r>
    <n v="30927"/>
    <d v="2025-12-18T13:29:17"/>
    <x v="176"/>
    <s v="STJ/2025/12/08727"/>
    <s v="Inventory Valuation"/>
    <s v="CM/MTI/2025/04557 - [FG001] CEMENT 42.5 R / MRQ/2025/06195_x000a_Rounding Adjustment: -0.01 TSh"/>
    <s v="CM/MTI/2025/04557 - [FG001] CEMENT 42.5 R / MRQ/2025/06195_x000a_Rounding Adjustment: -0.01 TSh"/>
    <m/>
    <m/>
    <s v="Cost Of Revenue"/>
    <s v="Cost of Revenue"/>
    <s v="721001"/>
    <s v="721001 COST OF GOODS SOLD (COGS)"/>
    <s v="CWIP-QUARRY RAW MATERIAL SHED EXTENSION"/>
    <s v="QUARRY"/>
    <s v="CIVIL"/>
    <n v="743876.38"/>
    <n v="0"/>
    <n v="743876.38"/>
    <s v="TZS"/>
    <s v="[FG001] CEMENT 42.5 R"/>
    <m/>
    <n v="-8"/>
    <s v="MT"/>
    <x v="0"/>
    <x v="0"/>
    <x v="18"/>
    <x v="7"/>
    <n v="291.7162274509804"/>
    <m/>
  </r>
  <r>
    <n v="30907"/>
    <d v="2025-12-18T13:35:37"/>
    <x v="176"/>
    <s v="STJ/2025/12/08737"/>
    <s v="Inventory Valuation"/>
    <s v="CM/MTI/2025/04562 - [FG001] CEMENT 42.5 R / MRQ/2025/06464"/>
    <s v="CM/MTI/2025/04562 - [FG001] CEMENT 42.5 R / MRQ/2025/06464"/>
    <m/>
    <m/>
    <s v="Cost Of Revenue"/>
    <s v="Cost of Revenue"/>
    <s v="721001"/>
    <s v="721001 COST OF GOODS SOLD (COGS)"/>
    <s v="CWIP-QUARRY RAW MATERIAL SHED EXTENSION"/>
    <s v="QUARRY"/>
    <s v="CIVIL"/>
    <n v="464922.73"/>
    <n v="0"/>
    <n v="464922.73"/>
    <s v="TZS"/>
    <s v="[FG001] CEMENT 42.5 R"/>
    <m/>
    <n v="-5"/>
    <s v="MT"/>
    <x v="0"/>
    <x v="0"/>
    <x v="18"/>
    <x v="7"/>
    <n v="182.32263921568628"/>
    <m/>
  </r>
  <r>
    <n v="238"/>
    <d v="2025-12-01T14:02:12"/>
    <x v="177"/>
    <s v="STJ/2025/12/00259"/>
    <s v="Inventory Valuation"/>
    <s v="CM/MTI/2025/04334 - [FG001] CEMENT 42.5 R / MRQ/2025/06107_x000a_Rounding Adjustment: -0.01 TSh"/>
    <s v="CM/MTI/2025/04334 - [FG001] CEMENT 42.5 R / MRQ/2025/06107_x000a_Rounding Adjustment: -0.01 TSh"/>
    <m/>
    <m/>
    <s v="Cost Of Revenue"/>
    <s v="Cost of Revenue"/>
    <s v="721001"/>
    <s v="721001 COST OF GOODS SOLD (COGS)"/>
    <s v="CWIP-QUARRY RAW MATERIAL SHED EXTENSION"/>
    <s v="QUARRY"/>
    <s v="CIVIL"/>
    <n v="505451.82"/>
    <n v="0"/>
    <n v="505451.82"/>
    <s v="TZS"/>
    <s v="[FG001] CEMENT 42.5 R"/>
    <m/>
    <n v="-8"/>
    <s v="MT"/>
    <x v="0"/>
    <x v="0"/>
    <x v="18"/>
    <x v="7"/>
    <n v="198.21639999999999"/>
    <m/>
  </r>
  <r>
    <n v="39085"/>
    <d v="2025-12-23T14:15:49"/>
    <x v="173"/>
    <s v="STJ/2025/12/11135"/>
    <s v="Inventory Valuation"/>
    <s v="CM/MTI/2025/04654 - [CCLGC002] AGGREGATE GRANITE SIZE 14 MM TO 20 MM  / MRQ/2025/06599"/>
    <s v="CM/MTI/2025/04654 - [CCLGC002] AGGREGATE GRANITE SIZE 14 MM TO 20 MM  / MRQ/2025/06599"/>
    <m/>
    <m/>
    <s v="MATERIAL COST"/>
    <s v="Expenses"/>
    <s v="731002"/>
    <s v="731002 STORE SPARES &amp; CONSUMABLES - GENERAL"/>
    <s v="CWIP-CONSTRUCTION OF PLANT BOUNDARY WALL"/>
    <s v="PROJECT"/>
    <s v="CIVIL"/>
    <n v="4320000"/>
    <n v="0"/>
    <n v="4320000"/>
    <s v="TZS"/>
    <s v="[CCLGC002] AGGREGATE GRANITE SIZE 14 MM TO 20 MM "/>
    <m/>
    <n v="-40"/>
    <s v="CUM"/>
    <x v="0"/>
    <x v="0"/>
    <x v="21"/>
    <x v="8"/>
    <n v="1694.1176470588234"/>
    <m/>
  </r>
  <r>
    <n v="33604"/>
    <d v="2025-12-19T08:33:24"/>
    <x v="171"/>
    <s v="STJ/2025/12/09053"/>
    <s v="Inventory Valuation"/>
    <s v="CM/MTI/2025/04588 - [CCLGC004] SAND / MRQ/2025/06485_x000a_Rounding Adjustment: +0.01 TSh"/>
    <s v="CM/MTI/2025/04588 - [CCLGC004] SAND / MRQ/2025/06485_x000a_Rounding Adjustment: +0.01 TSh"/>
    <m/>
    <m/>
    <s v="MATERIAL COST"/>
    <s v="Expenses"/>
    <s v="731002"/>
    <s v="731002 STORE SPARES &amp; CONSUMABLES - GENERAL"/>
    <s v="CWIP-CONSTRUCTION OF PLANT BOUNDARY WALL"/>
    <s v="PROJECT"/>
    <s v="CIVIL"/>
    <n v="2765848.38"/>
    <n v="0"/>
    <n v="2765848.38"/>
    <s v="TZS"/>
    <s v="[CCLGC004] SAND"/>
    <m/>
    <n v="-60000"/>
    <s v="KG"/>
    <x v="0"/>
    <x v="0"/>
    <x v="21"/>
    <x v="8"/>
    <n v="1084.6464235294118"/>
    <m/>
  </r>
  <r>
    <n v="25123"/>
    <d v="2025-12-16T14:21:27"/>
    <x v="178"/>
    <s v="STJ/2025/12/07823"/>
    <s v="Inventory Valuation"/>
    <s v="CM/MTI/2025/04538 - [CCLGC022] NAILS SIZE 3'' / MRQ/2025/06463"/>
    <s v="CM/MTI/2025/04538 - [CCLGC022] NAILS SIZE 3'' / MRQ/2025/06463"/>
    <m/>
    <m/>
    <s v="MATERIAL COST"/>
    <s v="Expenses"/>
    <s v="731002"/>
    <s v="731002 STORE SPARES &amp; CONSUMABLES - GENERAL"/>
    <s v="CWIP-CONSTRUCTION OF PLANT BOUNDARY WALL"/>
    <s v="PROJECT"/>
    <s v="CIVIL"/>
    <n v="57000"/>
    <n v="0"/>
    <n v="57000"/>
    <s v="TZS"/>
    <s v="[CCLGC022] NAILS SIZE 3''"/>
    <m/>
    <n v="-10"/>
    <s v="KG"/>
    <x v="0"/>
    <x v="0"/>
    <x v="21"/>
    <x v="8"/>
    <n v="22.352941176470587"/>
    <m/>
  </r>
  <r>
    <n v="25120"/>
    <d v="2025-12-16T14:21:27"/>
    <x v="178"/>
    <s v="STJ/2025/12/07824"/>
    <s v="Inventory Valuation"/>
    <s v="CM/MTI/2025/04538 - [CCLGC028] NAILS CONCRETE SIZE 4'' / MRQ/2025/06463_x000a_Rounding Adjustment: +0.01 TSh"/>
    <s v="CM/MTI/2025/04538 - [CCLGC028] NAILS CONCRETE SIZE 4'' / MRQ/2025/06463_x000a_Rounding Adjustment: +0.01 TSh"/>
    <m/>
    <m/>
    <s v="MATERIAL COST"/>
    <s v="Expenses"/>
    <s v="731002"/>
    <s v="731002 STORE SPARES &amp; CONSUMABLES - GENERAL"/>
    <s v="CWIP-CONSTRUCTION OF PLANT BOUNDARY WALL"/>
    <s v="PROJECT"/>
    <s v="CIVIL"/>
    <n v="29853.8"/>
    <n v="0"/>
    <n v="29853.8"/>
    <s v="TZS"/>
    <s v="[CCLGC028] NAILS CONCRETE SIZE 4''"/>
    <m/>
    <n v="-3"/>
    <s v="KG"/>
    <x v="0"/>
    <x v="0"/>
    <x v="21"/>
    <x v="8"/>
    <n v="11.707372549019608"/>
    <m/>
  </r>
  <r>
    <n v="10995"/>
    <d v="2025-12-08T14:27:51"/>
    <x v="169"/>
    <s v="STJ/2025/12/03998"/>
    <s v="Inventory Valuation"/>
    <s v="CM/MTI/2025/04427 - [CWCGC041] CUTTING WHEEL 7'' / MRQ/2025/06311"/>
    <s v="CM/MTI/2025/04427 - [CWCGC041] CUTTING WHEEL 7'' / MRQ/2025/06311"/>
    <m/>
    <m/>
    <s v="MATERIAL COST"/>
    <s v="Expenses"/>
    <s v="731002"/>
    <s v="731002 STORE SPARES &amp; CONSUMABLES - GENERAL"/>
    <s v="CWIP-CONSTRUCTION OF PLANT BOUNDARY WALL"/>
    <s v="PROJECT"/>
    <s v="CIVIL"/>
    <n v="19322.12"/>
    <n v="0"/>
    <n v="19322.12"/>
    <s v="TZS"/>
    <s v="[CWCGC041] CUTTING WHEEL 7''"/>
    <m/>
    <n v="-6"/>
    <s v="NOS"/>
    <x v="0"/>
    <x v="0"/>
    <x v="21"/>
    <x v="8"/>
    <n v="7.5773019607843137"/>
    <m/>
  </r>
  <r>
    <n v="10992"/>
    <d v="2025-12-08T14:27:51"/>
    <x v="169"/>
    <s v="STJ/2025/12/03999"/>
    <s v="Inventory Valuation"/>
    <s v="CM/MTI/2025/04427 - [CWCWR003] WELDING ELECTRODE MS 6013 SIZE 4 MM X 450 MM / MRQ/2025/06311"/>
    <s v="CM/MTI/2025/04427 - [CWCWR003] WELDING ELECTRODE MS 6013 SIZE 4 MM X 450 MM / MRQ/2025/06311"/>
    <m/>
    <m/>
    <s v="MATERIAL COST"/>
    <s v="Expenses"/>
    <s v="731002"/>
    <s v="731002 STORE SPARES &amp; CONSUMABLES - GENERAL"/>
    <s v="CWIP-CONSTRUCTION OF PLANT BOUNDARY WALL"/>
    <s v="PROJECT"/>
    <s v="CIVIL"/>
    <n v="20487.55"/>
    <n v="0"/>
    <n v="20487.55"/>
    <s v="TZS"/>
    <s v="[CWCWR003] WELDING ELECTRODE MS 6013 SIZE 4 MM X 450 MM"/>
    <m/>
    <n v="-5"/>
    <s v="KG"/>
    <x v="0"/>
    <x v="0"/>
    <x v="21"/>
    <x v="8"/>
    <n v="8.0343333333333327"/>
    <m/>
  </r>
  <r>
    <n v="7094"/>
    <d v="2025-12-05T13:53:35"/>
    <x v="179"/>
    <s v="STJ/2025/12/01999"/>
    <s v="Inventory Valuation"/>
    <s v="CM/MTI/2025/04396 - [CCLGC022] NAILS SIZE 3'' / MRQ/2025/06285"/>
    <s v="CM/MTI/2025/04396 - [CCLGC022] NAILS SIZE 3'' / MRQ/2025/06285"/>
    <m/>
    <m/>
    <s v="MATERIAL COST"/>
    <s v="Expenses"/>
    <s v="731002"/>
    <s v="731002 STORE SPARES &amp; CONSUMABLES - GENERAL"/>
    <s v="CWIP-CONSTRUCTION OF PLANT BOUNDARY WALL"/>
    <s v="PROJECT"/>
    <s v="CIVIL"/>
    <n v="85500"/>
    <n v="0"/>
    <n v="85500"/>
    <s v="TZS"/>
    <s v="[CCLGC022] NAILS SIZE 3''"/>
    <m/>
    <n v="-15"/>
    <s v="KG"/>
    <x v="0"/>
    <x v="0"/>
    <x v="21"/>
    <x v="8"/>
    <n v="33.529411764705884"/>
    <m/>
  </r>
  <r>
    <n v="7092"/>
    <d v="2025-12-05T13:53:35"/>
    <x v="179"/>
    <s v="STJ/2025/12/02000"/>
    <s v="Inventory Valuation"/>
    <s v="CM/MTI/2025/04396 - [CCLGC328] TMT BAR SIZE 10 MM GRADE FY500. / MRQ/2025/06285_x000a_Rounding Adjustment: -0.01 TSh"/>
    <s v="CM/MTI/2025/04396 - [CCLGC328] TMT BAR SIZE 10 MM GRADE FY500. / MRQ/2025/06285_x000a_Rounding Adjustment: -0.01 TSh"/>
    <m/>
    <m/>
    <s v="MATERIAL COST"/>
    <s v="Expenses"/>
    <s v="731002"/>
    <s v="731002 STORE SPARES &amp; CONSUMABLES - GENERAL"/>
    <s v="CWIP-CONSTRUCTION OF PLANT BOUNDARY WALL"/>
    <s v="PROJECT"/>
    <s v="CIVIL"/>
    <n v="285611.76"/>
    <n v="0"/>
    <n v="285611.76"/>
    <s v="TZS"/>
    <s v="[CCLGC328] TMT BAR SIZE 10 MM GRADE FY500."/>
    <m/>
    <n v="-20"/>
    <s v="PCS"/>
    <x v="0"/>
    <x v="0"/>
    <x v="21"/>
    <x v="8"/>
    <n v="112.00461176470588"/>
    <m/>
  </r>
  <r>
    <n v="7091"/>
    <d v="2025-12-05T13:53:35"/>
    <x v="179"/>
    <s v="STJ/2025/12/02001"/>
    <s v="Inventory Valuation"/>
    <s v="CM/MTI/2025/04396 - [CCLGC329] TMT BAR SIZE 12 MM GRADE FY500. / MRQ/2025/06285_x000a_Rounding Adjustment: -0.01 TSh"/>
    <s v="CM/MTI/2025/04396 - [CCLGC329] TMT BAR SIZE 12 MM GRADE FY500. / MRQ/2025/06285_x000a_Rounding Adjustment: -0.01 TSh"/>
    <m/>
    <m/>
    <s v="MATERIAL COST"/>
    <s v="Expenses"/>
    <s v="731002"/>
    <s v="731002 STORE SPARES &amp; CONSUMABLES - GENERAL"/>
    <s v="CWIP-CONSTRUCTION OF PLANT BOUNDARY WALL"/>
    <s v="PROJECT"/>
    <s v="CIVIL"/>
    <n v="407787.85"/>
    <n v="0"/>
    <n v="407787.85"/>
    <s v="TZS"/>
    <s v="[CCLGC329] TMT BAR SIZE 12 MM GRADE FY500."/>
    <m/>
    <n v="-20"/>
    <s v="PCS"/>
    <x v="0"/>
    <x v="0"/>
    <x v="21"/>
    <x v="8"/>
    <n v="159.91680392156863"/>
    <m/>
  </r>
  <r>
    <n v="1686"/>
    <d v="2025-12-02T14:04:30"/>
    <x v="166"/>
    <s v="STJ/2025/12/00691"/>
    <s v="Inventory Valuation"/>
    <s v="CM/MTI/2025/04342 - [CCLGC328] TMT BAR SIZE 10 MM GRADE FY500. / MRQ/2025/06192"/>
    <s v="CM/MTI/2025/04342 - [CCLGC328] TMT BAR SIZE 10 MM GRADE FY500. / MRQ/2025/06192"/>
    <m/>
    <m/>
    <s v="MATERIAL COST"/>
    <s v="Expenses"/>
    <s v="731002"/>
    <s v="731002 STORE SPARES &amp; CONSUMABLES - GENERAL"/>
    <s v="CWIP-CONSTRUCTION OF PLANT BOUNDARY WALL"/>
    <s v="PROJECT"/>
    <s v="CIVIL"/>
    <n v="714029.37"/>
    <n v="0"/>
    <n v="714029.37"/>
    <s v="TZS"/>
    <s v="[CCLGC328] TMT BAR SIZE 10 MM GRADE FY500."/>
    <m/>
    <n v="-50"/>
    <s v="PCS"/>
    <x v="0"/>
    <x v="0"/>
    <x v="21"/>
    <x v="8"/>
    <n v="280.01151764705884"/>
    <m/>
  </r>
  <r>
    <n v="1683"/>
    <d v="2025-12-02T14:04:30"/>
    <x v="166"/>
    <s v="STJ/2025/12/00692"/>
    <s v="Inventory Valuation"/>
    <s v="CM/MTI/2025/04342 - [CWCWR003] WELDING ELECTRODE MS 6013 SIZE 4 MM X 450 MM / MRQ/2025/06192"/>
    <s v="CM/MTI/2025/04342 - [CWCWR003] WELDING ELECTRODE MS 6013 SIZE 4 MM X 450 MM / MRQ/2025/06192"/>
    <m/>
    <m/>
    <s v="MATERIAL COST"/>
    <s v="Expenses"/>
    <s v="731002"/>
    <s v="731002 STORE SPARES &amp; CONSUMABLES - GENERAL"/>
    <s v="CWIP-CONSTRUCTION OF PLANT BOUNDARY WALL"/>
    <s v="PROJECT"/>
    <s v="CIVIL"/>
    <n v="40975.089999999997"/>
    <n v="0"/>
    <n v="40975.089999999997"/>
    <s v="TZS"/>
    <s v="[CWCWR003] WELDING ELECTRODE MS 6013 SIZE 4 MM X 450 MM"/>
    <m/>
    <n v="-10"/>
    <s v="KG"/>
    <x v="0"/>
    <x v="0"/>
    <x v="21"/>
    <x v="8"/>
    <n v="16.068662745098038"/>
    <m/>
  </r>
  <r>
    <n v="1682"/>
    <d v="2025-12-02T14:04:30"/>
    <x v="166"/>
    <s v="STJ/2025/12/00693"/>
    <s v="Inventory Valuation"/>
    <s v="CM/MTI/2025/04342 - [ESSAG008] ISA 65 X 65 X 6 / MRQ/2025/06192"/>
    <s v="CM/MTI/2025/04342 - [ESSAG008] ISA 65 X 65 X 6 / MRQ/2025/06192"/>
    <m/>
    <m/>
    <s v="MATERIAL COST"/>
    <s v="Expenses"/>
    <s v="731002"/>
    <s v="731002 STORE SPARES &amp; CONSUMABLES - GENERAL"/>
    <s v="CWIP-CONSTRUCTION OF PLANT BOUNDARY WALL"/>
    <s v="PROJECT"/>
    <s v="CIVIL"/>
    <n v="2385000"/>
    <n v="0"/>
    <n v="2385000"/>
    <s v="TZS"/>
    <s v="[ESSAG008] ISA 65 X 65 X 6"/>
    <m/>
    <n v="-30"/>
    <s v="NOS"/>
    <x v="0"/>
    <x v="0"/>
    <x v="21"/>
    <x v="8"/>
    <n v="935.29411764705878"/>
    <m/>
  </r>
  <r>
    <n v="55196"/>
    <d v="2025-12-31T13:59:22"/>
    <x v="175"/>
    <s v="STJ/2025/12/16529"/>
    <s v="Inventory Valuation"/>
    <s v="CM/MTI/2025/04745 - [CCLGC330] TMT BAR SIZE 16 MM GRADE FY500. / MRQ/2025/06774"/>
    <s v="CM/MTI/2025/04745 - [CCLGC330] TMT BAR SIZE 16 MM GRADE FY500. / MRQ/2025/06774"/>
    <m/>
    <m/>
    <s v="MATERIAL COST"/>
    <s v="Expenses"/>
    <s v="731002"/>
    <s v="731002 STORE SPARES &amp; CONSUMABLES - GENERAL"/>
    <s v="CWIP-QUARRY RAW MATERIAL SHED EXTENSION"/>
    <s v="QUARRY"/>
    <s v="CIVIL"/>
    <n v="510244.74"/>
    <n v="0"/>
    <n v="510244.74"/>
    <s v="TZS"/>
    <s v="[CCLGC330] TMT BAR SIZE 16 MM GRADE FY500."/>
    <m/>
    <n v="-14"/>
    <s v="PCS"/>
    <x v="0"/>
    <x v="0"/>
    <x v="18"/>
    <x v="7"/>
    <n v="200.09597647058823"/>
    <m/>
  </r>
  <r>
    <n v="55190"/>
    <d v="2025-12-31T14:02:18"/>
    <x v="175"/>
    <s v="STJ/2025/12/16532"/>
    <s v="Inventory Valuation"/>
    <s v="CM/MTI/2025/04747 - [CCLGC023] NAILS SIZE 4'' / MRQ/2025/06759"/>
    <s v="CM/MTI/2025/04747 - [CCLGC023] NAILS SIZE 4'' / MRQ/2025/06759"/>
    <m/>
    <m/>
    <s v="MATERIAL COST"/>
    <s v="Expenses"/>
    <s v="731002"/>
    <s v="731002 STORE SPARES &amp; CONSUMABLES - GENERAL"/>
    <s v="CWIP-QUARRY RAW MATERIAL SHED EXTENSION"/>
    <s v="QUARRY"/>
    <s v="CIVIL"/>
    <n v="57000"/>
    <n v="0"/>
    <n v="57000"/>
    <s v="TZS"/>
    <s v="[CCLGC023] NAILS SIZE 4''"/>
    <m/>
    <n v="-10"/>
    <s v="KG"/>
    <x v="0"/>
    <x v="0"/>
    <x v="18"/>
    <x v="7"/>
    <n v="22.352941176470587"/>
    <m/>
  </r>
  <r>
    <n v="55188"/>
    <d v="2025-12-31T14:02:18"/>
    <x v="175"/>
    <s v="STJ/2025/12/16533"/>
    <s v="Inventory Valuation"/>
    <s v="CM/MTI/2025/04747 - [CCLGC028] NAILS CONCRETE SIZE 4'' / MRQ/2025/06759"/>
    <s v="CM/MTI/2025/04747 - [CCLGC028] NAILS CONCRETE SIZE 4'' / MRQ/2025/06759"/>
    <m/>
    <m/>
    <s v="MATERIAL COST"/>
    <s v="Expenses"/>
    <s v="731002"/>
    <s v="731002 STORE SPARES &amp; CONSUMABLES - GENERAL"/>
    <s v="CWIP-QUARRY RAW MATERIAL SHED EXTENSION"/>
    <s v="QUARRY"/>
    <s v="CIVIL"/>
    <n v="19902.54"/>
    <n v="0"/>
    <n v="19902.54"/>
    <s v="TZS"/>
    <s v="[CCLGC028] NAILS CONCRETE SIZE 4''"/>
    <m/>
    <n v="-2"/>
    <s v="KG"/>
    <x v="0"/>
    <x v="0"/>
    <x v="18"/>
    <x v="7"/>
    <n v="7.804917647058824"/>
    <m/>
  </r>
  <r>
    <n v="55186"/>
    <d v="2025-12-31T14:02:18"/>
    <x v="175"/>
    <s v="STJ/2025/12/16534"/>
    <s v="Inventory Valuation"/>
    <s v="CM/MTI/2025/04747 - [CCLGC052] PLYWOOD 8FEET X 4FEET X 18 MM THICK  / MRQ/2025/06759"/>
    <s v="CM/MTI/2025/04747 - [CCLGC052] PLYWOOD 8FEET X 4FEET X 18 MM THICK  / MRQ/2025/06759"/>
    <m/>
    <m/>
    <s v="MATERIAL COST"/>
    <s v="Expenses"/>
    <s v="731002"/>
    <s v="731002 STORE SPARES &amp; CONSUMABLES - GENERAL"/>
    <s v="CWIP-QUARRY RAW MATERIAL SHED EXTENSION"/>
    <s v="QUARRY"/>
    <s v="CIVIL"/>
    <n v="703389.8"/>
    <n v="0"/>
    <n v="703389.8"/>
    <s v="TZS"/>
    <s v="[CCLGC052] PLYWOOD 8FEET X 4FEET X 18 MM THICK "/>
    <m/>
    <n v="-20"/>
    <s v="NOS"/>
    <x v="0"/>
    <x v="0"/>
    <x v="18"/>
    <x v="7"/>
    <n v="275.83913725490197"/>
    <m/>
  </r>
  <r>
    <n v="39087"/>
    <d v="2025-12-23T14:15:01"/>
    <x v="173"/>
    <s v="STJ/2025/12/11134"/>
    <s v="Inventory Valuation"/>
    <s v="CM/MTI/2025/04653 - [CCLGC002] AGGREGATE GRANITE SIZE 14 MM TO 20 MM  / MRQ/2025/06598"/>
    <s v="CM/MTI/2025/04653 - [CCLGC002] AGGREGATE GRANITE SIZE 14 MM TO 20 MM  / MRQ/2025/06598"/>
    <m/>
    <m/>
    <s v="MATERIAL COST"/>
    <s v="Expenses"/>
    <s v="731002"/>
    <s v="731002 STORE SPARES &amp; CONSUMABLES - GENERAL"/>
    <s v="CWIP-QUARRY RAW MATERIAL SHED EXTENSION"/>
    <s v="QUARRY"/>
    <s v="CIVIL"/>
    <n v="4173120"/>
    <n v="0"/>
    <n v="4173120"/>
    <s v="TZS"/>
    <s v="[CCLGC002] AGGREGATE GRANITE SIZE 14 MM TO 20 MM "/>
    <m/>
    <n v="-38.64"/>
    <s v="CUM"/>
    <x v="0"/>
    <x v="0"/>
    <x v="18"/>
    <x v="7"/>
    <n v="1636.5176470588235"/>
    <m/>
  </r>
  <r>
    <n v="36989"/>
    <d v="2025-12-22T14:34:36"/>
    <x v="172"/>
    <s v="STJ/2025/12/10631"/>
    <s v="Inventory Valuation"/>
    <s v="CM/MTI/2025/04631 - [CCLGC022] NAILS SIZE 3'' / MRQ/2025/06619"/>
    <s v="CM/MTI/2025/04631 - [CCLGC022] NAILS SIZE 3'' / MRQ/2025/06619"/>
    <m/>
    <m/>
    <s v="MATERIAL COST"/>
    <s v="Expenses"/>
    <s v="731002"/>
    <s v="731002 STORE SPARES &amp; CONSUMABLES - GENERAL"/>
    <s v="CWIP-QUARRY RAW MATERIAL SHED EXTENSION"/>
    <s v="QUARRY"/>
    <s v="CIVIL"/>
    <n v="57000"/>
    <n v="0"/>
    <n v="57000"/>
    <s v="TZS"/>
    <s v="[CCLGC022] NAILS SIZE 3''"/>
    <m/>
    <n v="-10"/>
    <s v="KG"/>
    <x v="0"/>
    <x v="0"/>
    <x v="18"/>
    <x v="7"/>
    <n v="22.352941176470587"/>
    <m/>
  </r>
  <r>
    <n v="36988"/>
    <d v="2025-12-22T14:34:36"/>
    <x v="172"/>
    <s v="STJ/2025/12/10632"/>
    <s v="Inventory Valuation"/>
    <s v="CM/MTI/2025/04631 - [CCLGC028] NAILS CONCRETE SIZE 4'' / MRQ/2025/06619"/>
    <s v="CM/MTI/2025/04631 - [CCLGC028] NAILS CONCRETE SIZE 4'' / MRQ/2025/06619"/>
    <m/>
    <m/>
    <s v="MATERIAL COST"/>
    <s v="Expenses"/>
    <s v="731002"/>
    <s v="731002 STORE SPARES &amp; CONSUMABLES - GENERAL"/>
    <s v="CWIP-QUARRY RAW MATERIAL SHED EXTENSION"/>
    <s v="QUARRY"/>
    <s v="CIVIL"/>
    <n v="9951.27"/>
    <n v="0"/>
    <n v="9951.27"/>
    <s v="TZS"/>
    <s v="[CCLGC028] NAILS CONCRETE SIZE 4''"/>
    <m/>
    <n v="-1"/>
    <s v="KG"/>
    <x v="0"/>
    <x v="0"/>
    <x v="18"/>
    <x v="7"/>
    <n v="3.902458823529412"/>
    <m/>
  </r>
  <r>
    <n v="36985"/>
    <d v="2025-12-22T14:34:36"/>
    <x v="172"/>
    <s v="STJ/2025/12/10633"/>
    <s v="Inventory Valuation"/>
    <s v="CM/MTI/2025/04631 - [CCLGC032] WIRE FOR BINDING / MRQ/2025/06619"/>
    <s v="CM/MTI/2025/04631 - [CCLGC032] WIRE FOR BINDING / MRQ/2025/06619"/>
    <m/>
    <m/>
    <s v="MATERIAL COST"/>
    <s v="Expenses"/>
    <s v="731002"/>
    <s v="731002 STORE SPARES &amp; CONSUMABLES - GENERAL"/>
    <s v="CWIP-QUARRY RAW MATERIAL SHED EXTENSION"/>
    <s v="QUARRY"/>
    <s v="CIVIL"/>
    <n v="114500"/>
    <n v="0"/>
    <n v="114500"/>
    <s v="TZS"/>
    <s v="[CCLGC032] WIRE FOR BINDING"/>
    <m/>
    <n v="-22.9"/>
    <s v="KG"/>
    <x v="0"/>
    <x v="0"/>
    <x v="18"/>
    <x v="7"/>
    <n v="44.901960784313722"/>
    <m/>
  </r>
  <r>
    <n v="36983"/>
    <d v="2025-12-22T14:34:36"/>
    <x v="172"/>
    <s v="STJ/2025/12/10634"/>
    <s v="Inventory Valuation"/>
    <s v="CM/MTI/2025/04631 - [CWCGC041] CUTTING WHEEL 7'' / MRQ/2025/06619_x000a_Rounding Adjustment: +0.01 TSh"/>
    <s v="CM/MTI/2025/04631 - [CWCGC041] CUTTING WHEEL 7'' / MRQ/2025/06619_x000a_Rounding Adjustment: +0.01 TSh"/>
    <m/>
    <m/>
    <s v="MATERIAL COST"/>
    <s v="Expenses"/>
    <s v="731002"/>
    <s v="731002 STORE SPARES &amp; CONSUMABLES - GENERAL"/>
    <s v="CWIP-QUARRY RAW MATERIAL SHED EXTENSION"/>
    <s v="QUARRY"/>
    <s v="CIVIL"/>
    <n v="25762.82"/>
    <n v="0"/>
    <n v="25762.82"/>
    <s v="TZS"/>
    <s v="[CWCGC041] CUTTING WHEEL 7''"/>
    <m/>
    <n v="-8"/>
    <s v="NOS"/>
    <x v="0"/>
    <x v="0"/>
    <x v="18"/>
    <x v="7"/>
    <n v="10.103066666666667"/>
    <m/>
  </r>
  <r>
    <n v="33611"/>
    <d v="2025-12-19T08:32:06"/>
    <x v="171"/>
    <s v="STJ/2025/12/09049"/>
    <s v="Inventory Valuation"/>
    <s v="CM/MTI/2025/04586 - [CCLGC004] SAND / MRQ/2025/06483"/>
    <s v="CM/MTI/2025/04586 - [CCLGC004] SAND / MRQ/2025/06483"/>
    <m/>
    <m/>
    <s v="MATERIAL COST"/>
    <s v="Expenses"/>
    <s v="731002"/>
    <s v="731002 STORE SPARES &amp; CONSUMABLES - GENERAL"/>
    <s v="CWIP-QUARRY RAW MATERIAL SHED EXTENSION"/>
    <s v="QUARRY"/>
    <s v="CIVIL"/>
    <n v="5264331.4400000004"/>
    <n v="0"/>
    <n v="5264331.4400000004"/>
    <s v="TZS"/>
    <s v="[CCLGC004] SAND"/>
    <m/>
    <n v="-114200"/>
    <s v="KG"/>
    <x v="0"/>
    <x v="0"/>
    <x v="18"/>
    <x v="7"/>
    <n v="2064.4437019607844"/>
    <m/>
  </r>
  <r>
    <n v="30924"/>
    <d v="2025-12-18T13:32:32"/>
    <x v="176"/>
    <s v="STJ/2025/12/08729"/>
    <s v="Inventory Valuation"/>
    <s v="CM/MTI/2025/04559 - [CCLGC330] TMT BAR SIZE 16 MM GRADE FY500. / MRQ/2025/06562"/>
    <s v="CM/MTI/2025/04559 - [CCLGC330] TMT BAR SIZE 16 MM GRADE FY500. / MRQ/2025/06562"/>
    <m/>
    <m/>
    <s v="MATERIAL COST"/>
    <s v="Expenses"/>
    <s v="731002"/>
    <s v="731002 STORE SPARES &amp; CONSUMABLES - GENERAL"/>
    <s v="CWIP-QUARRY RAW MATERIAL SHED EXTENSION"/>
    <s v="QUARRY"/>
    <s v="CIVIL"/>
    <n v="1421396.07"/>
    <n v="0"/>
    <n v="1421396.07"/>
    <s v="TZS"/>
    <s v="[CCLGC330] TMT BAR SIZE 16 MM GRADE FY500."/>
    <m/>
    <n v="-39"/>
    <s v="PCS"/>
    <x v="0"/>
    <x v="0"/>
    <x v="18"/>
    <x v="7"/>
    <n v="557.41022352941184"/>
    <m/>
  </r>
  <r>
    <n v="25124"/>
    <d v="2025-12-16T14:20:31"/>
    <x v="178"/>
    <s v="STJ/2025/12/07822"/>
    <s v="Inventory Valuation"/>
    <s v="CM/MTI/2025/04537 - [CCLGC330] TMT BAR SIZE 16 MM GRADE FY500. / MRQ/2025/06477"/>
    <s v="CM/MTI/2025/04537 - [CCLGC330] TMT BAR SIZE 16 MM GRADE FY500. / MRQ/2025/06477"/>
    <m/>
    <m/>
    <s v="MATERIAL COST"/>
    <s v="Expenses"/>
    <s v="731002"/>
    <s v="731002 STORE SPARES &amp; CONSUMABLES - GENERAL"/>
    <s v="CWIP-QUARRY RAW MATERIAL SHED EXTENSION"/>
    <s v="QUARRY"/>
    <s v="CIVIL"/>
    <n v="1749410.55"/>
    <n v="0"/>
    <n v="1749410.55"/>
    <s v="TZS"/>
    <s v="[CCLGC330] TMT BAR SIZE 16 MM GRADE FY500."/>
    <m/>
    <n v="-48"/>
    <s v="PCS"/>
    <x v="0"/>
    <x v="0"/>
    <x v="18"/>
    <x v="7"/>
    <n v="686.04335294117652"/>
    <m/>
  </r>
  <r>
    <n v="25118"/>
    <d v="2025-12-16T14:22:31"/>
    <x v="178"/>
    <s v="STJ/2025/12/07825"/>
    <s v="Inventory Valuation"/>
    <s v="CM/MTI/2025/04539 - [CCLGC038] TIMBER 2 INCH X 4 INCH UNTREATED / MRQ/2025/06462"/>
    <s v="CM/MTI/2025/04539 - [CCLGC038] TIMBER 2 INCH X 4 INCH UNTREATED / MRQ/2025/06462"/>
    <m/>
    <m/>
    <s v="MATERIAL COST"/>
    <s v="Expenses"/>
    <s v="731002"/>
    <s v="731002 STORE SPARES &amp; CONSUMABLES - GENERAL"/>
    <s v="CWIP-QUARRY RAW MATERIAL SHED EXTENSION"/>
    <s v="QUARRY"/>
    <s v="CIVIL"/>
    <n v="350000"/>
    <n v="0"/>
    <n v="350000"/>
    <s v="TZS"/>
    <s v="[CCLGC038] TIMBER 2 INCH X 4 INCH UNTREATED"/>
    <m/>
    <n v="-50"/>
    <s v="NOS"/>
    <x v="0"/>
    <x v="0"/>
    <x v="18"/>
    <x v="7"/>
    <n v="137.25490196078431"/>
    <m/>
  </r>
  <r>
    <n v="25116"/>
    <d v="2025-12-16T14:22:31"/>
    <x v="178"/>
    <s v="STJ/2025/12/07826"/>
    <s v="Inventory Valuation"/>
    <s v="CM/MTI/2025/04539 - [CCLGC052] PLYWOOD 8FEET X 4FEET X 18 MM THICK  / MRQ/2025/06462"/>
    <s v="CM/MTI/2025/04539 - [CCLGC052] PLYWOOD 8FEET X 4FEET X 18 MM THICK  / MRQ/2025/06462"/>
    <m/>
    <m/>
    <s v="MATERIAL COST"/>
    <s v="Expenses"/>
    <s v="731002"/>
    <s v="731002 STORE SPARES &amp; CONSUMABLES - GENERAL"/>
    <s v="CWIP-QUARRY RAW MATERIAL SHED EXTENSION"/>
    <s v="QUARRY"/>
    <s v="CIVIL"/>
    <n v="1055084.7"/>
    <n v="0"/>
    <n v="1055084.7"/>
    <s v="TZS"/>
    <s v="[CCLGC052] PLYWOOD 8FEET X 4FEET X 18 MM THICK "/>
    <m/>
    <n v="-30"/>
    <s v="NOS"/>
    <x v="0"/>
    <x v="0"/>
    <x v="18"/>
    <x v="7"/>
    <n v="413.7587058823529"/>
    <m/>
  </r>
  <r>
    <n v="21350"/>
    <d v="2025-12-13T13:23:06"/>
    <x v="180"/>
    <s v="STJ/2025/12/06046"/>
    <s v="Inventory Valuation"/>
    <s v="CM/MTI/2025/04512 - [CCLGC022] NAILS SIZE 3'' / MRQ/2025/06454"/>
    <s v="CM/MTI/2025/04512 - [CCLGC022] NAILS SIZE 3'' / MRQ/2025/06454"/>
    <m/>
    <m/>
    <s v="MATERIAL COST"/>
    <s v="Expenses"/>
    <s v="731002"/>
    <s v="731002 STORE SPARES &amp; CONSUMABLES - GENERAL"/>
    <s v="CWIP-QUARRY RAW MATERIAL SHED EXTENSION"/>
    <s v="QUARRY"/>
    <s v="CIVIL"/>
    <n v="85500"/>
    <n v="0"/>
    <n v="85500"/>
    <s v="TZS"/>
    <s v="[CCLGC022] NAILS SIZE 3''"/>
    <m/>
    <n v="-15"/>
    <s v="KG"/>
    <x v="0"/>
    <x v="0"/>
    <x v="18"/>
    <x v="7"/>
    <n v="33.529411764705884"/>
    <m/>
  </r>
  <r>
    <n v="21348"/>
    <d v="2025-12-13T13:23:06"/>
    <x v="180"/>
    <s v="STJ/2025/12/06047"/>
    <s v="Inventory Valuation"/>
    <s v="CM/MTI/2025/04512 - [CCLGC023] NAILS SIZE 4'' / MRQ/2025/06454"/>
    <s v="CM/MTI/2025/04512 - [CCLGC023] NAILS SIZE 4'' / MRQ/2025/06454"/>
    <m/>
    <m/>
    <s v="MATERIAL COST"/>
    <s v="Expenses"/>
    <s v="731002"/>
    <s v="731002 STORE SPARES &amp; CONSUMABLES - GENERAL"/>
    <s v="CWIP-QUARRY RAW MATERIAL SHED EXTENSION"/>
    <s v="QUARRY"/>
    <s v="CIVIL"/>
    <n v="5700"/>
    <n v="0"/>
    <n v="5700"/>
    <s v="TZS"/>
    <s v="[CCLGC023] NAILS SIZE 4''"/>
    <m/>
    <n v="-1"/>
    <s v="KG"/>
    <x v="0"/>
    <x v="0"/>
    <x v="18"/>
    <x v="7"/>
    <n v="2.2352941176470589"/>
    <m/>
  </r>
  <r>
    <n v="21346"/>
    <d v="2025-12-13T13:23:06"/>
    <x v="180"/>
    <s v="STJ/2025/12/06048"/>
    <s v="Inventory Valuation"/>
    <s v="CM/MTI/2025/04512 - [CCLGC028] NAILS CONCRETE SIZE 4'' / MRQ/2025/06454"/>
    <s v="CM/MTI/2025/04512 - [CCLGC028] NAILS CONCRETE SIZE 4'' / MRQ/2025/06454"/>
    <m/>
    <m/>
    <s v="MATERIAL COST"/>
    <s v="Expenses"/>
    <s v="731002"/>
    <s v="731002 STORE SPARES &amp; CONSUMABLES - GENERAL"/>
    <s v="CWIP-QUARRY RAW MATERIAL SHED EXTENSION"/>
    <s v="QUARRY"/>
    <s v="CIVIL"/>
    <n v="49756.36"/>
    <n v="0"/>
    <n v="49756.36"/>
    <s v="TZS"/>
    <s v="[CCLGC028] NAILS CONCRETE SIZE 4''"/>
    <m/>
    <n v="-5"/>
    <s v="KG"/>
    <x v="0"/>
    <x v="0"/>
    <x v="18"/>
    <x v="7"/>
    <n v="19.512298039215686"/>
    <m/>
  </r>
  <r>
    <n v="21343"/>
    <d v="2025-12-13T13:23:06"/>
    <x v="180"/>
    <s v="STJ/2025/12/06049"/>
    <s v="Inventory Valuation"/>
    <s v="CM/MTI/2025/04512 - [CCLGC032] WIRE FOR BINDING / MRQ/2025/06454"/>
    <s v="CM/MTI/2025/04512 - [CCLGC032] WIRE FOR BINDING / MRQ/2025/06454"/>
    <m/>
    <m/>
    <s v="MATERIAL COST"/>
    <s v="Expenses"/>
    <s v="731002"/>
    <s v="731002 STORE SPARES &amp; CONSUMABLES - GENERAL"/>
    <s v="CWIP-QUARRY RAW MATERIAL SHED EXTENSION"/>
    <s v="QUARRY"/>
    <s v="CIVIL"/>
    <n v="70000"/>
    <n v="0"/>
    <n v="70000"/>
    <s v="TZS"/>
    <s v="[CCLGC032] WIRE FOR BINDING"/>
    <m/>
    <n v="-14"/>
    <s v="KG"/>
    <x v="0"/>
    <x v="0"/>
    <x v="18"/>
    <x v="7"/>
    <n v="27.450980392156861"/>
    <m/>
  </r>
  <r>
    <n v="21342"/>
    <d v="2025-12-13T13:23:06"/>
    <x v="180"/>
    <s v="STJ/2025/12/06050"/>
    <s v="Inventory Valuation"/>
    <s v="CM/MTI/2025/04512 - [CCLGC038] TIMBER 2 INCH X 4 INCH UNTREATED / MRQ/2025/06454"/>
    <s v="CM/MTI/2025/04512 - [CCLGC038] TIMBER 2 INCH X 4 INCH UNTREATED / MRQ/2025/06454"/>
    <m/>
    <m/>
    <s v="MATERIAL COST"/>
    <s v="Expenses"/>
    <s v="731002"/>
    <s v="731002 STORE SPARES &amp; CONSUMABLES - GENERAL"/>
    <s v="CWIP-QUARRY RAW MATERIAL SHED EXTENSION"/>
    <s v="QUARRY"/>
    <s v="CIVIL"/>
    <n v="700000"/>
    <n v="0"/>
    <n v="700000"/>
    <s v="TZS"/>
    <s v="[CCLGC038] TIMBER 2 INCH X 4 INCH UNTREATED"/>
    <m/>
    <n v="-100"/>
    <s v="NOS"/>
    <x v="0"/>
    <x v="0"/>
    <x v="18"/>
    <x v="7"/>
    <n v="274.50980392156862"/>
    <m/>
  </r>
  <r>
    <n v="21340"/>
    <d v="2025-12-13T13:23:06"/>
    <x v="180"/>
    <s v="STJ/2025/12/06051"/>
    <s v="Inventory Valuation"/>
    <s v="CM/MTI/2025/04512 - [CCLGC327] TMT BAR SIZE 8 MM GRADE FY500. / MRQ/2025/06454_x000a_Rounding Adjustment: +0.01 TSh"/>
    <s v="CM/MTI/2025/04512 - [CCLGC327] TMT BAR SIZE 8 MM GRADE FY500. / MRQ/2025/06454_x000a_Rounding Adjustment: +0.01 TSh"/>
    <m/>
    <m/>
    <s v="MATERIAL COST"/>
    <s v="Expenses"/>
    <s v="731002"/>
    <s v="731002 STORE SPARES &amp; CONSUMABLES - GENERAL"/>
    <s v="CWIP-QUARRY RAW MATERIAL SHED EXTENSION"/>
    <s v="QUARRY"/>
    <s v="CIVIL"/>
    <n v="757210.63"/>
    <n v="0"/>
    <n v="757210.63"/>
    <s v="TZS"/>
    <s v="[CCLGC327] TMT BAR SIZE 8 MM GRADE FY500."/>
    <m/>
    <n v="-80"/>
    <s v="PCS"/>
    <x v="0"/>
    <x v="0"/>
    <x v="18"/>
    <x v="7"/>
    <n v="296.94534509803924"/>
    <m/>
  </r>
  <r>
    <n v="21337"/>
    <d v="2025-12-13T13:23:06"/>
    <x v="180"/>
    <s v="STJ/2025/12/06052"/>
    <s v="Inventory Valuation"/>
    <s v="CM/MTI/2025/04512 - [CWCGC041] CUTTING WHEEL 7'' / MRQ/2025/06454_x000a_Rounding Adjustment: +0.01 TSh"/>
    <s v="CM/MTI/2025/04512 - [CWCGC041] CUTTING WHEEL 7'' / MRQ/2025/06454_x000a_Rounding Adjustment: +0.01 TSh"/>
    <m/>
    <m/>
    <s v="MATERIAL COST"/>
    <s v="Expenses"/>
    <s v="731002"/>
    <s v="731002 STORE SPARES &amp; CONSUMABLES - GENERAL"/>
    <s v="CWIP-QUARRY RAW MATERIAL SHED EXTENSION"/>
    <s v="QUARRY"/>
    <s v="CIVIL"/>
    <n v="25762.82"/>
    <n v="0"/>
    <n v="25762.82"/>
    <s v="TZS"/>
    <s v="[CWCGC041] CUTTING WHEEL 7''"/>
    <m/>
    <n v="-8"/>
    <s v="NOS"/>
    <x v="0"/>
    <x v="0"/>
    <x v="18"/>
    <x v="7"/>
    <n v="10.103066666666667"/>
    <m/>
  </r>
  <r>
    <n v="17058"/>
    <d v="2025-12-11T13:55:22"/>
    <x v="181"/>
    <s v="STJ/2025/12/05139"/>
    <s v="Inventory Valuation"/>
    <s v="CM/MTI/2025/04467 - [CCLGC022] NAILS SIZE 3'' / MRQ/2025/06402"/>
    <s v="CM/MTI/2025/04467 - [CCLGC022] NAILS SIZE 3'' / MRQ/2025/06402"/>
    <m/>
    <m/>
    <s v="MATERIAL COST"/>
    <s v="Expenses"/>
    <s v="731002"/>
    <s v="731002 STORE SPARES &amp; CONSUMABLES - GENERAL"/>
    <s v="CWIP-QUARRY RAW MATERIAL SHED EXTENSION"/>
    <s v="QUARRY"/>
    <s v="CIVIL"/>
    <n v="57000"/>
    <n v="0"/>
    <n v="57000"/>
    <s v="TZS"/>
    <s v="[CCLGC022] NAILS SIZE 3''"/>
    <m/>
    <n v="-10"/>
    <s v="KG"/>
    <x v="0"/>
    <x v="0"/>
    <x v="18"/>
    <x v="7"/>
    <n v="22.352941176470587"/>
    <m/>
  </r>
  <r>
    <n v="17057"/>
    <d v="2025-12-11T13:55:22"/>
    <x v="181"/>
    <s v="STJ/2025/12/05140"/>
    <s v="Inventory Valuation"/>
    <s v="CM/MTI/2025/04467 - [CCLGC028] NAILS CONCRETE SIZE 4'' / MRQ/2025/06402"/>
    <s v="CM/MTI/2025/04467 - [CCLGC028] NAILS CONCRETE SIZE 4'' / MRQ/2025/06402"/>
    <m/>
    <m/>
    <s v="MATERIAL COST"/>
    <s v="Expenses"/>
    <s v="731002"/>
    <s v="731002 STORE SPARES &amp; CONSUMABLES - GENERAL"/>
    <s v="CWIP-QUARRY RAW MATERIAL SHED EXTENSION"/>
    <s v="QUARRY"/>
    <s v="CIVIL"/>
    <n v="49756.36"/>
    <n v="0"/>
    <n v="49756.36"/>
    <s v="TZS"/>
    <s v="[CCLGC028] NAILS CONCRETE SIZE 4''"/>
    <m/>
    <n v="-5"/>
    <s v="KG"/>
    <x v="0"/>
    <x v="0"/>
    <x v="18"/>
    <x v="7"/>
    <n v="19.512298039215686"/>
    <m/>
  </r>
  <r>
    <n v="17055"/>
    <d v="2025-12-11T13:55:22"/>
    <x v="181"/>
    <s v="STJ/2025/12/05141"/>
    <s v="Inventory Valuation"/>
    <s v="CM/MTI/2025/04467 - [CCLGC032] WIRE FOR BINDING / MRQ/2025/06402"/>
    <s v="CM/MTI/2025/04467 - [CCLGC032] WIRE FOR BINDING / MRQ/2025/06402"/>
    <m/>
    <m/>
    <s v="MATERIAL COST"/>
    <s v="Expenses"/>
    <s v="731002"/>
    <s v="731002 STORE SPARES &amp; CONSUMABLES - GENERAL"/>
    <s v="CWIP-QUARRY RAW MATERIAL SHED EXTENSION"/>
    <s v="QUARRY"/>
    <s v="CIVIL"/>
    <n v="75000"/>
    <n v="0"/>
    <n v="75000"/>
    <s v="TZS"/>
    <s v="[CCLGC032] WIRE FOR BINDING"/>
    <m/>
    <n v="-15"/>
    <s v="KG"/>
    <x v="0"/>
    <x v="0"/>
    <x v="18"/>
    <x v="7"/>
    <n v="29.411764705882351"/>
    <m/>
  </r>
  <r>
    <n v="11032"/>
    <d v="2025-12-08T14:22:35"/>
    <x v="169"/>
    <s v="STJ/2025/12/03979"/>
    <s v="Inventory Valuation"/>
    <s v="CM/MTI/2025/04422 - [CCLGC022] NAILS SIZE 3'' / MRQ/2025/06342"/>
    <s v="CM/MTI/2025/04422 - [CCLGC022] NAILS SIZE 3'' / MRQ/2025/06342"/>
    <m/>
    <m/>
    <s v="MATERIAL COST"/>
    <s v="Expenses"/>
    <s v="731002"/>
    <s v="731002 STORE SPARES &amp; CONSUMABLES - GENERAL"/>
    <s v="CWIP-QUARRY RAW MATERIAL SHED EXTENSION"/>
    <s v="QUARRY"/>
    <s v="CIVIL"/>
    <n v="45600"/>
    <n v="0"/>
    <n v="45600"/>
    <s v="TZS"/>
    <s v="[CCLGC022] NAILS SIZE 3''"/>
    <m/>
    <n v="-8"/>
    <s v="KG"/>
    <x v="0"/>
    <x v="0"/>
    <x v="18"/>
    <x v="7"/>
    <n v="17.882352941176471"/>
    <m/>
  </r>
  <r>
    <n v="11030"/>
    <d v="2025-12-08T14:22:35"/>
    <x v="169"/>
    <s v="STJ/2025/12/03980"/>
    <s v="Inventory Valuation"/>
    <s v="CM/MTI/2025/04422 - [CCLGC183] POLES WOODEN MIRUNDA  / MRQ/2025/06342"/>
    <s v="CM/MTI/2025/04422 - [CCLGC183] POLES WOODEN MIRUNDA  / MRQ/2025/06342"/>
    <m/>
    <m/>
    <s v="MATERIAL COST"/>
    <s v="Expenses"/>
    <s v="731002"/>
    <s v="731002 STORE SPARES &amp; CONSUMABLES - GENERAL"/>
    <s v="CWIP-QUARRY RAW MATERIAL SHED EXTENSION"/>
    <s v="QUARRY"/>
    <s v="CIVIL"/>
    <n v="500000"/>
    <n v="0"/>
    <n v="500000"/>
    <s v="TZS"/>
    <s v="[CCLGC183] POLES WOODEN MIRUNDA "/>
    <m/>
    <n v="-100"/>
    <s v="NOS"/>
    <x v="0"/>
    <x v="0"/>
    <x v="18"/>
    <x v="7"/>
    <n v="196.07843137254903"/>
    <m/>
  </r>
  <r>
    <n v="8256"/>
    <d v="2025-12-06T13:01:11"/>
    <x v="182"/>
    <s v="STJ/2025/12/02614"/>
    <s v="Inventory Valuation"/>
    <s v="CM/MTI/2025/04405 - [CCLGC032] WIRE FOR BINDING / MRQ/2025/06310"/>
    <s v="CM/MTI/2025/04405 - [CCLGC032] WIRE FOR BINDING / MRQ/2025/06310"/>
    <m/>
    <m/>
    <s v="MATERIAL COST"/>
    <s v="Expenses"/>
    <s v="731002"/>
    <s v="731002 STORE SPARES &amp; CONSUMABLES - GENERAL"/>
    <s v="CWIP-QUARRY RAW MATERIAL SHED EXTENSION"/>
    <s v="QUARRY"/>
    <s v="CIVIL"/>
    <n v="75000"/>
    <n v="0"/>
    <n v="75000"/>
    <s v="TZS"/>
    <s v="[CCLGC032] WIRE FOR BINDING"/>
    <m/>
    <n v="-15"/>
    <s v="KG"/>
    <x v="0"/>
    <x v="0"/>
    <x v="18"/>
    <x v="7"/>
    <n v="29.411764705882351"/>
    <m/>
  </r>
  <r>
    <n v="8254"/>
    <d v="2025-12-06T13:01:11"/>
    <x v="182"/>
    <s v="STJ/2025/12/02615"/>
    <s v="Inventory Valuation"/>
    <s v="CM/MTI/2025/04405 - [CCLGC038] TIMBER 2 INCH X 4 INCH UNTREATED / MRQ/2025/06310"/>
    <s v="CM/MTI/2025/04405 - [CCLGC038] TIMBER 2 INCH X 4 INCH UNTREATED / MRQ/2025/06310"/>
    <m/>
    <m/>
    <s v="MATERIAL COST"/>
    <s v="Expenses"/>
    <s v="731002"/>
    <s v="731002 STORE SPARES &amp; CONSUMABLES - GENERAL"/>
    <s v="CWIP-QUARRY RAW MATERIAL SHED EXTENSION"/>
    <s v="QUARRY"/>
    <s v="CIVIL"/>
    <n v="840000"/>
    <n v="0"/>
    <n v="840000"/>
    <s v="TZS"/>
    <s v="[CCLGC038] TIMBER 2 INCH X 4 INCH UNTREATED"/>
    <m/>
    <n v="-120"/>
    <s v="NOS"/>
    <x v="0"/>
    <x v="0"/>
    <x v="18"/>
    <x v="7"/>
    <n v="329.41176470588238"/>
    <m/>
  </r>
  <r>
    <n v="8252"/>
    <d v="2025-12-06T13:03:36"/>
    <x v="182"/>
    <s v="STJ/2025/12/02616"/>
    <s v="Inventory Valuation"/>
    <s v="CM/MTI/2025/04406 - [CCLGC032] WIRE FOR BINDING / MRQ/2025/06284"/>
    <s v="CM/MTI/2025/04406 - [CCLGC032] WIRE FOR BINDING / MRQ/2025/06284"/>
    <m/>
    <m/>
    <s v="MATERIAL COST"/>
    <s v="Expenses"/>
    <s v="731002"/>
    <s v="731002 STORE SPARES &amp; CONSUMABLES - GENERAL"/>
    <s v="CWIP-QUARRY RAW MATERIAL SHED EXTENSION"/>
    <s v="QUARRY"/>
    <s v="CIVIL"/>
    <n v="71000"/>
    <n v="0"/>
    <n v="71000"/>
    <s v="TZS"/>
    <s v="[CCLGC032] WIRE FOR BINDING"/>
    <m/>
    <n v="-14.2"/>
    <s v="KG"/>
    <x v="0"/>
    <x v="0"/>
    <x v="18"/>
    <x v="7"/>
    <n v="27.843137254901961"/>
    <m/>
  </r>
  <r>
    <n v="8250"/>
    <d v="2025-12-06T13:03:36"/>
    <x v="182"/>
    <s v="STJ/2025/12/02617"/>
    <s v="Inventory Valuation"/>
    <s v="CM/MTI/2025/04406 - [CCLGC052] PLYWOOD 8FEET X 4FEET X 18 MM THICK  / MRQ/2025/06284"/>
    <s v="CM/MTI/2025/04406 - [CCLGC052] PLYWOOD 8FEET X 4FEET X 18 MM THICK  / MRQ/2025/06284"/>
    <m/>
    <m/>
    <s v="MATERIAL COST"/>
    <s v="Expenses"/>
    <s v="731002"/>
    <s v="731002 STORE SPARES &amp; CONSUMABLES - GENERAL"/>
    <s v="CWIP-QUARRY RAW MATERIAL SHED EXTENSION"/>
    <s v="QUARRY"/>
    <s v="CIVIL"/>
    <n v="1055084.7"/>
    <n v="0"/>
    <n v="1055084.7"/>
    <s v="TZS"/>
    <s v="[CCLGC052] PLYWOOD 8FEET X 4FEET X 18 MM THICK "/>
    <m/>
    <n v="-30"/>
    <s v="NOS"/>
    <x v="0"/>
    <x v="0"/>
    <x v="18"/>
    <x v="7"/>
    <n v="413.7587058823529"/>
    <m/>
  </r>
  <r>
    <n v="8248"/>
    <d v="2025-12-06T13:03:36"/>
    <x v="182"/>
    <s v="STJ/2025/12/02618"/>
    <s v="Inventory Valuation"/>
    <s v="CM/MTI/2025/04406 - [CCLGC327] TMT BAR SIZE 8 MM GRADE FY500. / MRQ/2025/06284"/>
    <s v="CM/MTI/2025/04406 - [CCLGC327] TMT BAR SIZE 8 MM GRADE FY500. / MRQ/2025/06284"/>
    <m/>
    <m/>
    <s v="MATERIAL COST"/>
    <s v="Expenses"/>
    <s v="731002"/>
    <s v="731002 STORE SPARES &amp; CONSUMABLES - GENERAL"/>
    <s v="CWIP-QUARRY RAW MATERIAL SHED EXTENSION"/>
    <s v="QUARRY"/>
    <s v="CIVIL"/>
    <n v="946513.3"/>
    <n v="0"/>
    <n v="946513.3"/>
    <s v="TZS"/>
    <s v="[CCLGC327] TMT BAR SIZE 8 MM GRADE FY500."/>
    <m/>
    <n v="-100"/>
    <s v="PCS"/>
    <x v="0"/>
    <x v="0"/>
    <x v="18"/>
    <x v="7"/>
    <n v="371.18168627450984"/>
    <m/>
  </r>
  <r>
    <n v="8245"/>
    <d v="2025-12-06T13:03:36"/>
    <x v="182"/>
    <s v="STJ/2025/12/02619"/>
    <s v="Inventory Valuation"/>
    <s v="CM/MTI/2025/04406 - [CCLGC330] TMT BAR SIZE 16 MM GRADE FY500. / MRQ/2025/06284"/>
    <s v="CM/MTI/2025/04406 - [CCLGC330] TMT BAR SIZE 16 MM GRADE FY500. / MRQ/2025/06284"/>
    <m/>
    <m/>
    <s v="MATERIAL COST"/>
    <s v="Expenses"/>
    <s v="731002"/>
    <s v="731002 STORE SPARES &amp; CONSUMABLES - GENERAL"/>
    <s v="CWIP-QUARRY RAW MATERIAL SHED EXTENSION"/>
    <s v="QUARRY"/>
    <s v="CIVIL"/>
    <n v="1822302.65"/>
    <n v="0"/>
    <n v="1822302.65"/>
    <s v="TZS"/>
    <s v="[CCLGC330] TMT BAR SIZE 16 MM GRADE FY500."/>
    <m/>
    <n v="-50"/>
    <s v="PCS"/>
    <x v="0"/>
    <x v="0"/>
    <x v="18"/>
    <x v="7"/>
    <n v="714.62849019607836"/>
    <m/>
  </r>
  <r>
    <n v="8244"/>
    <d v="2025-12-06T13:03:36"/>
    <x v="182"/>
    <s v="STJ/2025/12/02620"/>
    <s v="Inventory Valuation"/>
    <s v="CM/MTI/2025/04406 - [CWCGC041] CUTTING WHEEL 7'' / MRQ/2025/06284"/>
    <s v="CM/MTI/2025/04406 - [CWCGC041] CUTTING WHEEL 7'' / MRQ/2025/06284"/>
    <m/>
    <m/>
    <s v="MATERIAL COST"/>
    <s v="Expenses"/>
    <s v="731002"/>
    <s v="731002 STORE SPARES &amp; CONSUMABLES - GENERAL"/>
    <s v="CWIP-QUARRY RAW MATERIAL SHED EXTENSION"/>
    <s v="QUARRY"/>
    <s v="CIVIL"/>
    <n v="25762.83"/>
    <n v="0"/>
    <n v="25762.83"/>
    <s v="TZS"/>
    <s v="[CWCGC041] CUTTING WHEEL 7''"/>
    <m/>
    <n v="-8"/>
    <s v="NOS"/>
    <x v="0"/>
    <x v="0"/>
    <x v="18"/>
    <x v="7"/>
    <n v="10.103070588235294"/>
    <m/>
  </r>
  <r>
    <n v="1674"/>
    <d v="2025-12-02T14:08:32"/>
    <x v="166"/>
    <s v="STJ/2025/12/00697"/>
    <s v="Inventory Valuation"/>
    <s v="CM/MTI/2025/04344 - [CCLGC022] NAILS SIZE 3'' / MRQ/2025/06194"/>
    <s v="CM/MTI/2025/04344 - [CCLGC022] NAILS SIZE 3'' / MRQ/2025/06194"/>
    <m/>
    <m/>
    <s v="MATERIAL COST"/>
    <s v="Expenses"/>
    <s v="731002"/>
    <s v="731002 STORE SPARES &amp; CONSUMABLES - GENERAL"/>
    <s v="CWIP-QUARRY RAW MATERIAL SHED EXTENSION"/>
    <s v="QUARRY"/>
    <s v="CIVIL"/>
    <n v="57000"/>
    <n v="0"/>
    <n v="57000"/>
    <s v="TZS"/>
    <s v="[CCLGC022] NAILS SIZE 3''"/>
    <m/>
    <n v="-10"/>
    <s v="KG"/>
    <x v="0"/>
    <x v="0"/>
    <x v="18"/>
    <x v="7"/>
    <n v="22.352941176470587"/>
    <m/>
  </r>
  <r>
    <n v="1671"/>
    <d v="2025-12-02T14:08:32"/>
    <x v="166"/>
    <s v="STJ/2025/12/00698"/>
    <s v="Inventory Valuation"/>
    <s v="CM/MTI/2025/04344 - [CCLGC032] WIRE FOR BINDING / MRQ/2025/06194"/>
    <s v="CM/MTI/2025/04344 - [CCLGC032] WIRE FOR BINDING / MRQ/2025/06194"/>
    <m/>
    <m/>
    <s v="MATERIAL COST"/>
    <s v="Expenses"/>
    <s v="731002"/>
    <s v="731002 STORE SPARES &amp; CONSUMABLES - GENERAL"/>
    <s v="CWIP-QUARRY RAW MATERIAL SHED EXTENSION"/>
    <s v="QUARRY"/>
    <s v="CIVIL"/>
    <n v="70000"/>
    <n v="0"/>
    <n v="70000"/>
    <s v="TZS"/>
    <s v="[CCLGC032] WIRE FOR BINDING"/>
    <m/>
    <n v="-14"/>
    <s v="KG"/>
    <x v="0"/>
    <x v="0"/>
    <x v="18"/>
    <x v="7"/>
    <n v="27.450980392156861"/>
    <m/>
  </r>
  <r>
    <n v="1670"/>
    <d v="2025-12-02T14:08:32"/>
    <x v="166"/>
    <s v="STJ/2025/12/00699"/>
    <s v="Inventory Valuation"/>
    <s v="CM/MTI/2025/04344 - [CCLGC327] TMT BAR SIZE 8 MM GRADE FY500. / MRQ/2025/06194"/>
    <s v="CM/MTI/2025/04344 - [CCLGC327] TMT BAR SIZE 8 MM GRADE FY500. / MRQ/2025/06194"/>
    <m/>
    <m/>
    <s v="MATERIAL COST"/>
    <s v="Expenses"/>
    <s v="731002"/>
    <s v="731002 STORE SPARES &amp; CONSUMABLES - GENERAL"/>
    <s v="CWIP-QUARRY RAW MATERIAL SHED EXTENSION"/>
    <s v="QUARRY"/>
    <s v="CIVIL"/>
    <n v="757210.64"/>
    <n v="0"/>
    <n v="757210.64"/>
    <s v="TZS"/>
    <s v="[CCLGC327] TMT BAR SIZE 8 MM GRADE FY500."/>
    <m/>
    <n v="-80"/>
    <s v="PCS"/>
    <x v="0"/>
    <x v="0"/>
    <x v="18"/>
    <x v="7"/>
    <n v="296.94534901960787"/>
    <m/>
  </r>
  <r>
    <n v="1668"/>
    <d v="2025-12-02T14:08:32"/>
    <x v="166"/>
    <s v="STJ/2025/12/00700"/>
    <s v="Inventory Valuation"/>
    <s v="CM/MTI/2025/04344 - [CCLGC330] TMT BAR SIZE 16 MM GRADE FY500. / MRQ/2025/06194"/>
    <s v="CM/MTI/2025/04344 - [CCLGC330] TMT BAR SIZE 16 MM GRADE FY500. / MRQ/2025/06194"/>
    <m/>
    <m/>
    <s v="MATERIAL COST"/>
    <s v="Expenses"/>
    <s v="731002"/>
    <s v="731002 STORE SPARES &amp; CONSUMABLES - GENERAL"/>
    <s v="CWIP-QUARRY RAW MATERIAL SHED EXTENSION"/>
    <s v="QUARRY"/>
    <s v="CIVIL"/>
    <n v="1822302.65"/>
    <n v="0"/>
    <n v="1822302.65"/>
    <s v="TZS"/>
    <s v="[CCLGC330] TMT BAR SIZE 16 MM GRADE FY500."/>
    <m/>
    <n v="-50"/>
    <s v="PCS"/>
    <x v="0"/>
    <x v="0"/>
    <x v="18"/>
    <x v="7"/>
    <n v="714.62849019607836"/>
    <m/>
  </r>
  <r>
    <n v="1666"/>
    <d v="2025-12-02T14:08:32"/>
    <x v="166"/>
    <s v="STJ/2025/12/00701"/>
    <s v="Inventory Valuation"/>
    <s v="CM/MTI/2025/04344 - [CWCGC041] CUTTING WHEEL 7'' / MRQ/2025/06194_x000a_Rounding Adjustment: +0.01 TSh"/>
    <s v="CM/MTI/2025/04344 - [CWCGC041] CUTTING WHEEL 7'' / MRQ/2025/06194_x000a_Rounding Adjustment: +0.01 TSh"/>
    <m/>
    <m/>
    <s v="MATERIAL COST"/>
    <s v="Expenses"/>
    <s v="731002"/>
    <s v="731002 STORE SPARES &amp; CONSUMABLES - GENERAL"/>
    <s v="CWIP-QUARRY RAW MATERIAL SHED EXTENSION"/>
    <s v="QUARRY"/>
    <s v="CIVIL"/>
    <n v="25762.82"/>
    <n v="0"/>
    <n v="25762.82"/>
    <s v="TZS"/>
    <s v="[CWCGC041] CUTTING WHEEL 7''"/>
    <m/>
    <n v="-8"/>
    <s v="NOS"/>
    <x v="0"/>
    <x v="0"/>
    <x v="18"/>
    <x v="7"/>
    <n v="10.103066666666667"/>
    <m/>
  </r>
  <r>
    <n v="39082"/>
    <d v="2025-12-23T14:16:39"/>
    <x v="173"/>
    <s v="STJ/2025/12/11136"/>
    <s v="Inventory Valuation"/>
    <s v="CM/MTI/2025/04655 - [CCLGC002] AGGREGATE GRANITE SIZE 14 MM TO 20 MM  / MRQ/2025/06597"/>
    <s v="CM/MTI/2025/04655 - [CCLGC002] AGGREGATE GRANITE SIZE 14 MM TO 20 MM  / MRQ/2025/06597"/>
    <m/>
    <m/>
    <s v="MATERIAL COST"/>
    <s v="Expenses"/>
    <s v="731002"/>
    <s v="731002 STORE SPARES &amp; CONSUMABLES - GENERAL"/>
    <s v="CWIP-ROAD PHASE 07"/>
    <s v="PROJECT"/>
    <s v="CIVIL"/>
    <n v="4320000"/>
    <n v="0"/>
    <n v="4320000"/>
    <s v="TZS"/>
    <s v="[CCLGC002] AGGREGATE GRANITE SIZE 14 MM TO 20 MM "/>
    <m/>
    <n v="-40"/>
    <s v="CUM"/>
    <x v="0"/>
    <x v="0"/>
    <x v="17"/>
    <x v="6"/>
    <n v="1694.1176470588234"/>
    <m/>
  </r>
  <r>
    <n v="33605"/>
    <d v="2025-12-19T08:32:49"/>
    <x v="171"/>
    <s v="STJ/2025/12/09052"/>
    <s v="Inventory Valuation"/>
    <s v="CM/MTI/2025/04587 - [CCLGC004] SAND / MRQ/2025/06484"/>
    <s v="CM/MTI/2025/04587 - [CCLGC004] SAND / MRQ/2025/06484"/>
    <m/>
    <m/>
    <s v="MATERIAL COST"/>
    <s v="Expenses"/>
    <s v="731002"/>
    <s v="731002 STORE SPARES &amp; CONSUMABLES - GENERAL"/>
    <s v="CWIP-ROAD PHASE 07"/>
    <s v="PROJECT"/>
    <s v="CIVIL"/>
    <n v="1382924.2"/>
    <n v="0"/>
    <n v="1382924.2"/>
    <s v="TZS"/>
    <s v="[CCLGC004] SAND"/>
    <m/>
    <n v="-30000"/>
    <s v="KG"/>
    <x v="0"/>
    <x v="0"/>
    <x v="17"/>
    <x v="6"/>
    <n v="542.32321568627447"/>
    <m/>
  </r>
  <r>
    <n v="39080"/>
    <d v="2025-12-23T14:17:48"/>
    <x v="173"/>
    <s v="STJ/2025/12/11137"/>
    <s v="Inventory Valuation"/>
    <s v="CM/MTI/2025/04656 - [CPMBG002] BAG EMPTY FOR CEMENT PACKING GRADE 42.5R MATERIAL WOVEN POLYPROPYLENE CAPACITY 50KG COLOR ORANGE / MRQ/2025/06622"/>
    <s v="CM/MTI/2025/04656 - [CPMBG002] BAG EMPTY FOR CEMENT PACKING GRADE 42.5R MATERIAL WOVEN POLYPROPYLENE CAPACITY 50KG COLOR ORANGE / MRQ/2025/06622"/>
    <m/>
    <m/>
    <s v="MATERIAL COST"/>
    <s v="Expenses"/>
    <s v="731006"/>
    <s v="731006 PACKING BAGS CONSUMED"/>
    <s v="CWIP-CONSTRUCTION OF PLANT BOUNDARY WALL"/>
    <s v="PROJECT"/>
    <s v="CIVIL"/>
    <n v="63000"/>
    <n v="0"/>
    <n v="63000"/>
    <s v="TZS"/>
    <s v="[CPMBG002] BAG EMPTY FOR CEMENT PACKING GRADE 42.5R MATERIAL WOVEN POLYPROPYLENE CAPACITY 50KG COLOR ORANGE"/>
    <m/>
    <n v="-150"/>
    <s v="NOS"/>
    <x v="0"/>
    <x v="0"/>
    <x v="21"/>
    <x v="8"/>
    <n v="24.705882352941178"/>
    <m/>
  </r>
  <r>
    <n v="39077"/>
    <d v="2025-12-23T14:18:37"/>
    <x v="173"/>
    <s v="STJ/2025/12/11139"/>
    <s v="Inventory Valuation"/>
    <s v="CM/MTI/2025/04657 - [CPMBG002] BAG EMPTY FOR CEMENT PACKING GRADE 42.5R MATERIAL WOVEN POLYPROPYLENE CAPACITY 50KG COLOR ORANGE / MRQ/2025/06621"/>
    <s v="CM/MTI/2025/04657 - [CPMBG002] BAG EMPTY FOR CEMENT PACKING GRADE 42.5R MATERIAL WOVEN POLYPROPYLENE CAPACITY 50KG COLOR ORANGE / MRQ/2025/06621"/>
    <m/>
    <m/>
    <s v="MATERIAL COST"/>
    <s v="Expenses"/>
    <s v="731006"/>
    <s v="731006 PACKING BAGS CONSUMED"/>
    <s v="CWIP-QUARRY RAW MATERIAL SHED EXTENSION"/>
    <s v="QUARRY"/>
    <s v="CIVIL"/>
    <n v="42000"/>
    <n v="0"/>
    <n v="42000"/>
    <s v="TZS"/>
    <s v="[CPMBG002] BAG EMPTY FOR CEMENT PACKING GRADE 42.5R MATERIAL WOVEN POLYPROPYLENE CAPACITY 50KG COLOR ORANGE"/>
    <m/>
    <n v="-100"/>
    <s v="NOS"/>
    <x v="0"/>
    <x v="0"/>
    <x v="18"/>
    <x v="7"/>
    <n v="16.470588235294116"/>
    <m/>
  </r>
  <r>
    <n v="30930"/>
    <d v="2025-12-18T13:29:17"/>
    <x v="176"/>
    <s v="STJ/2025/12/08726"/>
    <s v="Inventory Valuation"/>
    <s v="CM/MTI/2025/04557 - [CPMBG002] BAG EMPTY FOR CEMENT PACKING GRADE 42.5R MATERIAL WOVEN POLYPROPYLENE CAPACITY 50KG COLOR ORANGE / MRQ/2025/06195"/>
    <s v="CM/MTI/2025/04557 - [CPMBG002] BAG EMPTY FOR CEMENT PACKING GRADE 42.5R MATERIAL WOVEN POLYPROPYLENE CAPACITY 50KG COLOR ORANGE / MRQ/2025/06195"/>
    <m/>
    <m/>
    <s v="MATERIAL COST"/>
    <s v="Expenses"/>
    <s v="731006"/>
    <s v="731006 PACKING BAGS CONSUMED"/>
    <s v="CWIP-QUARRY RAW MATERIAL SHED EXTENSION"/>
    <s v="QUARRY"/>
    <s v="CIVIL"/>
    <n v="67200"/>
    <n v="0"/>
    <n v="67200"/>
    <s v="TZS"/>
    <s v="[CPMBG002] BAG EMPTY FOR CEMENT PACKING GRADE 42.5R MATERIAL WOVEN POLYPROPYLENE CAPACITY 50KG COLOR ORANGE"/>
    <m/>
    <n v="-160"/>
    <s v="NOS"/>
    <x v="0"/>
    <x v="0"/>
    <x v="18"/>
    <x v="7"/>
    <n v="26.352941176470587"/>
    <m/>
  </r>
  <r>
    <n v="30910"/>
    <d v="2025-12-18T13:35:37"/>
    <x v="176"/>
    <s v="STJ/2025/12/08736"/>
    <s v="Inventory Valuation"/>
    <s v="CM/MTI/2025/04562 - [CPMBG002] BAG EMPTY FOR CEMENT PACKING GRADE 42.5R MATERIAL WOVEN POLYPROPYLENE CAPACITY 50KG COLOR ORANGE / MRQ/2025/06464"/>
    <s v="CM/MTI/2025/04562 - [CPMBG002] BAG EMPTY FOR CEMENT PACKING GRADE 42.5R MATERIAL WOVEN POLYPROPYLENE CAPACITY 50KG COLOR ORANGE / MRQ/2025/06464"/>
    <m/>
    <m/>
    <s v="MATERIAL COST"/>
    <s v="Expenses"/>
    <s v="731006"/>
    <s v="731006 PACKING BAGS CONSUMED"/>
    <s v="CWIP-QUARRY RAW MATERIAL SHED EXTENSION"/>
    <s v="QUARRY"/>
    <s v="CIVIL"/>
    <n v="42000"/>
    <n v="0"/>
    <n v="42000"/>
    <s v="TZS"/>
    <s v="[CPMBG002] BAG EMPTY FOR CEMENT PACKING GRADE 42.5R MATERIAL WOVEN POLYPROPYLENE CAPACITY 50KG COLOR ORANGE"/>
    <m/>
    <n v="-100"/>
    <s v="NOS"/>
    <x v="0"/>
    <x v="0"/>
    <x v="18"/>
    <x v="7"/>
    <n v="16.470588235294116"/>
    <m/>
  </r>
  <r>
    <n v="240"/>
    <d v="2025-12-01T14:02:12"/>
    <x v="177"/>
    <s v="STJ/2025/12/00258"/>
    <s v="Inventory Valuation"/>
    <s v="CM/MTI/2025/04334 - [CPMBG002] BAG EMPTY FOR CEMENT PACKING GRADE 42.5R MATERIAL WOVEN POLYPROPYLENE CAPACITY 50KG COLOR ORANGE / MRQ/2025/06107"/>
    <s v="CM/MTI/2025/04334 - [CPMBG002] BAG EMPTY FOR CEMENT PACKING GRADE 42.5R MATERIAL WOVEN POLYPROPYLENE CAPACITY 50KG COLOR ORANGE / MRQ/2025/06107"/>
    <m/>
    <m/>
    <s v="MATERIAL COST"/>
    <s v="Expenses"/>
    <s v="731006"/>
    <s v="731006 PACKING BAGS CONSUMED"/>
    <s v="CWIP-QUARRY RAW MATERIAL SHED EXTENSION"/>
    <s v="QUARRY"/>
    <s v="CIVIL"/>
    <n v="67200"/>
    <n v="0"/>
    <n v="67200"/>
    <s v="TZS"/>
    <s v="[CPMBG002] BAG EMPTY FOR CEMENT PACKING GRADE 42.5R MATERIAL WOVEN POLYPROPYLENE CAPACITY 50KG COLOR ORANGE"/>
    <m/>
    <n v="-160"/>
    <s v="NOS"/>
    <x v="0"/>
    <x v="0"/>
    <x v="18"/>
    <x v="7"/>
    <n v="26.352941176470587"/>
    <m/>
  </r>
  <r>
    <n v="14739"/>
    <d v="2025-12-10T13:49:55"/>
    <x v="170"/>
    <s v="STJ/2025/12/04541"/>
    <s v="Inventory Valuation"/>
    <s v="CM/MTI/2025/04451 - [CACOP007] PRINTER / MRQ/2025/06383-MUNEESH OFFICE"/>
    <s v="CM/MTI/2025/04451 - [CACOP007] PRINTER / MRQ/2025/06383-MUNEESH OFFICE"/>
    <m/>
    <m/>
    <s v="MATERIAL COST"/>
    <s v="Expenses"/>
    <s v="731003"/>
    <s v="731003 STORE SPARES &amp; CONSUMABLES - CA"/>
    <s v="Fixed Asset"/>
    <s v="ADMIN"/>
    <s v="ACCOUNTS"/>
    <n v="912556.5"/>
    <n v="0"/>
    <n v="912556.5"/>
    <s v="TZS"/>
    <s v="[CACOP007] PRINTER"/>
    <m/>
    <n v="-1"/>
    <s v="NOS"/>
    <x v="0"/>
    <x v="2"/>
    <x v="6"/>
    <x v="5"/>
    <n v="357.86529411764707"/>
    <m/>
  </r>
  <r>
    <n v="19251"/>
    <d v="2025-12-12T13:59:51"/>
    <x v="183"/>
    <s v="STJ/2025/12/05732"/>
    <s v="Inventory Valuation"/>
    <s v="CM/MTI/2025/04483 - [CACOP011] 75 INCHES UHD 4K SMART INTERACTIVE TOUCHSCREEN DISPLAY MODEL 75WM6FE / MRQ/2025/06437"/>
    <s v="CM/MTI/2025/04483 - [CACOP011] 75 INCHES UHD 4K SMART INTERACTIVE TOUCHSCREEN DISPLAY MODEL 75WM6FE / MRQ/2025/06437-HO"/>
    <m/>
    <m/>
    <s v="MATERIAL COST"/>
    <s v="Expenses"/>
    <s v="731003"/>
    <s v="731003 STORE SPARES &amp; CONSUMABLES - CA"/>
    <s v="Fixed Asset"/>
    <s v="ADMIN"/>
    <s v="INSTRUMENTATION"/>
    <n v="7635593.2199999997"/>
    <n v="0"/>
    <n v="7635593.2199999997"/>
    <s v="TZS"/>
    <s v="[CACOP011] 75 INCHES UHD 4K SMART INTERACTIVE TOUCHSCREEN DISPLAY MODEL 75WM6FE"/>
    <m/>
    <n v="-1"/>
    <s v="NOS"/>
    <x v="0"/>
    <x v="2"/>
    <x v="24"/>
    <x v="5"/>
    <n v="2994.3502823529411"/>
    <n v="0"/>
  </r>
  <r>
    <n v="33680"/>
    <d v="2025-12-19T08:22:53"/>
    <x v="171"/>
    <s v="STJ/2025/12/09015"/>
    <s v="Inventory Valuation"/>
    <s v="CM/MTI/2025/04583 - [CAFRF019] CHAIR WITH WHEELS / MRQ/2025/06420"/>
    <s v="CM/MTI/2025/04583 - [CAFRF019] CHAIR WITH WHEELS / MRQ/2025/06420-HO OFFICE"/>
    <m/>
    <m/>
    <s v="MATERIAL COST"/>
    <s v="Expenses"/>
    <s v="731003"/>
    <s v="731003 STORE SPARES &amp; CONSUMABLES - CA"/>
    <s v="Stationary Consumption"/>
    <s v="ADMIN"/>
    <s v="ADMIN"/>
    <n v="2322122.0299999998"/>
    <n v="0"/>
    <n v="2322122.0299999998"/>
    <s v="TZS"/>
    <s v="[CAFRF019] CHAIR WITH WHEELS"/>
    <m/>
    <n v="-3"/>
    <s v="NOS"/>
    <x v="0"/>
    <x v="3"/>
    <x v="7"/>
    <x v="5"/>
    <n v="910.63609019607838"/>
    <m/>
  </r>
  <r>
    <n v="19248"/>
    <d v="2025-12-12T13:59:51"/>
    <x v="183"/>
    <s v="STJ/2025/12/05733"/>
    <s v="Inventory Valuation"/>
    <s v="CM/MTI/2025/04483 - [CITGC138] MOBILE PORTABLE TROLLEY MODEL WH 3309LK / MRQ/2025/06437"/>
    <s v="CM/MTI/2025/04483 - [CITGC138] MOBILE PORTABLE TROLLEY MODEL WH 3309LK / MRQ/2025/06437"/>
    <m/>
    <m/>
    <s v="MATERIAL COST"/>
    <s v="Expenses"/>
    <s v="731002"/>
    <s v="731002 STORE SPARES &amp; CONSUMABLES - GENERAL"/>
    <s v="Inventory Spares Consumable"/>
    <s v="ADMIN"/>
    <s v="INSTRUMENTATION"/>
    <n v="494067.8"/>
    <n v="0"/>
    <n v="494067.8"/>
    <s v="TZS"/>
    <s v="[CITGC138] MOBILE PORTABLE TROLLEY MODEL WH 3309LK"/>
    <m/>
    <n v="-1"/>
    <s v="NOS"/>
    <x v="0"/>
    <x v="2"/>
    <x v="24"/>
    <x v="5"/>
    <n v="193.75207843137255"/>
    <n v="0"/>
  </r>
  <r>
    <n v="1"/>
    <d v="2026-01-02T06:44:04"/>
    <x v="184"/>
    <s v="SERBL/2026/01/0002"/>
    <s v="Service Bills"/>
    <s v="HOTEL CHARGES "/>
    <s v="HS20294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1302168.5"/>
    <n v="0"/>
    <n v="1302168.5"/>
    <s v="TZS"/>
    <m/>
    <m/>
    <n v="1"/>
    <m/>
    <x v="0"/>
    <x v="0"/>
    <x v="1"/>
    <x v="5"/>
    <n v="510.65431372549017"/>
    <n v="0"/>
  </r>
  <r>
    <n v="2"/>
    <d v="2026-01-02T06:44:04"/>
    <x v="184"/>
    <s v="SERBL/2026/01/0002"/>
    <s v="Service Bills"/>
    <s v="HOTEL CHARGES "/>
    <s v="HS20294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9941.17"/>
    <n v="0"/>
    <n v="9941.17"/>
    <s v="TZS"/>
    <m/>
    <m/>
    <n v="1"/>
    <m/>
    <x v="0"/>
    <x v="0"/>
    <x v="1"/>
    <x v="5"/>
    <n v="3.8984980392156863"/>
    <n v="0"/>
  </r>
  <r>
    <n v="3"/>
    <d v="2026-01-05T07:03:48"/>
    <x v="185"/>
    <s v="SERBL/2026/01/0031"/>
    <s v="Service Bills"/>
    <s v="TESTING EXPENSE FOR TARAWANDA "/>
    <s v="DARR000359273"/>
    <s v="CMLU1172"/>
    <s v="DHL Tanzania Limited"/>
    <s v="CAPITAL WORK IN PROGRESS"/>
    <s v="Fixed Assets"/>
    <s v="371056"/>
    <s v="371056 MINERAL EXPLORATION &amp; DEVELOPMENT-TARAWANDA"/>
    <s v="TARAWANDA EXPENSE"/>
    <s v="HO"/>
    <s v="ADMIN"/>
    <n v="43911095.280000001"/>
    <n v="0"/>
    <n v="43911095.280000001"/>
    <s v="TZS"/>
    <m/>
    <m/>
    <n v="1"/>
    <m/>
    <x v="0"/>
    <x v="0"/>
    <x v="1"/>
    <x v="5"/>
    <n v="17220.037364705884"/>
    <n v="0"/>
  </r>
  <r>
    <n v="4"/>
    <d v="2026-01-14T09:36:14"/>
    <x v="186"/>
    <s v="STJ/2026/01/06309"/>
    <s v="Inventory Valuation"/>
    <s v="CM/MTI/2025/04918 - [PROCM144] FOUNDATION BOLT / MRQ/2026/00244"/>
    <s v="CM/MTI/2025/04918 - [PROCM144] FOUNDATION BOLT / MRQ/2026/00244"/>
    <m/>
    <m/>
    <s v="CAPITAL WORK IN PROGRESS"/>
    <s v="Fixed Assets"/>
    <s v="371023"/>
    <s v="371023 CWIP-CEMENT MILL 50TPH NEW"/>
    <s v="CWIP-QUARRY RAW MATERIAL SHED EXTENSION"/>
    <s v="QUARRY"/>
    <s v="CIVIL"/>
    <n v="4368000"/>
    <n v="0"/>
    <n v="4368000"/>
    <s v="TZS"/>
    <s v="[PROCM144] FOUNDATION BOLT"/>
    <s v="CEMENT MILL"/>
    <n v="-208"/>
    <s v="NOS"/>
    <x v="0"/>
    <x v="0"/>
    <x v="9"/>
    <x v="4"/>
    <n v="1712.9411764705883"/>
    <n v="0"/>
  </r>
  <r>
    <m/>
    <d v="2026-02-07T00:00:00"/>
    <x v="187"/>
    <s v="MISC/2026/01/1439"/>
    <s v="Miscellaneous Operations"/>
    <s v="CM/MTI/2025/04918 - [PROCM144] FOUNDATION BOLT / MRQ/2026/00244 QTY-208NOS"/>
    <s v="BEING AMOUNT OF CORRECTION OF CWIP ACCOUNT AS CM/MTI/2025/04918 - [PROCM144] FOUNDATION BOLT / MRQ/2026/00244 POSTED IN WRONG ACCOUNT FOR THE MONTH OF JAN-26"/>
    <m/>
    <m/>
    <m/>
    <m/>
    <m/>
    <s v="371023 CWIP-CEMENT MILL 50TPH NEW"/>
    <s v="CWIP-QUARRY RAW MATERIAL SHED EXTENSION"/>
    <s v="QUARRY"/>
    <s v="CIVIL"/>
    <n v="0"/>
    <n v="4368000"/>
    <n v="-4368000"/>
    <s v="TZS"/>
    <s v="[PROCM144] FOUNDATION BOLT"/>
    <m/>
    <n v="-208"/>
    <s v="NOS"/>
    <x v="0"/>
    <x v="0"/>
    <x v="9"/>
    <x v="4"/>
    <n v="-1712.9411764705883"/>
    <n v="0"/>
  </r>
  <r>
    <m/>
    <d v="2026-02-07T00:00:00"/>
    <x v="187"/>
    <s v="MISC/2026/01/1439"/>
    <s v="Miscellaneous Operations"/>
    <s v="CM/MTI/2025/04918 - [PROCM144] FOUNDATION BOLT / MRQ/2026/00244 QTY-208NOS"/>
    <s v="BEING AMOUNT OF CORRECTION OF CWIP ACCOUNT AS CM/MTI/2025/04918 - [PROCM144] FOUNDATION BOLT / MRQ/2026/00244 POSTED IN WRONG ACCOUNT FOR THE MONTH OF JAN-26"/>
    <m/>
    <m/>
    <m/>
    <m/>
    <m/>
    <s v="371012 CWIP-QUARRY RAW MATERIAL SHED EXTENSION"/>
    <s v="CWIP-QUARRY RAW MATERIAL SHED EXTENSION"/>
    <s v="QUARRY"/>
    <s v="CIVIL"/>
    <n v="4368000"/>
    <m/>
    <n v="4368000"/>
    <s v="TZS"/>
    <s v="[PROCM144] FOUNDATION BOLT"/>
    <m/>
    <n v="-208"/>
    <s v="NOS"/>
    <x v="0"/>
    <x v="0"/>
    <x v="18"/>
    <x v="7"/>
    <n v="1712.9411764705883"/>
    <n v="0"/>
  </r>
  <r>
    <n v="5"/>
    <d v="2026-01-14T10:12:04"/>
    <x v="186"/>
    <s v="SERBL/2026/01/0080"/>
    <s v="Service Bills"/>
    <s v="AIR TICKET CHARGES "/>
    <s v="ITI00004171"/>
    <s v="CMMI1985"/>
    <s v="Blueberry Travel India Private Limited"/>
    <s v="CAPITAL WORK IN PROGRESS"/>
    <s v="Fixed Assets"/>
    <s v="371056"/>
    <s v="371056 MINERAL EXPLORATION &amp; DEVELOPMENT-TARAWANDA"/>
    <s v="TARAWANDA EXPENSE"/>
    <s v="HO"/>
    <s v="ADMIN"/>
    <n v="651514"/>
    <n v="0"/>
    <n v="651514"/>
    <s v="INR"/>
    <m/>
    <m/>
    <n v="1"/>
    <m/>
    <x v="0"/>
    <x v="0"/>
    <x v="1"/>
    <x v="5"/>
    <n v="255.49568627450981"/>
    <n v="0"/>
  </r>
  <r>
    <n v="6"/>
    <d v="2026-01-14T10:09:15"/>
    <x v="186"/>
    <s v="SERBL/2026/01/0079"/>
    <s v="Service Bills"/>
    <s v="AIR TICKET CHARGES "/>
    <s v="ITI00004172"/>
    <s v="CMMI1985"/>
    <s v="Blueberry Travel India Private Limited"/>
    <s v="CAPITAL WORK IN PROGRESS"/>
    <s v="Fixed Assets"/>
    <s v="371056"/>
    <s v="371056 MINERAL EXPLORATION &amp; DEVELOPMENT-TARAWANDA"/>
    <s v="TARAWANDA EXPENSE"/>
    <s v="HO"/>
    <s v="ADMIN"/>
    <n v="1744367.4"/>
    <n v="0"/>
    <n v="1744367.4"/>
    <s v="INR"/>
    <m/>
    <m/>
    <n v="1"/>
    <m/>
    <x v="0"/>
    <x v="0"/>
    <x v="1"/>
    <x v="5"/>
    <n v="684.06564705882352"/>
    <n v="0"/>
  </r>
  <r>
    <n v="7"/>
    <d v="2026-01-14T09:21:03"/>
    <x v="186"/>
    <s v="SERBL/2026/01/0074"/>
    <s v="Service Bills"/>
    <s v="AIR TICKT CHARGES "/>
    <s v="ITI00004361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1184447"/>
    <n v="0"/>
    <n v="1184447"/>
    <s v="INR"/>
    <m/>
    <m/>
    <n v="1"/>
    <m/>
    <x v="0"/>
    <x v="0"/>
    <x v="3"/>
    <x v="0"/>
    <n v="464.48901960784315"/>
    <n v="0"/>
  </r>
  <r>
    <n v="8"/>
    <d v="2026-01-15T13:22:27"/>
    <x v="188"/>
    <s v="PCVHO/2026/01/0120"/>
    <s v="PCV (PETTY CASH HO)"/>
    <s v="EXPENSES "/>
    <s v="Being settlement against imprest taken by Arnold Kaduri for Tarawand aexpenses"/>
    <m/>
    <m/>
    <s v="CAPITAL WORK IN PROGRESS"/>
    <s v="Fixed Assets"/>
    <s v="371056"/>
    <s v="371056 MINERAL EXPLORATION &amp; DEVELOPMENT-TARAWANDA"/>
    <s v="TARAWANDA EXPENSE"/>
    <s v="HO"/>
    <s v="ADMIN"/>
    <n v="240000"/>
    <n v="0"/>
    <n v="240000"/>
    <s v="TZS"/>
    <m/>
    <m/>
    <n v="1"/>
    <m/>
    <x v="0"/>
    <x v="0"/>
    <x v="1"/>
    <x v="5"/>
    <n v="94.117647058823536"/>
    <n v="0"/>
  </r>
  <r>
    <n v="9"/>
    <d v="2026-01-15T13:22:27"/>
    <x v="188"/>
    <s v="PCVHO/2026/01/0120"/>
    <s v="PCV (PETTY CASH HO)"/>
    <s v="EXPENSES "/>
    <s v="Being settlement against imprest taken by Arnold Kaduri for Tarawand aexpenses"/>
    <m/>
    <m/>
    <s v="CAPITAL WORK IN PROGRESS"/>
    <s v="Fixed Assets"/>
    <s v="371056"/>
    <s v="371056 MINERAL EXPLORATION &amp; DEVELOPMENT-TARAWANDA"/>
    <s v="TARAWANDA EXPENSE"/>
    <s v="HO"/>
    <s v="ADMIN"/>
    <n v="200000"/>
    <n v="0"/>
    <n v="200000"/>
    <s v="TZS"/>
    <m/>
    <m/>
    <n v="1"/>
    <m/>
    <x v="0"/>
    <x v="0"/>
    <x v="1"/>
    <x v="5"/>
    <n v="78.431372549019613"/>
    <n v="0"/>
  </r>
  <r>
    <n v="10"/>
    <d v="2026-01-15T13:22:27"/>
    <x v="188"/>
    <s v="PCVHO/2026/01/0120"/>
    <s v="PCV (PETTY CASH HO)"/>
    <s v="EXPENSES "/>
    <s v="Being settlement against imprest taken by Arnold Kaduri for Tarawand aexpenses"/>
    <m/>
    <m/>
    <s v="CAPITAL WORK IN PROGRESS"/>
    <s v="Fixed Assets"/>
    <s v="371056"/>
    <s v="371056 MINERAL EXPLORATION &amp; DEVELOPMENT-TARAWANDA"/>
    <s v="TARAWANDA EXPENSE"/>
    <s v="HO"/>
    <s v="ADMIN"/>
    <n v="120000"/>
    <n v="0"/>
    <n v="120000"/>
    <s v="TZS"/>
    <m/>
    <m/>
    <n v="1"/>
    <m/>
    <x v="0"/>
    <x v="0"/>
    <x v="1"/>
    <x v="5"/>
    <n v="47.058823529411768"/>
    <n v="0"/>
  </r>
  <r>
    <n v="11"/>
    <d v="2026-01-15T13:22:27"/>
    <x v="188"/>
    <s v="PCVHO/2026/01/0120"/>
    <s v="PCV (PETTY CASH HO)"/>
    <s v="EXPENSES "/>
    <s v="Being settlement against imprest taken by Arnold Kaduri for Tarawand aexpenses"/>
    <m/>
    <m/>
    <s v="CAPITAL WORK IN PROGRESS"/>
    <s v="Fixed Assets"/>
    <s v="371056"/>
    <s v="371056 MINERAL EXPLORATION &amp; DEVELOPMENT-TARAWANDA"/>
    <s v="TARAWANDA EXPENSE"/>
    <s v="HO"/>
    <s v="ADMIN"/>
    <n v="240000"/>
    <n v="0"/>
    <n v="240000"/>
    <s v="TZS"/>
    <m/>
    <m/>
    <n v="1"/>
    <m/>
    <x v="0"/>
    <x v="0"/>
    <x v="1"/>
    <x v="5"/>
    <n v="94.117647058823536"/>
    <n v="0"/>
  </r>
  <r>
    <n v="12"/>
    <d v="2026-01-15T13:22:27"/>
    <x v="188"/>
    <s v="PCVHO/2026/01/0120"/>
    <s v="PCV (PETTY CASH HO)"/>
    <s v="EXPENSES "/>
    <s v="Being settlement against imprest taken by Arnold Kaduri for Tarawand aexpenses"/>
    <m/>
    <m/>
    <s v="CAPITAL WORK IN PROGRESS"/>
    <s v="Fixed Assets"/>
    <s v="371056"/>
    <s v="371056 MINERAL EXPLORATION &amp; DEVELOPMENT-TARAWANDA"/>
    <s v="TARAWANDA EXPENSE"/>
    <s v="HO"/>
    <s v="ADMIN"/>
    <n v="1350000"/>
    <n v="0"/>
    <n v="1350000"/>
    <s v="TZS"/>
    <m/>
    <m/>
    <n v="1"/>
    <m/>
    <x v="0"/>
    <x v="0"/>
    <x v="1"/>
    <x v="5"/>
    <n v="529.41176470588232"/>
    <n v="0"/>
  </r>
  <r>
    <n v="13"/>
    <d v="2026-01-15T13:22:27"/>
    <x v="188"/>
    <s v="PCVHO/2026/01/0120"/>
    <s v="PCV (PETTY CASH HO)"/>
    <s v="EXPENSES "/>
    <s v="Being settlement against imprest taken by Arnold Kaduri for Tarawand aexpenses"/>
    <m/>
    <m/>
    <s v="CAPITAL WORK IN PROGRESS"/>
    <s v="Fixed Assets"/>
    <s v="371056"/>
    <s v="371056 MINERAL EXPLORATION &amp; DEVELOPMENT-TARAWANDA"/>
    <s v="TARAWANDA EXPENSE"/>
    <s v="HO"/>
    <s v="ADMIN"/>
    <n v="570000"/>
    <n v="0"/>
    <n v="570000"/>
    <s v="TZS"/>
    <m/>
    <m/>
    <n v="1"/>
    <m/>
    <x v="0"/>
    <x v="0"/>
    <x v="1"/>
    <x v="5"/>
    <n v="223.52941176470588"/>
    <n v="0"/>
  </r>
  <r>
    <n v="14"/>
    <d v="2026-01-15T13:12:14"/>
    <x v="188"/>
    <s v="PCVHO/2026/01/0119"/>
    <s v="PCV (PETTY CASH HO)"/>
    <s v="EXPENSES "/>
    <s v="Being settlement against imprest taken by Arnold Kaduri for Tarawand aexpenses"/>
    <m/>
    <m/>
    <s v="CAPITAL WORK IN PROGRESS"/>
    <s v="Fixed Assets"/>
    <s v="371056"/>
    <s v="371056 MINERAL EXPLORATION &amp; DEVELOPMENT-TARAWANDA"/>
    <s v="TARAWANDA EXPENSE"/>
    <s v="HO"/>
    <s v="ADMIN"/>
    <n v="2979414"/>
    <n v="0"/>
    <n v="2979414"/>
    <s v="TZS"/>
    <m/>
    <m/>
    <n v="1"/>
    <m/>
    <x v="0"/>
    <x v="0"/>
    <x v="1"/>
    <x v="5"/>
    <n v="1168.3976470588236"/>
    <n v="0"/>
  </r>
  <r>
    <n v="15"/>
    <d v="2026-01-16T09:42:23"/>
    <x v="189"/>
    <s v="SERBL/2026/01/0104"/>
    <s v="Service Bills"/>
    <s v="LPORD/2025/00474: Erection of new structure , ducting, platform, hand rail for Raw mill-2"/>
    <s v="29053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RAW MILL-2"/>
    <s v="MECHANICAL"/>
    <n v="87420000"/>
    <n v="0"/>
    <n v="87420000"/>
    <s v="TZS"/>
    <s v="[SER025] Job Contract-3"/>
    <s v="Misc. Income"/>
    <n v="124"/>
    <s v="MT"/>
    <x v="0"/>
    <x v="0"/>
    <x v="9"/>
    <x v="4"/>
    <n v="34282.352941176468"/>
    <n v="0"/>
  </r>
  <r>
    <n v="16"/>
    <d v="2026-01-16T09:42:23"/>
    <x v="189"/>
    <s v="SERBL/2026/01/0104"/>
    <s v="Service Bills"/>
    <s v="LPORD/2025/00474: Fabrication of new structure , ducting, platform, hand rail for Raw mill-2"/>
    <s v="29053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RAW MILL-2"/>
    <s v="MECHANICAL"/>
    <n v="72850000"/>
    <n v="0"/>
    <n v="72850000"/>
    <s v="TZS"/>
    <s v="[SER025] Job Contract-3"/>
    <s v="Misc. Income"/>
    <n v="124"/>
    <s v="MT"/>
    <x v="0"/>
    <x v="0"/>
    <x v="9"/>
    <x v="4"/>
    <n v="28568.627450980392"/>
    <n v="0"/>
  </r>
  <r>
    <n v="17"/>
    <d v="2026-01-16T09:42:23"/>
    <x v="189"/>
    <s v="SERBL/2026/01/0104"/>
    <s v="Service Bills"/>
    <s v="LPORD/2025/00474: Dismantling of old equipment from old coal mill"/>
    <s v="29053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RAW MILL-2"/>
    <s v="MECHANICAL"/>
    <n v="7755000"/>
    <n v="0"/>
    <n v="7755000"/>
    <s v="TZS"/>
    <s v="[SER025] Job Contract-3"/>
    <s v="Misc. Income"/>
    <n v="22"/>
    <s v="MT"/>
    <x v="0"/>
    <x v="0"/>
    <x v="9"/>
    <x v="4"/>
    <n v="3041.1764705882351"/>
    <n v="0"/>
  </r>
  <r>
    <n v="18"/>
    <d v="2026-01-16T09:42:23"/>
    <x v="189"/>
    <s v="SERBL/2026/01/0104"/>
    <s v="Service Bills"/>
    <s v="LPORD/2025/00474: Erection of new equipment for Raw mill-2 (Conversion)"/>
    <s v="29053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RAW MILL-2"/>
    <s v="MECHANICAL"/>
    <n v="32398980"/>
    <n v="0"/>
    <n v="32398980"/>
    <s v="TZS"/>
    <s v="[SER025] Job Contract-3"/>
    <s v="Misc. Income"/>
    <n v="45.956000000000003"/>
    <s v="MT"/>
    <x v="0"/>
    <x v="0"/>
    <x v="9"/>
    <x v="4"/>
    <n v="12705.482352941177"/>
    <n v="0"/>
  </r>
  <r>
    <n v="19"/>
    <d v="2026-01-16T08:51:53"/>
    <x v="189"/>
    <s v="SERBL/2026/01/0101"/>
    <s v="Service Bills"/>
    <s v="LPORD/2025/01638: Grouting work for OPC project in the entire project"/>
    <s v="29028"/>
    <s v="CMLT1217"/>
    <s v="Gibs Developers Company"/>
    <s v="CAPITAL WORK IN PROGRESS"/>
    <s v="Fixed Assets"/>
    <s v="371021"/>
    <s v="371021 CWIP-PYRO UPGRADATION"/>
    <s v="CWIP-Pyro Upgradation"/>
    <s v="PROJECT"/>
    <s v="MECHANICAL"/>
    <n v="24330000"/>
    <n v="0"/>
    <n v="24330000"/>
    <s v="TZS"/>
    <s v="[SER024] Job Contract-2"/>
    <s v="Misc. Income"/>
    <n v="40.549999999999997"/>
    <s v="CUM"/>
    <x v="0"/>
    <x v="0"/>
    <x v="0"/>
    <x v="0"/>
    <n v="9541.176470588236"/>
    <n v="0"/>
  </r>
  <r>
    <n v="20"/>
    <d v="2026-01-16T08:38:43"/>
    <x v="189"/>
    <s v="SERBL/2026/01/0100"/>
    <s v="Service Bills"/>
    <s v="LPORD/2025/01645: Erection of new structure for packing plant , duct and hand rail as per drawing"/>
    <s v="BEING SERVICE CHARGES FOR MECHANICAL FABRICATION &amp; ERECTION WORK OF  NEW  STRUCTURE , DUCTING AND HAND RAIL AGAISNT INV.NO.29052 DATED 06.11.2025 .GIBS DEVELOPERS LTD--"/>
    <s v="CMLT1217"/>
    <s v="Gibs Developers Company"/>
    <s v="CAPITAL WORK IN PROGRESS"/>
    <s v="Fixed Assets"/>
    <s v="371021"/>
    <s v="371021 CWIP-PYRO UPGRADATION"/>
    <s v="CWIP-CONSTRUCTION OF PACKING PLANT AND BIG BAG LOADING"/>
    <s v="PROJECT"/>
    <s v="MECHANICAL"/>
    <n v="10995885"/>
    <n v="0"/>
    <n v="10995885"/>
    <s v="TZS"/>
    <s v="[SER025] Job Contract-3"/>
    <s v="Misc. Income"/>
    <n v="15.597"/>
    <s v="MT"/>
    <x v="0"/>
    <x v="0"/>
    <x v="0"/>
    <x v="0"/>
    <n v="4312.1117647058827"/>
    <n v="0"/>
  </r>
  <r>
    <n v="21"/>
    <d v="2026-01-16T08:38:43"/>
    <x v="189"/>
    <s v="SERBL/2026/01/0100"/>
    <s v="Service Bills"/>
    <s v="LPORD/2025/01645: Erection of equipment of packing plant packer-2 and accessories"/>
    <s v="BEING SERVICE CHARGES FOR MECHANICAL FABRICATION &amp; ERECTION WORK OF  NEW  STRUCTURE , DUCTING AND HAND RAIL AGAISNT INV.NO.29052 DATED 06.11.2025 .GIBS DEVELOPERS LTD--"/>
    <s v="CMLT1217"/>
    <s v="Gibs Developers Company"/>
    <s v="CAPITAL WORK IN PROGRESS"/>
    <s v="Fixed Assets"/>
    <s v="371021"/>
    <s v="371021 CWIP-PYRO UPGRADATION"/>
    <s v="CWIP-CONSTRUCTION OF PACKING PLANT AND BIG BAG LOADING"/>
    <s v="PROJECT"/>
    <s v="MECHANICAL"/>
    <n v="38103135"/>
    <n v="0"/>
    <n v="38103135"/>
    <s v="TZS"/>
    <s v="[SER025] Job Contract-3"/>
    <s v="Misc. Income"/>
    <n v="54.046999999999997"/>
    <s v="MT"/>
    <x v="0"/>
    <x v="0"/>
    <x v="0"/>
    <x v="0"/>
    <n v="14942.405882352941"/>
    <n v="0"/>
  </r>
  <r>
    <n v="22"/>
    <d v="2026-01-16T08:38:43"/>
    <x v="189"/>
    <s v="SERBL/2026/01/0100"/>
    <s v="Service Bills"/>
    <s v="LPORD/2025/01645: Fabrication of new structure for packing plant , duct and hand rail as per drawing"/>
    <s v="BEING SERVICE CHARGES FOR MECHANICAL FABRICATION &amp; ERECTION WORK OF  NEW  STRUCTURE , DUCTING AND HAND RAIL AGAISNT INV.NO.29052 DATED 06.11.2025 .GIBS DEVELOPERS LTD--"/>
    <s v="CMLT1217"/>
    <s v="Gibs Developers Company"/>
    <s v="CAPITAL WORK IN PROGRESS"/>
    <s v="Fixed Assets"/>
    <s v="371021"/>
    <s v="371021 CWIP-PYRO UPGRADATION"/>
    <s v="CWIP-CONSTRUCTION OF PACKING PLANT AND BIG BAG LOADING"/>
    <s v="PROJECT"/>
    <s v="MECHANICAL"/>
    <n v="9163237.5"/>
    <n v="0"/>
    <n v="9163237.5"/>
    <s v="TZS"/>
    <s v="[SER025] Job Contract-3"/>
    <s v="Misc. Income"/>
    <n v="15.597"/>
    <s v="MT"/>
    <x v="0"/>
    <x v="0"/>
    <x v="0"/>
    <x v="0"/>
    <n v="3593.4264705882351"/>
    <n v="0"/>
  </r>
  <r>
    <n v="23"/>
    <d v="2026-01-16T09:15:14"/>
    <x v="189"/>
    <s v="DBN/2026/01/0008"/>
    <s v="Service Bills"/>
    <m/>
    <s v="CN-NO 0121"/>
    <s v="CMLT1217"/>
    <s v="Gibs Developers Company"/>
    <s v="CAPITAL WORK IN PROGRESS"/>
    <s v="Fixed Assets"/>
    <s v="371021"/>
    <s v="371021 CWIP-PYRO UPGRADATION"/>
    <s v="CWIP-Pyro Upgradation"/>
    <s v="PROJECT"/>
    <s v="PROJECT"/>
    <n v="0"/>
    <n v="24330000"/>
    <n v="-24330000"/>
    <s v="TZS"/>
    <m/>
    <m/>
    <n v="1"/>
    <m/>
    <x v="0"/>
    <x v="0"/>
    <x v="0"/>
    <x v="0"/>
    <n v="-9541.176470588236"/>
    <n v="0"/>
  </r>
  <r>
    <n v="24"/>
    <d v="2026-01-16T10:10:48"/>
    <x v="189"/>
    <s v="DBN/2026/01/0007"/>
    <s v="Service Bills"/>
    <m/>
    <s v="CN-NO 0122"/>
    <s v="CMLT1217"/>
    <s v="Gibs Developers Company"/>
    <s v="CAPITAL WORK IN PROGRESS"/>
    <s v="Fixed Assets"/>
    <s v="371038"/>
    <s v="371038 CWIP-CONSTRUCTION OF NEW RAW MILL FEEDING AND UPGRADATION"/>
    <s v="CWIP-CONSTRUCTION OF NEW RAW MILL FEEDING AND UPGRADATION"/>
    <s v="RAW MILL-2"/>
    <s v="MECHANICAL"/>
    <n v="0"/>
    <n v="29609886"/>
    <n v="-29609886"/>
    <s v="TZS"/>
    <m/>
    <m/>
    <n v="1"/>
    <m/>
    <x v="0"/>
    <x v="0"/>
    <x v="9"/>
    <x v="4"/>
    <n v="-11611.72"/>
    <n v="0"/>
  </r>
  <r>
    <n v="25"/>
    <d v="2026-01-27T13:34:36"/>
    <x v="190"/>
    <s v="SERBL/2026/01/0165"/>
    <s v="Service Bills"/>
    <s v="POSTAGE CHARGES "/>
    <s v="DARIR00056878"/>
    <s v="CMLU1172"/>
    <s v="DHL Tanzania Limited"/>
    <s v="CAPITAL WORK IN PROGRESS"/>
    <s v="Fixed Assets"/>
    <s v="371056"/>
    <s v="371056 MINERAL EXPLORATION &amp; DEVELOPMENT-TARAWANDA"/>
    <s v="TARAWANDA EXPENSE"/>
    <s v="HO"/>
    <s v="ADMIN"/>
    <n v="1605883.22"/>
    <n v="0"/>
    <n v="1605883.22"/>
    <s v="TZS"/>
    <m/>
    <m/>
    <n v="1"/>
    <m/>
    <x v="0"/>
    <x v="0"/>
    <x v="1"/>
    <x v="5"/>
    <n v="629.75812549019611"/>
    <n v="0"/>
  </r>
  <r>
    <n v="26"/>
    <d v="2026-01-27T05:52:35"/>
    <x v="190"/>
    <s v="PCVFY/2026/01/0073"/>
    <s v="PCV (PETTY CASH FACTORY)"/>
    <s v="advance"/>
    <s v="BEING SALARY ADVANCE FOR TALAWANDA EXPENSES FOR THE MONTH OF JAN 2026-BALU MM(CHIEF PROJECT HEAD)"/>
    <m/>
    <m/>
    <s v="CAPITAL WORK IN PROGRESS"/>
    <s v="Fixed Assets"/>
    <s v="371056"/>
    <s v="371056 MINERAL EXPLORATION &amp; DEVELOPMENT-TARAWANDA"/>
    <s v="TARAWANDA EXPENSE"/>
    <s v="PROJECT"/>
    <s v="PROJECT"/>
    <n v="300000"/>
    <n v="0"/>
    <n v="300000"/>
    <s v="TZS"/>
    <m/>
    <m/>
    <n v="1"/>
    <m/>
    <x v="0"/>
    <x v="0"/>
    <x v="1"/>
    <x v="5"/>
    <n v="117.64705882352941"/>
    <n v="0"/>
  </r>
  <r>
    <n v="27"/>
    <d v="2026-01-29T13:16:05"/>
    <x v="191"/>
    <s v="PCVHO/2026/01/0212"/>
    <s v="PCV (PETTY CASH HO)"/>
    <s v="ACCOMMODATION EXPENSES "/>
    <s v="Being settlement against imprest taken by Arnold Kaduri for Tarawanda project expenses - Arnold"/>
    <m/>
    <m/>
    <s v="CAPITAL WORK IN PROGRESS"/>
    <s v="Fixed Assets"/>
    <s v="371056"/>
    <s v="371056 MINERAL EXPLORATION &amp; DEVELOPMENT-TARAWANDA"/>
    <s v="TARAWANDA EXPENSE"/>
    <s v="HO"/>
    <s v="ADMIN"/>
    <n v="1000000"/>
    <n v="0"/>
    <n v="1000000"/>
    <s v="TZS"/>
    <m/>
    <m/>
    <n v="1"/>
    <m/>
    <x v="0"/>
    <x v="0"/>
    <x v="1"/>
    <x v="5"/>
    <n v="392.15686274509807"/>
    <n v="0"/>
  </r>
  <r>
    <n v="28"/>
    <d v="2026-01-29T13:21:35"/>
    <x v="191"/>
    <s v="PCVHO/2026/01/0212"/>
    <s v="PCV (PETTY CASH HO)"/>
    <s v="FUEL EXPESNES "/>
    <s v="Being settlement against imprest taken by Arnold Kaduri for Tarawanda project expenses - Arnold"/>
    <m/>
    <m/>
    <s v="CAPITAL WORK IN PROGRESS"/>
    <s v="Fixed Assets"/>
    <s v="371056"/>
    <s v="371056 MINERAL EXPLORATION &amp; DEVELOPMENT-TARAWANDA"/>
    <s v="TARAWANDA EXPENSE"/>
    <s v="HO"/>
    <s v="ADMIN"/>
    <n v="30000"/>
    <n v="0"/>
    <n v="30000"/>
    <s v="TZS"/>
    <m/>
    <m/>
    <n v="1"/>
    <m/>
    <x v="0"/>
    <x v="0"/>
    <x v="1"/>
    <x v="5"/>
    <n v="11.764705882352942"/>
    <n v="0"/>
  </r>
  <r>
    <n v="29"/>
    <d v="2026-01-29T13:21:35"/>
    <x v="191"/>
    <s v="PCVHO/2026/01/0212"/>
    <s v="PCV (PETTY CASH HO)"/>
    <s v="EXPLORATION COST "/>
    <s v="Being settlement against imprest taken by Arnold Kaduri for Tarawanda project expenses - Arnold"/>
    <m/>
    <m/>
    <s v="CAPITAL WORK IN PROGRESS"/>
    <s v="Fixed Assets"/>
    <s v="371056"/>
    <s v="371056 MINERAL EXPLORATION &amp; DEVELOPMENT-TARAWANDA"/>
    <s v="TARAWANDA EXPENSE"/>
    <s v="HO"/>
    <s v="ADMIN"/>
    <n v="1130000"/>
    <n v="0"/>
    <n v="1130000"/>
    <s v="TZS"/>
    <m/>
    <m/>
    <n v="1"/>
    <m/>
    <x v="0"/>
    <x v="0"/>
    <x v="1"/>
    <x v="5"/>
    <n v="443.13725490196077"/>
    <n v="0"/>
  </r>
  <r>
    <n v="30"/>
    <d v="2026-01-29T13:21:35"/>
    <x v="191"/>
    <s v="PCVHO/2026/01/0212"/>
    <s v="PCV (PETTY CASH HO)"/>
    <s v="FUEL EXPENES "/>
    <s v="Being settlement against imprest taken by Arnold Kaduri for Tarawanda project expenses - Arnold"/>
    <m/>
    <m/>
    <s v="CAPITAL WORK IN PROGRESS"/>
    <s v="Fixed Assets"/>
    <s v="371056"/>
    <s v="371056 MINERAL EXPLORATION &amp; DEVELOPMENT-TARAWANDA"/>
    <s v="TARAWANDA EXPENSE"/>
    <s v="HO"/>
    <s v="ADMIN"/>
    <n v="500000"/>
    <n v="0"/>
    <n v="500000"/>
    <s v="TZS"/>
    <m/>
    <m/>
    <n v="1"/>
    <m/>
    <x v="0"/>
    <x v="0"/>
    <x v="1"/>
    <x v="5"/>
    <n v="196.07843137254903"/>
    <n v="0"/>
  </r>
  <r>
    <n v="31"/>
    <d v="2026-01-29T13:21:35"/>
    <x v="191"/>
    <s v="PCVHO/2026/01/0212"/>
    <s v="PCV (PETTY CASH HO)"/>
    <s v="DRIVER ALLOWANCE "/>
    <s v="Being settlement against imprest taken by Arnold Kaduri for Tarawanda project expenses - Arnold"/>
    <m/>
    <m/>
    <s v="CAPITAL WORK IN PROGRESS"/>
    <s v="Fixed Assets"/>
    <s v="371056"/>
    <s v="371056 MINERAL EXPLORATION &amp; DEVELOPMENT-TARAWANDA"/>
    <s v="TARAWANDA EXPENSE"/>
    <s v="HO"/>
    <s v="ADMIN"/>
    <n v="600000"/>
    <n v="0"/>
    <n v="600000"/>
    <s v="TZS"/>
    <m/>
    <m/>
    <n v="1"/>
    <m/>
    <x v="0"/>
    <x v="0"/>
    <x v="1"/>
    <x v="5"/>
    <n v="235.29411764705881"/>
    <n v="0"/>
  </r>
  <r>
    <n v="49996"/>
    <d v="2026-01-27T14:57:41"/>
    <x v="190"/>
    <s v="STJ/2026/01/14852"/>
    <s v="Inventory Valuation"/>
    <s v="CM/MTI/2025/05164 - [FG001] CEMENT 42.5 R / MRQ/2026/00510"/>
    <s v="CM/MTI/2025/05164 - [FG001] CEMENT 42.5 R / MRQ/2026/00510"/>
    <m/>
    <m/>
    <s v="Cost Of Revenue"/>
    <s v="Cost of Revenue"/>
    <s v="721001"/>
    <s v="721001 COST OF GOODS SOLD (COGS)"/>
    <s v="CWIP-CONSTRUCTION OF PLANT BOUNDARY WALL"/>
    <s v="PROJECT"/>
    <s v="CIVIL"/>
    <n v="490060.02"/>
    <n v="0"/>
    <n v="490060.02"/>
    <s v="TZS"/>
    <s v="[FG001] CEMENT 42.5 R"/>
    <n v="-7.5"/>
    <s v="MT"/>
    <m/>
    <x v="0"/>
    <x v="0"/>
    <x v="21"/>
    <x v="8"/>
    <n v="192.18040000000002"/>
    <n v="0"/>
  </r>
  <r>
    <n v="34125"/>
    <d v="2026-01-19T05:37:47"/>
    <x v="192"/>
    <s v="STJ/2026/01/09754"/>
    <s v="Inventory Valuation"/>
    <s v="CM/MTI/2025/05000 - [FG001] CEMENT 42.5 R / MRQ/2026/00349"/>
    <s v="CM/MTI/2025/05000 - [FG001] CEMENT 42.5 R / MRQ/2026/00349"/>
    <m/>
    <m/>
    <s v="Cost Of Revenue"/>
    <s v="Cost of Revenue"/>
    <s v="721001"/>
    <s v="721001 COST OF GOODS SOLD (COGS)"/>
    <s v="CWIP-CONSTRUCTION OF PLANT BOUNDARY WALL"/>
    <s v="PROJECT"/>
    <s v="CIVIL"/>
    <n v="674223.96"/>
    <n v="0"/>
    <n v="674223.96"/>
    <s v="TZS"/>
    <s v="[FG001] CEMENT 42.5 R"/>
    <n v="-10"/>
    <s v="MT"/>
    <m/>
    <x v="0"/>
    <x v="0"/>
    <x v="21"/>
    <x v="8"/>
    <n v="264.40155294117648"/>
    <n v="0"/>
  </r>
  <r>
    <n v="47796"/>
    <d v="2026-01-26T14:43:54"/>
    <x v="193"/>
    <s v="STJ/2026/01/14159"/>
    <s v="Inventory Valuation"/>
    <s v="CM/MTI/2025/05140 - [FG001] CEMENT 42.5 R / MRQ/2026/00350_x000a_Rounding Adjustment: -0.01 TSh"/>
    <s v="CM/MTI/2025/05140 - [FG001] CEMENT 42.5 R / MRQ/2026/00350_x000a_Rounding Adjustment: -0.01 TSh"/>
    <m/>
    <m/>
    <s v="Cost Of Revenue"/>
    <s v="Cost of Revenue"/>
    <s v="721001"/>
    <s v="721001 COST OF GOODS SOLD (COGS)"/>
    <s v="CWIP-QUARRY RAW MATERIAL SHED EXTENSION"/>
    <s v="QUARRY"/>
    <s v="CIVIL"/>
    <n v="490060.02"/>
    <n v="0"/>
    <n v="490060.02"/>
    <s v="TZS"/>
    <s v="[FG001] CEMENT 42.5 R"/>
    <n v="-7.5"/>
    <s v="MT"/>
    <m/>
    <x v="0"/>
    <x v="0"/>
    <x v="18"/>
    <x v="7"/>
    <n v="192.18040000000002"/>
    <n v="0"/>
  </r>
  <r>
    <n v="34121"/>
    <d v="2026-01-19T05:38:52"/>
    <x v="192"/>
    <s v="STJ/2026/01/09756"/>
    <s v="Inventory Valuation"/>
    <s v="CM/MTI/2025/05001 - [FG001] CEMENT 42.5 R / MRQ/2026/00187_x000a_Rounding Adjustment: +0.01 TSh"/>
    <s v="CM/MTI/2025/05001 - [FG001] CEMENT 42.5 R / MRQ/2026/00187_x000a_Rounding Adjustment: +0.01 TSh"/>
    <m/>
    <m/>
    <s v="Cost Of Revenue"/>
    <s v="Cost of Revenue"/>
    <s v="721001"/>
    <s v="721001 COST OF GOODS SOLD (COGS)"/>
    <s v="CWIP-QUARRY RAW MATERIAL SHED EXTENSION"/>
    <s v="QUARRY"/>
    <s v="CIVIL"/>
    <n v="505667.96"/>
    <n v="0"/>
    <n v="505667.96"/>
    <s v="TZS"/>
    <s v="[FG001] CEMENT 42.5 R"/>
    <n v="-7.5"/>
    <s v="MT"/>
    <m/>
    <x v="0"/>
    <x v="0"/>
    <x v="18"/>
    <x v="7"/>
    <n v="198.30116078431374"/>
    <n v="0"/>
  </r>
  <r>
    <n v="2353"/>
    <d v="2026-01-03T12:35:36"/>
    <x v="194"/>
    <s v="STJ/2026/01/00506"/>
    <s v="Inventory Valuation"/>
    <s v="CM/MTI/2025/04775 - [EFSSC001] SCREW 25MM FOR IRON SHEET / MRQ/2026/00031"/>
    <s v="CM/MTI/2025/04775 - [EFSSC001] SCREW 25MM FOR IRON SHEET / MRQ/2026/00031"/>
    <m/>
    <m/>
    <s v="MATERIAL COST"/>
    <s v="Expenses"/>
    <s v="731002"/>
    <s v="731002 STORE SPARES &amp; CONSUMABLES - GENERAL"/>
    <s v="CWIP-CONSTRUCTION OF LIME STONE AND GYPSUM FEEDING SYSTEM IN CEMENT MILL"/>
    <s v="PROJECT"/>
    <s v="MECHANICAL"/>
    <n v="24000"/>
    <n v="0"/>
    <n v="24000"/>
    <s v="TZS"/>
    <s v="[EFSSC001] SCREW 25MM FOR IRON SHEET"/>
    <n v="-150"/>
    <s v="NOS"/>
    <m/>
    <x v="0"/>
    <x v="0"/>
    <x v="8"/>
    <x v="3"/>
    <n v="9.4117647058823533"/>
    <n v="0"/>
  </r>
  <r>
    <n v="50050"/>
    <d v="2026-01-27T14:40:17"/>
    <x v="190"/>
    <s v="STJ/2026/01/14825"/>
    <s v="Inventory Valuation"/>
    <s v="CM/MTI/2025/05151 - [CCLGC022] NAILS SIZE 3'' / MRQ/2026/00586"/>
    <s v="CM/MTI/2025/05151 - [CCLGC022] NAILS SIZE 3'' / MRQ/2026/00586"/>
    <m/>
    <m/>
    <s v="MATERIAL COST"/>
    <s v="Expenses"/>
    <s v="731002"/>
    <s v="731002 STORE SPARES &amp; CONSUMABLES - GENERAL"/>
    <s v="CWIP-CONSTRUCTION OF PLANT BOUNDARY WALL"/>
    <s v="PROJECT"/>
    <s v="CIVIL"/>
    <n v="11400"/>
    <n v="0"/>
    <n v="11400"/>
    <s v="TZS"/>
    <s v="[CCLGC022] NAILS SIZE 3''"/>
    <n v="-2"/>
    <s v="KG"/>
    <m/>
    <x v="0"/>
    <x v="0"/>
    <x v="21"/>
    <x v="8"/>
    <n v="4.4705882352941178"/>
    <n v="0"/>
  </r>
  <r>
    <n v="50049"/>
    <d v="2026-01-27T14:40:17"/>
    <x v="190"/>
    <s v="STJ/2026/01/14826"/>
    <s v="Inventory Valuation"/>
    <s v="CM/MTI/2025/05151 - [CCLGC327] TMT BAR SIZE 8 MM GRADE FY500. / MRQ/2026/00586_x000a_Rounding Adjustment: -0.01 TSh"/>
    <s v="CM/MTI/2025/05151 - [CCLGC327] TMT BAR SIZE 8 MM GRADE FY500. / MRQ/2026/00586_x000a_Rounding Adjustment: -0.01 TSh"/>
    <m/>
    <m/>
    <s v="MATERIAL COST"/>
    <s v="Expenses"/>
    <s v="731002"/>
    <s v="731002 STORE SPARES &amp; CONSUMABLES - GENERAL"/>
    <s v="CWIP-CONSTRUCTION OF PLANT BOUNDARY WALL"/>
    <s v="PROJECT"/>
    <s v="CIVIL"/>
    <n v="482721.79"/>
    <n v="0"/>
    <n v="482721.79"/>
    <s v="TZS"/>
    <s v="[CCLGC327] TMT BAR SIZE 8 MM GRADE FY500."/>
    <n v="-51"/>
    <s v="PCS"/>
    <m/>
    <x v="0"/>
    <x v="0"/>
    <x v="21"/>
    <x v="8"/>
    <n v="189.30266274509802"/>
    <n v="0"/>
  </r>
  <r>
    <n v="50046"/>
    <d v="2026-01-27T14:40:17"/>
    <x v="190"/>
    <s v="STJ/2026/01/14827"/>
    <s v="Inventory Valuation"/>
    <s v="CM/MTI/2025/05151 - [CCLGC329] TMT BAR SIZE 12 MM GRADE FY500. / MRQ/2026/00586"/>
    <s v="CM/MTI/2025/05151 - [CCLGC329] TMT BAR SIZE 12 MM GRADE FY500. / MRQ/2026/00586"/>
    <m/>
    <m/>
    <s v="MATERIAL COST"/>
    <s v="Expenses"/>
    <s v="731002"/>
    <s v="731002 STORE SPARES &amp; CONSUMABLES - GENERAL"/>
    <s v="CWIP-CONSTRUCTION OF PLANT BOUNDARY WALL"/>
    <s v="PROJECT"/>
    <s v="CIVIL"/>
    <n v="406779.6"/>
    <n v="0"/>
    <n v="406779.6"/>
    <s v="TZS"/>
    <s v="[CCLGC329] TMT BAR SIZE 12 MM GRADE FY500."/>
    <n v="-20"/>
    <s v="PCS"/>
    <m/>
    <x v="0"/>
    <x v="0"/>
    <x v="21"/>
    <x v="8"/>
    <n v="159.52141176470587"/>
    <n v="0"/>
  </r>
  <r>
    <n v="50045"/>
    <d v="2026-01-27T14:40:17"/>
    <x v="190"/>
    <s v="STJ/2026/01/14828"/>
    <s v="Inventory Valuation"/>
    <s v="CM/MTI/2025/05151 - [CPAPT007] PAINT RED OXIDE / MRQ/2026/00586"/>
    <s v="CM/MTI/2025/05151 - [CPAPT007] PAINT RED OXIDE / MRQ/2026/00586"/>
    <m/>
    <m/>
    <s v="MATERIAL COST"/>
    <s v="Expenses"/>
    <s v="731002"/>
    <s v="731002 STORE SPARES &amp; CONSUMABLES - GENERAL"/>
    <s v="CWIP-CONSTRUCTION OF PLANT BOUNDARY WALL"/>
    <s v="PROJECT"/>
    <s v="CIVIL"/>
    <n v="35806.449999999997"/>
    <n v="0"/>
    <n v="35806.449999999997"/>
    <s v="TZS"/>
    <s v="[CPAPT007] PAINT RED OXIDE"/>
    <n v="-8"/>
    <s v="LTR"/>
    <m/>
    <x v="0"/>
    <x v="0"/>
    <x v="21"/>
    <x v="8"/>
    <n v="14.041745098039215"/>
    <n v="0"/>
  </r>
  <r>
    <n v="50015"/>
    <d v="2026-01-27T14:49:36"/>
    <x v="190"/>
    <s v="STJ/2026/01/14843"/>
    <s v="Inventory Valuation"/>
    <s v="CM/MTI/2025/05158 - [CCLGC022] NAILS SIZE 3'' / MRQ/2026/00551"/>
    <s v="CM/MTI/2025/05158 - [CCLGC022] NAILS SIZE 3'' / MRQ/2026/00551"/>
    <m/>
    <m/>
    <s v="MATERIAL COST"/>
    <s v="Expenses"/>
    <s v="731002"/>
    <s v="731002 STORE SPARES &amp; CONSUMABLES - GENERAL"/>
    <s v="CWIP-CONSTRUCTION OF PLANT BOUNDARY WALL"/>
    <s v="PROJECT"/>
    <s v="CIVIL"/>
    <n v="45600"/>
    <n v="0"/>
    <n v="45600"/>
    <s v="TZS"/>
    <s v="[CCLGC022] NAILS SIZE 3''"/>
    <n v="-8"/>
    <s v="KG"/>
    <m/>
    <x v="0"/>
    <x v="0"/>
    <x v="21"/>
    <x v="8"/>
    <n v="17.882352941176471"/>
    <n v="0"/>
  </r>
  <r>
    <n v="45587"/>
    <d v="2026-01-24T13:23:24"/>
    <x v="195"/>
    <s v="STJ/2026/01/13267"/>
    <s v="Inventory Valuation"/>
    <s v="CM/MTI/2025/05116 - [CCLGC329] TMT BAR SIZE 12 MM GRADE FY500. / MRQ/2026/00528"/>
    <s v="CM/MTI/2025/05116 - [CCLGC329] TMT BAR SIZE 12 MM GRADE FY500. / MRQ/2026/00528"/>
    <m/>
    <m/>
    <s v="MATERIAL COST"/>
    <s v="Expenses"/>
    <s v="731002"/>
    <s v="731002 STORE SPARES &amp; CONSUMABLES - GENERAL"/>
    <s v="CWIP-CONSTRUCTION OF PLANT BOUNDARY WALL"/>
    <s v="PROJECT"/>
    <s v="CIVIL"/>
    <n v="549152.46"/>
    <n v="0"/>
    <n v="549152.46"/>
    <s v="TZS"/>
    <s v="[CCLGC329] TMT BAR SIZE 12 MM GRADE FY500."/>
    <n v="-27"/>
    <s v="PCS"/>
    <m/>
    <x v="0"/>
    <x v="0"/>
    <x v="21"/>
    <x v="8"/>
    <n v="215.35390588235293"/>
    <n v="0"/>
  </r>
  <r>
    <n v="40140"/>
    <d v="2026-01-22T14:50:56"/>
    <x v="196"/>
    <s v="STJ/2026/01/11734"/>
    <s v="Inventory Valuation"/>
    <s v="CM/MTI/2025/05087 - [CCLGC328] TMT BAR SIZE 10 MM GRADE FY500. / MRQ/2026/00480"/>
    <s v="CM/MTI/2025/05087 - [CCLGC328] TMT BAR SIZE 10 MM GRADE FY500. / MRQ/2026/00480"/>
    <m/>
    <m/>
    <s v="MATERIAL COST"/>
    <s v="Expenses"/>
    <s v="731002"/>
    <s v="731002 STORE SPARES &amp; CONSUMABLES - GENERAL"/>
    <s v="CWIP-CONSTRUCTION OF PLANT BOUNDARY WALL"/>
    <s v="PROJECT"/>
    <s v="CIVIL"/>
    <n v="571223.5"/>
    <n v="0"/>
    <n v="571223.5"/>
    <s v="TZS"/>
    <s v="[CCLGC328] TMT BAR SIZE 10 MM GRADE FY500."/>
    <n v="-40"/>
    <s v="PCS"/>
    <m/>
    <x v="0"/>
    <x v="0"/>
    <x v="21"/>
    <x v="8"/>
    <n v="224.0092156862745"/>
    <n v="0"/>
  </r>
  <r>
    <n v="19341"/>
    <d v="2026-01-13T14:26:35"/>
    <x v="197"/>
    <s v="STJ/2026/01/06023"/>
    <s v="Inventory Valuation"/>
    <s v="CM/MTI/2025/04914 - [CPAPT007] PAINT RED OXIDE / MRQ/2026/00240"/>
    <s v="CM/MTI/2025/04914 - [CPAPT007] PAINT RED OXIDE / MRQ/2026/00240"/>
    <m/>
    <m/>
    <s v="MATERIAL COST"/>
    <s v="Expenses"/>
    <s v="731002"/>
    <s v="731002 STORE SPARES &amp; CONSUMABLES - GENERAL"/>
    <s v="CWIP-CONSTRUCTION OF PLANT BOUNDARY WALL"/>
    <s v="PROJECT"/>
    <s v="CIVIL"/>
    <n v="17903.23"/>
    <n v="0"/>
    <n v="17903.23"/>
    <s v="TZS"/>
    <s v="[CPAPT007] PAINT RED OXIDE"/>
    <n v="-4"/>
    <s v="LTR"/>
    <m/>
    <x v="0"/>
    <x v="0"/>
    <x v="21"/>
    <x v="8"/>
    <n v="7.0208745098039218"/>
    <n v="0"/>
  </r>
  <r>
    <n v="14425"/>
    <d v="2026-01-09T13:56:41"/>
    <x v="198"/>
    <s v="STJ/2026/01/04544"/>
    <s v="Inventory Valuation"/>
    <s v="CM/MTI/2025/04867 - [CCLGC317] WALL PUTTY/WALL PLASTER / MRQ/2026/00184"/>
    <s v="CM/MTI/2025/04867 - [CCLGC317] WALL PUTTY/WALL PLASTER / MRQ/2026/00184"/>
    <m/>
    <m/>
    <s v="MATERIAL COST"/>
    <s v="Expenses"/>
    <s v="731002"/>
    <s v="731002 STORE SPARES &amp; CONSUMABLES - GENERAL"/>
    <s v="CWIP-CONSTRUCTION OF PLANT BOUNDARY WALL"/>
    <s v="PROJECT"/>
    <s v="CIVIL"/>
    <n v="20000"/>
    <n v="0"/>
    <n v="20000"/>
    <s v="TZS"/>
    <s v="[CCLGC317] WALL PUTTY/WALL PLASTER"/>
    <n v="-25"/>
    <s v="KG"/>
    <m/>
    <x v="0"/>
    <x v="0"/>
    <x v="21"/>
    <x v="8"/>
    <n v="7.8431372549019605"/>
    <n v="0"/>
  </r>
  <r>
    <n v="14424"/>
    <d v="2026-01-09T13:56:41"/>
    <x v="198"/>
    <s v="STJ/2026/01/04545"/>
    <s v="Inventory Valuation"/>
    <s v="CM/MTI/2025/04867 - [CPAPT034] PAINT WHITE EMULSION / MRQ/2026/00184"/>
    <s v="CM/MTI/2025/04867 - [CPAPT034] PAINT WHITE EMULSION / MRQ/2026/00184"/>
    <m/>
    <m/>
    <s v="MATERIAL COST"/>
    <s v="Expenses"/>
    <s v="731002"/>
    <s v="731002 STORE SPARES &amp; CONSUMABLES - GENERAL"/>
    <s v="CWIP-CONSTRUCTION OF PLANT BOUNDARY WALL"/>
    <s v="PROJECT"/>
    <s v="CIVIL"/>
    <n v="29160"/>
    <n v="0"/>
    <n v="29160"/>
    <s v="TZS"/>
    <s v="[CPAPT034] PAINT WHITE EMULSION"/>
    <n v="-20"/>
    <s v="LTR"/>
    <m/>
    <x v="0"/>
    <x v="0"/>
    <x v="21"/>
    <x v="8"/>
    <n v="11.435294117647059"/>
    <n v="0"/>
  </r>
  <r>
    <n v="14313"/>
    <d v="2026-01-09T14:37:11"/>
    <x v="198"/>
    <s v="STJ/2026/01/04600"/>
    <s v="Inventory Valuation"/>
    <s v="CM/MTI/2025/04886 - [CCLGC021] NAILS SIZE 2.5'' / MRQ/2026/00168"/>
    <s v="CM/MTI/2025/04886 - [CCLGC021] NAILS SIZE 2.5'' / MRQ/2026/00168"/>
    <m/>
    <m/>
    <s v="MATERIAL COST"/>
    <s v="Expenses"/>
    <s v="731002"/>
    <s v="731002 STORE SPARES &amp; CONSUMABLES - GENERAL"/>
    <s v="CWIP-CONSTRUCTION OF PLANT BOUNDARY WALL"/>
    <s v="PROJECT"/>
    <s v="CIVIL"/>
    <n v="29630.54"/>
    <n v="0"/>
    <n v="29630.54"/>
    <s v="TZS"/>
    <s v="[CCLGC021] NAILS SIZE 2.5''"/>
    <n v="-5"/>
    <s v="KG"/>
    <m/>
    <x v="0"/>
    <x v="0"/>
    <x v="21"/>
    <x v="8"/>
    <n v="11.619819607843137"/>
    <n v="0"/>
  </r>
  <r>
    <n v="14312"/>
    <d v="2026-01-09T14:37:11"/>
    <x v="198"/>
    <s v="STJ/2026/01/04601"/>
    <s v="Inventory Valuation"/>
    <s v="CM/MTI/2025/04886 - [CCLGC022] NAILS SIZE 3'' / MRQ/2026/00168"/>
    <s v="CM/MTI/2025/04886 - [CCLGC022] NAILS SIZE 3'' / MRQ/2026/00168"/>
    <m/>
    <m/>
    <s v="MATERIAL COST"/>
    <s v="Expenses"/>
    <s v="731002"/>
    <s v="731002 STORE SPARES &amp; CONSUMABLES - GENERAL"/>
    <s v="CWIP-CONSTRUCTION OF PLANT BOUNDARY WALL"/>
    <s v="PROJECT"/>
    <s v="CIVIL"/>
    <n v="57000"/>
    <n v="0"/>
    <n v="57000"/>
    <s v="TZS"/>
    <s v="[CCLGC022] NAILS SIZE 3''"/>
    <n v="-10"/>
    <s v="KG"/>
    <m/>
    <x v="0"/>
    <x v="0"/>
    <x v="21"/>
    <x v="8"/>
    <n v="22.352941176470587"/>
    <n v="0"/>
  </r>
  <r>
    <n v="14309"/>
    <d v="2026-01-09T14:37:11"/>
    <x v="198"/>
    <s v="STJ/2026/01/04602"/>
    <s v="Inventory Valuation"/>
    <s v="CM/MTI/2025/04886 - [CCLGC023] NAILS SIZE 4'' / MRQ/2026/00168"/>
    <s v="CM/MTI/2025/04886 - [CCLGC023] NAILS SIZE 4'' / MRQ/2026/00168"/>
    <m/>
    <m/>
    <s v="MATERIAL COST"/>
    <s v="Expenses"/>
    <s v="731002"/>
    <s v="731002 STORE SPARES &amp; CONSUMABLES - GENERAL"/>
    <s v="CWIP-CONSTRUCTION OF PLANT BOUNDARY WALL"/>
    <s v="PROJECT"/>
    <s v="CIVIL"/>
    <n v="57000"/>
    <n v="0"/>
    <n v="57000"/>
    <s v="TZS"/>
    <s v="[CCLGC023] NAILS SIZE 4''"/>
    <n v="-10"/>
    <s v="KG"/>
    <m/>
    <x v="0"/>
    <x v="0"/>
    <x v="21"/>
    <x v="8"/>
    <n v="22.352941176470587"/>
    <n v="0"/>
  </r>
  <r>
    <n v="14307"/>
    <d v="2026-01-09T14:37:11"/>
    <x v="198"/>
    <s v="STJ/2026/01/04603"/>
    <s v="Inventory Valuation"/>
    <s v="CM/MTI/2025/04886 - [CCLGC038] TIMBER 2 INCH X 4 INCH UNTREATED / MRQ/2026/00168"/>
    <s v="CM/MTI/2025/04886 - [CCLGC038] TIMBER 2 INCH X 4 INCH UNTREATED / MRQ/2026/00168"/>
    <m/>
    <m/>
    <s v="MATERIAL COST"/>
    <s v="Expenses"/>
    <s v="731002"/>
    <s v="731002 STORE SPARES &amp; CONSUMABLES - GENERAL"/>
    <s v="CWIP-CONSTRUCTION OF PLANT BOUNDARY WALL"/>
    <s v="PROJECT"/>
    <s v="CIVIL"/>
    <n v="350000"/>
    <n v="0"/>
    <n v="350000"/>
    <s v="TZS"/>
    <s v="[CCLGC038] TIMBER 2 INCH X 4 INCH UNTREATED"/>
    <n v="-50"/>
    <s v="NOS"/>
    <m/>
    <x v="0"/>
    <x v="0"/>
    <x v="21"/>
    <x v="8"/>
    <n v="137.25490196078431"/>
    <n v="0"/>
  </r>
  <r>
    <n v="14306"/>
    <d v="2026-01-09T14:37:11"/>
    <x v="198"/>
    <s v="STJ/2026/01/04604"/>
    <s v="Inventory Valuation"/>
    <s v="CM/MTI/2025/04886 - [CCLGC052] PLYWOOD 8FEET X 4FEET X 18 MM THICK  / MRQ/2026/00168"/>
    <s v="CM/MTI/2025/04886 - [CCLGC052] PLYWOOD 8FEET X 4FEET X 18 MM THICK  / MRQ/2026/00168"/>
    <m/>
    <m/>
    <s v="MATERIAL COST"/>
    <s v="Expenses"/>
    <s v="731002"/>
    <s v="731002 STORE SPARES &amp; CONSUMABLES - GENERAL"/>
    <s v="CWIP-CONSTRUCTION OF PLANT BOUNDARY WALL"/>
    <s v="PROJECT"/>
    <s v="CIVIL"/>
    <n v="879237.25"/>
    <n v="0"/>
    <n v="879237.25"/>
    <s v="TZS"/>
    <s v="[CCLGC052] PLYWOOD 8FEET X 4FEET X 18 MM THICK "/>
    <n v="-25"/>
    <s v="NOS"/>
    <m/>
    <x v="0"/>
    <x v="0"/>
    <x v="21"/>
    <x v="8"/>
    <n v="344.79892156862746"/>
    <n v="0"/>
  </r>
  <r>
    <n v="4286"/>
    <d v="2026-01-05T14:02:50"/>
    <x v="185"/>
    <s v="STJ/2026/01/02017"/>
    <s v="Inventory Valuation"/>
    <s v="CM/MTI/2025/04800 - [CCLGC038] TIMBER 2 INCH X 4 INCH UNTREATED / MRQ/2026/00038"/>
    <s v="CM/MTI/2025/04800 - [CCLGC038] TIMBER 2 INCH X 4 INCH UNTREATED / MRQ/2026/00038"/>
    <m/>
    <m/>
    <s v="MATERIAL COST"/>
    <s v="Expenses"/>
    <s v="731002"/>
    <s v="731002 STORE SPARES &amp; CONSUMABLES - GENERAL"/>
    <s v="CWIP-CONSTRUCTION OF PLANT BOUNDARY WALL"/>
    <s v="PROJECT"/>
    <s v="CIVIL"/>
    <n v="105000"/>
    <n v="0"/>
    <n v="105000"/>
    <s v="TZS"/>
    <s v="[CCLGC038] TIMBER 2 INCH X 4 INCH UNTREATED"/>
    <n v="-15"/>
    <s v="NOS"/>
    <m/>
    <x v="0"/>
    <x v="0"/>
    <x v="21"/>
    <x v="8"/>
    <n v="41.176470588235297"/>
    <n v="0"/>
  </r>
  <r>
    <n v="2370"/>
    <d v="2026-01-03T12:28:08"/>
    <x v="194"/>
    <s v="STJ/2026/01/00498"/>
    <s v="Inventory Valuation"/>
    <s v="CM/MTI/2025/04771 - [CCLGC327] TMT BAR SIZE 8 MM GRADE FY500. / MRQ/2026/00001"/>
    <s v="CM/MTI/2025/04771 - [CCLGC327] TMT BAR SIZE 8 MM GRADE FY500. / MRQ/2026/00001"/>
    <m/>
    <m/>
    <s v="MATERIAL COST"/>
    <s v="Expenses"/>
    <s v="731002"/>
    <s v="731002 STORE SPARES &amp; CONSUMABLES - GENERAL"/>
    <s v="CWIP-CONSTRUCTION OF PLANT BOUNDARY WALL"/>
    <s v="PROJECT"/>
    <s v="CIVIL"/>
    <n v="473256.65"/>
    <n v="0"/>
    <n v="473256.65"/>
    <s v="TZS"/>
    <s v="[CCLGC327] TMT BAR SIZE 8 MM GRADE FY500."/>
    <n v="-50"/>
    <s v="PCS"/>
    <m/>
    <x v="0"/>
    <x v="0"/>
    <x v="21"/>
    <x v="8"/>
    <n v="185.59084313725492"/>
    <n v="0"/>
  </r>
  <r>
    <n v="2367"/>
    <d v="2026-01-03T12:28:08"/>
    <x v="194"/>
    <s v="STJ/2026/01/00499"/>
    <s v="Inventory Valuation"/>
    <s v="CM/MTI/2025/04771 - [CCLGC329] TMT BAR SIZE 12 MM GRADE FY500. / MRQ/2026/00001"/>
    <s v="CM/MTI/2025/04771 - [CCLGC329] TMT BAR SIZE 12 MM GRADE FY500. / MRQ/2026/00001"/>
    <m/>
    <m/>
    <s v="MATERIAL COST"/>
    <s v="Expenses"/>
    <s v="731002"/>
    <s v="731002 STORE SPARES &amp; CONSUMABLES - GENERAL"/>
    <s v="CWIP-CONSTRUCTION OF PLANT BOUNDARY WALL"/>
    <s v="PROJECT"/>
    <s v="CIVIL"/>
    <n v="611681.76"/>
    <n v="0"/>
    <n v="611681.76"/>
    <s v="TZS"/>
    <s v="[CCLGC329] TMT BAR SIZE 12 MM GRADE FY500."/>
    <n v="-30"/>
    <s v="PCS"/>
    <m/>
    <x v="0"/>
    <x v="0"/>
    <x v="21"/>
    <x v="8"/>
    <n v="239.87520000000001"/>
    <n v="0"/>
  </r>
  <r>
    <n v="2366"/>
    <d v="2026-01-03T12:28:08"/>
    <x v="194"/>
    <s v="STJ/2026/01/00500"/>
    <s v="Inventory Valuation"/>
    <s v="CM/MTI/2025/04771 - [CCLGC330] TMT BAR SIZE 16 MM GRADE FY500. / MRQ/2026/00001"/>
    <s v="CM/MTI/2025/04771 - [CCLGC330] TMT BAR SIZE 16 MM GRADE FY500. / MRQ/2026/00001"/>
    <m/>
    <m/>
    <s v="MATERIAL COST"/>
    <s v="Expenses"/>
    <s v="731002"/>
    <s v="731002 STORE SPARES &amp; CONSUMABLES - GENERAL"/>
    <s v="CWIP-CONSTRUCTION OF PLANT BOUNDARY WALL"/>
    <s v="PROJECT"/>
    <s v="CIVIL"/>
    <n v="728921.06"/>
    <n v="0"/>
    <n v="728921.06"/>
    <s v="TZS"/>
    <s v="[CCLGC330] TMT BAR SIZE 16 MM GRADE FY500."/>
    <n v="-20"/>
    <s v="PCS"/>
    <m/>
    <x v="0"/>
    <x v="0"/>
    <x v="21"/>
    <x v="8"/>
    <n v="285.85139607843138"/>
    <n v="0"/>
  </r>
  <r>
    <n v="2359"/>
    <d v="2026-01-03T12:32:06"/>
    <x v="194"/>
    <s v="STJ/2026/01/00503"/>
    <s v="Inventory Valuation"/>
    <s v="CM/MTI/2025/04772 - [CCLGC328] TMT BAR SIZE 10 MM GRADE FY500. / MRQ/2026/00036"/>
    <s v="CM/MTI/2025/04772 - [CCLGC328] TMT BAR SIZE 10 MM GRADE FY500. / MRQ/2026/00036"/>
    <m/>
    <m/>
    <s v="MATERIAL COST"/>
    <s v="Expenses"/>
    <s v="731002"/>
    <s v="731002 STORE SPARES &amp; CONSUMABLES - GENERAL"/>
    <s v="CWIP-CONSTRUCTION OF PLANT BOUNDARY WALL"/>
    <s v="PROJECT"/>
    <s v="CIVIL"/>
    <n v="856835.25"/>
    <n v="0"/>
    <n v="856835.25"/>
    <s v="TZS"/>
    <s v="[CCLGC328] TMT BAR SIZE 10 MM GRADE FY500."/>
    <n v="-60"/>
    <s v="PCS"/>
    <m/>
    <x v="0"/>
    <x v="0"/>
    <x v="21"/>
    <x v="8"/>
    <n v="336.01382352941175"/>
    <n v="0"/>
  </r>
  <r>
    <n v="61080"/>
    <d v="2026-01-31T08:43:07"/>
    <x v="187"/>
    <s v="STJ/2026/01/17413"/>
    <s v="Inventory Valuation"/>
    <s v="CM/MTI/2025/05223 - [CWCWR002] WELDING ELECTRODE MS 6013 SIZE 3.15 MM X 350 MM / MRQ/2026/00679"/>
    <s v="CM/MTI/2025/05223 - [CWCWR002] WELDING ELECTRODE MS 6013 SIZE 3.15 MM X 350 MM / MRQ/2026/00679"/>
    <m/>
    <m/>
    <s v="MATERIAL COST"/>
    <s v="Expenses"/>
    <s v="731002"/>
    <s v="731002 STORE SPARES &amp; CONSUMABLES - GENERAL"/>
    <s v="CWIP-QUARRY RAW MATERIAL SHED EXTENSION"/>
    <s v="QUARRY"/>
    <s v="CIVIL"/>
    <n v="25000"/>
    <n v="0"/>
    <n v="25000"/>
    <s v="TZS"/>
    <s v="[CWCWR002] WELDING ELECTRODE MS 6013 SIZE 3.15 MM X 350 MM"/>
    <n v="-5"/>
    <s v="KG"/>
    <m/>
    <x v="0"/>
    <x v="0"/>
    <x v="18"/>
    <x v="7"/>
    <n v="9.8039215686274517"/>
    <n v="0"/>
  </r>
  <r>
    <n v="50060"/>
    <d v="2026-01-27T14:38:26"/>
    <x v="190"/>
    <s v="STJ/2026/01/14820"/>
    <s v="Inventory Valuation"/>
    <s v="CM/MTI/2025/05150 - [CCLGC032] WIRE FOR BINDING / MRQ/2026/00585"/>
    <s v="CM/MTI/2025/05150 - [CCLGC032] WIRE FOR BINDING / MRQ/2026/00585"/>
    <m/>
    <m/>
    <s v="MATERIAL COST"/>
    <s v="Expenses"/>
    <s v="731002"/>
    <s v="731002 STORE SPARES &amp; CONSUMABLES - GENERAL"/>
    <s v="CWIP-QUARRY RAW MATERIAL SHED EXTENSION"/>
    <s v="QUARRY"/>
    <s v="CIVIL"/>
    <n v="150000"/>
    <n v="0"/>
    <n v="150000"/>
    <s v="TZS"/>
    <s v="[CCLGC032] WIRE FOR BINDING"/>
    <n v="-30"/>
    <s v="KG"/>
    <m/>
    <x v="0"/>
    <x v="0"/>
    <x v="18"/>
    <x v="7"/>
    <n v="58.823529411764703"/>
    <n v="0"/>
  </r>
  <r>
    <n v="50059"/>
    <d v="2026-01-27T14:38:26"/>
    <x v="190"/>
    <s v="STJ/2026/01/14821"/>
    <s v="Inventory Valuation"/>
    <s v="CM/MTI/2025/05150 - [CCLGC327] TMT BAR SIZE 8 MM GRADE FY500. / MRQ/2026/00585_x000a_Rounding Adjustment: +0.01 TSh"/>
    <s v="CM/MTI/2025/05150 - [CCLGC327] TMT BAR SIZE 8 MM GRADE FY500. / MRQ/2026/00585_x000a_Rounding Adjustment: +0.01 TSh"/>
    <m/>
    <m/>
    <s v="MATERIAL COST"/>
    <s v="Expenses"/>
    <s v="731002"/>
    <s v="731002 STORE SPARES &amp; CONSUMABLES - GENERAL"/>
    <s v="CWIP-QUARRY RAW MATERIAL SHED EXTENSION"/>
    <s v="QUARRY"/>
    <s v="CIVIL"/>
    <n v="1135815.94"/>
    <n v="0"/>
    <n v="1135815.94"/>
    <s v="TZS"/>
    <s v="[CCLGC327] TMT BAR SIZE 8 MM GRADE FY500."/>
    <n v="-120"/>
    <s v="PCS"/>
    <m/>
    <x v="0"/>
    <x v="0"/>
    <x v="18"/>
    <x v="7"/>
    <n v="445.41801568627449"/>
    <n v="0"/>
  </r>
  <r>
    <n v="50057"/>
    <d v="2026-01-27T14:38:26"/>
    <x v="190"/>
    <s v="STJ/2026/01/14822"/>
    <s v="Inventory Valuation"/>
    <s v="CM/MTI/2025/05150 - [CWCGC041] CUTTING WHEEL 7'' / MRQ/2026/00585"/>
    <s v="CM/MTI/2025/05150 - [CWCGC041] CUTTING WHEEL 7'' / MRQ/2026/00585"/>
    <m/>
    <m/>
    <s v="MATERIAL COST"/>
    <s v="Expenses"/>
    <s v="731002"/>
    <s v="731002 STORE SPARES &amp; CONSUMABLES - GENERAL"/>
    <s v="CWIP-QUARRY RAW MATERIAL SHED EXTENSION"/>
    <s v="QUARRY"/>
    <s v="CIVIL"/>
    <n v="32203.54"/>
    <n v="0"/>
    <n v="32203.54"/>
    <s v="TZS"/>
    <s v="[CWCGC041] CUTTING WHEEL 7''"/>
    <n v="-10"/>
    <s v="NOS"/>
    <m/>
    <x v="0"/>
    <x v="0"/>
    <x v="18"/>
    <x v="7"/>
    <n v="12.628839215686275"/>
    <n v="0"/>
  </r>
  <r>
    <n v="50055"/>
    <d v="2026-01-27T14:38:26"/>
    <x v="190"/>
    <s v="STJ/2026/01/14823"/>
    <s v="Inventory Valuation"/>
    <s v="CM/MTI/2025/05150 - [CWCWR002] WELDING ELECTRODE MS 6013 SIZE 3.15 MM X 350 MM / MRQ/2026/00585"/>
    <s v="CM/MTI/2025/05150 - [CWCWR002] WELDING ELECTRODE MS 6013 SIZE 3.15 MM X 350 MM / MRQ/2026/00585"/>
    <m/>
    <m/>
    <s v="MATERIAL COST"/>
    <s v="Expenses"/>
    <s v="731002"/>
    <s v="731002 STORE SPARES &amp; CONSUMABLES - GENERAL"/>
    <s v="CWIP-QUARRY RAW MATERIAL SHED EXTENSION"/>
    <s v="QUARRY"/>
    <s v="CIVIL"/>
    <n v="25000"/>
    <n v="0"/>
    <n v="25000"/>
    <s v="TZS"/>
    <s v="[CWCWR002] WELDING ELECTRODE MS 6013 SIZE 3.15 MM X 350 MM"/>
    <n v="-5"/>
    <s v="KG"/>
    <m/>
    <x v="0"/>
    <x v="0"/>
    <x v="18"/>
    <x v="7"/>
    <n v="9.8039215686274517"/>
    <n v="0"/>
  </r>
  <r>
    <n v="50052"/>
    <d v="2026-01-27T14:38:26"/>
    <x v="190"/>
    <s v="STJ/2026/01/14824"/>
    <s v="Inventory Valuation"/>
    <s v="CM/MTI/2025/05150 - [ESSAG008] ISA 65 X 65 X 6 / MRQ/2026/00585"/>
    <s v="CM/MTI/2025/05150 - [ESSAG008] ISA 65 X 65 X 6 / MRQ/2026/00585"/>
    <m/>
    <m/>
    <s v="MATERIAL COST"/>
    <s v="Expenses"/>
    <s v="731002"/>
    <s v="731002 STORE SPARES &amp; CONSUMABLES - GENERAL"/>
    <s v="CWIP-QUARRY RAW MATERIAL SHED EXTENSION"/>
    <s v="QUARRY"/>
    <s v="CIVIL"/>
    <n v="1828500"/>
    <n v="0"/>
    <n v="1828500"/>
    <s v="TZS"/>
    <s v="[ESSAG008] ISA 65 X 65 X 6"/>
    <n v="-23"/>
    <s v="NOS"/>
    <m/>
    <x v="0"/>
    <x v="0"/>
    <x v="18"/>
    <x v="7"/>
    <n v="717.05882352941171"/>
    <n v="0"/>
  </r>
  <r>
    <n v="49014"/>
    <d v="2026-01-26T06:25:38"/>
    <x v="193"/>
    <s v="STJ/2026/01/13550"/>
    <s v="Inventory Valuation"/>
    <s v="CM/MTI/2025/05121 - [CCLGC330] TMT BAR SIZE 16 MM GRADE FY500. / MRQ/2026/00527"/>
    <s v="CM/MTI/2025/05121 - [CCLGC330] TMT BAR SIZE 16 MM GRADE FY500. / MRQ/2026/00527"/>
    <m/>
    <m/>
    <s v="MATERIAL COST"/>
    <s v="Expenses"/>
    <s v="731002"/>
    <s v="731002 STORE SPARES &amp; CONSUMABLES - GENERAL"/>
    <s v="CWIP-QUARRY RAW MATERIAL SHED EXTENSION"/>
    <s v="QUARRY"/>
    <s v="CIVIL"/>
    <n v="2742516.45"/>
    <n v="0"/>
    <n v="2742516.45"/>
    <s v="TZS"/>
    <s v="[CCLGC330] TMT BAR SIZE 16 MM GRADE FY500."/>
    <n v="-76"/>
    <s v="PCS"/>
    <m/>
    <x v="0"/>
    <x v="0"/>
    <x v="18"/>
    <x v="7"/>
    <n v="1075.4966470588236"/>
    <n v="0"/>
  </r>
  <r>
    <n v="45590"/>
    <d v="2026-01-24T13:22:28"/>
    <x v="195"/>
    <s v="STJ/2026/01/13266"/>
    <s v="Inventory Valuation"/>
    <s v="CM/MTI/2025/05115 - [CCLGC330] TMT BAR SIZE 16 MM GRADE FY500. / MRQ/2026/00533"/>
    <s v="CM/MTI/2025/05115 - [CCLGC330] TMT BAR SIZE 16 MM GRADE FY500. / MRQ/2026/00533"/>
    <m/>
    <m/>
    <s v="MATERIAL COST"/>
    <s v="Expenses"/>
    <s v="731002"/>
    <s v="731002 STORE SPARES &amp; CONSUMABLES - GENERAL"/>
    <s v="CWIP-QUARRY RAW MATERIAL SHED EXTENSION"/>
    <s v="QUARRY"/>
    <s v="CIVIL"/>
    <n v="2526001.9900000002"/>
    <n v="0"/>
    <n v="2526001.9900000002"/>
    <s v="TZS"/>
    <s v="[CCLGC330] TMT BAR SIZE 16 MM GRADE FY500."/>
    <n v="-70"/>
    <s v="PCS"/>
    <m/>
    <x v="0"/>
    <x v="0"/>
    <x v="18"/>
    <x v="7"/>
    <n v="990.58901568627459"/>
    <n v="0"/>
  </r>
  <r>
    <n v="45585"/>
    <d v="2026-01-24T13:24:11"/>
    <x v="195"/>
    <s v="STJ/2026/01/13268"/>
    <s v="Inventory Valuation"/>
    <s v="CM/MTI/2025/05117 - [CWCGC041] CUTTING WHEEL 7'' / MRQ/2026/00539"/>
    <s v="CM/MTI/2025/05117 - [CWCGC041] CUTTING WHEEL 7'' / MRQ/2026/00539"/>
    <m/>
    <m/>
    <s v="MATERIAL COST"/>
    <s v="Expenses"/>
    <s v="731002"/>
    <s v="731002 STORE SPARES &amp; CONSUMABLES - GENERAL"/>
    <s v="CWIP-QUARRY RAW MATERIAL SHED EXTENSION"/>
    <s v="QUARRY"/>
    <s v="CIVIL"/>
    <n v="32203.54"/>
    <n v="0"/>
    <n v="32203.54"/>
    <s v="TZS"/>
    <s v="[CWCGC041] CUTTING WHEEL 7''"/>
    <n v="-10"/>
    <s v="NOS"/>
    <m/>
    <x v="0"/>
    <x v="0"/>
    <x v="18"/>
    <x v="7"/>
    <n v="12.628839215686275"/>
    <n v="0"/>
  </r>
  <r>
    <n v="45584"/>
    <d v="2026-01-24T13:24:11"/>
    <x v="195"/>
    <s v="STJ/2026/01/13269"/>
    <s v="Inventory Valuation"/>
    <s v="CM/MTI/2025/05117 - [CWCWR002] WELDING ELECTRODE MS 6013 SIZE 3.15 MM X 350 MM / MRQ/2026/00539"/>
    <s v="CM/MTI/2025/05117 - [CWCWR002] WELDING ELECTRODE MS 6013 SIZE 3.15 MM X 350 MM / MRQ/2026/00539"/>
    <m/>
    <m/>
    <s v="MATERIAL COST"/>
    <s v="Expenses"/>
    <s v="731002"/>
    <s v="731002 STORE SPARES &amp; CONSUMABLES - GENERAL"/>
    <s v="CWIP-QUARRY RAW MATERIAL SHED EXTENSION"/>
    <s v="QUARRY"/>
    <s v="CIVIL"/>
    <n v="25000"/>
    <n v="0"/>
    <n v="25000"/>
    <s v="TZS"/>
    <s v="[CWCWR002] WELDING ELECTRODE MS 6013 SIZE 3.15 MM X 350 MM"/>
    <n v="-5"/>
    <s v="KG"/>
    <m/>
    <x v="0"/>
    <x v="0"/>
    <x v="18"/>
    <x v="7"/>
    <n v="9.8039215686274517"/>
    <n v="0"/>
  </r>
  <r>
    <n v="41996"/>
    <d v="2026-01-23T14:18:25"/>
    <x v="199"/>
    <s v="STJ/2026/01/12836"/>
    <s v="Inventory Valuation"/>
    <s v="CM/MTI/2025/05098 - [CCLGC022] NAILS SIZE 3'' / MRQ/2026/00505"/>
    <s v="CM/MTI/2025/05098 - [CCLGC022] NAILS SIZE 3'' / MRQ/2026/00505"/>
    <m/>
    <m/>
    <s v="MATERIAL COST"/>
    <s v="Expenses"/>
    <s v="731002"/>
    <s v="731002 STORE SPARES &amp; CONSUMABLES - GENERAL"/>
    <s v="CWIP-QUARRY RAW MATERIAL SHED EXTENSION"/>
    <s v="QUARRY"/>
    <s v="CIVIL"/>
    <n v="34200"/>
    <n v="0"/>
    <n v="34200"/>
    <s v="TZS"/>
    <s v="[CCLGC022] NAILS SIZE 3''"/>
    <n v="-6"/>
    <s v="KG"/>
    <m/>
    <x v="0"/>
    <x v="0"/>
    <x v="18"/>
    <x v="7"/>
    <n v="13.411764705882353"/>
    <n v="0"/>
  </r>
  <r>
    <n v="41994"/>
    <d v="2026-01-23T14:18:25"/>
    <x v="199"/>
    <s v="STJ/2026/01/12837"/>
    <s v="Inventory Valuation"/>
    <s v="CM/MTI/2025/05098 - [CCLGC023] NAILS SIZE 4'' / MRQ/2026/00505"/>
    <s v="CM/MTI/2025/05098 - [CCLGC023] NAILS SIZE 4'' / MRQ/2026/00505"/>
    <m/>
    <m/>
    <s v="MATERIAL COST"/>
    <s v="Expenses"/>
    <s v="731002"/>
    <s v="731002 STORE SPARES &amp; CONSUMABLES - GENERAL"/>
    <s v="CWIP-QUARRY RAW MATERIAL SHED EXTENSION"/>
    <s v="QUARRY"/>
    <s v="CIVIL"/>
    <n v="114000"/>
    <n v="0"/>
    <n v="114000"/>
    <s v="TZS"/>
    <s v="[CCLGC023] NAILS SIZE 4''"/>
    <n v="-20"/>
    <s v="KG"/>
    <m/>
    <x v="0"/>
    <x v="0"/>
    <x v="18"/>
    <x v="7"/>
    <n v="44.705882352941174"/>
    <n v="0"/>
  </r>
  <r>
    <n v="40150"/>
    <d v="2026-01-22T14:49:19"/>
    <x v="196"/>
    <s v="STJ/2026/01/11729"/>
    <s v="Inventory Valuation"/>
    <s v="CM/MTI/2025/05086 - [CCLGC032] WIRE FOR BINDING / MRQ/2026/00479"/>
    <s v="CM/MTI/2025/05086 - [CCLGC032] WIRE FOR BINDING / MRQ/2026/00479"/>
    <m/>
    <m/>
    <s v="MATERIAL COST"/>
    <s v="Expenses"/>
    <s v="731002"/>
    <s v="731002 STORE SPARES &amp; CONSUMABLES - GENERAL"/>
    <s v="CWIP-QUARRY RAW MATERIAL SHED EXTENSION"/>
    <s v="QUARRY"/>
    <s v="CIVIL"/>
    <n v="150000"/>
    <n v="0"/>
    <n v="150000"/>
    <s v="TZS"/>
    <s v="[CCLGC032] WIRE FOR BINDING"/>
    <n v="-30"/>
    <s v="KG"/>
    <m/>
    <x v="0"/>
    <x v="0"/>
    <x v="18"/>
    <x v="7"/>
    <n v="58.823529411764703"/>
    <n v="0"/>
  </r>
  <r>
    <n v="40147"/>
    <d v="2026-01-22T14:49:19"/>
    <x v="196"/>
    <s v="STJ/2026/01/11730"/>
    <s v="Inventory Valuation"/>
    <s v="CM/MTI/2025/05086 - [CCLGC327] TMT BAR SIZE 8 MM GRADE FY500. / MRQ/2026/00479"/>
    <s v="CM/MTI/2025/05086 - [CCLGC327] TMT BAR SIZE 8 MM GRADE FY500. / MRQ/2026/00479"/>
    <m/>
    <m/>
    <s v="MATERIAL COST"/>
    <s v="Expenses"/>
    <s v="731002"/>
    <s v="731002 STORE SPARES &amp; CONSUMABLES - GENERAL"/>
    <s v="CWIP-QUARRY RAW MATERIAL SHED EXTENSION"/>
    <s v="QUARRY"/>
    <s v="CIVIL"/>
    <n v="473256.65"/>
    <n v="0"/>
    <n v="473256.65"/>
    <s v="TZS"/>
    <s v="[CCLGC327] TMT BAR SIZE 8 MM GRADE FY500."/>
    <n v="-50"/>
    <s v="PCS"/>
    <m/>
    <x v="0"/>
    <x v="0"/>
    <x v="18"/>
    <x v="7"/>
    <n v="185.59084313725492"/>
    <n v="0"/>
  </r>
  <r>
    <n v="40146"/>
    <d v="2026-01-22T14:49:19"/>
    <x v="196"/>
    <s v="STJ/2026/01/11731"/>
    <s v="Inventory Valuation"/>
    <s v="CM/MTI/2025/05086 - [CWCGC041] CUTTING WHEEL 7'' / MRQ/2026/00479"/>
    <s v="CM/MTI/2025/05086 - [CWCGC041] CUTTING WHEEL 7'' / MRQ/2026/00479"/>
    <m/>
    <m/>
    <s v="MATERIAL COST"/>
    <s v="Expenses"/>
    <s v="731002"/>
    <s v="731002 STORE SPARES &amp; CONSUMABLES - GENERAL"/>
    <s v="CWIP-QUARRY RAW MATERIAL SHED EXTENSION"/>
    <s v="QUARRY"/>
    <s v="CIVIL"/>
    <n v="32203.54"/>
    <n v="0"/>
    <n v="32203.54"/>
    <s v="TZS"/>
    <s v="[CWCGC041] CUTTING WHEEL 7''"/>
    <n v="-10"/>
    <s v="NOS"/>
    <m/>
    <x v="0"/>
    <x v="0"/>
    <x v="18"/>
    <x v="7"/>
    <n v="12.628839215686275"/>
    <n v="0"/>
  </r>
  <r>
    <n v="40144"/>
    <d v="2026-01-22T14:49:19"/>
    <x v="196"/>
    <s v="STJ/2026/01/11732"/>
    <s v="Inventory Valuation"/>
    <s v="CM/MTI/2025/05086 - [CWCWR002] WELDING ELECTRODE MS 6013 SIZE 3.15 MM X 350 MM / MRQ/2026/00479"/>
    <s v="CM/MTI/2025/05086 - [CWCWR002] WELDING ELECTRODE MS 6013 SIZE 3.15 MM X 350 MM / MRQ/2026/00479"/>
    <m/>
    <m/>
    <s v="MATERIAL COST"/>
    <s v="Expenses"/>
    <s v="731002"/>
    <s v="731002 STORE SPARES &amp; CONSUMABLES - GENERAL"/>
    <s v="CWIP-QUARRY RAW MATERIAL SHED EXTENSION"/>
    <s v="QUARRY"/>
    <s v="CIVIL"/>
    <n v="25000"/>
    <n v="0"/>
    <n v="25000"/>
    <s v="TZS"/>
    <s v="[CWCWR002] WELDING ELECTRODE MS 6013 SIZE 3.15 MM X 350 MM"/>
    <n v="-5"/>
    <s v="KG"/>
    <m/>
    <x v="0"/>
    <x v="0"/>
    <x v="18"/>
    <x v="7"/>
    <n v="9.8039215686274517"/>
    <n v="0"/>
  </r>
  <r>
    <n v="35643"/>
    <d v="2026-01-20T14:35:32"/>
    <x v="200"/>
    <s v="STJ/2026/01/10778"/>
    <s v="Inventory Valuation"/>
    <s v="CM/MTI/2025/05045 - [CCLGC327] TMT BAR SIZE 8 MM GRADE FY500. / MRQ/2026/00414"/>
    <s v="CM/MTI/2025/05045 - [CCLGC327] TMT BAR SIZE 8 MM GRADE FY500. / MRQ/2026/00414"/>
    <m/>
    <m/>
    <s v="MATERIAL COST"/>
    <s v="Expenses"/>
    <s v="731002"/>
    <s v="731002 STORE SPARES &amp; CONSUMABLES - GENERAL"/>
    <s v="CWIP-QUARRY RAW MATERIAL SHED EXTENSION"/>
    <s v="QUARRY"/>
    <s v="CIVIL"/>
    <n v="567907.98"/>
    <n v="0"/>
    <n v="567907.98"/>
    <s v="TZS"/>
    <s v="[CCLGC327] TMT BAR SIZE 8 MM GRADE FY500."/>
    <n v="-60"/>
    <s v="PCS"/>
    <m/>
    <x v="0"/>
    <x v="0"/>
    <x v="18"/>
    <x v="7"/>
    <n v="222.70901176470588"/>
    <n v="0"/>
  </r>
  <r>
    <n v="35640"/>
    <d v="2026-01-20T14:35:32"/>
    <x v="200"/>
    <s v="STJ/2026/01/10779"/>
    <s v="Inventory Valuation"/>
    <s v="CM/MTI/2025/05045 - [CWCGC041] CUTTING WHEEL 7'' / MRQ/2026/00414"/>
    <s v="CM/MTI/2025/05045 - [CWCGC041] CUTTING WHEEL 7'' / MRQ/2026/00414"/>
    <m/>
    <m/>
    <s v="MATERIAL COST"/>
    <s v="Expenses"/>
    <s v="731002"/>
    <s v="731002 STORE SPARES &amp; CONSUMABLES - GENERAL"/>
    <s v="CWIP-QUARRY RAW MATERIAL SHED EXTENSION"/>
    <s v="QUARRY"/>
    <s v="CIVIL"/>
    <n v="32203.54"/>
    <n v="0"/>
    <n v="32203.54"/>
    <s v="TZS"/>
    <s v="[CWCGC041] CUTTING WHEEL 7''"/>
    <n v="-10"/>
    <s v="NOS"/>
    <m/>
    <x v="0"/>
    <x v="0"/>
    <x v="18"/>
    <x v="7"/>
    <n v="12.628839215686275"/>
    <n v="0"/>
  </r>
  <r>
    <n v="31355"/>
    <d v="2026-01-17T12:37:38"/>
    <x v="201"/>
    <s v="STJ/2026/01/09359"/>
    <s v="Inventory Valuation"/>
    <s v="CM/MTI/2025/04997 - [CCLGC032] WIRE FOR BINDING / MRQ/2026/00346"/>
    <s v="CM/MTI/2025/04997 - [CCLGC032] WIRE FOR BINDING / MRQ/2026/00346"/>
    <m/>
    <m/>
    <s v="MATERIAL COST"/>
    <s v="Expenses"/>
    <s v="731002"/>
    <s v="731002 STORE SPARES &amp; CONSUMABLES - GENERAL"/>
    <s v="CWIP-QUARRY RAW MATERIAL SHED EXTENSION"/>
    <s v="QUARRY"/>
    <s v="CIVIL"/>
    <n v="150000"/>
    <n v="0"/>
    <n v="150000"/>
    <s v="TZS"/>
    <s v="[CCLGC032] WIRE FOR BINDING"/>
    <n v="-30"/>
    <s v="KG"/>
    <m/>
    <x v="0"/>
    <x v="0"/>
    <x v="18"/>
    <x v="7"/>
    <n v="58.823529411764703"/>
    <n v="0"/>
  </r>
  <r>
    <n v="31353"/>
    <d v="2026-01-17T12:37:38"/>
    <x v="201"/>
    <s v="STJ/2026/01/09360"/>
    <s v="Inventory Valuation"/>
    <s v="CM/MTI/2025/04997 - [CCLGC327] TMT BAR SIZE 8 MM GRADE FY500. / MRQ/2026/00346_x000a_Rounding Adjustment: +0.01 TSh"/>
    <s v="CM/MTI/2025/04997 - [CCLGC327] TMT BAR SIZE 8 MM GRADE FY500. / MRQ/2026/00346_x000a_Rounding Adjustment: +0.01 TSh"/>
    <m/>
    <m/>
    <s v="MATERIAL COST"/>
    <s v="Expenses"/>
    <s v="731002"/>
    <s v="731002 STORE SPARES &amp; CONSUMABLES - GENERAL"/>
    <s v="CWIP-QUARRY RAW MATERIAL SHED EXTENSION"/>
    <s v="QUARRY"/>
    <s v="CIVIL"/>
    <n v="662559.30000000005"/>
    <n v="0"/>
    <n v="662559.30000000005"/>
    <s v="TZS"/>
    <s v="[CCLGC327] TMT BAR SIZE 8 MM GRADE FY500."/>
    <n v="-70"/>
    <s v="PCS"/>
    <m/>
    <x v="0"/>
    <x v="0"/>
    <x v="18"/>
    <x v="7"/>
    <n v="259.82717647058826"/>
    <n v="0"/>
  </r>
  <r>
    <n v="31351"/>
    <d v="2026-01-17T12:37:38"/>
    <x v="201"/>
    <s v="STJ/2026/01/09361"/>
    <s v="Inventory Valuation"/>
    <s v="CM/MTI/2025/04997 - [CWCGC041] CUTTING WHEEL 7'' / MRQ/2026/00346"/>
    <s v="CM/MTI/2025/04997 - [CWCGC041] CUTTING WHEEL 7'' / MRQ/2026/00346"/>
    <m/>
    <m/>
    <s v="MATERIAL COST"/>
    <s v="Expenses"/>
    <s v="731002"/>
    <s v="731002 STORE SPARES &amp; CONSUMABLES - GENERAL"/>
    <s v="CWIP-QUARRY RAW MATERIAL SHED EXTENSION"/>
    <s v="QUARRY"/>
    <s v="CIVIL"/>
    <n v="32203.54"/>
    <n v="0"/>
    <n v="32203.54"/>
    <s v="TZS"/>
    <s v="[CWCGC041] CUTTING WHEEL 7''"/>
    <n v="-10"/>
    <s v="NOS"/>
    <m/>
    <x v="0"/>
    <x v="0"/>
    <x v="18"/>
    <x v="7"/>
    <n v="12.628839215686275"/>
    <n v="0"/>
  </r>
  <r>
    <n v="31350"/>
    <d v="2026-01-17T12:37:38"/>
    <x v="201"/>
    <s v="STJ/2026/01/09362"/>
    <s v="Inventory Valuation"/>
    <s v="CM/MTI/2025/04997 - [CWCWR002] WELDING ELECTRODE MS 6013 SIZE 3.15 MM X 350 MM / MRQ/2026/00346"/>
    <s v="CM/MTI/2025/04997 - [CWCWR002] WELDING ELECTRODE MS 6013 SIZE 3.15 MM X 350 MM / MRQ/2026/00346"/>
    <m/>
    <m/>
    <s v="MATERIAL COST"/>
    <s v="Expenses"/>
    <s v="731002"/>
    <s v="731002 STORE SPARES &amp; CONSUMABLES - GENERAL"/>
    <s v="CWIP-QUARRY RAW MATERIAL SHED EXTENSION"/>
    <s v="QUARRY"/>
    <s v="CIVIL"/>
    <n v="25000"/>
    <n v="0"/>
    <n v="25000"/>
    <s v="TZS"/>
    <s v="[CWCWR002] WELDING ELECTRODE MS 6013 SIZE 3.15 MM X 350 MM"/>
    <n v="-5"/>
    <s v="KG"/>
    <m/>
    <x v="0"/>
    <x v="0"/>
    <x v="18"/>
    <x v="7"/>
    <n v="9.8039215686274517"/>
    <n v="0"/>
  </r>
  <r>
    <n v="22187"/>
    <d v="2026-01-14T09:36:14"/>
    <x v="186"/>
    <s v="STJ/2026/01/06305"/>
    <s v="Inventory Valuation"/>
    <s v="CM/MTI/2025/04918 - [CCLGC022] NAILS SIZE 3'' / MRQ/2026/00244"/>
    <s v="CM/MTI/2025/04918 - [CCLGC022] NAILS SIZE 3'' / MRQ/2026/00244"/>
    <m/>
    <m/>
    <s v="MATERIAL COST"/>
    <s v="Expenses"/>
    <s v="731002"/>
    <s v="731002 STORE SPARES &amp; CONSUMABLES - GENERAL"/>
    <s v="CWIP-QUARRY RAW MATERIAL SHED EXTENSION"/>
    <s v="QUARRY"/>
    <s v="CIVIL"/>
    <n v="45600"/>
    <n v="0"/>
    <n v="45600"/>
    <s v="TZS"/>
    <s v="[CCLGC022] NAILS SIZE 3''"/>
    <n v="-8"/>
    <s v="KG"/>
    <m/>
    <x v="0"/>
    <x v="0"/>
    <x v="18"/>
    <x v="7"/>
    <n v="17.882352941176471"/>
    <n v="0"/>
  </r>
  <r>
    <n v="22185"/>
    <d v="2026-01-14T09:36:14"/>
    <x v="186"/>
    <s v="STJ/2026/01/06306"/>
    <s v="Inventory Valuation"/>
    <s v="CM/MTI/2025/04918 - [CCLGC023] NAILS SIZE 4'' / MRQ/2026/00244"/>
    <s v="CM/MTI/2025/04918 - [CCLGC023] NAILS SIZE 4'' / MRQ/2026/00244"/>
    <m/>
    <m/>
    <s v="MATERIAL COST"/>
    <s v="Expenses"/>
    <s v="731002"/>
    <s v="731002 STORE SPARES &amp; CONSUMABLES - GENERAL"/>
    <s v="CWIP-QUARRY RAW MATERIAL SHED EXTENSION"/>
    <s v="QUARRY"/>
    <s v="CIVIL"/>
    <n v="96900"/>
    <n v="0"/>
    <n v="96900"/>
    <s v="TZS"/>
    <s v="[CCLGC023] NAILS SIZE 4''"/>
    <n v="-17"/>
    <s v="KG"/>
    <m/>
    <x v="0"/>
    <x v="0"/>
    <x v="18"/>
    <x v="7"/>
    <n v="38"/>
    <n v="0"/>
  </r>
  <r>
    <n v="22184"/>
    <d v="2026-01-14T09:36:14"/>
    <x v="186"/>
    <s v="STJ/2026/01/06307"/>
    <s v="Inventory Valuation"/>
    <s v="CM/MTI/2025/04918 - [CCLGC032] WIRE FOR BINDING / MRQ/2026/00244"/>
    <s v="CM/MTI/2025/04918 - [CCLGC032] WIRE FOR BINDING / MRQ/2026/00244"/>
    <m/>
    <m/>
    <s v="MATERIAL COST"/>
    <s v="Expenses"/>
    <s v="731002"/>
    <s v="731002 STORE SPARES &amp; CONSUMABLES - GENERAL"/>
    <s v="CWIP-QUARRY RAW MATERIAL SHED EXTENSION"/>
    <s v="QUARRY"/>
    <s v="CIVIL"/>
    <n v="139500"/>
    <n v="0"/>
    <n v="139500"/>
    <s v="TZS"/>
    <s v="[CCLGC032] WIRE FOR BINDING"/>
    <n v="-27.9"/>
    <s v="KG"/>
    <m/>
    <x v="0"/>
    <x v="0"/>
    <x v="18"/>
    <x v="7"/>
    <n v="54.705882352941174"/>
    <n v="0"/>
  </r>
  <r>
    <n v="22182"/>
    <d v="2026-01-14T09:36:14"/>
    <x v="186"/>
    <s v="STJ/2026/01/06308"/>
    <s v="Inventory Valuation"/>
    <s v="CM/MTI/2025/04918 - [ESSAG008] ISA 65 X 65 X 6 / MRQ/2026/00244"/>
    <s v="CM/MTI/2025/04918 - [ESSAG008] ISA 65 X 65 X 6 / MRQ/2026/00244"/>
    <m/>
    <m/>
    <s v="MATERIAL COST"/>
    <s v="Expenses"/>
    <s v="731002"/>
    <s v="731002 STORE SPARES &amp; CONSUMABLES - GENERAL"/>
    <s v="CWIP-QUARRY RAW MATERIAL SHED EXTENSION"/>
    <s v="QUARRY"/>
    <s v="CIVIL"/>
    <n v="4134000"/>
    <n v="0"/>
    <n v="4134000"/>
    <s v="TZS"/>
    <s v="[ESSAG008] ISA 65 X 65 X 6"/>
    <n v="-52"/>
    <s v="NOS"/>
    <m/>
    <x v="0"/>
    <x v="0"/>
    <x v="18"/>
    <x v="7"/>
    <n v="1621.1764705882354"/>
    <n v="0"/>
  </r>
  <r>
    <n v="14317"/>
    <d v="2026-01-09T14:36:23"/>
    <x v="198"/>
    <s v="STJ/2026/01/04598"/>
    <s v="Inventory Valuation"/>
    <s v="CM/MTI/2025/04885 - [CCLGC327] TMT BAR SIZE 8 MM GRADE FY500. / MRQ/2026/00162"/>
    <s v="CM/MTI/2025/04885 - [CCLGC327] TMT BAR SIZE 8 MM GRADE FY500. / MRQ/2026/00162"/>
    <m/>
    <m/>
    <s v="MATERIAL COST"/>
    <s v="Expenses"/>
    <s v="731002"/>
    <s v="731002 STORE SPARES &amp; CONSUMABLES - GENERAL"/>
    <s v="CWIP-QUARRY RAW MATERIAL SHED EXTENSION"/>
    <s v="QUARRY"/>
    <s v="CIVIL"/>
    <n v="757210.64"/>
    <n v="0"/>
    <n v="757210.64"/>
    <s v="TZS"/>
    <s v="[CCLGC327] TMT BAR SIZE 8 MM GRADE FY500."/>
    <n v="-80"/>
    <s v="PCS"/>
    <m/>
    <x v="0"/>
    <x v="0"/>
    <x v="18"/>
    <x v="7"/>
    <n v="296.94534901960787"/>
    <n v="0"/>
  </r>
  <r>
    <n v="14316"/>
    <d v="2026-01-09T14:36:23"/>
    <x v="198"/>
    <s v="STJ/2026/01/04599"/>
    <s v="Inventory Valuation"/>
    <s v="CM/MTI/2025/04885 - [CCLGC330] TMT BAR SIZE 16 MM GRADE FY500. / MRQ/2026/00162"/>
    <s v="CM/MTI/2025/04885 - [CCLGC330] TMT BAR SIZE 16 MM GRADE FY500. / MRQ/2026/00162"/>
    <m/>
    <m/>
    <s v="MATERIAL COST"/>
    <s v="Expenses"/>
    <s v="731002"/>
    <s v="731002 STORE SPARES &amp; CONSUMABLES - GENERAL"/>
    <s v="CWIP-QUARRY RAW MATERIAL SHED EXTENSION"/>
    <s v="QUARRY"/>
    <s v="CIVIL"/>
    <n v="583136.85"/>
    <n v="0"/>
    <n v="583136.85"/>
    <s v="TZS"/>
    <s v="[CCLGC330] TMT BAR SIZE 16 MM GRADE FY500."/>
    <n v="-16"/>
    <s v="PCS"/>
    <m/>
    <x v="0"/>
    <x v="0"/>
    <x v="18"/>
    <x v="7"/>
    <n v="228.68111764705881"/>
    <n v="0"/>
  </r>
  <r>
    <n v="7204"/>
    <d v="2026-01-06T14:24:39"/>
    <x v="202"/>
    <s v="STJ/2026/01/02640"/>
    <s v="Inventory Valuation"/>
    <s v="CM/MTI/2025/04820 - [EFSSC001] SCREW 25MM FOR IRON SHEET / MRQ/2026/00083"/>
    <s v="CM/MTI/2025/04820 - [EFSSC001] SCREW 25MM FOR IRON SHEET / MRQ/2026/00083"/>
    <m/>
    <m/>
    <s v="MATERIAL COST"/>
    <s v="Expenses"/>
    <s v="731002"/>
    <s v="731002 STORE SPARES &amp; CONSUMABLES - GENERAL"/>
    <s v="CWIP-QUARRY RAW MATERIAL SHED EXTENSION"/>
    <s v="PROJECT"/>
    <s v="MECHANICAL"/>
    <n v="48000"/>
    <n v="0"/>
    <n v="48000"/>
    <s v="TZS"/>
    <s v="[EFSSC001] SCREW 25MM FOR IRON SHEET"/>
    <n v="-300"/>
    <s v="NOS"/>
    <m/>
    <x v="0"/>
    <x v="0"/>
    <x v="18"/>
    <x v="7"/>
    <n v="18.823529411764707"/>
    <n v="0"/>
  </r>
  <r>
    <n v="49998"/>
    <d v="2026-01-27T14:57:41"/>
    <x v="190"/>
    <s v="STJ/2026/01/14851"/>
    <s v="Inventory Valuation"/>
    <s v="CM/MTI/2025/05164 - [CPMBG002] BAG EMPTY FOR CEMENT PACKING GRADE 42.5R MATERIAL WOVEN POLYPROPYLENE CAPACITY 50KG COLOR ORANGE / MRQ/2026/00510"/>
    <s v="CM/MTI/2025/05164 - [CPMBG002] BAG EMPTY FOR CEMENT PACKING GRADE 42.5R MATERIAL WOVEN POLYPROPYLENE CAPACITY 50KG COLOR ORANGE / MRQ/2026/00510"/>
    <m/>
    <m/>
    <s v="MATERIAL COST"/>
    <s v="Expenses"/>
    <s v="731006"/>
    <s v="731006 PACKING BAGS CONSUMED"/>
    <s v="CWIP-CONSTRUCTION OF PLANT BOUNDARY WALL"/>
    <s v="PROJECT"/>
    <s v="CIVIL"/>
    <n v="63000"/>
    <n v="0"/>
    <n v="63000"/>
    <s v="TZS"/>
    <s v="[CPMBG002] BAG EMPTY FOR CEMENT PACKING GRADE 42.5R MATERIAL WOVEN POLYPROPYLENE CAPACITY 50KG COLOR ORANGE"/>
    <n v="-150"/>
    <s v="NOS"/>
    <m/>
    <x v="0"/>
    <x v="0"/>
    <x v="21"/>
    <x v="8"/>
    <n v="24.705882352941178"/>
    <n v="0"/>
  </r>
  <r>
    <n v="34126"/>
    <d v="2026-01-19T05:37:47"/>
    <x v="192"/>
    <s v="STJ/2026/01/09753"/>
    <s v="Inventory Valuation"/>
    <s v="CM/MTI/2025/05000 - [CPMBG010] BAG EMPTY FOR CEMENT PACKING GRADE SUPER 42 MATERIAL WOVEN POLYPROPYLENE CAPACITY 50 KG COLOR ORANGE / MRQ/2026/00349"/>
    <s v="CM/MTI/2025/05000 - [CPMBG010] BAG EMPTY FOR CEMENT PACKING GRADE SUPER 42 MATERIAL WOVEN POLYPROPYLENE CAPACITY 50 KG COLOR ORANGE / MRQ/2026/00349"/>
    <m/>
    <m/>
    <s v="MATERIAL COST"/>
    <s v="Expenses"/>
    <s v="731006"/>
    <s v="731006 PACKING BAGS CONSUMED"/>
    <s v="CWIP-CONSTRUCTION OF PLANT BOUNDARY WALL"/>
    <s v="PROJECT"/>
    <s v="CIVIL"/>
    <n v="84000"/>
    <n v="0"/>
    <n v="84000"/>
    <s v="TZS"/>
    <s v="[CPMBG010] BAG EMPTY FOR CEMENT PACKING GRADE SUPER 42 MATERIAL WOVEN POLYPROPYLENE CAPACITY 50 KG COLOR ORANGE"/>
    <n v="-200"/>
    <s v="NOS"/>
    <m/>
    <x v="0"/>
    <x v="0"/>
    <x v="21"/>
    <x v="8"/>
    <n v="32.941176470588232"/>
    <n v="0"/>
  </r>
  <r>
    <n v="47798"/>
    <d v="2026-01-26T14:43:54"/>
    <x v="193"/>
    <s v="STJ/2026/01/14158"/>
    <s v="Inventory Valuation"/>
    <s v="CM/MTI/2025/05140 - [CPMBG002] BAG EMPTY FOR CEMENT PACKING GRADE 42.5R MATERIAL WOVEN POLYPROPYLENE CAPACITY 50KG COLOR ORANGE / MRQ/2026/00350"/>
    <s v="CM/MTI/2025/05140 - [CPMBG002] BAG EMPTY FOR CEMENT PACKING GRADE 42.5R MATERIAL WOVEN POLYPROPYLENE CAPACITY 50KG COLOR ORANGE / MRQ/2026/00350"/>
    <m/>
    <m/>
    <s v="MATERIAL COST"/>
    <s v="Expenses"/>
    <s v="731006"/>
    <s v="731006 PACKING BAGS CONSUMED"/>
    <s v="CWIP-QUARRY RAW MATERIAL SHED EXTENSION"/>
    <s v="QUARRY"/>
    <s v="CIVIL"/>
    <n v="63000"/>
    <n v="0"/>
    <n v="63000"/>
    <s v="TZS"/>
    <s v="[CPMBG002] BAG EMPTY FOR CEMENT PACKING GRADE 42.5R MATERIAL WOVEN POLYPROPYLENE CAPACITY 50KG COLOR ORANGE"/>
    <n v="-150"/>
    <s v="NOS"/>
    <m/>
    <x v="0"/>
    <x v="0"/>
    <x v="18"/>
    <x v="7"/>
    <n v="24.705882352941178"/>
    <n v="0"/>
  </r>
  <r>
    <n v="34123"/>
    <d v="2026-01-19T05:38:52"/>
    <x v="192"/>
    <s v="STJ/2026/01/09755"/>
    <s v="Inventory Valuation"/>
    <s v="CM/MTI/2025/05001 - [CPMBG002] BAG EMPTY FOR CEMENT PACKING GRADE 42.5R MATERIAL WOVEN POLYPROPYLENE CAPACITY 50KG COLOR ORANGE / MRQ/2026/00187"/>
    <s v="CM/MTI/2025/05001 - [CPMBG002] BAG EMPTY FOR CEMENT PACKING GRADE 42.5R MATERIAL WOVEN POLYPROPYLENE CAPACITY 50KG COLOR ORANGE / MRQ/2026/00187"/>
    <m/>
    <m/>
    <s v="MATERIAL COST"/>
    <s v="Expenses"/>
    <s v="731006"/>
    <s v="731006 PACKING BAGS CONSUMED"/>
    <s v="CWIP-QUARRY RAW MATERIAL SHED EXTENSION"/>
    <s v="QUARRY"/>
    <s v="CIVIL"/>
    <n v="63000"/>
    <n v="0"/>
    <n v="63000"/>
    <s v="TZS"/>
    <s v="[CPMBG002] BAG EMPTY FOR CEMENT PACKING GRADE 42.5R MATERIAL WOVEN POLYPROPYLENE CAPACITY 50KG COLOR ORANGE"/>
    <n v="-150"/>
    <s v="NOS"/>
    <m/>
    <x v="0"/>
    <x v="0"/>
    <x v="18"/>
    <x v="7"/>
    <n v="24.705882352941178"/>
    <n v="0"/>
  </r>
  <r>
    <n v="1"/>
    <d v="2026-02-02T09:41:07"/>
    <x v="203"/>
    <s v="SERBL/2026/02/0002"/>
    <s v="Service Bills"/>
    <s v="TMA DATA CHARGES "/>
    <s v="2026/001"/>
    <s v="CMLT0611"/>
    <s v="Tres Consult ( T ) Limited"/>
    <s v="CAPITAL WORK IN PROGRESS"/>
    <s v="Fixed Assets"/>
    <s v="371056"/>
    <s v="371056 MINERAL EXPLORATION &amp; DEVELOPMENT-TARAWANDA"/>
    <s v="TARAWANDA EXPENSE"/>
    <s v="HO"/>
    <s v="ADMIN"/>
    <n v="1685000"/>
    <n v="0"/>
    <n v="1685000"/>
    <s v="TZS"/>
    <m/>
    <n v="1"/>
    <m/>
    <m/>
    <x v="0"/>
    <x v="0"/>
    <x v="1"/>
    <x v="5"/>
    <n v="660.78431372549016"/>
    <n v="0"/>
  </r>
  <r>
    <n v="2"/>
    <d v="2026-02-02T13:36:21"/>
    <x v="203"/>
    <s v="PCVHO/2026/02/0020"/>
    <s v="PCV (PETTY CASH HO)"/>
    <s v="VISA FEE "/>
    <s v="Being payment Holtec visa fee for four peoples Mr Nilish Batra, Mr TC Jinadr, Mr Khalid and Mr Ankit Sharma -"/>
    <m/>
    <m/>
    <s v="CAPITAL WORK IN PROGRESS"/>
    <s v="Fixed Assets"/>
    <s v="371056"/>
    <s v="371056 MINERAL EXPLORATION &amp; DEVELOPMENT-TARAWANDA"/>
    <s v="TARAWANDA EXPENSE"/>
    <s v="HO"/>
    <s v="ADMIN"/>
    <n v="2447470"/>
    <n v="0"/>
    <n v="2447470"/>
    <s v="USD"/>
    <m/>
    <n v="1"/>
    <m/>
    <m/>
    <x v="0"/>
    <x v="0"/>
    <x v="1"/>
    <x v="5"/>
    <n v="959.79215686274506"/>
    <n v="0"/>
  </r>
  <r>
    <n v="3"/>
    <d v="2026-02-03T13:32:38"/>
    <x v="204"/>
    <s v="PCVHO/2026/02/0029"/>
    <s v="PCV (PETTY CASH HO)"/>
    <s v="EXPESNES "/>
    <s v="Being payment for purchase of clearing permission access No. PML3/PBH16 - Ramadhan Kisima"/>
    <m/>
    <m/>
    <s v="CAPITAL WORK IN PROGRESS"/>
    <s v="Fixed Assets"/>
    <s v="371056"/>
    <s v="371056 MINERAL EXPLORATION &amp; DEVELOPMENT-TARAWANDA"/>
    <s v="TARAWANDA EXPENSE"/>
    <s v="HO"/>
    <s v="ADMIN"/>
    <n v="250000"/>
    <n v="0"/>
    <n v="250000"/>
    <s v="TZS"/>
    <m/>
    <n v="1"/>
    <m/>
    <m/>
    <x v="0"/>
    <x v="0"/>
    <x v="1"/>
    <x v="5"/>
    <n v="98.039215686274517"/>
    <n v="0"/>
  </r>
  <r>
    <n v="4"/>
    <d v="2026-02-03T12:59:28"/>
    <x v="204"/>
    <s v="PCVFY/2026/02/0014"/>
    <s v="PCV (PETTY CASH FACTORY)"/>
    <m/>
    <s v="BEING PSYMENTS FOR FUEL CONSUMPTION FOR POOL CARS AND FEERY CHARGES AND AIRPORT CHARGES-BENEDICT KIMBUSU"/>
    <m/>
    <m/>
    <s v="CAPITAL WORK IN PROGRESS"/>
    <s v="Fixed Assets"/>
    <s v="371056"/>
    <s v="371056 MINERAL EXPLORATION &amp; DEVELOPMENT-TARAWANDA"/>
    <s v="TARAWANDA EXPENSE"/>
    <s v="ADMIN"/>
    <s v="ADMIN"/>
    <n v="30000"/>
    <n v="0"/>
    <n v="30000"/>
    <s v="TZS"/>
    <m/>
    <n v="1"/>
    <m/>
    <m/>
    <x v="0"/>
    <x v="0"/>
    <x v="1"/>
    <x v="5"/>
    <n v="11.764705882352942"/>
    <n v="0"/>
  </r>
  <r>
    <n v="5"/>
    <d v="2026-02-04T13:16:41"/>
    <x v="205"/>
    <s v="SERBL/2026/02/0027"/>
    <s v="Service Bills"/>
    <s v="TRAVELLING EXPENSE "/>
    <s v="MHI00002816"/>
    <s v="CMMI1985"/>
    <s v="Blueberry Travel India Private Limited"/>
    <s v="CAPITAL WORK IN PROGRESS"/>
    <s v="Fixed Assets"/>
    <s v="371056"/>
    <s v="371056 MINERAL EXPLORATION &amp; DEVELOPMENT-TARAWANDA"/>
    <s v="Corporate"/>
    <s v="HO"/>
    <s v="PURCHASE"/>
    <n v="806896"/>
    <n v="0"/>
    <n v="806896"/>
    <s v="INR"/>
    <m/>
    <n v="1"/>
    <m/>
    <m/>
    <x v="0"/>
    <x v="0"/>
    <x v="1"/>
    <x v="5"/>
    <n v="316.42980392156863"/>
    <n v="0"/>
  </r>
  <r>
    <n v="6"/>
    <d v="2026-02-04T13:10:04"/>
    <x v="205"/>
    <s v="SERBL/2026/02/0026"/>
    <s v="Service Bills"/>
    <s v="AIR TICKET CHARGES "/>
    <s v="ITI00004734"/>
    <s v="CMMI1985"/>
    <s v="Blueberry Travel India Private Limited"/>
    <s v="CAPITAL WORK IN PROGRESS"/>
    <s v="Fixed Assets"/>
    <s v="371056"/>
    <s v="371056 MINERAL EXPLORATION &amp; DEVELOPMENT-TARAWANDA"/>
    <s v="TARAWANDA EXPENSE"/>
    <s v="HO"/>
    <s v="ADMIN"/>
    <n v="9415604"/>
    <n v="0"/>
    <n v="9415604"/>
    <s v="INR"/>
    <m/>
    <n v="1"/>
    <m/>
    <m/>
    <x v="0"/>
    <x v="0"/>
    <x v="1"/>
    <x v="5"/>
    <n v="3692.3937254901962"/>
    <n v="0"/>
  </r>
  <r>
    <n v="7"/>
    <d v="2026-02-04T12:41:21"/>
    <x v="205"/>
    <s v="SERBL/2026/02/0021"/>
    <s v="Service Bills"/>
    <s v="AIR TICKET CHARGES "/>
    <s v="ITI00004620"/>
    <s v="CMMI1985"/>
    <s v="Blueberry Travel India Private Limited"/>
    <s v="CAPITAL WORK IN PROGRESS"/>
    <s v="Fixed Assets"/>
    <s v="371056"/>
    <s v="371056 MINERAL EXPLORATION &amp; DEVELOPMENT-TARAWANDA"/>
    <s v="TARAWANDA EXPENSE"/>
    <s v="HO"/>
    <s v="ADMIN"/>
    <n v="1081404.2"/>
    <n v="0"/>
    <n v="1081404.2"/>
    <s v="INR"/>
    <m/>
    <n v="1"/>
    <m/>
    <m/>
    <x v="0"/>
    <x v="0"/>
    <x v="1"/>
    <x v="5"/>
    <n v="424.08007843137256"/>
    <n v="0"/>
  </r>
  <r>
    <n v="8"/>
    <d v="2026-02-04T12:38:53"/>
    <x v="205"/>
    <s v="SERBL/2026/02/0020"/>
    <s v="Service Bills"/>
    <s v="AIR TICKET CHARGES "/>
    <s v="ITI00004739"/>
    <s v="CMMI1985"/>
    <s v="Blueberry Travel India Private Limited"/>
    <s v="CAPITAL WORK IN PROGRESS"/>
    <s v="Fixed Assets"/>
    <s v="371056"/>
    <s v="371056 MINERAL EXPLORATION &amp; DEVELOPMENT-TARAWANDA"/>
    <s v="TARAWANDA EXPENSE"/>
    <s v="HO"/>
    <s v="ADMIN"/>
    <n v="2362924.06"/>
    <n v="0"/>
    <n v="2362924.06"/>
    <s v="INR"/>
    <m/>
    <n v="1"/>
    <m/>
    <m/>
    <x v="0"/>
    <x v="0"/>
    <x v="1"/>
    <x v="5"/>
    <n v="926.63688627450983"/>
    <n v="0"/>
  </r>
  <r>
    <n v="9"/>
    <d v="2026-02-04T12:31:55"/>
    <x v="205"/>
    <s v="SERBL/2026/02/0016"/>
    <s v="Service Bills"/>
    <s v="AIR TICKET CHARGES "/>
    <s v="ITI00004453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2267241.46"/>
    <n v="0"/>
    <n v="2267241.46"/>
    <s v="INR"/>
    <m/>
    <n v="1"/>
    <m/>
    <m/>
    <x v="0"/>
    <x v="0"/>
    <x v="3"/>
    <x v="0"/>
    <n v="889.11429803921567"/>
    <n v="0"/>
  </r>
  <r>
    <n v="10"/>
    <d v="2026-02-04T12:27:53"/>
    <x v="205"/>
    <s v="SERBL/2026/02/0015"/>
    <s v="Service Bills"/>
    <s v="AIR TICKET CHARGES "/>
    <s v="ITI00004740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835519"/>
    <n v="0"/>
    <n v="835519"/>
    <s v="INR"/>
    <m/>
    <n v="1"/>
    <m/>
    <m/>
    <x v="0"/>
    <x v="0"/>
    <x v="3"/>
    <x v="0"/>
    <n v="327.65450980392154"/>
    <n v="0"/>
  </r>
  <r>
    <n v="11"/>
    <d v="2026-02-04T12:24:00"/>
    <x v="205"/>
    <s v="SERBL/2026/02/0014"/>
    <s v="Service Bills"/>
    <s v="AIR TICKET CHARGES "/>
    <s v="ITI00004746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209356.79999999999"/>
    <n v="0"/>
    <n v="209356.79999999999"/>
    <s v="INR"/>
    <m/>
    <n v="1"/>
    <m/>
    <m/>
    <x v="0"/>
    <x v="0"/>
    <x v="3"/>
    <x v="0"/>
    <n v="82.100705882352941"/>
    <n v="0"/>
  </r>
  <r>
    <n v="12"/>
    <d v="2026-02-04T13:27:39"/>
    <x v="205"/>
    <s v="DBN/2026/02/0004"/>
    <s v="Service Bills"/>
    <s v="DBN AGAINST AIR TICKET "/>
    <s v="ITC00000608"/>
    <s v="CMMI1985"/>
    <s v="Blueberry Travel India Private Limited"/>
    <s v="CAPITAL WORK IN PROGRESS"/>
    <s v="Fixed Assets"/>
    <s v="371030"/>
    <s v="371030 CWIP-PRE OPERATIVE EXPENSE"/>
    <s v="CWIP-PRE OPERATIVE EXPENSE"/>
    <s v="PROJECT"/>
    <s v="PROJECT"/>
    <n v="0"/>
    <n v="2212721.46"/>
    <n v="-2212721.46"/>
    <s v="INR"/>
    <m/>
    <n v="1"/>
    <m/>
    <m/>
    <x v="0"/>
    <x v="0"/>
    <x v="3"/>
    <x v="0"/>
    <n v="-867.73390588235293"/>
    <n v="0"/>
  </r>
  <r>
    <n v="13"/>
    <d v="2026-02-04T13:20:52"/>
    <x v="205"/>
    <s v="DBN/2026/02/0002"/>
    <s v="Service Bills"/>
    <s v="DBN AGAINST AIR TICKET "/>
    <s v="ITC00000632"/>
    <s v="CMMI1985"/>
    <s v="Blueberry Travel India Private Limited"/>
    <s v="CAPITAL WORK IN PROGRESS"/>
    <s v="Fixed Assets"/>
    <s v="371056"/>
    <s v="371056 MINERAL EXPLORATION &amp; DEVELOPMENT-TARAWANDA"/>
    <s v="TARAWANDA EXPENSE"/>
    <s v="HO"/>
    <s v="ADMIN"/>
    <n v="0"/>
    <n v="2308404.06"/>
    <n v="-2308404.06"/>
    <s v="INR"/>
    <m/>
    <n v="1"/>
    <m/>
    <m/>
    <x v="0"/>
    <x v="0"/>
    <x v="1"/>
    <x v="5"/>
    <n v="-905.25649411764709"/>
    <n v="0"/>
  </r>
  <r>
    <n v="14"/>
    <d v="2026-02-05T06:27:51"/>
    <x v="206"/>
    <s v="SERBL/2026/02/0035"/>
    <s v="Service Bills"/>
    <s v="ACCOMMODATION CHARGES "/>
    <s v="HS20681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1529.42"/>
    <n v="0"/>
    <n v="1529.42"/>
    <s v="TZS"/>
    <m/>
    <n v="1"/>
    <m/>
    <m/>
    <x v="0"/>
    <x v="0"/>
    <x v="1"/>
    <x v="5"/>
    <n v="0.59977254901960786"/>
    <n v="0"/>
  </r>
  <r>
    <n v="15"/>
    <d v="2026-02-05T06:27:51"/>
    <x v="206"/>
    <s v="SERBL/2026/02/0035"/>
    <s v="Service Bills"/>
    <s v="ACCOMMODATION CHARGES "/>
    <s v="HS20681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152941.17000000001"/>
    <n v="0"/>
    <n v="152941.17000000001"/>
    <s v="TZS"/>
    <m/>
    <n v="1"/>
    <m/>
    <m/>
    <x v="0"/>
    <x v="0"/>
    <x v="1"/>
    <x v="5"/>
    <n v="59.976929411764708"/>
    <n v="0"/>
  </r>
  <r>
    <n v="16"/>
    <d v="2026-02-05T06:21:54"/>
    <x v="206"/>
    <s v="SERBL/2026/02/0034"/>
    <s v="Service Bills"/>
    <s v="ACCOMMODATION CHARGES"/>
    <s v="HS20678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176670"/>
    <n v="0"/>
    <n v="176670"/>
    <s v="TZS"/>
    <m/>
    <n v="1"/>
    <m/>
    <m/>
    <x v="0"/>
    <x v="0"/>
    <x v="1"/>
    <x v="5"/>
    <n v="69.28235294117647"/>
    <n v="0"/>
  </r>
  <r>
    <n v="17"/>
    <d v="2026-02-05T06:21:54"/>
    <x v="206"/>
    <s v="SERBL/2026/02/0034"/>
    <s v="Service Bills"/>
    <s v="ACCOMMODATION CHARGES"/>
    <s v="HS20678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1529.4"/>
    <n v="0"/>
    <n v="1529.4"/>
    <s v="TZS"/>
    <m/>
    <n v="1"/>
    <m/>
    <m/>
    <x v="0"/>
    <x v="0"/>
    <x v="1"/>
    <x v="5"/>
    <n v="0.59976470588235298"/>
    <n v="0"/>
  </r>
  <r>
    <n v="18"/>
    <d v="2026-02-05T06:14:25"/>
    <x v="206"/>
    <s v="SERBL/2026/02/0033"/>
    <s v="Service Bills"/>
    <s v="ACCOMMODATION CHARGES "/>
    <s v="HS20680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1529.4"/>
    <n v="0"/>
    <n v="1529.4"/>
    <s v="TZS"/>
    <m/>
    <n v="1"/>
    <m/>
    <m/>
    <x v="0"/>
    <x v="0"/>
    <x v="1"/>
    <x v="5"/>
    <n v="0.59976470588235298"/>
    <n v="0"/>
  </r>
  <r>
    <n v="19"/>
    <d v="2026-02-05T06:14:25"/>
    <x v="206"/>
    <s v="SERBL/2026/02/0033"/>
    <s v="Service Bills"/>
    <s v="ACCOMMODATION CHARGES "/>
    <s v="HS20680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158873.39000000001"/>
    <n v="0"/>
    <n v="158873.39000000001"/>
    <s v="TZS"/>
    <m/>
    <n v="1"/>
    <m/>
    <m/>
    <x v="0"/>
    <x v="0"/>
    <x v="1"/>
    <x v="5"/>
    <n v="62.303290196078436"/>
    <n v="0"/>
  </r>
  <r>
    <n v="20"/>
    <d v="2026-02-05T06:08:00"/>
    <x v="206"/>
    <s v="SERBL/2026/02/0032"/>
    <s v="Service Bills"/>
    <s v="HOTEL CHARGES "/>
    <s v="HS20679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1529.38"/>
    <n v="0"/>
    <n v="1529.38"/>
    <s v="TZS"/>
    <m/>
    <n v="1"/>
    <m/>
    <m/>
    <x v="0"/>
    <x v="0"/>
    <x v="1"/>
    <x v="5"/>
    <n v="0.5997568627450981"/>
    <n v="0"/>
  </r>
  <r>
    <n v="21"/>
    <d v="2026-02-05T06:08:00"/>
    <x v="206"/>
    <s v="SERBL/2026/02/0032"/>
    <s v="Service Bills"/>
    <s v="HOTEL CHARGES "/>
    <s v="HS20679"/>
    <s v="CMLT1235"/>
    <s v="Hotel Sapphire"/>
    <s v="CAPITAL WORK IN PROGRESS"/>
    <s v="Fixed Assets"/>
    <s v="371056"/>
    <s v="371056 MINERAL EXPLORATION &amp; DEVELOPMENT-TARAWANDA"/>
    <s v="TARAWANDA EXPENSE"/>
    <s v="HO"/>
    <s v="ADMIN"/>
    <n v="164805.60999999999"/>
    <n v="0"/>
    <n v="164805.60999999999"/>
    <s v="TZS"/>
    <m/>
    <n v="1"/>
    <m/>
    <m/>
    <x v="0"/>
    <x v="0"/>
    <x v="1"/>
    <x v="5"/>
    <n v="64.629650980392157"/>
    <n v="0"/>
  </r>
  <r>
    <n v="22"/>
    <d v="2026-02-07T12:44:27"/>
    <x v="207"/>
    <s v="STJ/2026/02/03835"/>
    <s v="Inventory Valuation"/>
    <s v="CM/MTI/2025/05339 - [PROCM144] FOUNDATION BOLT / MRQ/2026/00838"/>
    <s v="CM/MTI/2025/05339 - [PROCM144] FOUNDATION BOLT / MRQ/2026/00838"/>
    <m/>
    <m/>
    <s v="CAPITAL WORK IN PROGRESS"/>
    <s v="Fixed Assets"/>
    <s v="371023"/>
    <s v="371023 CWIP-CEMENT MILL 50TPH NEW"/>
    <s v="CWIP-QUARRY RAW MATERIAL SHED EXTENSION"/>
    <s v="QUARRY"/>
    <s v="CIVIL"/>
    <n v="4368000"/>
    <n v="0"/>
    <n v="4368000"/>
    <s v="TZS"/>
    <s v="[PROCM144] FOUNDATION BOLT"/>
    <n v="-208"/>
    <s v="NOS"/>
    <m/>
    <x v="0"/>
    <x v="0"/>
    <x v="18"/>
    <x v="7"/>
    <n v="1712.9411764705883"/>
    <n v="0"/>
  </r>
  <r>
    <n v="23"/>
    <d v="2026-02-19T12:29:56"/>
    <x v="208"/>
    <s v="PCVFY/2026/02/0072"/>
    <s v="PCV (PETTY CASH FACTORY)"/>
    <m/>
    <s v="BEING PAYMENTS FOR TALAWANDA VISIT FOR FOOD BILL AND TOLL FEE-MADHU REDDY"/>
    <s v="LCL/KIMB/041"/>
    <s v="TMADHUSUDHAN REDDY"/>
    <s v="CAPITAL WORK IN PROGRESS"/>
    <s v="Fixed Assets"/>
    <s v="371056"/>
    <s v="371056 MINERAL EXPLORATION &amp; DEVELOPMENT-TARAWANDA"/>
    <s v="TARAWANDA EXPENSE"/>
    <s v="QUALITY CONTROL"/>
    <s v="QUALITY CONTROL"/>
    <n v="17000"/>
    <n v="0"/>
    <n v="17000"/>
    <s v="TZS"/>
    <m/>
    <n v="1"/>
    <m/>
    <m/>
    <x v="0"/>
    <x v="0"/>
    <x v="1"/>
    <x v="5"/>
    <n v="6.666666666666667"/>
    <n v="0"/>
  </r>
  <r>
    <n v="24"/>
    <d v="2026-02-19T12:15:31"/>
    <x v="208"/>
    <s v="MISC/2026/02/0971"/>
    <s v="Miscellaneous Operations"/>
    <s v="ACCOMMODATION "/>
    <s v="BEING SETTLEMEN AGAINST IMPREST TAKEN BY ARNOLD KADURI FOR TARAWANDA PROJECT EXPENSES"/>
    <s v="LCL/KIMB/071"/>
    <s v="ARNOLD KADURI"/>
    <s v="CAPITAL WORK IN PROGRESS"/>
    <s v="Fixed Assets"/>
    <s v="371056"/>
    <s v="371056 MINERAL EXPLORATION &amp; DEVELOPMENT-TARAWANDA"/>
    <s v="TARAWANDA EXPENSE"/>
    <s v="HO"/>
    <s v="ADMIN"/>
    <n v="700000"/>
    <n v="0"/>
    <n v="700000"/>
    <s v="TZS"/>
    <m/>
    <n v="1"/>
    <m/>
    <m/>
    <x v="0"/>
    <x v="0"/>
    <x v="1"/>
    <x v="5"/>
    <n v="274.50980392156862"/>
    <n v="0"/>
  </r>
  <r>
    <n v="25"/>
    <d v="2026-02-19T12:15:31"/>
    <x v="208"/>
    <s v="MISC/2026/02/0971"/>
    <s v="Miscellaneous Operations"/>
    <s v="ACCOMMODATION "/>
    <s v="BEING SETTLEMEN AGAINST IMPREST TAKEN BY ARNOLD KADURI FOR TARAWANDA PROJECT EXPENSES"/>
    <s v="LCL/KIMB/1199"/>
    <s v="FRED JOHN KIRESIA"/>
    <s v="CAPITAL WORK IN PROGRESS"/>
    <s v="Fixed Assets"/>
    <s v="371056"/>
    <s v="371056 MINERAL EXPLORATION &amp; DEVELOPMENT-TARAWANDA"/>
    <s v="TARAWANDA EXPENSE"/>
    <s v="ADMIN"/>
    <s v="HR"/>
    <n v="360000"/>
    <n v="0"/>
    <n v="360000"/>
    <s v="TZS"/>
    <m/>
    <n v="1"/>
    <m/>
    <m/>
    <x v="0"/>
    <x v="0"/>
    <x v="1"/>
    <x v="5"/>
    <n v="141.1764705882353"/>
    <n v="0"/>
  </r>
  <r>
    <n v="26"/>
    <d v="2026-02-19T12:15:31"/>
    <x v="208"/>
    <s v="MISC/2026/02/0971"/>
    <s v="Miscellaneous Operations"/>
    <s v="SAIDI ALLOWANCE "/>
    <s v="BEING SETTLEMEN AGAINST IMPREST TAKEN BY ARNOLD KADURI FOR TARAWANDA PROJECT EXPENSES"/>
    <m/>
    <m/>
    <s v="CAPITAL WORK IN PROGRESS"/>
    <s v="Fixed Assets"/>
    <s v="371056"/>
    <s v="371056 MINERAL EXPLORATION &amp; DEVELOPMENT-TARAWANDA"/>
    <s v="TARAWANDA EXPENSE"/>
    <s v="HO"/>
    <s v="ADMIN"/>
    <n v="300000"/>
    <n v="0"/>
    <n v="300000"/>
    <s v="TZS"/>
    <m/>
    <n v="1"/>
    <m/>
    <m/>
    <x v="0"/>
    <x v="0"/>
    <x v="1"/>
    <x v="5"/>
    <n v="117.64705882352941"/>
    <n v="0"/>
  </r>
  <r>
    <n v="27"/>
    <d v="2026-02-19T12:15:31"/>
    <x v="208"/>
    <s v="MISC/2026/02/0971"/>
    <s v="Miscellaneous Operations"/>
    <s v="CLEANING EXP"/>
    <s v="BEING SETTLEMEN AGAINST IMPREST TAKEN BY ARNOLD KADURI FOR TARAWANDA PROJECT EXPENSES"/>
    <m/>
    <m/>
    <s v="CAPITAL WORK IN PROGRESS"/>
    <s v="Fixed Assets"/>
    <s v="371056"/>
    <s v="371056 MINERAL EXPLORATION &amp; DEVELOPMENT-TARAWANDA"/>
    <s v="TARAWANDA EXPENSE"/>
    <s v="HO"/>
    <s v="ADMIN"/>
    <n v="1650000"/>
    <n v="0"/>
    <n v="1650000"/>
    <s v="TZS"/>
    <m/>
    <n v="1"/>
    <m/>
    <m/>
    <x v="0"/>
    <x v="0"/>
    <x v="1"/>
    <x v="5"/>
    <n v="647.05882352941171"/>
    <n v="0"/>
  </r>
  <r>
    <n v="28"/>
    <d v="2026-02-19T12:15:31"/>
    <x v="208"/>
    <s v="MISC/2026/02/0971"/>
    <s v="Miscellaneous Operations"/>
    <s v="FUEL EXPENSES "/>
    <s v="BEING SETTLEMEN AGAINST IMPREST TAKEN BY ARNOLD KADURI FOR TARAWANDA PROJECT EXPENSES"/>
    <m/>
    <m/>
    <s v="CAPITAL WORK IN PROGRESS"/>
    <s v="Fixed Assets"/>
    <s v="371056"/>
    <s v="371056 MINERAL EXPLORATION &amp; DEVELOPMENT-TARAWANDA"/>
    <s v="TARAWANDA EXPENSE"/>
    <s v="HO"/>
    <s v="ADMIN"/>
    <n v="450000"/>
    <n v="0"/>
    <n v="450000"/>
    <s v="TZS"/>
    <m/>
    <n v="1"/>
    <m/>
    <m/>
    <x v="0"/>
    <x v="0"/>
    <x v="1"/>
    <x v="5"/>
    <n v="176.47058823529412"/>
    <n v="0"/>
  </r>
  <r>
    <n v="29"/>
    <d v="2026-02-23T06:14:20"/>
    <x v="209"/>
    <s v="SERBL/2026/02/0120"/>
    <s v="Service Bills"/>
    <s v="LPORD/2025/01871: Insulation work at various locations in plant during project"/>
    <s v="1095"/>
    <s v="CMLT2231"/>
    <s v="Deogratius Atanasi Assey T/A Thermal Insulation Technology"/>
    <s v="CAPITAL WORK IN PROGRESS"/>
    <s v="Fixed Assets"/>
    <s v="371021"/>
    <s v="371021 CWIP-PYRO UPGRADATION"/>
    <s v="CWIP-Pyro Upgradation"/>
    <s v="PROJECT"/>
    <s v="MECHANICAL"/>
    <n v="11889000"/>
    <n v="0"/>
    <n v="11889000"/>
    <s v="TZS"/>
    <s v="[SER034] Job Contract-12"/>
    <n v="396.3"/>
    <s v="SM"/>
    <m/>
    <x v="0"/>
    <x v="0"/>
    <x v="0"/>
    <x v="0"/>
    <n v="4662.3529411764703"/>
    <n v="0"/>
  </r>
  <r>
    <n v="30"/>
    <d v="2026-02-25T05:27:00"/>
    <x v="209"/>
    <s v="DBN/2026/02/0008"/>
    <s v="Service Bills"/>
    <m/>
    <s v="1095"/>
    <s v="CMLT2231"/>
    <s v="Deogratius Atanasi Assey T/A Thermal Insulation Technology"/>
    <s v="CAPITAL WORK IN PROGRESS"/>
    <s v="Fixed Assets"/>
    <s v="371021"/>
    <s v="371021 CWIP-PYRO UPGRADATION"/>
    <s v="CWIP-Pyro Upgradation"/>
    <s v="PROJECT"/>
    <s v="MECHANICAL"/>
    <n v="0"/>
    <n v="400000"/>
    <n v="-400000"/>
    <s v="TZS"/>
    <m/>
    <n v="1"/>
    <m/>
    <m/>
    <x v="0"/>
    <x v="0"/>
    <x v="0"/>
    <x v="0"/>
    <n v="-156.86274509803923"/>
    <n v="0"/>
  </r>
  <r>
    <n v="31"/>
    <d v="2026-02-28T08:25:43"/>
    <x v="210"/>
    <s v="SERBL/2026/02/0162"/>
    <s v="Service Bills"/>
    <s v="LPORD/2025/01917: Transportation Charges for Culvert 900mm DIA 1mtr"/>
    <s v="2185"/>
    <s v="CMLT1688"/>
    <s v="Tanz Unity Ltd"/>
    <s v="CAPITAL WORK IN PROGRESS"/>
    <s v="Fixed Assets"/>
    <s v="371059"/>
    <s v="371059 CWIP-CONSTRUCTION OF PLANT BOUNDARY WALL"/>
    <s v="CWIP-CONSTRUCTION OF PLANT BOUNDARY WALL"/>
    <s v="PROJECT"/>
    <s v="CIVIL"/>
    <n v="702000"/>
    <n v="0"/>
    <n v="702000"/>
    <s v="TZS"/>
    <s v="[SER003] Transportation Charges"/>
    <n v="18"/>
    <s v="NOS"/>
    <m/>
    <x v="0"/>
    <x v="0"/>
    <x v="21"/>
    <x v="8"/>
    <n v="275.29411764705884"/>
    <n v="0"/>
  </r>
  <r>
    <n v="32"/>
    <d v="2026-02-28T08:25:43"/>
    <x v="210"/>
    <s v="SERBL/2026/02/0162"/>
    <s v="Service Bills"/>
    <s v="LPORD/2025/01917: Transportation Charges for Culvert 1200mm DIA "/>
    <s v="2185"/>
    <s v="CMLT1688"/>
    <s v="Tanz Unity Ltd"/>
    <s v="CAPITAL WORK IN PROGRESS"/>
    <s v="Fixed Assets"/>
    <s v="371059"/>
    <s v="371059 CWIP-CONSTRUCTION OF PLANT BOUNDARY WALL"/>
    <s v="CWIP-CONSTRUCTION OF PLANT BOUNDARY WALL"/>
    <s v="PROJECT"/>
    <s v="CIVIL"/>
    <n v="135000"/>
    <n v="0"/>
    <n v="135000"/>
    <s v="TZS"/>
    <s v="[SER003] Transportation Charges"/>
    <n v="3"/>
    <s v="NOS"/>
    <m/>
    <x v="0"/>
    <x v="0"/>
    <x v="21"/>
    <x v="8"/>
    <n v="52.941176470588232"/>
    <n v="0"/>
  </r>
  <r>
    <n v="33"/>
    <d v="2026-02-28T08:54:10"/>
    <x v="210"/>
    <s v="PCVFY/2026/02/0107"/>
    <s v="PCV (PETTY CASH FACTORY)"/>
    <m/>
    <s v="BEING PAYMENT FOR TARAWANDA EXPENES FOR THE MONTH FEB 2026."/>
    <m/>
    <m/>
    <s v="CAPITAL WORK IN PROGRESS"/>
    <s v="Fixed Assets"/>
    <s v="371008"/>
    <s v="371056 MINERAL EXPLORATION &amp; DEVELOPMENT-TARAWANDA"/>
    <s v="TARAWANDA EXPENSE"/>
    <s v="PROJECT"/>
    <s v="PROJECT"/>
    <n v="2412900"/>
    <n v="0"/>
    <n v="2412900"/>
    <s v="TZS"/>
    <m/>
    <n v="1"/>
    <m/>
    <m/>
    <x v="0"/>
    <x v="0"/>
    <x v="1"/>
    <x v="5"/>
    <n v="946.23529411764707"/>
    <n v="0"/>
  </r>
  <r>
    <n v="56348"/>
    <d v="2026-02-27T13:54:11"/>
    <x v="211"/>
    <s v="STJ/2026/02/16516"/>
    <s v="Inventory Valuation"/>
    <s v="CM/MTI/2025/05672 - [CCLGC328] TMT BAR SIZE 10 MM GRADE FY500. / MRQ/2026/01211"/>
    <s v="CM/MTI/2025/05672 - [CCLGC328] TMT BAR SIZE 10 MM GRADE FY500. / MRQ/2026/01211"/>
    <m/>
    <m/>
    <s v="MATERIAL COST"/>
    <s v="Expenses"/>
    <s v="731002"/>
    <s v="731002 STORE SPARES &amp; CONSUMABLES - GENERAL"/>
    <s v="CWIP-CONSTRUCTION OF PLANT BOUNDARY WALL"/>
    <s v="PROJECT"/>
    <s v="CIVIL"/>
    <n v="142015.46"/>
    <n v="0"/>
    <n v="142015.46"/>
    <s v="TZS"/>
    <s v="[CCLGC328] TMT BAR SIZE 10 MM GRADE FY500."/>
    <n v="-10"/>
    <s v="PCS"/>
    <m/>
    <x v="0"/>
    <x v="0"/>
    <x v="21"/>
    <x v="8"/>
    <n v="55.692337254901958"/>
    <n v="0"/>
  </r>
  <r>
    <n v="56346"/>
    <d v="2026-02-27T13:56:32"/>
    <x v="211"/>
    <s v="STJ/2026/02/16517"/>
    <s v="Inventory Valuation"/>
    <s v="CM/MTI/2025/05673 - [CCLGC022] NAILS SIZE 3'' / MRQ/2026/01311"/>
    <s v="CM/MTI/2025/05673 - [CCLGC022] NAILS SIZE 3'' / MRQ/2026/01311"/>
    <m/>
    <m/>
    <s v="MATERIAL COST"/>
    <s v="Expenses"/>
    <s v="731002"/>
    <s v="731002 STORE SPARES &amp; CONSUMABLES - GENERAL"/>
    <s v="CWIP-CONSTRUCTION OF PLANT BOUNDARY WALL"/>
    <s v="PROJECT"/>
    <s v="CIVIL"/>
    <n v="57000"/>
    <n v="0"/>
    <n v="57000"/>
    <s v="TZS"/>
    <s v="[CCLGC022] NAILS SIZE 3''"/>
    <n v="-10"/>
    <s v="KG"/>
    <m/>
    <x v="0"/>
    <x v="0"/>
    <x v="21"/>
    <x v="8"/>
    <n v="22.352941176470587"/>
    <n v="0"/>
  </r>
  <r>
    <n v="56343"/>
    <d v="2026-02-27T13:56:32"/>
    <x v="211"/>
    <s v="STJ/2026/02/16518"/>
    <s v="Inventory Valuation"/>
    <s v="CM/MTI/2025/05673 - [CCLGC328] TMT BAR SIZE 10 MM GRADE FY500. / MRQ/2026/01311"/>
    <s v="CM/MTI/2025/05673 - [CCLGC328] TMT BAR SIZE 10 MM GRADE FY500. / MRQ/2026/01311"/>
    <m/>
    <m/>
    <s v="MATERIAL COST"/>
    <s v="Expenses"/>
    <s v="731002"/>
    <s v="731002 STORE SPARES &amp; CONSUMABLES - GENERAL"/>
    <s v="CWIP-CONSTRUCTION OF PLANT BOUNDARY WALL"/>
    <s v="PROJECT"/>
    <s v="CIVIL"/>
    <n v="710077.29"/>
    <n v="0"/>
    <n v="710077.29"/>
    <s v="TZS"/>
    <s v="[CCLGC328] TMT BAR SIZE 10 MM GRADE FY500."/>
    <n v="-50"/>
    <s v="PCS"/>
    <m/>
    <x v="0"/>
    <x v="0"/>
    <x v="21"/>
    <x v="8"/>
    <n v="278.46168235294118"/>
    <n v="0"/>
  </r>
  <r>
    <n v="56341"/>
    <d v="2026-02-27T13:56:32"/>
    <x v="211"/>
    <s v="STJ/2026/02/16519"/>
    <s v="Inventory Valuation"/>
    <s v="CM/MTI/2025/05673 - [CCLGC329] TMT BAR SIZE 12 MM GRADE FY500. / MRQ/2026/01311"/>
    <s v="CM/MTI/2025/05673 - [CCLGC329] TMT BAR SIZE 12 MM GRADE FY500. / MRQ/2026/01311"/>
    <m/>
    <m/>
    <s v="MATERIAL COST"/>
    <s v="Expenses"/>
    <s v="731002"/>
    <s v="731002 STORE SPARES &amp; CONSUMABLES - GENERAL"/>
    <s v="CWIP-CONSTRUCTION OF PLANT BOUNDARY WALL"/>
    <s v="PROJECT"/>
    <s v="CIVIL"/>
    <n v="427118.58"/>
    <n v="0"/>
    <n v="427118.58"/>
    <s v="TZS"/>
    <s v="[CCLGC329] TMT BAR SIZE 12 MM GRADE FY500."/>
    <n v="-21"/>
    <s v="PCS"/>
    <m/>
    <x v="0"/>
    <x v="0"/>
    <x v="21"/>
    <x v="8"/>
    <n v="167.49748235294118"/>
    <n v="0"/>
  </r>
  <r>
    <n v="56340"/>
    <d v="2026-02-27T13:56:32"/>
    <x v="211"/>
    <s v="STJ/2026/02/16520"/>
    <s v="Inventory Valuation"/>
    <s v="CM/MTI/2025/05673 - [CCLGC330] TMT BAR SIZE 16 MM GRADE FY500. / MRQ/2026/01311"/>
    <s v="CM/MTI/2025/05673 - [CCLGC330] TMT BAR SIZE 16 MM GRADE FY500. / MRQ/2026/01311"/>
    <m/>
    <m/>
    <s v="MATERIAL COST"/>
    <s v="Expenses"/>
    <s v="731002"/>
    <s v="731002 STORE SPARES &amp; CONSUMABLES - GENERAL"/>
    <s v="CWIP-CONSTRUCTION OF PLANT BOUNDARY WALL"/>
    <s v="PROJECT"/>
    <s v="CIVIL"/>
    <n v="144342.97"/>
    <n v="0"/>
    <n v="144342.97"/>
    <s v="TZS"/>
    <s v="[CCLGC330] TMT BAR SIZE 16 MM GRADE FY500."/>
    <n v="-4"/>
    <s v="PCS"/>
    <m/>
    <x v="0"/>
    <x v="0"/>
    <x v="21"/>
    <x v="8"/>
    <n v="56.605086274509802"/>
    <n v="0"/>
  </r>
  <r>
    <n v="56151"/>
    <d v="2026-02-27T14:13:21"/>
    <x v="211"/>
    <s v="STJ/2026/02/16614"/>
    <s v="Inventory Valuation"/>
    <s v="CM/MTI/2025/05682 - [CCLGC018] CULVERT REINFORCED CONCRETE SIZE 900 MM DIA 1MTR LENGTH CONCRETE CLASS 25 / MRQ/2026/01308"/>
    <s v="CM/MTI/2025/05682 - [CCLGC018] CULVERT REINFORCED CONCRETE SIZE 900 MM DIA 1MTR LENGTH CONCRETE CLASS 25 / MRQ/2026/01308"/>
    <m/>
    <m/>
    <s v="MATERIAL COST"/>
    <s v="Expenses"/>
    <s v="731002"/>
    <s v="731002 STORE SPARES &amp; CONSUMABLES - GENERAL"/>
    <s v="CWIP-CONSTRUCTION OF PLANT BOUNDARY WALL"/>
    <s v="PROJECT"/>
    <s v="CIVIL"/>
    <n v="2211864.48"/>
    <n v="0"/>
    <n v="2211864.48"/>
    <s v="TZS"/>
    <s v="[CCLGC018] CULVERT REINFORCED CONCRETE SIZE 900 MM DIA 1MTR LENGTH CONCRETE CLASS 25"/>
    <n v="-18"/>
    <s v="NOS"/>
    <m/>
    <x v="0"/>
    <x v="0"/>
    <x v="21"/>
    <x v="8"/>
    <n v="867.39783529411761"/>
    <n v="0"/>
  </r>
  <r>
    <n v="56150"/>
    <d v="2026-02-27T14:13:21"/>
    <x v="211"/>
    <s v="STJ/2026/02/16615"/>
    <s v="Inventory Valuation"/>
    <s v="CM/MTI/2025/05682 - [CCLGC019] CULVERT WITH REINFORCED PIPE SIZE 1200MM DIA GRADE 25MM / MRQ/2026/01308"/>
    <s v="CM/MTI/2025/05682 - [CCLGC019] CULVERT WITH REINFORCED PIPE SIZE 1200MM DIA GRADE 25MM / MRQ/2026/01308"/>
    <m/>
    <m/>
    <s v="MATERIAL COST"/>
    <s v="Expenses"/>
    <s v="731002"/>
    <s v="731002 STORE SPARES &amp; CONSUMABLES - GENERAL"/>
    <s v="CWIP-CONSTRUCTION OF PLANT BOUNDARY WALL"/>
    <s v="PROJECT"/>
    <s v="CIVIL"/>
    <n v="584745.75"/>
    <n v="0"/>
    <n v="584745.75"/>
    <s v="TZS"/>
    <s v="[CCLGC019] CULVERT WITH REINFORCED PIPE SIZE 1200MM DIA GRADE 25MM"/>
    <n v="-3"/>
    <s v="NOS"/>
    <m/>
    <x v="0"/>
    <x v="0"/>
    <x v="21"/>
    <x v="8"/>
    <n v="229.31205882352941"/>
    <n v="0"/>
  </r>
  <r>
    <n v="40706"/>
    <d v="2026-02-21T11:37:40"/>
    <x v="212"/>
    <s v="STJ/2026/02/11725"/>
    <s v="Inventory Valuation"/>
    <s v="CM/MTI/2025/05573 - [CCLGC023] NAILS SIZE 4'' / MRQ/2026/01169"/>
    <s v="CM/MTI/2025/05573 - [CCLGC023] NAILS SIZE 4'' / MRQ/2026/01169"/>
    <m/>
    <m/>
    <s v="MATERIAL COST"/>
    <s v="Expenses"/>
    <s v="731002"/>
    <s v="731002 STORE SPARES &amp; CONSUMABLES - GENERAL"/>
    <s v="CWIP-CONSTRUCTION OF PLANT BOUNDARY WALL"/>
    <s v="PROJECT"/>
    <s v="CIVIL"/>
    <n v="22800"/>
    <n v="0"/>
    <n v="22800"/>
    <s v="TZS"/>
    <s v="[CCLGC023] NAILS SIZE 4''"/>
    <n v="-4"/>
    <s v="KG"/>
    <m/>
    <x v="0"/>
    <x v="0"/>
    <x v="21"/>
    <x v="8"/>
    <n v="8.9411764705882355"/>
    <n v="0"/>
  </r>
  <r>
    <n v="40705"/>
    <d v="2026-02-21T11:37:40"/>
    <x v="212"/>
    <s v="STJ/2026/02/11726"/>
    <s v="Inventory Valuation"/>
    <s v="CM/MTI/2025/05573 - [CCLGC032] WIRE FOR BINDING / MRQ/2026/01169"/>
    <s v="CM/MTI/2025/05573 - [CCLGC032] WIRE FOR BINDING / MRQ/2026/01169"/>
    <m/>
    <m/>
    <s v="MATERIAL COST"/>
    <s v="Expenses"/>
    <s v="731002"/>
    <s v="731002 STORE SPARES &amp; CONSUMABLES - GENERAL"/>
    <s v="CWIP-CONSTRUCTION OF PLANT BOUNDARY WALL"/>
    <s v="PROJECT"/>
    <s v="CIVIL"/>
    <n v="75000"/>
    <n v="0"/>
    <n v="75000"/>
    <s v="TZS"/>
    <s v="[CCLGC032] WIRE FOR BINDING"/>
    <n v="-15"/>
    <s v="KG"/>
    <m/>
    <x v="0"/>
    <x v="0"/>
    <x v="21"/>
    <x v="8"/>
    <n v="29.411764705882351"/>
    <n v="0"/>
  </r>
  <r>
    <n v="40703"/>
    <d v="2026-02-21T11:37:40"/>
    <x v="212"/>
    <s v="STJ/2026/02/11727"/>
    <s v="Inventory Valuation"/>
    <s v="CM/MTI/2025/05573 - [CCLGC329] TMT BAR SIZE 12 MM GRADE FY500. / MRQ/2026/01169"/>
    <s v="CM/MTI/2025/05573 - [CCLGC329] TMT BAR SIZE 12 MM GRADE FY500. / MRQ/2026/01169"/>
    <m/>
    <m/>
    <s v="MATERIAL COST"/>
    <s v="Expenses"/>
    <s v="731002"/>
    <s v="731002 STORE SPARES &amp; CONSUMABLES - GENERAL"/>
    <s v="CWIP-CONSTRUCTION OF PLANT BOUNDARY WALL"/>
    <s v="PROJECT"/>
    <s v="CIVIL"/>
    <n v="40677.96"/>
    <n v="0"/>
    <n v="40677.96"/>
    <s v="TZS"/>
    <s v="[CCLGC329] TMT BAR SIZE 12 MM GRADE FY500."/>
    <n v="-2"/>
    <s v="PCS"/>
    <m/>
    <x v="0"/>
    <x v="0"/>
    <x v="21"/>
    <x v="8"/>
    <n v="15.952141176470588"/>
    <n v="0"/>
  </r>
  <r>
    <n v="40701"/>
    <d v="2026-02-21T11:37:40"/>
    <x v="212"/>
    <s v="STJ/2026/02/11728"/>
    <s v="Inventory Valuation"/>
    <s v="CM/MTI/2025/05573 - [CWCGC041] CUTTING WHEEL 7'' / MRQ/2026/01169"/>
    <s v="CM/MTI/2025/05573 - [CWCGC041] CUTTING WHEEL 7'' / MRQ/2026/01169"/>
    <m/>
    <m/>
    <s v="MATERIAL COST"/>
    <s v="Expenses"/>
    <s v="731002"/>
    <s v="731002 STORE SPARES &amp; CONSUMABLES - GENERAL"/>
    <s v="CWIP-CONSTRUCTION OF PLANT BOUNDARY WALL"/>
    <s v="PROJECT"/>
    <s v="CIVIL"/>
    <n v="16101.71"/>
    <n v="0"/>
    <n v="16101.71"/>
    <s v="TZS"/>
    <s v="[CWCGC041] CUTTING WHEEL 7''"/>
    <n v="-5"/>
    <s v="NOS"/>
    <m/>
    <x v="0"/>
    <x v="0"/>
    <x v="21"/>
    <x v="8"/>
    <n v="6.314396078431372"/>
    <n v="0"/>
  </r>
  <r>
    <n v="36742"/>
    <d v="2026-02-19T14:41:26"/>
    <x v="208"/>
    <s v="STJ/2026/02/11231"/>
    <s v="Inventory Valuation"/>
    <s v="CM/MTI/2025/05532 - [CCLGC022] NAILS SIZE 3'' / MRQ/2026/01134"/>
    <s v="CM/MTI/2025/05532 - [CCLGC022] NAILS SIZE 3'' / MRQ/2026/01134"/>
    <m/>
    <m/>
    <s v="MATERIAL COST"/>
    <s v="Expenses"/>
    <s v="731002"/>
    <s v="731002 STORE SPARES &amp; CONSUMABLES - GENERAL"/>
    <s v="CWIP-CONSTRUCTION OF PLANT BOUNDARY WALL"/>
    <s v="PROJECT"/>
    <s v="CIVIL"/>
    <n v="28500"/>
    <n v="0"/>
    <n v="28500"/>
    <s v="TZS"/>
    <s v="[CCLGC022] NAILS SIZE 3''"/>
    <n v="-5"/>
    <s v="KG"/>
    <m/>
    <x v="0"/>
    <x v="0"/>
    <x v="21"/>
    <x v="8"/>
    <n v="11.176470588235293"/>
    <n v="0"/>
  </r>
  <r>
    <n v="27510"/>
    <d v="2026-02-14T12:42:41"/>
    <x v="213"/>
    <s v="STJ/2026/02/08546"/>
    <s v="Inventory Valuation"/>
    <s v="CM/MTI/2025/05445 - [CCLGC328] TMT BAR SIZE 10 MM GRADE FY500. / MRQ/2026/01004_x000a_Rounding Adjustment: +0.01 TSh"/>
    <s v="CM/MTI/2025/05445 - [CCLGC328] TMT BAR SIZE 10 MM GRADE FY500. / MRQ/2026/01004_x000a_Rounding Adjustment: +0.01 TSh"/>
    <m/>
    <m/>
    <s v="MATERIAL COST"/>
    <s v="Expenses"/>
    <s v="731002"/>
    <s v="731002 STORE SPARES &amp; CONSUMABLES - GENERAL"/>
    <s v="CWIP-CONSTRUCTION OF PLANT BOUNDARY WALL"/>
    <s v="PROJECT"/>
    <s v="CIVIL"/>
    <n v="568061.81999999995"/>
    <n v="0"/>
    <n v="568061.81999999995"/>
    <s v="TZS"/>
    <s v="[CCLGC328] TMT BAR SIZE 10 MM GRADE FY500."/>
    <n v="-40"/>
    <s v="PCS"/>
    <m/>
    <x v="0"/>
    <x v="0"/>
    <x v="21"/>
    <x v="8"/>
    <n v="222.76934117647056"/>
    <n v="0"/>
  </r>
  <r>
    <n v="23319"/>
    <d v="2026-02-12T14:32:19"/>
    <x v="214"/>
    <s v="STJ/2026/02/06952"/>
    <s v="Inventory Valuation"/>
    <s v="CM/MTI/2025/05415 - [CCLGC022] NAILS SIZE 3'' / MRQ/2026/00950"/>
    <s v="CM/MTI/2025/05415 - [CCLGC022] NAILS SIZE 3'' / MRQ/2026/00950"/>
    <m/>
    <m/>
    <s v="MATERIAL COST"/>
    <s v="Expenses"/>
    <s v="731002"/>
    <s v="731002 STORE SPARES &amp; CONSUMABLES - GENERAL"/>
    <s v="CWIP-CONSTRUCTION OF PLANT BOUNDARY WALL"/>
    <s v="PROJECT"/>
    <s v="CIVIL"/>
    <n v="45600"/>
    <n v="0"/>
    <n v="45600"/>
    <s v="TZS"/>
    <s v="[CCLGC022] NAILS SIZE 3''"/>
    <n v="-8"/>
    <s v="KG"/>
    <m/>
    <x v="0"/>
    <x v="0"/>
    <x v="21"/>
    <x v="8"/>
    <n v="17.882352941176471"/>
    <n v="0"/>
  </r>
  <r>
    <n v="23316"/>
    <d v="2026-02-12T14:32:19"/>
    <x v="214"/>
    <s v="STJ/2026/02/06953"/>
    <s v="Inventory Valuation"/>
    <s v="CM/MTI/2025/05415 - [CPAPT007] PAINT RED OXIDE / MRQ/2026/00950_x000a_Rounding Adjustment: +0.01 TSh"/>
    <s v="CM/MTI/2025/05415 - [CPAPT007] PAINT RED OXIDE / MRQ/2026/00950_x000a_Rounding Adjustment: +0.01 TSh"/>
    <m/>
    <m/>
    <s v="MATERIAL COST"/>
    <s v="Expenses"/>
    <s v="731002"/>
    <s v="731002 STORE SPARES &amp; CONSUMABLES - GENERAL"/>
    <s v="CWIP-CONSTRUCTION OF PLANT BOUNDARY WALL"/>
    <s v="PROJECT"/>
    <s v="CIVIL"/>
    <n v="17903.22"/>
    <n v="0"/>
    <n v="17903.22"/>
    <s v="TZS"/>
    <s v="[CPAPT007] PAINT RED OXIDE"/>
    <n v="-4"/>
    <s v="LTR"/>
    <m/>
    <x v="0"/>
    <x v="0"/>
    <x v="21"/>
    <x v="8"/>
    <n v="7.0208705882352946"/>
    <n v="0"/>
  </r>
  <r>
    <n v="14584"/>
    <d v="2026-02-09T14:35:38"/>
    <x v="215"/>
    <s v="STJ/2026/02/04503"/>
    <s v="Inventory Valuation"/>
    <s v="CM/MTI/2025/05358 - [CCLGC328] TMT BAR SIZE 10 MM GRADE FY500. / MRQ/2026/00885"/>
    <s v="CM/MTI/2025/05358 - [CCLGC328] TMT BAR SIZE 10 MM GRADE FY500. / MRQ/2026/00885"/>
    <m/>
    <m/>
    <s v="MATERIAL COST"/>
    <s v="Expenses"/>
    <s v="731002"/>
    <s v="731002 STORE SPARES &amp; CONSUMABLES - GENERAL"/>
    <s v="CWIP-CONSTRUCTION OF PLANT BOUNDARY WALL"/>
    <s v="PROJECT"/>
    <s v="CIVIL"/>
    <n v="284030.92"/>
    <n v="0"/>
    <n v="284030.92"/>
    <s v="TZS"/>
    <s v="[CCLGC328] TMT BAR SIZE 10 MM GRADE FY500."/>
    <n v="-20"/>
    <s v="PCS"/>
    <m/>
    <x v="0"/>
    <x v="0"/>
    <x v="21"/>
    <x v="8"/>
    <n v="111.38467450980392"/>
    <n v="0"/>
  </r>
  <r>
    <n v="2665"/>
    <d v="2026-02-03T15:04:45"/>
    <x v="204"/>
    <s v="STJ/2026/02/01377"/>
    <s v="Inventory Valuation"/>
    <s v="CM/MTI/2025/05279 - [CCLGC004] SAND / MRQ/2026/00726"/>
    <s v="CM/MTI/2025/05279 - [CCLGC004] SAND / MRQ/2026/00726"/>
    <m/>
    <m/>
    <s v="MATERIAL COST"/>
    <s v="Expenses"/>
    <s v="731002"/>
    <s v="731002 STORE SPARES &amp; CONSUMABLES - GENERAL"/>
    <s v="CWIP-CONSTRUCTION OF PLANT BOUNDARY WALL"/>
    <s v="PROJECT"/>
    <s v="CIVIL"/>
    <n v="7751000"/>
    <n v="0"/>
    <n v="7751000"/>
    <s v="TZS"/>
    <s v="[CCLGC004] SAND"/>
    <n v="-155020"/>
    <s v="KG"/>
    <m/>
    <x v="0"/>
    <x v="0"/>
    <x v="21"/>
    <x v="8"/>
    <n v="3039.6078431372548"/>
    <n v="0"/>
  </r>
  <r>
    <n v="1205"/>
    <d v="2026-02-02T14:10:59"/>
    <x v="203"/>
    <s v="STJ/2026/02/00562"/>
    <s v="Inventory Valuation"/>
    <s v="CM/MTI/2025/05250 - [CCLGC002] AGGREGATE GRANITE SIZE 14 MM TO 20 MM  / MRQ/2026/00668"/>
    <s v="CM/MTI/2025/05250 - [CCLGC002] AGGREGATE GRANITE SIZE 14 MM TO 20 MM  / MRQ/2026/00668"/>
    <m/>
    <m/>
    <s v="MATERIAL COST"/>
    <s v="Expenses"/>
    <s v="731002"/>
    <s v="731002 STORE SPARES &amp; CONSUMABLES - GENERAL"/>
    <s v="CWIP-CONSTRUCTION OF PLANT BOUNDARY WALL"/>
    <s v="PROJECT"/>
    <s v="CIVIL"/>
    <n v="9612000"/>
    <n v="0"/>
    <n v="9612000"/>
    <s v="TZS"/>
    <s v="[CCLGC002] AGGREGATE GRANITE SIZE 14 MM TO 20 MM "/>
    <n v="-89"/>
    <s v="CUM"/>
    <m/>
    <x v="0"/>
    <x v="0"/>
    <x v="21"/>
    <x v="8"/>
    <n v="3769.4117647058824"/>
    <n v="0"/>
  </r>
  <r>
    <n v="56354"/>
    <d v="2026-02-27T13:50:58"/>
    <x v="211"/>
    <s v="STJ/2026/02/16513"/>
    <s v="Inventory Valuation"/>
    <s v="CM/MTI/2025/05670 - [CCLGC028] NAILS CONCRETE SIZE 4'' / MRQ/2026/01314"/>
    <s v="CM/MTI/2025/05670 - [CCLGC028] NAILS CONCRETE SIZE 4'' / MRQ/2026/01314"/>
    <m/>
    <m/>
    <s v="MATERIAL COST"/>
    <s v="Expenses"/>
    <s v="731002"/>
    <s v="731002 STORE SPARES &amp; CONSUMABLES - GENERAL"/>
    <s v="CWIP-QUARRY RAW MATERIAL SHED EXTENSION"/>
    <s v="QUARRY"/>
    <s v="CIVIL"/>
    <n v="30000"/>
    <n v="0"/>
    <n v="30000"/>
    <s v="TZS"/>
    <s v="[CCLGC028] NAILS CONCRETE SIZE 4''"/>
    <n v="-3"/>
    <s v="KG"/>
    <m/>
    <x v="0"/>
    <x v="0"/>
    <x v="18"/>
    <x v="7"/>
    <n v="11.764705882352942"/>
    <n v="0"/>
  </r>
  <r>
    <n v="56352"/>
    <d v="2026-02-27T13:50:58"/>
    <x v="211"/>
    <s v="STJ/2026/02/16514"/>
    <s v="Inventory Valuation"/>
    <s v="CM/MTI/2025/05670 - [ESSAG008] ISA 65 X 65 X 6 / MRQ/2026/01314"/>
    <s v="CM/MTI/2025/05670 - [ESSAG008] ISA 65 X 65 X 6 / MRQ/2026/01314"/>
    <m/>
    <m/>
    <s v="MATERIAL COST"/>
    <s v="Expenses"/>
    <s v="731002"/>
    <s v="731002 STORE SPARES &amp; CONSUMABLES - GENERAL"/>
    <s v="CWIP-QUARRY RAW MATERIAL SHED EXTENSION"/>
    <s v="QUARRY"/>
    <s v="CIVIL"/>
    <n v="2372881.2799999998"/>
    <n v="0"/>
    <n v="2372881.2799999998"/>
    <s v="TZS"/>
    <s v="[ESSAG008] ISA 65 X 65 X 6"/>
    <n v="-28"/>
    <s v="NOS"/>
    <m/>
    <x v="0"/>
    <x v="0"/>
    <x v="18"/>
    <x v="7"/>
    <n v="930.54167843137247"/>
    <n v="0"/>
  </r>
  <r>
    <n v="52199"/>
    <d v="2026-02-25T14:28:09"/>
    <x v="216"/>
    <s v="STJ/2026/02/14781"/>
    <s v="Inventory Valuation"/>
    <s v="CM/MTI/2025/05645 - [CCLGC022] NAILS SIZE 3'' / MRQ/2026/01219"/>
    <s v="CM/MTI/2025/05645 - [CCLGC022] NAILS SIZE 3'' / MRQ/2026/01219"/>
    <m/>
    <m/>
    <s v="MATERIAL COST"/>
    <s v="Expenses"/>
    <s v="731002"/>
    <s v="731002 STORE SPARES &amp; CONSUMABLES - GENERAL"/>
    <s v="CWIP-QUARRY RAW MATERIAL SHED EXTENSION"/>
    <s v="QUARRY"/>
    <s v="CIVIL"/>
    <n v="28500"/>
    <n v="0"/>
    <n v="28500"/>
    <s v="TZS"/>
    <s v="[CCLGC022] NAILS SIZE 3''"/>
    <n v="-5"/>
    <s v="KG"/>
    <m/>
    <x v="0"/>
    <x v="0"/>
    <x v="18"/>
    <x v="7"/>
    <n v="11.176470588235293"/>
    <n v="0"/>
  </r>
  <r>
    <n v="52198"/>
    <d v="2026-02-25T14:28:09"/>
    <x v="216"/>
    <s v="STJ/2026/02/14782"/>
    <s v="Inventory Valuation"/>
    <s v="CM/MTI/2025/05645 - [CCLGC023] NAILS SIZE 4'' / MRQ/2026/01219"/>
    <s v="CM/MTI/2025/05645 - [CCLGC023] NAILS SIZE 4'' / MRQ/2026/01219"/>
    <m/>
    <m/>
    <s v="MATERIAL COST"/>
    <s v="Expenses"/>
    <s v="731002"/>
    <s v="731002 STORE SPARES &amp; CONSUMABLES - GENERAL"/>
    <s v="CWIP-QUARRY RAW MATERIAL SHED EXTENSION"/>
    <s v="QUARRY"/>
    <s v="CIVIL"/>
    <n v="114000"/>
    <n v="0"/>
    <n v="114000"/>
    <s v="TZS"/>
    <s v="[CCLGC023] NAILS SIZE 4''"/>
    <n v="-20"/>
    <s v="KG"/>
    <m/>
    <x v="0"/>
    <x v="0"/>
    <x v="18"/>
    <x v="7"/>
    <n v="44.705882352941174"/>
    <n v="0"/>
  </r>
  <r>
    <n v="52196"/>
    <d v="2026-02-25T14:28:09"/>
    <x v="216"/>
    <s v="STJ/2026/02/14783"/>
    <s v="Inventory Valuation"/>
    <s v="CM/MTI/2025/05645 - [CCLGC038] TIMBER 2 INCH X 4 INCH UNTREATED / MRQ/2026/01219"/>
    <s v="CM/MTI/2025/05645 - [CCLGC038] TIMBER 2 INCH X 4 INCH UNTREATED / MRQ/2026/01219"/>
    <m/>
    <m/>
    <s v="MATERIAL COST"/>
    <s v="Expenses"/>
    <s v="731002"/>
    <s v="731002 STORE SPARES &amp; CONSUMABLES - GENERAL"/>
    <s v="CWIP-QUARRY RAW MATERIAL SHED EXTENSION"/>
    <s v="QUARRY"/>
    <s v="CIVIL"/>
    <n v="700000"/>
    <n v="0"/>
    <n v="700000"/>
    <s v="TZS"/>
    <s v="[CCLGC038] TIMBER 2 INCH X 4 INCH UNTREATED"/>
    <n v="-100"/>
    <s v="NOS"/>
    <m/>
    <x v="0"/>
    <x v="0"/>
    <x v="18"/>
    <x v="7"/>
    <n v="274.50980392156862"/>
    <n v="0"/>
  </r>
  <r>
    <n v="52194"/>
    <d v="2026-02-25T14:28:09"/>
    <x v="216"/>
    <s v="STJ/2026/02/14784"/>
    <s v="Inventory Valuation"/>
    <s v="CM/MTI/2025/05645 - [CCLGC052] PLYWOOD 8FEET X 4FEET X 18 MM THICK  / MRQ/2026/01219"/>
    <s v="CM/MTI/2025/05645 - [CCLGC052] PLYWOOD 8FEET X 4FEET X 18 MM THICK  / MRQ/2026/01219"/>
    <m/>
    <m/>
    <s v="MATERIAL COST"/>
    <s v="Expenses"/>
    <s v="731002"/>
    <s v="731002 STORE SPARES &amp; CONSUMABLES - GENERAL"/>
    <s v="CWIP-QUARRY RAW MATERIAL SHED EXTENSION"/>
    <s v="QUARRY"/>
    <s v="CIVIL"/>
    <n v="844067.76"/>
    <n v="0"/>
    <n v="844067.76"/>
    <s v="TZS"/>
    <s v="[CCLGC052] PLYWOOD 8FEET X 4FEET X 18 MM THICK "/>
    <n v="-24"/>
    <s v="NOS"/>
    <m/>
    <x v="0"/>
    <x v="0"/>
    <x v="18"/>
    <x v="7"/>
    <n v="331.00696470588235"/>
    <n v="0"/>
  </r>
  <r>
    <n v="47081"/>
    <d v="2026-02-24T14:14:54"/>
    <x v="217"/>
    <s v="STJ/2026/02/14198"/>
    <s v="Inventory Valuation"/>
    <s v="CM/MTI/2025/05617 - [CCLGC187] PAINT BRUSH 4'' 100 MM / MRQ/2026/01253"/>
    <s v="CM/MTI/2025/05617 - [CCLGC187] PAINT BRUSH 4'' 100 MM / MRQ/2026/01253"/>
    <m/>
    <m/>
    <s v="MATERIAL COST"/>
    <s v="Expenses"/>
    <s v="731002"/>
    <s v="731002 STORE SPARES &amp; CONSUMABLES - GENERAL"/>
    <s v="CWIP-QUARRY RAW MATERIAL SHED EXTENSION"/>
    <s v="QUARRY"/>
    <s v="CIVIL"/>
    <n v="5000"/>
    <n v="0"/>
    <n v="5000"/>
    <s v="TZS"/>
    <s v="[CCLGC187] PAINT BRUSH 4'' 100 MM"/>
    <n v="-2"/>
    <s v="NOS"/>
    <m/>
    <x v="0"/>
    <x v="0"/>
    <x v="18"/>
    <x v="7"/>
    <n v="1.9607843137254901"/>
    <n v="0"/>
  </r>
  <r>
    <n v="47079"/>
    <d v="2026-02-24T14:14:54"/>
    <x v="217"/>
    <s v="STJ/2026/02/14199"/>
    <s v="Inventory Valuation"/>
    <s v="CM/MTI/2025/05617 - [CSTGS060] TAPE MASKING SIZE 2'' / MRQ/2026/01253"/>
    <s v="CM/MTI/2025/05617 - [CSTGS060] TAPE MASKING SIZE 2'' / MRQ/2026/01253"/>
    <m/>
    <m/>
    <s v="MATERIAL COST"/>
    <s v="Expenses"/>
    <s v="731002"/>
    <s v="731002 STORE SPARES &amp; CONSUMABLES - GENERAL"/>
    <s v="CWIP-QUARRY RAW MATERIAL SHED EXTENSION"/>
    <s v="QUARRY"/>
    <s v="CIVIL"/>
    <n v="3968.1"/>
    <n v="0"/>
    <n v="3968.1"/>
    <s v="TZS"/>
    <s v="[CSTGS060] TAPE MASKING SIZE 2''"/>
    <n v="-2"/>
    <s v="ROLL"/>
    <m/>
    <x v="0"/>
    <x v="0"/>
    <x v="18"/>
    <x v="7"/>
    <n v="1.5561176470588234"/>
    <n v="0"/>
  </r>
  <r>
    <n v="36741"/>
    <d v="2026-02-19T14:44:59"/>
    <x v="208"/>
    <s v="STJ/2026/02/11232"/>
    <s v="Inventory Valuation"/>
    <s v="CM/MTI/2025/05533 - [CCLGC022] NAILS SIZE 3'' / MRQ/2026/01135"/>
    <s v="CM/MTI/2025/05533 - [CCLGC022] NAILS SIZE 3'' / MRQ/2026/01135"/>
    <m/>
    <m/>
    <s v="MATERIAL COST"/>
    <s v="Expenses"/>
    <s v="731002"/>
    <s v="731002 STORE SPARES &amp; CONSUMABLES - GENERAL"/>
    <s v="CWIP-QUARRY RAW MATERIAL SHED EXTENSION"/>
    <s v="QUARRY"/>
    <s v="CIVIL"/>
    <n v="28500"/>
    <n v="0"/>
    <n v="28500"/>
    <s v="TZS"/>
    <s v="[CCLGC022] NAILS SIZE 3''"/>
    <n v="-5"/>
    <s v="KG"/>
    <m/>
    <x v="0"/>
    <x v="0"/>
    <x v="18"/>
    <x v="7"/>
    <n v="11.176470588235293"/>
    <n v="0"/>
  </r>
  <r>
    <n v="36739"/>
    <d v="2026-02-19T14:44:59"/>
    <x v="208"/>
    <s v="STJ/2026/02/11233"/>
    <s v="Inventory Valuation"/>
    <s v="CM/MTI/2025/05533 - [CWCWR001] WELDING ELECTRODE MS 6013 SIZE 2.5 MM X 350 MM / MRQ/2026/01135"/>
    <s v="CM/MTI/2025/05533 - [CWCWR001] WELDING ELECTRODE MS 6013 SIZE 2.5 MM X 350 MM / MRQ/2026/01135"/>
    <m/>
    <m/>
    <s v="MATERIAL COST"/>
    <s v="Expenses"/>
    <s v="731002"/>
    <s v="731002 STORE SPARES &amp; CONSUMABLES - GENERAL"/>
    <s v="CWIP-QUARRY RAW MATERIAL SHED EXTENSION"/>
    <s v="QUARRY"/>
    <s v="CIVIL"/>
    <n v="21923.16"/>
    <n v="0"/>
    <n v="21923.16"/>
    <s v="TZS"/>
    <s v="[CWCWR001] WELDING ELECTRODE MS 6013 SIZE 2.5 MM X 350 MM"/>
    <n v="-5"/>
    <s v="KG"/>
    <m/>
    <x v="0"/>
    <x v="0"/>
    <x v="18"/>
    <x v="7"/>
    <n v="8.5973176470588228"/>
    <n v="0"/>
  </r>
  <r>
    <n v="27477"/>
    <d v="2026-02-14T12:50:02"/>
    <x v="213"/>
    <s v="STJ/2026/02/08562"/>
    <s v="Inventory Valuation"/>
    <s v="CM/MTI/2025/05451 - [CCLGC023] NAILS SIZE 4'' / MRQ/2026/01003"/>
    <s v="CM/MTI/2025/05451 - [CCLGC023] NAILS SIZE 4'' / MRQ/2026/01003"/>
    <m/>
    <m/>
    <s v="MATERIAL COST"/>
    <s v="Expenses"/>
    <s v="731002"/>
    <s v="731002 STORE SPARES &amp; CONSUMABLES - GENERAL"/>
    <s v="CWIP-QUARRY RAW MATERIAL SHED EXTENSION"/>
    <s v="QUARRY"/>
    <s v="CIVIL"/>
    <n v="57000"/>
    <n v="0"/>
    <n v="57000"/>
    <s v="TZS"/>
    <s v="[CCLGC023] NAILS SIZE 4''"/>
    <n v="-10"/>
    <s v="KG"/>
    <m/>
    <x v="0"/>
    <x v="0"/>
    <x v="18"/>
    <x v="7"/>
    <n v="22.352941176470587"/>
    <n v="0"/>
  </r>
  <r>
    <n v="27476"/>
    <d v="2026-02-14T12:50:02"/>
    <x v="213"/>
    <s v="STJ/2026/02/08563"/>
    <s v="Inventory Valuation"/>
    <s v="CM/MTI/2025/05451 - [CCLGC038] TIMBER 2 INCH X 4 INCH UNTREATED / MRQ/2026/01003"/>
    <s v="CM/MTI/2025/05451 - [CCLGC038] TIMBER 2 INCH X 4 INCH UNTREATED / MRQ/2026/01003"/>
    <m/>
    <m/>
    <s v="MATERIAL COST"/>
    <s v="Expenses"/>
    <s v="731002"/>
    <s v="731002 STORE SPARES &amp; CONSUMABLES - GENERAL"/>
    <s v="CWIP-QUARRY RAW MATERIAL SHED EXTENSION"/>
    <s v="QUARRY"/>
    <s v="CIVIL"/>
    <n v="350000"/>
    <n v="0"/>
    <n v="350000"/>
    <s v="TZS"/>
    <s v="[CCLGC038] TIMBER 2 INCH X 4 INCH UNTREATED"/>
    <n v="-50"/>
    <s v="NOS"/>
    <m/>
    <x v="0"/>
    <x v="0"/>
    <x v="18"/>
    <x v="7"/>
    <n v="137.25490196078431"/>
    <n v="0"/>
  </r>
  <r>
    <n v="27473"/>
    <d v="2026-02-14T12:50:02"/>
    <x v="213"/>
    <s v="STJ/2026/02/08564"/>
    <s v="Inventory Valuation"/>
    <s v="CM/MTI/2025/05451 - [CWCWR001] WELDING ELECTRODE MS 6013 SIZE 2.5 MM X 350 MM / MRQ/2026/01003"/>
    <s v="CM/MTI/2025/05451 - [CWCWR001] WELDING ELECTRODE MS 6013 SIZE 2.5 MM X 350 MM / MRQ/2026/01003"/>
    <m/>
    <m/>
    <s v="MATERIAL COST"/>
    <s v="Expenses"/>
    <s v="731002"/>
    <s v="731002 STORE SPARES &amp; CONSUMABLES - GENERAL"/>
    <s v="CWIP-QUARRY RAW MATERIAL SHED EXTENSION"/>
    <s v="QUARRY"/>
    <s v="CIVIL"/>
    <n v="21923.16"/>
    <n v="0"/>
    <n v="21923.16"/>
    <s v="TZS"/>
    <s v="[CWCWR001] WELDING ELECTRODE MS 6013 SIZE 2.5 MM X 350 MM"/>
    <n v="-5"/>
    <s v="KG"/>
    <m/>
    <x v="0"/>
    <x v="0"/>
    <x v="18"/>
    <x v="7"/>
    <n v="8.5973176470588228"/>
    <n v="0"/>
  </r>
  <r>
    <n v="12064"/>
    <d v="2026-02-07T12:44:27"/>
    <x v="207"/>
    <s v="STJ/2026/02/03831"/>
    <s v="Inventory Valuation"/>
    <s v="CM/MTI/2025/05339 - [CCLGC023] NAILS SIZE 4'' / MRQ/2026/00838"/>
    <s v="CM/MTI/2025/05339 - [CCLGC023] NAILS SIZE 4'' / MRQ/2026/00838"/>
    <m/>
    <m/>
    <s v="MATERIAL COST"/>
    <s v="Expenses"/>
    <s v="731002"/>
    <s v="731002 STORE SPARES &amp; CONSUMABLES - GENERAL"/>
    <s v="CWIP-QUARRY RAW MATERIAL SHED EXTENSION"/>
    <s v="QUARRY"/>
    <s v="CIVIL"/>
    <n v="114000"/>
    <n v="0"/>
    <n v="114000"/>
    <s v="TZS"/>
    <s v="[CCLGC023] NAILS SIZE 4''"/>
    <n v="-20"/>
    <s v="KG"/>
    <m/>
    <x v="0"/>
    <x v="0"/>
    <x v="18"/>
    <x v="7"/>
    <n v="44.705882352941174"/>
    <n v="0"/>
  </r>
  <r>
    <n v="12062"/>
    <d v="2026-02-07T12:44:27"/>
    <x v="207"/>
    <s v="STJ/2026/02/03832"/>
    <s v="Inventory Valuation"/>
    <s v="CM/MTI/2025/05339 - [CCLGC038] TIMBER 2 INCH X 4 INCH UNTREATED / MRQ/2026/00838"/>
    <s v="CM/MTI/2025/05339 - [CCLGC038] TIMBER 2 INCH X 4 INCH UNTREATED / MRQ/2026/00838"/>
    <m/>
    <m/>
    <s v="MATERIAL COST"/>
    <s v="Expenses"/>
    <s v="731002"/>
    <s v="731002 STORE SPARES &amp; CONSUMABLES - GENERAL"/>
    <s v="CWIP-QUARRY RAW MATERIAL SHED EXTENSION"/>
    <s v="QUARRY"/>
    <s v="CIVIL"/>
    <n v="504000"/>
    <n v="0"/>
    <n v="504000"/>
    <s v="TZS"/>
    <s v="[CCLGC038] TIMBER 2 INCH X 4 INCH UNTREATED"/>
    <n v="-72"/>
    <s v="NOS"/>
    <m/>
    <x v="0"/>
    <x v="0"/>
    <x v="18"/>
    <x v="7"/>
    <n v="197.64705882352942"/>
    <n v="0"/>
  </r>
  <r>
    <n v="12060"/>
    <d v="2026-02-07T12:44:27"/>
    <x v="207"/>
    <s v="STJ/2026/02/03833"/>
    <s v="Inventory Valuation"/>
    <s v="CM/MTI/2025/05339 - [CCLGC052] PLYWOOD 8FEET X 4FEET X 18 MM THICK  / MRQ/2026/00838"/>
    <s v="CM/MTI/2025/05339 - [CCLGC052] PLYWOOD 8FEET X 4FEET X 18 MM THICK  / MRQ/2026/00838"/>
    <m/>
    <m/>
    <s v="MATERIAL COST"/>
    <s v="Expenses"/>
    <s v="731002"/>
    <s v="731002 STORE SPARES &amp; CONSUMABLES - GENERAL"/>
    <s v="CWIP-QUARRY RAW MATERIAL SHED EXTENSION"/>
    <s v="QUARRY"/>
    <s v="CIVIL"/>
    <n v="633050.81999999995"/>
    <n v="0"/>
    <n v="633050.81999999995"/>
    <s v="TZS"/>
    <s v="[CCLGC052] PLYWOOD 8FEET X 4FEET X 18 MM THICK "/>
    <n v="-18"/>
    <s v="NOS"/>
    <m/>
    <x v="0"/>
    <x v="0"/>
    <x v="18"/>
    <x v="7"/>
    <n v="248.25522352941175"/>
    <n v="0"/>
  </r>
  <r>
    <n v="12057"/>
    <d v="2026-02-07T12:44:27"/>
    <x v="207"/>
    <s v="STJ/2026/02/03834"/>
    <s v="Inventory Valuation"/>
    <s v="CM/MTI/2025/05339 - [CWCWR002] WELDING ELECTRODE MS 6013 SIZE 3.15 MM X 350 MM / MRQ/2026/00838"/>
    <s v="CM/MTI/2025/05339 - [CWCWR002] WELDING ELECTRODE MS 6013 SIZE 3.15 MM X 350 MM / MRQ/2026/00838"/>
    <m/>
    <m/>
    <s v="MATERIAL COST"/>
    <s v="Expenses"/>
    <s v="731002"/>
    <s v="731002 STORE SPARES &amp; CONSUMABLES - GENERAL"/>
    <s v="CWIP-QUARRY RAW MATERIAL SHED EXTENSION"/>
    <s v="QUARRY"/>
    <s v="CIVIL"/>
    <n v="25000"/>
    <n v="0"/>
    <n v="25000"/>
    <s v="TZS"/>
    <s v="[CWCWR002] WELDING ELECTRODE MS 6013 SIZE 3.15 MM X 350 MM"/>
    <n v="-5"/>
    <s v="KG"/>
    <m/>
    <x v="0"/>
    <x v="0"/>
    <x v="18"/>
    <x v="7"/>
    <n v="9.8039215686274517"/>
    <n v="0"/>
  </r>
  <r>
    <n v="9693"/>
    <d v="2026-02-06T14:22:44"/>
    <x v="218"/>
    <s v="STJ/2026/02/03175"/>
    <s v="Inventory Valuation"/>
    <s v="CM/MTI/2025/05326 - [CCLGC028] NAILS CONCRETE SIZE 4'' / MRQ/2026/00771"/>
    <s v="CM/MTI/2025/05326 - [CCLGC028] NAILS CONCRETE SIZE 4'' / MRQ/2026/00771"/>
    <m/>
    <m/>
    <s v="MATERIAL COST"/>
    <s v="Expenses"/>
    <s v="731002"/>
    <s v="731002 STORE SPARES &amp; CONSUMABLES - GENERAL"/>
    <s v="CWIP-QUARRY RAW MATERIAL SHED EXTENSION"/>
    <s v="QUARRY"/>
    <s v="CIVIL"/>
    <n v="27366"/>
    <n v="0"/>
    <n v="27366"/>
    <s v="TZS"/>
    <s v="[CCLGC028] NAILS CONCRETE SIZE 4''"/>
    <n v="-2.75"/>
    <s v="KG"/>
    <m/>
    <x v="0"/>
    <x v="0"/>
    <x v="18"/>
    <x v="7"/>
    <n v="10.731764705882354"/>
    <n v="0"/>
  </r>
  <r>
    <n v="2680"/>
    <d v="2026-02-03T15:01:19"/>
    <x v="204"/>
    <s v="STJ/2026/02/01370"/>
    <s v="Inventory Valuation"/>
    <s v="CM/MTI/2025/05273 - [CCLGC023] NAILS SIZE 4'' / MRQ/2026/00727"/>
    <s v="CM/MTI/2025/05273 - [CCLGC023] NAILS SIZE 4'' / MRQ/2026/00727"/>
    <m/>
    <m/>
    <s v="MATERIAL COST"/>
    <s v="Expenses"/>
    <s v="731002"/>
    <s v="731002 STORE SPARES &amp; CONSUMABLES - GENERAL"/>
    <s v="CWIP-QUARRY RAW MATERIAL SHED EXTENSION"/>
    <s v="QUARRY"/>
    <s v="CIVIL"/>
    <n v="57000"/>
    <n v="0"/>
    <n v="57000"/>
    <s v="TZS"/>
    <s v="[CCLGC023] NAILS SIZE 4''"/>
    <n v="-10"/>
    <s v="KG"/>
    <m/>
    <x v="0"/>
    <x v="0"/>
    <x v="18"/>
    <x v="7"/>
    <n v="22.352941176470587"/>
    <n v="0"/>
  </r>
  <r>
    <n v="2678"/>
    <d v="2026-02-03T15:01:19"/>
    <x v="204"/>
    <s v="STJ/2026/02/01371"/>
    <s v="Inventory Valuation"/>
    <s v="CM/MTI/2025/05273 - [CWCWR002] WELDING ELECTRODE MS 6013 SIZE 3.15 MM X 350 MM / MRQ/2026/00727"/>
    <s v="CM/MTI/2025/05273 - [CWCWR002] WELDING ELECTRODE MS 6013 SIZE 3.15 MM X 350 MM / MRQ/2026/00727"/>
    <m/>
    <m/>
    <s v="MATERIAL COST"/>
    <s v="Expenses"/>
    <s v="731002"/>
    <s v="731002 STORE SPARES &amp; CONSUMABLES - GENERAL"/>
    <s v="CWIP-QUARRY RAW MATERIAL SHED EXTENSION"/>
    <s v="QUARRY"/>
    <s v="CIVIL"/>
    <n v="25000"/>
    <n v="0"/>
    <n v="25000"/>
    <s v="TZS"/>
    <s v="[CWCWR002] WELDING ELECTRODE MS 6013 SIZE 3.15 MM X 350 MM"/>
    <n v="-5"/>
    <s v="KG"/>
    <m/>
    <x v="0"/>
    <x v="0"/>
    <x v="18"/>
    <x v="7"/>
    <n v="9.8039215686274517"/>
    <n v="0"/>
  </r>
  <r>
    <n v="2670"/>
    <d v="2026-02-03T15:03:55"/>
    <x v="204"/>
    <s v="STJ/2026/02/01375"/>
    <s v="Inventory Valuation"/>
    <s v="CM/MTI/2025/05277 - [CCLGC004] SAND / MRQ/2026/00725"/>
    <s v="CM/MTI/2025/05277 - [CCLGC004] SAND / MRQ/2026/00725"/>
    <m/>
    <m/>
    <s v="MATERIAL COST"/>
    <s v="Expenses"/>
    <s v="731002"/>
    <s v="731002 STORE SPARES &amp; CONSUMABLES - GENERAL"/>
    <s v="CWIP-QUARRY RAW MATERIAL SHED EXTENSION"/>
    <s v="QUARRY"/>
    <s v="CIVIL"/>
    <n v="10851400"/>
    <n v="0"/>
    <n v="10851400"/>
    <s v="TZS"/>
    <s v="[CCLGC004] SAND"/>
    <n v="-217028"/>
    <s v="KG"/>
    <m/>
    <x v="0"/>
    <x v="0"/>
    <x v="18"/>
    <x v="7"/>
    <n v="4255.4509803921565"/>
    <n v="0"/>
  </r>
  <r>
    <n v="1234"/>
    <d v="2026-02-02T14:01:29"/>
    <x v="203"/>
    <s v="STJ/2026/02/00548"/>
    <s v="Inventory Valuation"/>
    <s v="CM/MTI/2025/05244 - [CCLGC022] NAILS SIZE 3'' / MRQ/2026/00704"/>
    <s v="CM/MTI/2025/05244 - [CCLGC022] NAILS SIZE 3'' / MRQ/2026/00704"/>
    <m/>
    <m/>
    <s v="MATERIAL COST"/>
    <s v="Expenses"/>
    <s v="731002"/>
    <s v="731002 STORE SPARES &amp; CONSUMABLES - GENERAL"/>
    <s v="CWIP-QUARRY RAW MATERIAL SHED EXTENSION"/>
    <s v="QUARRY"/>
    <s v="CIVIL"/>
    <n v="34200"/>
    <n v="0"/>
    <n v="34200"/>
    <s v="TZS"/>
    <s v="[CCLGC022] NAILS SIZE 3''"/>
    <n v="-6"/>
    <s v="KG"/>
    <m/>
    <x v="0"/>
    <x v="0"/>
    <x v="18"/>
    <x v="7"/>
    <n v="13.411764705882353"/>
    <n v="0"/>
  </r>
  <r>
    <n v="1231"/>
    <d v="2026-02-02T14:01:29"/>
    <x v="203"/>
    <s v="STJ/2026/02/00549"/>
    <s v="Inventory Valuation"/>
    <s v="CM/MTI/2025/05244 - [CCLGC038] TIMBER 2 INCH X 4 INCH UNTREATED / MRQ/2026/00704"/>
    <s v="CM/MTI/2025/05244 - [CCLGC038] TIMBER 2 INCH X 4 INCH UNTREATED / MRQ/2026/00704"/>
    <m/>
    <m/>
    <s v="MATERIAL COST"/>
    <s v="Expenses"/>
    <s v="731002"/>
    <s v="731002 STORE SPARES &amp; CONSUMABLES - GENERAL"/>
    <s v="CWIP-QUARRY RAW MATERIAL SHED EXTENSION"/>
    <s v="QUARRY"/>
    <s v="CIVIL"/>
    <n v="350000"/>
    <n v="0"/>
    <n v="350000"/>
    <s v="TZS"/>
    <s v="[CCLGC038] TIMBER 2 INCH X 4 INCH UNTREATED"/>
    <n v="-50"/>
    <s v="NOS"/>
    <m/>
    <x v="0"/>
    <x v="0"/>
    <x v="18"/>
    <x v="7"/>
    <n v="137.25490196078431"/>
    <n v="0"/>
  </r>
  <r>
    <n v="1207"/>
    <d v="2026-02-02T14:09:58"/>
    <x v="203"/>
    <s v="STJ/2026/02/00561"/>
    <s v="Inventory Valuation"/>
    <s v="CM/MTI/2025/05249 - [CCLGC002] AGGREGATE GRANITE SIZE 14 MM TO 20 MM  / MRQ/2026/00669"/>
    <s v="CM/MTI/2025/05249 - [CCLGC002] AGGREGATE GRANITE SIZE 14 MM TO 20 MM  / MRQ/2026/00669"/>
    <m/>
    <m/>
    <s v="MATERIAL COST"/>
    <s v="Expenses"/>
    <s v="731002"/>
    <s v="731002 STORE SPARES &amp; CONSUMABLES - GENERAL"/>
    <s v="CWIP-QUARRY RAW MATERIAL SHED EXTENSION"/>
    <s v="QUARRY"/>
    <s v="CIVIL"/>
    <n v="9720000"/>
    <n v="0"/>
    <n v="9720000"/>
    <s v="TZS"/>
    <s v="[CCLGC002] AGGREGATE GRANITE SIZE 14 MM TO 20 MM "/>
    <n v="-90"/>
    <s v="CUM"/>
    <m/>
    <x v="0"/>
    <x v="0"/>
    <x v="18"/>
    <x v="7"/>
    <n v="3811.7647058823532"/>
    <n v="0"/>
  </r>
  <r>
    <n v="40738"/>
    <d v="2026-02-21T11:24:38"/>
    <x v="212"/>
    <s v="STJ/2026/02/11709"/>
    <s v="Inventory Valuation"/>
    <s v="CM/MTI/2025/05566 - [CCLGC328] TMT BAR SIZE 10 MM GRADE FY500. / MRQ/2026/01193_x000a_Rounding Adjustment: +0.01 TSh"/>
    <s v="CM/MTI/2025/05566 - [CCLGC328] TMT BAR SIZE 10 MM GRADE FY500. / MRQ/2026/01193_x000a_Rounding Adjustment: +0.01 TSh"/>
    <m/>
    <m/>
    <s v="MATERIAL COST"/>
    <s v="Expenses"/>
    <s v="731002"/>
    <s v="731002 STORE SPARES &amp; CONSUMABLES - GENERAL"/>
    <s v="CWIP-ROAD PHASE 07"/>
    <s v="PROJECT"/>
    <s v="CIVIL"/>
    <n v="213023.18"/>
    <n v="0"/>
    <n v="213023.18"/>
    <s v="TZS"/>
    <s v="[CCLGC328] TMT BAR SIZE 10 MM GRADE FY500."/>
    <n v="-15"/>
    <s v="PCS"/>
    <m/>
    <x v="0"/>
    <x v="0"/>
    <x v="17"/>
    <x v="6"/>
    <n v="83.538501960784316"/>
    <n v="0"/>
  </r>
  <r>
    <n v="2667"/>
    <d v="2026-02-03T15:04:17"/>
    <x v="204"/>
    <s v="STJ/2026/02/01376"/>
    <s v="Inventory Valuation"/>
    <s v="CM/MTI/2025/05278 - [CCLGC004] SAND / MRQ/2026/00724"/>
    <s v="CM/MTI/2025/05278 - [CCLGC004] SAND / MRQ/2026/00724"/>
    <m/>
    <m/>
    <s v="MATERIAL COST"/>
    <s v="Expenses"/>
    <s v="731002"/>
    <s v="731002 STORE SPARES &amp; CONSUMABLES - GENERAL"/>
    <s v="CWIP-ROAD PHASE 07"/>
    <s v="PROJECT"/>
    <s v="CIVIL"/>
    <n v="12401600"/>
    <n v="0"/>
    <n v="12401600"/>
    <s v="TZS"/>
    <s v="[CCLGC004] SAND"/>
    <n v="-248032"/>
    <s v="KG"/>
    <m/>
    <x v="0"/>
    <x v="0"/>
    <x v="17"/>
    <x v="6"/>
    <n v="4863.3725490196075"/>
    <n v="0"/>
  </r>
  <r>
    <n v="1209"/>
    <d v="2026-02-02T14:08:34"/>
    <x v="203"/>
    <s v="STJ/2026/02/00560"/>
    <s v="Inventory Valuation"/>
    <s v="CM/MTI/2025/05248 - [CCLGC002] AGGREGATE GRANITE SIZE 14 MM TO 20 MM  / MRQ/2026/00667"/>
    <s v="CM/MTI/2025/05248 - [CCLGC002] AGGREGATE GRANITE SIZE 14 MM TO 20 MM  / MRQ/2026/00667"/>
    <m/>
    <m/>
    <s v="MATERIAL COST"/>
    <s v="Expenses"/>
    <s v="731002"/>
    <s v="731002 STORE SPARES &amp; CONSUMABLES - GENERAL"/>
    <s v="CWIP-ROAD PHASE 07"/>
    <s v="PROJECT"/>
    <s v="CIVIL"/>
    <n v="10869120"/>
    <n v="0"/>
    <n v="10869120"/>
    <s v="TZS"/>
    <s v="[CCLGC002] AGGREGATE GRANITE SIZE 14 MM TO 20 MM "/>
    <n v="-100.64"/>
    <s v="CUM"/>
    <m/>
    <x v="0"/>
    <x v="0"/>
    <x v="17"/>
    <x v="6"/>
    <n v="4262.399999999999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4745F-F6FC-4FD8-B626-828BFA4B40CD}" name="PivotTable2" cacheId="0" applyNumberFormats="0" applyBorderFormats="0" applyFontFormats="0" applyPatternFormats="0" applyAlignmentFormats="0" applyWidthHeightFormats="1" dataCaption="Values" updatedVersion="7" minRefreshableVersion="3" showDrill="0" useAutoFormatting="1" itemPrintTitles="1" createdVersion="8" indent="0" compact="0" compactData="0" gridDropZones="1" multipleFieldFilters="0">
  <location ref="A4:F27" firstHeaderRow="1" firstDataRow="3" firstDataCol="2" rowPageCount="1" colPageCount="1"/>
  <pivotFields count="31">
    <pivotField compact="0" outline="0" showAll="0"/>
    <pivotField compact="0" outline="0" showAll="0"/>
    <pivotField axis="axisPage" compact="0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 defaultSubtotal="0">
      <items count="1">
        <item x="0"/>
      </items>
    </pivotField>
    <pivotField compact="0" outline="0" showAll="0"/>
    <pivotField axis="axisRow" compact="0" outline="0" showAll="0">
      <items count="26">
        <item x="5"/>
        <item x="4"/>
        <item x="13"/>
        <item x="18"/>
        <item x="19"/>
        <item x="0"/>
        <item x="15"/>
        <item x="3"/>
        <item x="9"/>
        <item x="8"/>
        <item x="2"/>
        <item x="11"/>
        <item x="1"/>
        <item x="14"/>
        <item x="12"/>
        <item x="21"/>
        <item x="17"/>
        <item x="7"/>
        <item x="6"/>
        <item x="16"/>
        <item x="10"/>
        <item x="20"/>
        <item x="22"/>
        <item x="23"/>
        <item x="24"/>
        <item t="default"/>
      </items>
    </pivotField>
    <pivotField axis="axisRow" compact="0" outline="0" showAll="0">
      <items count="10">
        <item x="0"/>
        <item x="2"/>
        <item x="3"/>
        <item x="7"/>
        <item x="6"/>
        <item x="8"/>
        <item h="1" x="1"/>
        <item h="1" x="5"/>
        <item x="4"/>
        <item t="default"/>
      </items>
    </pivotField>
    <pivotField dataField="1" compact="0" numFmtId="166" outline="0" showAll="0"/>
    <pivotField dataField="1" compact="0" numFmtId="166" outline="0" showAll="0"/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27"/>
    <field x="26"/>
  </rowFields>
  <rowItems count="21">
    <i>
      <x/>
      <x v="5"/>
    </i>
    <i r="1">
      <x v="6"/>
    </i>
    <i r="1">
      <x v="7"/>
    </i>
    <i r="1">
      <x v="10"/>
    </i>
    <i t="default">
      <x/>
    </i>
    <i>
      <x v="1"/>
      <x v="1"/>
    </i>
    <i t="default">
      <x v="1"/>
    </i>
    <i>
      <x v="2"/>
      <x v="9"/>
    </i>
    <i r="1">
      <x v="13"/>
    </i>
    <i t="default">
      <x v="2"/>
    </i>
    <i>
      <x v="3"/>
      <x v="3"/>
    </i>
    <i t="default">
      <x v="3"/>
    </i>
    <i>
      <x v="4"/>
      <x v="4"/>
    </i>
    <i r="1">
      <x v="16"/>
    </i>
    <i t="default">
      <x v="4"/>
    </i>
    <i>
      <x v="5"/>
      <x v="15"/>
    </i>
    <i t="default">
      <x v="5"/>
    </i>
    <i>
      <x v="8"/>
      <x v="8"/>
    </i>
    <i r="1">
      <x v="11"/>
    </i>
    <i t="default">
      <x v="8"/>
    </i>
    <i t="grand">
      <x/>
    </i>
  </rowItems>
  <colFields count="2">
    <field x="24"/>
    <field x="-2"/>
  </colFields>
  <colItems count="4">
    <i>
      <x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Sum of Value IN USD" fld="28" baseField="26" baseItem="6" numFmtId="164"/>
    <dataField name="Sum of BUDGET IN USD" fld="29" baseField="26" baseItem="5" numFmtId="164"/>
  </dataFields>
  <formats count="29">
    <format dxfId="65">
      <pivotArea outline="0" collapsedLevelsAreSubtotals="1" fieldPosition="0"/>
    </format>
    <format dxfId="64">
      <pivotArea type="all" dataOnly="0" outline="0" fieldPosition="0"/>
    </format>
    <format dxfId="63">
      <pivotArea dataOnly="0" labelOnly="1" outline="0" fieldPosition="0">
        <references count="2">
          <reference field="26" count="2">
            <x v="0"/>
            <x v="1"/>
          </reference>
          <reference field="27" count="1" selected="0">
            <x v="1"/>
          </reference>
        </references>
      </pivotArea>
    </format>
    <format dxfId="62">
      <pivotArea field="24" grandCol="1" outline="0" axis="axisCol" fieldPosition="0">
        <references count="1">
          <reference field="4294967294" count="2" selected="0">
            <x v="0"/>
            <x v="1"/>
          </reference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field="24" dataOnly="0" grandCol="1" outline="0" axis="axisCol" fieldPosition="0">
        <references count="1">
          <reference field="4294967294" count="2" selected="0">
            <x v="0"/>
            <x v="1"/>
          </reference>
        </references>
      </pivotArea>
    </format>
    <format dxfId="59">
      <pivotArea outline="0" fieldPosition="0">
        <references count="1">
          <reference field="4294967294" count="1"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0">
      <pivotArea type="origin" dataOnly="0" labelOnly="1" outline="0" fieldPosition="0"/>
    </format>
    <format dxfId="38">
      <pivotArea field="24" type="button" dataOnly="0" labelOnly="1" outline="0" axis="axisCol" fieldPosition="0"/>
    </format>
    <format dxfId="36">
      <pivotArea field="-2" type="button" dataOnly="0" labelOnly="1" outline="0" axis="axisCol" fieldPosition="1"/>
    </format>
    <format dxfId="34">
      <pivotArea type="topRight" dataOnly="0" labelOnly="1" outline="0" fieldPosition="0"/>
    </format>
    <format dxfId="32">
      <pivotArea field="27" type="button" dataOnly="0" labelOnly="1" outline="0" axis="axisRow" fieldPosition="0"/>
    </format>
    <format dxfId="30">
      <pivotArea field="26" type="button" dataOnly="0" labelOnly="1" outline="0" axis="axisRow" fieldPosition="1"/>
    </format>
    <format dxfId="28">
      <pivotArea dataOnly="0" labelOnly="1" outline="0" fieldPosition="0">
        <references count="1">
          <reference field="27" count="0"/>
        </references>
      </pivotArea>
    </format>
    <format dxfId="26">
      <pivotArea dataOnly="0" labelOnly="1" outline="0" fieldPosition="0">
        <references count="1">
          <reference field="27" count="0" defaultSubtotal="1"/>
        </references>
      </pivotArea>
    </format>
    <format dxfId="24">
      <pivotArea dataOnly="0" labelOnly="1" grandRow="1" outline="0" fieldPosition="0"/>
    </format>
    <format dxfId="22">
      <pivotArea dataOnly="0" labelOnly="1" outline="0" fieldPosition="0">
        <references count="2">
          <reference field="26" count="4">
            <x v="5"/>
            <x v="6"/>
            <x v="7"/>
            <x v="10"/>
          </reference>
          <reference field="27" count="1" selected="0">
            <x v="0"/>
          </reference>
        </references>
      </pivotArea>
    </format>
    <format dxfId="20">
      <pivotArea dataOnly="0" labelOnly="1" outline="0" fieldPosition="0">
        <references count="2">
          <reference field="26" count="1">
            <x v="1"/>
          </reference>
          <reference field="27" count="1" selected="0">
            <x v="1"/>
          </reference>
        </references>
      </pivotArea>
    </format>
    <format dxfId="19">
      <pivotArea dataOnly="0" labelOnly="1" outline="0" fieldPosition="0">
        <references count="2">
          <reference field="26" count="2">
            <x v="9"/>
            <x v="13"/>
          </reference>
          <reference field="27" count="1" selected="0">
            <x v="2"/>
          </reference>
        </references>
      </pivotArea>
    </format>
    <format dxfId="17">
      <pivotArea dataOnly="0" labelOnly="1" outline="0" fieldPosition="0">
        <references count="2">
          <reference field="26" count="1">
            <x v="3"/>
          </reference>
          <reference field="27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26" count="2">
            <x v="4"/>
            <x v="16"/>
          </reference>
          <reference field="27" count="1" selected="0">
            <x v="4"/>
          </reference>
        </references>
      </pivotArea>
    </format>
    <format dxfId="13">
      <pivotArea dataOnly="0" labelOnly="1" outline="0" fieldPosition="0">
        <references count="2">
          <reference field="26" count="1">
            <x v="15"/>
          </reference>
          <reference field="27" count="1" selected="0">
            <x v="5"/>
          </reference>
        </references>
      </pivotArea>
    </format>
    <format dxfId="11">
      <pivotArea dataOnly="0" labelOnly="1" outline="0" fieldPosition="0">
        <references count="2">
          <reference field="26" count="2">
            <x v="8"/>
            <x v="11"/>
          </reference>
          <reference field="27" count="1" selected="0">
            <x v="8"/>
          </reference>
        </references>
      </pivotArea>
    </format>
    <format dxfId="9">
      <pivotArea dataOnly="0" labelOnly="1" outline="0" fieldPosition="0">
        <references count="1">
          <reference field="24" count="0"/>
        </references>
      </pivotArea>
    </format>
    <format dxfId="5">
      <pivotArea field="2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2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24" count="0" selected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D8B90-094A-4DFB-8728-8FB1A31E7982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A3:O37" firstHeaderRow="1" firstDataRow="3" firstDataCol="1"/>
  <pivotFields count="31">
    <pivotField showAll="0"/>
    <pivotField numFmtId="14" showAll="0"/>
    <pivotField axis="axisCol" numFmtId="1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axis="axisRow" showAll="0">
      <items count="26">
        <item x="5"/>
        <item x="4"/>
        <item x="7"/>
        <item x="6"/>
        <item x="16"/>
        <item x="10"/>
        <item x="13"/>
        <item x="20"/>
        <item x="22"/>
        <item x="18"/>
        <item x="19"/>
        <item x="0"/>
        <item x="15"/>
        <item x="3"/>
        <item x="9"/>
        <item x="8"/>
        <item x="2"/>
        <item x="11"/>
        <item x="17"/>
        <item x="1"/>
        <item x="14"/>
        <item x="12"/>
        <item x="21"/>
        <item x="23"/>
        <item x="24"/>
        <item t="default"/>
      </items>
    </pivotField>
    <pivotField showAll="0"/>
    <pivotField numFmtId="166" showAll="0"/>
    <pivotField numFmtId="166" showAll="0"/>
    <pivotField axis="axisCol" showAll="0">
      <items count="5">
        <item x="0"/>
        <item x="1"/>
        <item x="2"/>
        <item x="3"/>
        <item t="default"/>
      </items>
    </pivotField>
  </pivotFields>
  <rowFields count="2">
    <field x="25"/>
    <field x="26"/>
  </rowFields>
  <rowItems count="32">
    <i>
      <x/>
    </i>
    <i r="1">
      <x/>
    </i>
    <i r="1">
      <x v="1"/>
    </i>
    <i r="1">
      <x v="19"/>
    </i>
    <i>
      <x v="1"/>
    </i>
    <i r="1">
      <x v="2"/>
    </i>
    <i>
      <x v="2"/>
    </i>
    <i r="1">
      <x v="3"/>
    </i>
    <i r="1">
      <x v="4"/>
    </i>
    <i r="1">
      <x v="5"/>
    </i>
    <i r="1">
      <x v="6"/>
    </i>
    <i r="1">
      <x v="24"/>
    </i>
    <i>
      <x v="3"/>
    </i>
    <i r="1">
      <x v="7"/>
    </i>
    <i r="1">
      <x v="8"/>
    </i>
    <i r="1">
      <x v="23"/>
    </i>
    <i>
      <x v="4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t="grand">
      <x/>
    </i>
  </rowItems>
  <colFields count="2">
    <field x="30"/>
    <field x="2"/>
  </colFields>
  <colItems count="14">
    <i>
      <x v="1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t="default">
      <x v="2"/>
    </i>
    <i t="grand">
      <x/>
    </i>
  </colItems>
  <dataFields count="1">
    <dataField name="Sum of Amount Currency" fld="18" baseField="25" baseItem="0" numFmtId="164"/>
  </dataFields>
  <formats count="7">
    <format dxfId="58">
      <pivotArea collapsedLevelsAreSubtotals="1" fieldPosition="0">
        <references count="4">
          <reference field="2" count="1" selected="0">
            <x v="1"/>
          </reference>
          <reference field="25" count="1" selected="0">
            <x v="4"/>
          </reference>
          <reference field="26" count="1">
            <x v="9"/>
          </reference>
          <reference field="30" count="1" selected="0">
            <x v="2"/>
          </reference>
        </references>
      </pivotArea>
    </format>
    <format dxfId="57">
      <pivotArea collapsedLevelsAreSubtotals="1" fieldPosition="0">
        <references count="4">
          <reference field="2" count="1" selected="0">
            <x v="1"/>
          </reference>
          <reference field="25" count="1" selected="0">
            <x v="4"/>
          </reference>
          <reference field="26" count="1">
            <x v="11"/>
          </reference>
          <reference field="30" count="1" selected="0">
            <x v="2"/>
          </reference>
        </references>
      </pivotArea>
    </format>
    <format dxfId="56">
      <pivotArea collapsedLevelsAreSubtotals="1" fieldPosition="0">
        <references count="4">
          <reference field="2" count="1" selected="0">
            <x v="1"/>
          </reference>
          <reference field="25" count="1" selected="0">
            <x v="4"/>
          </reference>
          <reference field="26" count="1">
            <x v="14"/>
          </reference>
          <reference field="30" count="1" selected="0">
            <x v="2"/>
          </reference>
        </references>
      </pivotArea>
    </format>
    <format dxfId="55">
      <pivotArea collapsedLevelsAreSubtotals="1" fieldPosition="0">
        <references count="4">
          <reference field="2" count="1" selected="0">
            <x v="1"/>
          </reference>
          <reference field="25" count="1" selected="0">
            <x v="4"/>
          </reference>
          <reference field="26" count="1">
            <x v="15"/>
          </reference>
          <reference field="30" count="1" selected="0">
            <x v="2"/>
          </reference>
        </references>
      </pivotArea>
    </format>
    <format dxfId="54">
      <pivotArea collapsedLevelsAreSubtotals="1" fieldPosition="0">
        <references count="4">
          <reference field="2" count="1" selected="0">
            <x v="1"/>
          </reference>
          <reference field="25" count="1" selected="0">
            <x v="4"/>
          </reference>
          <reference field="26" count="1">
            <x v="19"/>
          </reference>
          <reference field="30" count="1" selected="0">
            <x v="2"/>
          </reference>
        </references>
      </pivotArea>
    </format>
    <format dxfId="53">
      <pivotArea collapsedLevelsAreSubtotals="1" fieldPosition="0">
        <references count="4">
          <reference field="2" count="1" selected="0">
            <x v="1"/>
          </reference>
          <reference field="25" count="1" selected="0">
            <x v="4"/>
          </reference>
          <reference field="26" count="1">
            <x v="13"/>
          </reference>
          <reference field="30" count="1" selected="0">
            <x v="2"/>
          </reference>
        </references>
      </pivotArea>
    </format>
    <format dxfId="52">
      <pivotArea collapsedLevelsAreSubtotals="1" fieldPosition="0">
        <references count="4">
          <reference field="2" count="1" selected="0">
            <x v="1"/>
          </reference>
          <reference field="25" count="1" selected="0">
            <x v="4"/>
          </reference>
          <reference field="26" count="1">
            <x v="22"/>
          </reference>
          <reference field="30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DF9F-1BC2-4EC2-AF11-FE1AD6F7DC02}">
  <dimension ref="A1:F35"/>
  <sheetViews>
    <sheetView tabSelected="1" zoomScale="70" zoomScaleNormal="70" workbookViewId="0">
      <selection sqref="A1:F27"/>
    </sheetView>
  </sheetViews>
  <sheetFormatPr defaultRowHeight="14.5" x14ac:dyDescent="0.35"/>
  <cols>
    <col min="1" max="1" width="26.81640625" bestFit="1" customWidth="1"/>
    <col min="2" max="2" width="81.1796875" bestFit="1" customWidth="1"/>
    <col min="3" max="4" width="28.7265625" hidden="1" customWidth="1"/>
    <col min="5" max="5" width="23" bestFit="1" customWidth="1"/>
    <col min="6" max="6" width="25.26953125" bestFit="1" customWidth="1"/>
    <col min="7" max="8" width="11.54296875" bestFit="1" customWidth="1"/>
    <col min="9" max="9" width="14.26953125" bestFit="1" customWidth="1"/>
    <col min="10" max="10" width="15.26953125" bestFit="1" customWidth="1"/>
    <col min="11" max="16" width="11.54296875" bestFit="1" customWidth="1"/>
    <col min="17" max="19" width="13.26953125" bestFit="1" customWidth="1"/>
    <col min="20" max="21" width="11.54296875" bestFit="1" customWidth="1"/>
    <col min="22" max="22" width="14.26953125" bestFit="1" customWidth="1"/>
    <col min="23" max="25" width="11.54296875" bestFit="1" customWidth="1"/>
    <col min="26" max="26" width="13.26953125" bestFit="1" customWidth="1"/>
    <col min="27" max="27" width="11.54296875" bestFit="1" customWidth="1"/>
    <col min="28" max="29" width="13.26953125" bestFit="1" customWidth="1"/>
    <col min="30" max="30" width="11.54296875" bestFit="1" customWidth="1"/>
    <col min="31" max="31" width="10.7265625" bestFit="1" customWidth="1"/>
    <col min="32" max="32" width="11.54296875" bestFit="1" customWidth="1"/>
    <col min="33" max="33" width="13.26953125" bestFit="1" customWidth="1"/>
    <col min="34" max="34" width="14.26953125" bestFit="1" customWidth="1"/>
    <col min="35" max="35" width="13.26953125" bestFit="1" customWidth="1"/>
    <col min="36" max="36" width="11.54296875" bestFit="1" customWidth="1"/>
    <col min="37" max="37" width="13.26953125" bestFit="1" customWidth="1"/>
    <col min="38" max="38" width="11.54296875" bestFit="1" customWidth="1"/>
    <col min="39" max="40" width="14.26953125" bestFit="1" customWidth="1"/>
    <col min="41" max="41" width="13.26953125" bestFit="1" customWidth="1"/>
    <col min="42" max="42" width="11.54296875" bestFit="1" customWidth="1"/>
    <col min="43" max="43" width="13.26953125" bestFit="1" customWidth="1"/>
    <col min="44" max="44" width="11.54296875" bestFit="1" customWidth="1"/>
    <col min="45" max="45" width="13.26953125" bestFit="1" customWidth="1"/>
    <col min="46" max="46" width="11.54296875" bestFit="1" customWidth="1"/>
    <col min="47" max="47" width="14.26953125" bestFit="1" customWidth="1"/>
    <col min="48" max="51" width="11.54296875" bestFit="1" customWidth="1"/>
    <col min="52" max="53" width="10.7265625" bestFit="1" customWidth="1"/>
    <col min="54" max="54" width="11.54296875" bestFit="1" customWidth="1"/>
    <col min="55" max="55" width="13.26953125" bestFit="1" customWidth="1"/>
    <col min="56" max="58" width="11.54296875" bestFit="1" customWidth="1"/>
    <col min="59" max="59" width="13.26953125" bestFit="1" customWidth="1"/>
    <col min="60" max="60" width="15.26953125" bestFit="1" customWidth="1"/>
    <col min="61" max="61" width="14.26953125" bestFit="1" customWidth="1"/>
    <col min="62" max="62" width="13.26953125" bestFit="1" customWidth="1"/>
    <col min="63" max="63" width="11.54296875" bestFit="1" customWidth="1"/>
    <col min="64" max="64" width="13.26953125" bestFit="1" customWidth="1"/>
    <col min="65" max="65" width="11.54296875" bestFit="1" customWidth="1"/>
    <col min="66" max="67" width="14.26953125" bestFit="1" customWidth="1"/>
    <col min="68" max="68" width="13.26953125" bestFit="1" customWidth="1"/>
    <col min="69" max="69" width="11.54296875" bestFit="1" customWidth="1"/>
    <col min="70" max="70" width="14.26953125" bestFit="1" customWidth="1"/>
    <col min="71" max="71" width="13.26953125" bestFit="1" customWidth="1"/>
    <col min="72" max="72" width="15.26953125" bestFit="1" customWidth="1"/>
    <col min="73" max="73" width="13.26953125" bestFit="1" customWidth="1"/>
    <col min="74" max="74" width="11.54296875" bestFit="1" customWidth="1"/>
    <col min="75" max="76" width="14.26953125" bestFit="1" customWidth="1"/>
    <col min="77" max="79" width="13.26953125" bestFit="1" customWidth="1"/>
    <col min="80" max="80" width="11.54296875" bestFit="1" customWidth="1"/>
    <col min="81" max="82" width="13.26953125" bestFit="1" customWidth="1"/>
    <col min="83" max="83" width="14.26953125" bestFit="1" customWidth="1"/>
    <col min="84" max="84" width="15.26953125" bestFit="1" customWidth="1"/>
    <col min="85" max="85" width="13.26953125" bestFit="1" customWidth="1"/>
    <col min="86" max="86" width="14.26953125" bestFit="1" customWidth="1"/>
    <col min="87" max="87" width="11.54296875" bestFit="1" customWidth="1"/>
    <col min="88" max="88" width="13.26953125" bestFit="1" customWidth="1"/>
    <col min="89" max="90" width="14.26953125" bestFit="1" customWidth="1"/>
    <col min="91" max="91" width="11.54296875" bestFit="1" customWidth="1"/>
    <col min="92" max="92" width="10.7265625" bestFit="1" customWidth="1"/>
    <col min="93" max="93" width="13.26953125" bestFit="1" customWidth="1"/>
    <col min="94" max="94" width="11.54296875" bestFit="1" customWidth="1"/>
    <col min="95" max="95" width="13.26953125" bestFit="1" customWidth="1"/>
    <col min="96" max="97" width="14.26953125" bestFit="1" customWidth="1"/>
    <col min="98" max="98" width="13.26953125" bestFit="1" customWidth="1"/>
    <col min="99" max="99" width="14.26953125" bestFit="1" customWidth="1"/>
    <col min="100" max="100" width="13.26953125" bestFit="1" customWidth="1"/>
    <col min="101" max="101" width="10.7265625" bestFit="1" customWidth="1"/>
    <col min="102" max="102" width="13.26953125" bestFit="1" customWidth="1"/>
    <col min="103" max="103" width="11.54296875" bestFit="1" customWidth="1"/>
    <col min="104" max="106" width="13.26953125" bestFit="1" customWidth="1"/>
    <col min="107" max="107" width="15.26953125" bestFit="1" customWidth="1"/>
    <col min="108" max="108" width="16.81640625" bestFit="1" customWidth="1"/>
  </cols>
  <sheetData>
    <row r="1" spans="1:6" ht="26" x14ac:dyDescent="0.6">
      <c r="A1" s="38" t="s">
        <v>4059</v>
      </c>
      <c r="B1" s="38"/>
      <c r="C1" s="38"/>
      <c r="D1" s="38"/>
      <c r="E1" s="38"/>
      <c r="F1" s="38"/>
    </row>
    <row r="2" spans="1:6" x14ac:dyDescent="0.35">
      <c r="A2" s="39" t="s">
        <v>2594</v>
      </c>
      <c r="B2" s="4" t="s">
        <v>2834</v>
      </c>
      <c r="C2" s="4"/>
      <c r="D2" s="4"/>
      <c r="E2" s="4"/>
      <c r="F2" s="4"/>
    </row>
    <row r="3" spans="1:6" x14ac:dyDescent="0.35">
      <c r="A3" s="4"/>
      <c r="B3" s="4"/>
      <c r="C3" s="4"/>
      <c r="D3" s="4"/>
      <c r="E3" s="4"/>
      <c r="F3" s="4"/>
    </row>
    <row r="4" spans="1:6" x14ac:dyDescent="0.35">
      <c r="A4" s="4"/>
      <c r="B4" s="4"/>
      <c r="C4" s="39" t="s">
        <v>2598</v>
      </c>
      <c r="D4" s="39" t="s">
        <v>2610</v>
      </c>
      <c r="E4" s="4"/>
      <c r="F4" s="4"/>
    </row>
    <row r="5" spans="1:6" x14ac:dyDescent="0.35">
      <c r="A5" s="4"/>
      <c r="B5" s="4"/>
      <c r="C5" s="4" t="s">
        <v>2599</v>
      </c>
      <c r="D5" s="4"/>
      <c r="E5" s="4" t="s">
        <v>2608</v>
      </c>
      <c r="F5" s="4" t="s">
        <v>2618</v>
      </c>
    </row>
    <row r="6" spans="1:6" x14ac:dyDescent="0.35">
      <c r="A6" s="39" t="s">
        <v>2601</v>
      </c>
      <c r="B6" s="39" t="s">
        <v>2574</v>
      </c>
      <c r="C6" s="4" t="s">
        <v>2609</v>
      </c>
      <c r="D6" s="4" t="s">
        <v>2619</v>
      </c>
      <c r="E6" s="4"/>
      <c r="F6" s="4"/>
    </row>
    <row r="7" spans="1:6" x14ac:dyDescent="0.35">
      <c r="A7" s="4" t="s">
        <v>2602</v>
      </c>
      <c r="B7" s="4" t="s">
        <v>17</v>
      </c>
      <c r="C7" s="13">
        <v>266545.12543137249</v>
      </c>
      <c r="D7" s="13">
        <v>300000</v>
      </c>
      <c r="E7" s="13">
        <v>266545.12543137249</v>
      </c>
      <c r="F7" s="13">
        <v>300000</v>
      </c>
    </row>
    <row r="8" spans="1:6" x14ac:dyDescent="0.35">
      <c r="A8" s="4"/>
      <c r="B8" s="4" t="s">
        <v>19</v>
      </c>
      <c r="C8" s="13">
        <v>0</v>
      </c>
      <c r="D8" s="13">
        <v>0</v>
      </c>
      <c r="E8" s="13">
        <v>0</v>
      </c>
      <c r="F8" s="13">
        <v>0</v>
      </c>
    </row>
    <row r="9" spans="1:6" x14ac:dyDescent="0.35">
      <c r="A9" s="4"/>
      <c r="B9" s="4" t="s">
        <v>20</v>
      </c>
      <c r="C9" s="13">
        <v>22914.567196078435</v>
      </c>
      <c r="D9" s="13">
        <v>0</v>
      </c>
      <c r="E9" s="13">
        <v>22914.567196078435</v>
      </c>
      <c r="F9" s="13">
        <v>0</v>
      </c>
    </row>
    <row r="10" spans="1:6" x14ac:dyDescent="0.35">
      <c r="A10" s="4"/>
      <c r="B10" s="4" t="s">
        <v>24</v>
      </c>
      <c r="C10" s="13">
        <v>0</v>
      </c>
      <c r="D10" s="13">
        <v>0</v>
      </c>
      <c r="E10" s="13">
        <v>0</v>
      </c>
      <c r="F10" s="13">
        <v>0</v>
      </c>
    </row>
    <row r="11" spans="1:6" x14ac:dyDescent="0.35">
      <c r="A11" s="4" t="s">
        <v>2611</v>
      </c>
      <c r="B11" s="4"/>
      <c r="C11" s="13">
        <v>289459.69262745092</v>
      </c>
      <c r="D11" s="13">
        <v>300000</v>
      </c>
      <c r="E11" s="13">
        <v>289459.69262745092</v>
      </c>
      <c r="F11" s="13">
        <v>300000</v>
      </c>
    </row>
    <row r="12" spans="1:6" x14ac:dyDescent="0.35">
      <c r="A12" s="4" t="s">
        <v>2604</v>
      </c>
      <c r="B12" s="4" t="s">
        <v>4</v>
      </c>
      <c r="C12" s="13">
        <v>252452.07843137262</v>
      </c>
      <c r="D12" s="13">
        <v>600000</v>
      </c>
      <c r="E12" s="13">
        <v>252452.07843137262</v>
      </c>
      <c r="F12" s="13">
        <v>600000</v>
      </c>
    </row>
    <row r="13" spans="1:6" x14ac:dyDescent="0.35">
      <c r="A13" s="4" t="s">
        <v>2612</v>
      </c>
      <c r="B13" s="4"/>
      <c r="C13" s="13">
        <v>252452.07843137262</v>
      </c>
      <c r="D13" s="13">
        <v>600000</v>
      </c>
      <c r="E13" s="13">
        <v>252452.07843137262</v>
      </c>
      <c r="F13" s="13">
        <v>600000</v>
      </c>
    </row>
    <row r="14" spans="1:6" x14ac:dyDescent="0.35">
      <c r="A14" s="4" t="s">
        <v>2607</v>
      </c>
      <c r="B14" s="4" t="s">
        <v>23</v>
      </c>
      <c r="C14" s="13">
        <v>45637.02803137256</v>
      </c>
      <c r="D14" s="13">
        <v>70000</v>
      </c>
      <c r="E14" s="13">
        <v>45637.02803137256</v>
      </c>
      <c r="F14" s="13">
        <v>70000</v>
      </c>
    </row>
    <row r="15" spans="1:6" x14ac:dyDescent="0.35">
      <c r="A15" s="4"/>
      <c r="B15" s="4" t="s">
        <v>29</v>
      </c>
      <c r="C15" s="13">
        <v>34603.176317647056</v>
      </c>
      <c r="D15" s="13">
        <v>0</v>
      </c>
      <c r="E15" s="13">
        <v>34603.176317647056</v>
      </c>
      <c r="F15" s="13">
        <v>0</v>
      </c>
    </row>
    <row r="16" spans="1:6" x14ac:dyDescent="0.35">
      <c r="A16" s="4" t="s">
        <v>2613</v>
      </c>
      <c r="B16" s="4"/>
      <c r="C16" s="13">
        <v>80240.204349019623</v>
      </c>
      <c r="D16" s="13">
        <v>70000</v>
      </c>
      <c r="E16" s="13">
        <v>80240.204349019623</v>
      </c>
      <c r="F16" s="13">
        <v>70000</v>
      </c>
    </row>
    <row r="17" spans="1:6" x14ac:dyDescent="0.35">
      <c r="A17" s="4" t="s">
        <v>2606</v>
      </c>
      <c r="B17" s="4" t="s">
        <v>15</v>
      </c>
      <c r="C17" s="13">
        <v>73219.435847058776</v>
      </c>
      <c r="D17" s="13">
        <v>300000</v>
      </c>
      <c r="E17" s="13">
        <v>73219.435847058776</v>
      </c>
      <c r="F17" s="13">
        <v>300000</v>
      </c>
    </row>
    <row r="18" spans="1:6" x14ac:dyDescent="0.35">
      <c r="A18" s="4" t="s">
        <v>2614</v>
      </c>
      <c r="B18" s="4"/>
      <c r="C18" s="13">
        <v>73219.435847058776</v>
      </c>
      <c r="D18" s="13">
        <v>300000</v>
      </c>
      <c r="E18" s="13">
        <v>73219.435847058776</v>
      </c>
      <c r="F18" s="13">
        <v>300000</v>
      </c>
    </row>
    <row r="19" spans="1:6" x14ac:dyDescent="0.35">
      <c r="A19" s="4" t="s">
        <v>2603</v>
      </c>
      <c r="B19" s="4" t="s">
        <v>16</v>
      </c>
      <c r="C19" s="13">
        <v>9931.7647058823532</v>
      </c>
      <c r="D19" s="13">
        <v>0</v>
      </c>
      <c r="E19" s="13">
        <v>9931.7647058823532</v>
      </c>
      <c r="F19" s="13">
        <v>0</v>
      </c>
    </row>
    <row r="20" spans="1:6" x14ac:dyDescent="0.35">
      <c r="A20" s="4"/>
      <c r="B20" s="4" t="s">
        <v>27</v>
      </c>
      <c r="C20" s="13">
        <v>23669.208992156859</v>
      </c>
      <c r="D20" s="13">
        <v>35000</v>
      </c>
      <c r="E20" s="13">
        <v>23669.208992156859</v>
      </c>
      <c r="F20" s="13">
        <v>35000</v>
      </c>
    </row>
    <row r="21" spans="1:6" x14ac:dyDescent="0.35">
      <c r="A21" s="4" t="s">
        <v>2615</v>
      </c>
      <c r="B21" s="4"/>
      <c r="C21" s="13">
        <v>33600.973698039212</v>
      </c>
      <c r="D21" s="13">
        <v>35000</v>
      </c>
      <c r="E21" s="13">
        <v>33600.973698039212</v>
      </c>
      <c r="F21" s="13">
        <v>35000</v>
      </c>
    </row>
    <row r="22" spans="1:6" x14ac:dyDescent="0.35">
      <c r="A22" s="4" t="s">
        <v>2605</v>
      </c>
      <c r="B22" s="4" t="s">
        <v>31</v>
      </c>
      <c r="C22" s="13">
        <v>40351.981007843155</v>
      </c>
      <c r="D22" s="13">
        <v>60000</v>
      </c>
      <c r="E22" s="13">
        <v>40351.981007843155</v>
      </c>
      <c r="F22" s="13">
        <v>60000</v>
      </c>
    </row>
    <row r="23" spans="1:6" x14ac:dyDescent="0.35">
      <c r="A23" s="4" t="s">
        <v>2616</v>
      </c>
      <c r="B23" s="4"/>
      <c r="C23" s="13">
        <v>40351.981007843155</v>
      </c>
      <c r="D23" s="13">
        <v>60000</v>
      </c>
      <c r="E23" s="13">
        <v>40351.981007843155</v>
      </c>
      <c r="F23" s="13">
        <v>60000</v>
      </c>
    </row>
    <row r="24" spans="1:6" x14ac:dyDescent="0.35">
      <c r="A24" s="4" t="s">
        <v>2835</v>
      </c>
      <c r="B24" s="4" t="s">
        <v>22</v>
      </c>
      <c r="C24" s="13">
        <v>169811.7968039214</v>
      </c>
      <c r="D24" s="13">
        <v>0</v>
      </c>
      <c r="E24" s="13">
        <v>169811.7968039214</v>
      </c>
      <c r="F24" s="13">
        <v>0</v>
      </c>
    </row>
    <row r="25" spans="1:6" x14ac:dyDescent="0.35">
      <c r="A25" s="4"/>
      <c r="B25" s="4" t="s">
        <v>26</v>
      </c>
      <c r="C25" s="13">
        <v>370904.82005098037</v>
      </c>
      <c r="D25" s="13">
        <v>0</v>
      </c>
      <c r="E25" s="13">
        <v>370904.82005098037</v>
      </c>
      <c r="F25" s="13">
        <v>0</v>
      </c>
    </row>
    <row r="26" spans="1:6" x14ac:dyDescent="0.35">
      <c r="A26" s="4" t="s">
        <v>2836</v>
      </c>
      <c r="B26" s="4"/>
      <c r="C26" s="13">
        <v>540716.61685490177</v>
      </c>
      <c r="D26" s="13">
        <v>0</v>
      </c>
      <c r="E26" s="13">
        <v>540716.61685490177</v>
      </c>
      <c r="F26" s="13">
        <v>0</v>
      </c>
    </row>
    <row r="27" spans="1:6" x14ac:dyDescent="0.35">
      <c r="A27" s="4" t="s">
        <v>41</v>
      </c>
      <c r="B27" s="4"/>
      <c r="C27" s="13">
        <v>1310040.9828156864</v>
      </c>
      <c r="D27" s="13">
        <v>1365000</v>
      </c>
      <c r="E27" s="13">
        <v>1310040.9828156864</v>
      </c>
      <c r="F27" s="13">
        <v>1365000</v>
      </c>
    </row>
    <row r="35" spans="5:5" x14ac:dyDescent="0.35">
      <c r="E35" s="2"/>
    </row>
  </sheetData>
  <mergeCells count="1">
    <mergeCell ref="A1:F1"/>
  </mergeCells>
  <conditionalFormatting sqref="B1:B1048576">
    <cfRule type="duplicateValues" dxfId="51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3110-C77F-4ECE-AA6A-FD9EABA84AD7}">
  <dimension ref="A3:R39"/>
  <sheetViews>
    <sheetView zoomScale="85" zoomScaleNormal="85" workbookViewId="0">
      <pane xSplit="1" ySplit="6" topLeftCell="L25" activePane="bottomRight" state="frozen"/>
      <selection pane="topRight" activeCell="B1" sqref="B1"/>
      <selection pane="bottomLeft" activeCell="A7" sqref="A7"/>
      <selection pane="bottomRight" activeCell="R23" sqref="R23:R36"/>
    </sheetView>
  </sheetViews>
  <sheetFormatPr defaultRowHeight="14.5" x14ac:dyDescent="0.35"/>
  <cols>
    <col min="1" max="1" width="89.26953125" bestFit="1" customWidth="1"/>
    <col min="2" max="2" width="16.26953125" bestFit="1" customWidth="1"/>
    <col min="3" max="3" width="16.81640625" bestFit="1" customWidth="1"/>
    <col min="4" max="7" width="15.26953125" bestFit="1" customWidth="1"/>
    <col min="8" max="8" width="14.26953125" bestFit="1" customWidth="1"/>
    <col min="9" max="10" width="15.26953125" bestFit="1" customWidth="1"/>
    <col min="11" max="11" width="16.81640625" bestFit="1" customWidth="1"/>
    <col min="12" max="14" width="15.26953125" bestFit="1" customWidth="1"/>
    <col min="15" max="15" width="16.81640625" bestFit="1" customWidth="1"/>
    <col min="16" max="16" width="14.26953125" style="1" bestFit="1" customWidth="1"/>
    <col min="17" max="17" width="14.26953125" bestFit="1" customWidth="1"/>
    <col min="18" max="18" width="13.26953125" bestFit="1" customWidth="1"/>
    <col min="19" max="19" width="15.26953125" bestFit="1" customWidth="1"/>
    <col min="20" max="20" width="11.54296875" bestFit="1" customWidth="1"/>
    <col min="21" max="21" width="15.26953125" bestFit="1" customWidth="1"/>
    <col min="22" max="22" width="11.54296875" bestFit="1" customWidth="1"/>
    <col min="23" max="26" width="13.26953125" bestFit="1" customWidth="1"/>
    <col min="27" max="27" width="15.26953125" bestFit="1" customWidth="1"/>
    <col min="28" max="29" width="13.26953125" bestFit="1" customWidth="1"/>
    <col min="30" max="35" width="11.54296875" bestFit="1" customWidth="1"/>
    <col min="36" max="36" width="15.26953125" bestFit="1" customWidth="1"/>
    <col min="37" max="37" width="13.26953125" bestFit="1" customWidth="1"/>
    <col min="38" max="40" width="14.26953125" bestFit="1" customWidth="1"/>
    <col min="41" max="41" width="15.26953125" bestFit="1" customWidth="1"/>
    <col min="42" max="44" width="11.54296875" bestFit="1" customWidth="1"/>
    <col min="45" max="45" width="10.81640625" bestFit="1" customWidth="1"/>
    <col min="46" max="46" width="13.26953125" bestFit="1" customWidth="1"/>
    <col min="47" max="48" width="14.26953125" bestFit="1" customWidth="1"/>
    <col min="49" max="49" width="11.54296875" bestFit="1" customWidth="1"/>
    <col min="50" max="51" width="13.26953125" bestFit="1" customWidth="1"/>
    <col min="52" max="52" width="11.54296875" bestFit="1" customWidth="1"/>
    <col min="53" max="53" width="15.26953125" bestFit="1" customWidth="1"/>
    <col min="54" max="54" width="14.26953125" bestFit="1" customWidth="1"/>
    <col min="55" max="55" width="13.26953125" bestFit="1" customWidth="1"/>
    <col min="56" max="58" width="11.54296875" bestFit="1" customWidth="1"/>
    <col min="59" max="59" width="13.26953125" bestFit="1" customWidth="1"/>
    <col min="60" max="60" width="14.26953125" bestFit="1" customWidth="1"/>
    <col min="61" max="62" width="13.26953125" bestFit="1" customWidth="1"/>
    <col min="63" max="63" width="14.26953125" bestFit="1" customWidth="1"/>
    <col min="64" max="64" width="11.54296875" bestFit="1" customWidth="1"/>
    <col min="65" max="65" width="13.26953125" bestFit="1" customWidth="1"/>
    <col min="66" max="67" width="14.26953125" bestFit="1" customWidth="1"/>
    <col min="68" max="75" width="13.26953125" bestFit="1" customWidth="1"/>
    <col min="76" max="77" width="14.26953125" bestFit="1" customWidth="1"/>
    <col min="78" max="78" width="15.26953125" bestFit="1" customWidth="1"/>
    <col min="79" max="79" width="13.26953125" bestFit="1" customWidth="1"/>
    <col min="80" max="80" width="10.81640625" bestFit="1" customWidth="1"/>
    <col min="81" max="81" width="14.26953125" bestFit="1" customWidth="1"/>
    <col min="82" max="82" width="13.26953125" bestFit="1" customWidth="1"/>
    <col min="83" max="83" width="11.54296875" bestFit="1" customWidth="1"/>
    <col min="84" max="84" width="13.26953125" bestFit="1" customWidth="1"/>
    <col min="85" max="85" width="11.54296875" bestFit="1" customWidth="1"/>
    <col min="86" max="87" width="14.26953125" bestFit="1" customWidth="1"/>
    <col min="88" max="88" width="13.26953125" bestFit="1" customWidth="1"/>
    <col min="89" max="89" width="11.54296875" bestFit="1" customWidth="1"/>
    <col min="90" max="90" width="14.26953125" bestFit="1" customWidth="1"/>
    <col min="91" max="91" width="13.26953125" bestFit="1" customWidth="1"/>
    <col min="92" max="92" width="15.26953125" bestFit="1" customWidth="1"/>
    <col min="93" max="93" width="13.26953125" bestFit="1" customWidth="1"/>
    <col min="94" max="94" width="11.54296875" bestFit="1" customWidth="1"/>
    <col min="95" max="96" width="14.26953125" bestFit="1" customWidth="1"/>
    <col min="97" max="99" width="13.26953125" bestFit="1" customWidth="1"/>
    <col min="100" max="100" width="11.54296875" bestFit="1" customWidth="1"/>
    <col min="101" max="102" width="13.26953125" bestFit="1" customWidth="1"/>
    <col min="103" max="103" width="14.26953125" bestFit="1" customWidth="1"/>
    <col min="104" max="104" width="13.26953125" bestFit="1" customWidth="1"/>
    <col min="105" max="105" width="14.26953125" bestFit="1" customWidth="1"/>
    <col min="106" max="106" width="11.54296875" bestFit="1" customWidth="1"/>
    <col min="107" max="107" width="13.26953125" bestFit="1" customWidth="1"/>
    <col min="108" max="109" width="14.26953125" bestFit="1" customWidth="1"/>
    <col min="110" max="110" width="13.26953125" bestFit="1" customWidth="1"/>
    <col min="111" max="111" width="10.81640625" bestFit="1" customWidth="1"/>
    <col min="112" max="112" width="13.26953125" bestFit="1" customWidth="1"/>
    <col min="113" max="113" width="11.54296875" bestFit="1" customWidth="1"/>
    <col min="114" max="114" width="13.26953125" bestFit="1" customWidth="1"/>
    <col min="115" max="116" width="14.26953125" bestFit="1" customWidth="1"/>
    <col min="117" max="117" width="13.26953125" bestFit="1" customWidth="1"/>
    <col min="118" max="118" width="14.26953125" bestFit="1" customWidth="1"/>
    <col min="119" max="119" width="13.26953125" bestFit="1" customWidth="1"/>
    <col min="120" max="120" width="10.81640625" bestFit="1" customWidth="1"/>
    <col min="121" max="121" width="13.26953125" bestFit="1" customWidth="1"/>
    <col min="122" max="122" width="11.54296875" bestFit="1" customWidth="1"/>
    <col min="123" max="125" width="13.26953125" bestFit="1" customWidth="1"/>
    <col min="126" max="126" width="11.54296875" bestFit="1" customWidth="1"/>
    <col min="127" max="127" width="13.26953125" bestFit="1" customWidth="1"/>
    <col min="128" max="128" width="14.26953125" bestFit="1" customWidth="1"/>
    <col min="129" max="129" width="13.26953125" bestFit="1" customWidth="1"/>
    <col min="130" max="130" width="11.54296875" bestFit="1" customWidth="1"/>
    <col min="131" max="131" width="14.26953125" bestFit="1" customWidth="1"/>
    <col min="132" max="132" width="13.26953125" bestFit="1" customWidth="1"/>
    <col min="133" max="133" width="11.54296875" bestFit="1" customWidth="1"/>
    <col min="134" max="134" width="14.26953125" bestFit="1" customWidth="1"/>
    <col min="135" max="135" width="11.54296875" bestFit="1" customWidth="1"/>
    <col min="136" max="136" width="13.26953125" bestFit="1" customWidth="1"/>
    <col min="137" max="137" width="14.26953125" bestFit="1" customWidth="1"/>
    <col min="138" max="140" width="13.26953125" bestFit="1" customWidth="1"/>
    <col min="141" max="141" width="11.54296875" bestFit="1" customWidth="1"/>
    <col min="142" max="142" width="14.26953125" bestFit="1" customWidth="1"/>
    <col min="143" max="143" width="13.26953125" bestFit="1" customWidth="1"/>
    <col min="144" max="144" width="10.81640625" bestFit="1" customWidth="1"/>
    <col min="145" max="146" width="13.26953125" bestFit="1" customWidth="1"/>
    <col min="147" max="147" width="14.26953125" bestFit="1" customWidth="1"/>
    <col min="148" max="148" width="13.26953125" bestFit="1" customWidth="1"/>
    <col min="149" max="150" width="14.26953125" bestFit="1" customWidth="1"/>
    <col min="151" max="151" width="15.26953125" bestFit="1" customWidth="1"/>
    <col min="152" max="152" width="14.26953125" bestFit="1" customWidth="1"/>
    <col min="153" max="153" width="15.26953125" bestFit="1" customWidth="1"/>
    <col min="154" max="154" width="14.26953125" bestFit="1" customWidth="1"/>
    <col min="155" max="155" width="13.26953125" bestFit="1" customWidth="1"/>
    <col min="156" max="156" width="15.26953125" bestFit="1" customWidth="1"/>
    <col min="157" max="157" width="14.26953125" bestFit="1" customWidth="1"/>
    <col min="158" max="158" width="15.26953125" bestFit="1" customWidth="1"/>
    <col min="159" max="161" width="13.26953125" bestFit="1" customWidth="1"/>
    <col min="162" max="162" width="14.26953125" bestFit="1" customWidth="1"/>
    <col min="163" max="163" width="11.54296875" bestFit="1" customWidth="1"/>
    <col min="164" max="164" width="14.26953125" bestFit="1" customWidth="1"/>
    <col min="165" max="165" width="13.26953125" bestFit="1" customWidth="1"/>
    <col min="166" max="167" width="14.26953125" bestFit="1" customWidth="1"/>
    <col min="168" max="168" width="11.54296875" bestFit="1" customWidth="1"/>
    <col min="169" max="170" width="13.26953125" bestFit="1" customWidth="1"/>
    <col min="171" max="171" width="14.26953125" bestFit="1" customWidth="1"/>
    <col min="172" max="172" width="11.54296875" bestFit="1" customWidth="1"/>
    <col min="173" max="174" width="15.26953125" bestFit="1" customWidth="1"/>
    <col min="175" max="175" width="14.26953125" bestFit="1" customWidth="1"/>
    <col min="176" max="176" width="13.26953125" bestFit="1" customWidth="1"/>
    <col min="177" max="177" width="11.54296875" bestFit="1" customWidth="1"/>
    <col min="178" max="178" width="13.26953125" bestFit="1" customWidth="1"/>
    <col min="179" max="179" width="11.54296875" bestFit="1" customWidth="1"/>
    <col min="180" max="180" width="13.26953125" bestFit="1" customWidth="1"/>
    <col min="181" max="181" width="11.54296875" bestFit="1" customWidth="1"/>
    <col min="182" max="184" width="13.26953125" bestFit="1" customWidth="1"/>
    <col min="185" max="185" width="14.26953125" bestFit="1" customWidth="1"/>
    <col min="186" max="188" width="13.26953125" bestFit="1" customWidth="1"/>
    <col min="189" max="189" width="15.26953125" bestFit="1" customWidth="1"/>
    <col min="190" max="196" width="13.26953125" bestFit="1" customWidth="1"/>
    <col min="197" max="197" width="10.81640625" bestFit="1" customWidth="1"/>
    <col min="198" max="198" width="13.26953125" bestFit="1" customWidth="1"/>
    <col min="199" max="201" width="11.54296875" bestFit="1" customWidth="1"/>
    <col min="202" max="202" width="10.81640625" bestFit="1" customWidth="1"/>
    <col min="203" max="203" width="16.81640625" bestFit="1" customWidth="1"/>
    <col min="204" max="204" width="11.54296875" bestFit="1" customWidth="1"/>
    <col min="205" max="205" width="13.26953125" bestFit="1" customWidth="1"/>
    <col min="206" max="206" width="10.54296875" bestFit="1" customWidth="1"/>
    <col min="207" max="207" width="16.81640625" bestFit="1" customWidth="1"/>
  </cols>
  <sheetData>
    <row r="3" spans="1:15" x14ac:dyDescent="0.35">
      <c r="A3" s="3" t="s">
        <v>50</v>
      </c>
      <c r="B3" s="3" t="s">
        <v>49</v>
      </c>
    </row>
    <row r="4" spans="1:15" x14ac:dyDescent="0.35">
      <c r="B4" t="s">
        <v>3890</v>
      </c>
      <c r="K4" t="s">
        <v>3891</v>
      </c>
      <c r="L4" t="s">
        <v>3892</v>
      </c>
      <c r="N4" t="s">
        <v>3893</v>
      </c>
      <c r="O4" t="s">
        <v>41</v>
      </c>
    </row>
    <row r="5" spans="1:15" x14ac:dyDescent="0.35">
      <c r="A5" s="3" t="s">
        <v>48</v>
      </c>
      <c r="B5" s="21" t="s">
        <v>47</v>
      </c>
      <c r="C5" s="21" t="s">
        <v>46</v>
      </c>
      <c r="D5" s="21" t="s">
        <v>45</v>
      </c>
      <c r="E5" s="21" t="s">
        <v>44</v>
      </c>
      <c r="F5" s="21" t="s">
        <v>43</v>
      </c>
      <c r="G5" s="21" t="s">
        <v>42</v>
      </c>
      <c r="H5" s="21" t="s">
        <v>2833</v>
      </c>
      <c r="I5" s="21" t="s">
        <v>3384</v>
      </c>
      <c r="J5" s="21" t="s">
        <v>3716</v>
      </c>
      <c r="L5" s="21" t="s">
        <v>3889</v>
      </c>
      <c r="M5" s="21" t="s">
        <v>4058</v>
      </c>
    </row>
    <row r="6" spans="1:15" x14ac:dyDescent="0.35">
      <c r="A6" s="25" t="s">
        <v>2</v>
      </c>
      <c r="B6" s="2">
        <v>365000000</v>
      </c>
      <c r="C6" s="2"/>
      <c r="D6" s="2"/>
      <c r="E6" s="2">
        <v>74752800</v>
      </c>
      <c r="F6" s="2"/>
      <c r="G6" s="2"/>
      <c r="H6" s="2"/>
      <c r="I6" s="2">
        <v>780771326</v>
      </c>
      <c r="J6" s="2">
        <v>70454076</v>
      </c>
      <c r="K6" s="2">
        <v>1290978202</v>
      </c>
      <c r="L6" s="2"/>
      <c r="M6" s="2"/>
      <c r="N6" s="2"/>
      <c r="O6" s="2">
        <v>1290978202</v>
      </c>
    </row>
    <row r="7" spans="1:15" x14ac:dyDescent="0.35">
      <c r="A7" s="26" t="s">
        <v>3</v>
      </c>
      <c r="B7" s="2">
        <v>10000000</v>
      </c>
      <c r="C7" s="2"/>
      <c r="D7" s="2"/>
      <c r="E7" s="2"/>
      <c r="F7" s="2"/>
      <c r="G7" s="2"/>
      <c r="H7" s="2"/>
      <c r="I7" s="2">
        <v>566771326</v>
      </c>
      <c r="J7" s="2"/>
      <c r="K7" s="2">
        <v>576771326</v>
      </c>
      <c r="L7" s="2"/>
      <c r="M7" s="2"/>
      <c r="N7" s="2"/>
      <c r="O7" s="2">
        <v>576771326</v>
      </c>
    </row>
    <row r="8" spans="1:15" x14ac:dyDescent="0.35">
      <c r="A8" s="26" t="s">
        <v>4</v>
      </c>
      <c r="B8" s="2">
        <v>355000000</v>
      </c>
      <c r="C8" s="2"/>
      <c r="D8" s="2"/>
      <c r="E8" s="2">
        <v>74752800</v>
      </c>
      <c r="F8" s="2"/>
      <c r="G8" s="2"/>
      <c r="H8" s="2"/>
      <c r="I8" s="2">
        <v>214000000</v>
      </c>
      <c r="J8" s="2"/>
      <c r="K8" s="2">
        <v>643752800</v>
      </c>
      <c r="L8" s="2"/>
      <c r="M8" s="2"/>
      <c r="N8" s="2"/>
      <c r="O8" s="2">
        <v>643752800</v>
      </c>
    </row>
    <row r="9" spans="1:15" x14ac:dyDescent="0.35">
      <c r="A9" s="26" t="s">
        <v>28</v>
      </c>
      <c r="B9" s="2"/>
      <c r="C9" s="2"/>
      <c r="D9" s="2"/>
      <c r="E9" s="2"/>
      <c r="F9" s="2"/>
      <c r="G9" s="2"/>
      <c r="H9" s="2"/>
      <c r="I9" s="2"/>
      <c r="J9" s="2">
        <v>70454076</v>
      </c>
      <c r="K9" s="2">
        <v>70454076</v>
      </c>
      <c r="L9" s="2"/>
      <c r="M9" s="2"/>
      <c r="N9" s="2"/>
      <c r="O9" s="2">
        <v>70454076</v>
      </c>
    </row>
    <row r="10" spans="1:15" x14ac:dyDescent="0.35">
      <c r="A10" s="25" t="s">
        <v>5</v>
      </c>
      <c r="B10" s="2">
        <v>27043127.75</v>
      </c>
      <c r="C10" s="2">
        <v>4648683.6899999995</v>
      </c>
      <c r="D10" s="2"/>
      <c r="E10" s="2">
        <v>4814685.09</v>
      </c>
      <c r="F10" s="2">
        <v>980830.52</v>
      </c>
      <c r="G10" s="2"/>
      <c r="H10" s="2"/>
      <c r="I10" s="2">
        <v>9569783.0099999998</v>
      </c>
      <c r="J10" s="2">
        <v>2322122.0299999998</v>
      </c>
      <c r="K10" s="2">
        <v>49379232.090000004</v>
      </c>
      <c r="L10" s="2"/>
      <c r="M10" s="2"/>
      <c r="N10" s="2"/>
      <c r="O10" s="2">
        <v>49379232.090000004</v>
      </c>
    </row>
    <row r="11" spans="1:15" x14ac:dyDescent="0.35">
      <c r="A11" s="26" t="s">
        <v>6</v>
      </c>
      <c r="B11" s="2">
        <v>27043127.75</v>
      </c>
      <c r="C11" s="2">
        <v>4648683.6899999995</v>
      </c>
      <c r="D11" s="2"/>
      <c r="E11" s="2">
        <v>4814685.09</v>
      </c>
      <c r="F11" s="2">
        <v>980830.52</v>
      </c>
      <c r="G11" s="2"/>
      <c r="H11" s="2"/>
      <c r="I11" s="2">
        <v>9569783.0099999998</v>
      </c>
      <c r="J11" s="2">
        <v>2322122.0299999998</v>
      </c>
      <c r="K11" s="2">
        <v>49379232.090000004</v>
      </c>
      <c r="L11" s="2"/>
      <c r="M11" s="2"/>
      <c r="N11" s="2"/>
      <c r="O11" s="2">
        <v>49379232.090000004</v>
      </c>
    </row>
    <row r="12" spans="1:15" x14ac:dyDescent="0.35">
      <c r="A12" s="25" t="s">
        <v>7</v>
      </c>
      <c r="B12" s="2">
        <v>4507796.6100000003</v>
      </c>
      <c r="C12" s="2">
        <v>299000</v>
      </c>
      <c r="D12" s="2">
        <v>1631730.0100000002</v>
      </c>
      <c r="E12" s="2">
        <v>7508527.1100000003</v>
      </c>
      <c r="F12" s="2">
        <v>5661689.2599999998</v>
      </c>
      <c r="G12" s="2">
        <v>8584915.25</v>
      </c>
      <c r="H12" s="2">
        <v>7087372.8799999999</v>
      </c>
      <c r="I12" s="2">
        <v>13313723.16</v>
      </c>
      <c r="J12" s="2">
        <v>9042217.5199999996</v>
      </c>
      <c r="K12" s="2">
        <v>57636971.800000012</v>
      </c>
      <c r="L12" s="2"/>
      <c r="M12" s="2"/>
      <c r="N12" s="2"/>
      <c r="O12" s="2">
        <v>57636971.800000012</v>
      </c>
    </row>
    <row r="13" spans="1:15" x14ac:dyDescent="0.35">
      <c r="A13" s="26" t="s">
        <v>8</v>
      </c>
      <c r="B13" s="2">
        <v>3030000</v>
      </c>
      <c r="C13" s="2">
        <v>299000</v>
      </c>
      <c r="D13" s="2"/>
      <c r="E13" s="2">
        <v>2300000</v>
      </c>
      <c r="F13" s="2">
        <v>2787112.99</v>
      </c>
      <c r="G13" s="2">
        <v>4740000</v>
      </c>
      <c r="H13" s="2">
        <v>4545000</v>
      </c>
      <c r="I13" s="2">
        <v>3567112.99</v>
      </c>
      <c r="J13" s="2">
        <v>912556.5</v>
      </c>
      <c r="K13" s="2">
        <v>22180782.480000004</v>
      </c>
      <c r="L13" s="2"/>
      <c r="M13" s="2"/>
      <c r="N13" s="2"/>
      <c r="O13" s="2">
        <v>22180782.480000004</v>
      </c>
    </row>
    <row r="14" spans="1:15" x14ac:dyDescent="0.35">
      <c r="A14" s="26" t="s">
        <v>9</v>
      </c>
      <c r="B14" s="2"/>
      <c r="C14" s="2"/>
      <c r="D14" s="2">
        <v>1290900</v>
      </c>
      <c r="E14" s="2">
        <v>5198527.1100000003</v>
      </c>
      <c r="F14" s="2">
        <v>2874576.27</v>
      </c>
      <c r="G14" s="2">
        <v>3844915.25</v>
      </c>
      <c r="H14" s="2">
        <v>2542372.88</v>
      </c>
      <c r="I14" s="2"/>
      <c r="J14" s="2"/>
      <c r="K14" s="2">
        <v>15751291.510000002</v>
      </c>
      <c r="L14" s="2"/>
      <c r="M14" s="2"/>
      <c r="N14" s="2"/>
      <c r="O14" s="2">
        <v>15751291.510000002</v>
      </c>
    </row>
    <row r="15" spans="1:15" x14ac:dyDescent="0.35">
      <c r="A15" s="26" t="s">
        <v>10</v>
      </c>
      <c r="B15" s="2">
        <v>1477796.61</v>
      </c>
      <c r="C15" s="2"/>
      <c r="D15" s="2">
        <v>73880.86</v>
      </c>
      <c r="E15" s="2"/>
      <c r="F15" s="2"/>
      <c r="G15" s="2"/>
      <c r="H15" s="2"/>
      <c r="I15" s="2">
        <v>9746610.1699999999</v>
      </c>
      <c r="J15" s="2"/>
      <c r="K15" s="2">
        <v>11298287.640000001</v>
      </c>
      <c r="L15" s="2"/>
      <c r="M15" s="2"/>
      <c r="N15" s="2"/>
      <c r="O15" s="2">
        <v>11298287.640000001</v>
      </c>
    </row>
    <row r="16" spans="1:15" x14ac:dyDescent="0.35">
      <c r="A16" s="26" t="s">
        <v>11</v>
      </c>
      <c r="B16" s="2"/>
      <c r="C16" s="2"/>
      <c r="D16" s="2">
        <v>266949.15000000002</v>
      </c>
      <c r="E16" s="2">
        <v>10000</v>
      </c>
      <c r="F16" s="2"/>
      <c r="G16" s="2"/>
      <c r="H16" s="2"/>
      <c r="I16" s="2"/>
      <c r="J16" s="2"/>
      <c r="K16" s="2">
        <v>276949.15000000002</v>
      </c>
      <c r="L16" s="2"/>
      <c r="M16" s="2"/>
      <c r="N16" s="2"/>
      <c r="O16" s="2">
        <v>276949.15000000002</v>
      </c>
    </row>
    <row r="17" spans="1:18" x14ac:dyDescent="0.35">
      <c r="A17" s="26" t="s">
        <v>3717</v>
      </c>
      <c r="B17" s="2"/>
      <c r="C17" s="2"/>
      <c r="D17" s="2"/>
      <c r="E17" s="2"/>
      <c r="F17" s="2"/>
      <c r="G17" s="2"/>
      <c r="H17" s="2"/>
      <c r="I17" s="2"/>
      <c r="J17" s="2">
        <v>8129661.0199999996</v>
      </c>
      <c r="K17" s="2">
        <v>8129661.0199999996</v>
      </c>
      <c r="L17" s="2"/>
      <c r="M17" s="2"/>
      <c r="N17" s="2"/>
      <c r="O17" s="2">
        <v>8129661.0199999996</v>
      </c>
    </row>
    <row r="18" spans="1:18" x14ac:dyDescent="0.35">
      <c r="A18" s="25" t="s">
        <v>12</v>
      </c>
      <c r="B18" s="2"/>
      <c r="C18" s="2"/>
      <c r="D18" s="2"/>
      <c r="E18" s="2"/>
      <c r="F18" s="2"/>
      <c r="G18" s="2">
        <v>-33815397.810000002</v>
      </c>
      <c r="H18" s="2">
        <v>-30294596.199999999</v>
      </c>
      <c r="I18" s="2">
        <v>-31158446.609999999</v>
      </c>
      <c r="J18" s="2"/>
      <c r="K18" s="2">
        <v>-95268440.620000005</v>
      </c>
      <c r="L18" s="2"/>
      <c r="M18" s="2"/>
      <c r="N18" s="2"/>
      <c r="O18" s="2">
        <v>-95268440.620000005</v>
      </c>
    </row>
    <row r="19" spans="1:18" x14ac:dyDescent="0.35">
      <c r="A19" s="26" t="s">
        <v>2630</v>
      </c>
      <c r="B19" s="2"/>
      <c r="C19" s="2"/>
      <c r="D19" s="2"/>
      <c r="E19" s="2"/>
      <c r="F19" s="2"/>
      <c r="G19" s="2">
        <v>-33815397.810000002</v>
      </c>
      <c r="H19" s="2">
        <v>-10169492</v>
      </c>
      <c r="I19" s="2">
        <v>5932203.3900000006</v>
      </c>
      <c r="J19" s="2"/>
      <c r="K19" s="2">
        <v>-38052686.420000002</v>
      </c>
      <c r="L19" s="2"/>
      <c r="M19" s="2"/>
      <c r="N19" s="2"/>
      <c r="O19" s="2">
        <v>-38052686.420000002</v>
      </c>
    </row>
    <row r="20" spans="1:18" x14ac:dyDescent="0.35">
      <c r="A20" s="26" t="s">
        <v>2660</v>
      </c>
      <c r="B20" s="2"/>
      <c r="C20" s="2"/>
      <c r="D20" s="2"/>
      <c r="E20" s="2"/>
      <c r="F20" s="2"/>
      <c r="G20" s="2"/>
      <c r="H20" s="2">
        <v>-20125104.199999999</v>
      </c>
      <c r="I20" s="2"/>
      <c r="J20" s="2"/>
      <c r="K20" s="2">
        <v>-20125104.199999999</v>
      </c>
      <c r="L20" s="2"/>
      <c r="M20" s="2"/>
      <c r="N20" s="2"/>
      <c r="O20" s="2">
        <v>-20125104.199999999</v>
      </c>
    </row>
    <row r="21" spans="1:18" x14ac:dyDescent="0.35">
      <c r="A21" s="26" t="s">
        <v>2846</v>
      </c>
      <c r="B21" s="2"/>
      <c r="C21" s="2"/>
      <c r="D21" s="2"/>
      <c r="E21" s="2"/>
      <c r="F21" s="2"/>
      <c r="G21" s="2"/>
      <c r="H21" s="2"/>
      <c r="I21" s="2">
        <v>-37090650</v>
      </c>
      <c r="J21" s="2"/>
      <c r="K21" s="2">
        <v>-37090650</v>
      </c>
      <c r="L21" s="2"/>
      <c r="M21" s="2"/>
      <c r="N21" s="2"/>
      <c r="O21" s="2">
        <v>-37090650</v>
      </c>
    </row>
    <row r="22" spans="1:18" x14ac:dyDescent="0.35">
      <c r="A22" s="25" t="s">
        <v>14</v>
      </c>
      <c r="B22" s="2">
        <v>69779999.939999998</v>
      </c>
      <c r="C22" s="2">
        <v>1314852813.8199999</v>
      </c>
      <c r="D22" s="2">
        <v>631189690.6099999</v>
      </c>
      <c r="E22" s="2">
        <v>-237738093.19000003</v>
      </c>
      <c r="F22" s="2">
        <v>396892074.98000002</v>
      </c>
      <c r="G22" s="2">
        <v>188285259.18000001</v>
      </c>
      <c r="H22" s="2">
        <v>86946009.879999995</v>
      </c>
      <c r="I22" s="2">
        <v>107082564.69</v>
      </c>
      <c r="J22" s="2">
        <v>698987382</v>
      </c>
      <c r="K22" s="2">
        <v>3256277701.9099998</v>
      </c>
      <c r="L22" s="2">
        <v>318513627.06999999</v>
      </c>
      <c r="M22" s="2">
        <v>113254961.38999999</v>
      </c>
      <c r="N22" s="2">
        <v>431768588.45999998</v>
      </c>
      <c r="O22" s="2">
        <v>3688046290.3700008</v>
      </c>
    </row>
    <row r="23" spans="1:18" x14ac:dyDescent="0.35">
      <c r="A23" s="26" t="s">
        <v>15</v>
      </c>
      <c r="B23" s="2"/>
      <c r="C23" s="2"/>
      <c r="D23" s="2"/>
      <c r="E23" s="2"/>
      <c r="F23" s="2">
        <v>40806114.180000007</v>
      </c>
      <c r="G23" s="2">
        <v>24077299.68</v>
      </c>
      <c r="H23" s="2">
        <v>12812691.07</v>
      </c>
      <c r="I23" s="2">
        <v>27852318.880000003</v>
      </c>
      <c r="J23" s="2">
        <v>27759505.839999996</v>
      </c>
      <c r="K23" s="2">
        <v>133307929.65000001</v>
      </c>
      <c r="L23" s="34">
        <v>22114851.48</v>
      </c>
      <c r="M23" s="2">
        <v>31286780.280000001</v>
      </c>
      <c r="N23" s="2">
        <v>53401631.760000005</v>
      </c>
      <c r="O23" s="2">
        <v>186709561.41</v>
      </c>
      <c r="P23" s="1">
        <f>_xlfn.XLOOKUP(A23,'[1]Trial Balance'!$A:$A,'[1]Trial Balance'!$H:$H)</f>
        <v>31286780.280000001</v>
      </c>
      <c r="Q23" s="2">
        <f>+M23-P23</f>
        <v>0</v>
      </c>
      <c r="R23" s="1">
        <f>+O23/2550</f>
        <v>73219.435847058819</v>
      </c>
    </row>
    <row r="24" spans="1:18" x14ac:dyDescent="0.35">
      <c r="A24" s="26" t="s">
        <v>16</v>
      </c>
      <c r="B24" s="2"/>
      <c r="C24" s="2"/>
      <c r="D24" s="2"/>
      <c r="E24" s="2"/>
      <c r="F24" s="2"/>
      <c r="G24" s="2">
        <v>18000000</v>
      </c>
      <c r="H24" s="2"/>
      <c r="I24" s="2">
        <v>7326000</v>
      </c>
      <c r="J24" s="2"/>
      <c r="K24" s="2">
        <v>25326000</v>
      </c>
      <c r="L24" s="2"/>
      <c r="M24" s="2"/>
      <c r="N24" s="2"/>
      <c r="O24" s="2">
        <v>25326000</v>
      </c>
      <c r="P24" s="1">
        <f>_xlfn.XLOOKUP(A24,'[1]Trial Balance'!$A:$A,'[1]Trial Balance'!$H:$H)</f>
        <v>0</v>
      </c>
      <c r="Q24" s="2">
        <f t="shared" ref="Q24:Q36" si="0">+M24-P24</f>
        <v>0</v>
      </c>
      <c r="R24" s="1">
        <f t="shared" ref="R24:R36" si="1">+O24/2550</f>
        <v>9931.7647058823532</v>
      </c>
    </row>
    <row r="25" spans="1:18" x14ac:dyDescent="0.35">
      <c r="A25" s="26" t="s">
        <v>17</v>
      </c>
      <c r="B25" s="2">
        <v>50956756.670000002</v>
      </c>
      <c r="C25" s="2">
        <v>460995218.5</v>
      </c>
      <c r="D25" s="2">
        <v>343688808.33999997</v>
      </c>
      <c r="E25" s="2">
        <v>-346853561.15999997</v>
      </c>
      <c r="F25" s="2">
        <v>63349090</v>
      </c>
      <c r="G25" s="2">
        <v>25802500</v>
      </c>
      <c r="H25" s="2"/>
      <c r="I25" s="2"/>
      <c r="J25" s="2">
        <v>12000000</v>
      </c>
      <c r="K25" s="2">
        <v>609938812.35000002</v>
      </c>
      <c r="L25" s="34">
        <v>58262257.5</v>
      </c>
      <c r="M25" s="2">
        <v>11489000</v>
      </c>
      <c r="N25" s="2">
        <v>69751257.5</v>
      </c>
      <c r="O25" s="2">
        <v>679690069.85000002</v>
      </c>
      <c r="P25" s="1">
        <f>_xlfn.XLOOKUP(A25,'[1]Trial Balance'!$A:$A,'[1]Trial Balance'!$H:$H)</f>
        <v>11489000</v>
      </c>
      <c r="Q25" s="2">
        <f t="shared" si="0"/>
        <v>0</v>
      </c>
      <c r="R25" s="1">
        <f t="shared" si="1"/>
        <v>266545.12543137255</v>
      </c>
    </row>
    <row r="26" spans="1:18" x14ac:dyDescent="0.35">
      <c r="A26" s="26" t="s">
        <v>19</v>
      </c>
      <c r="B26" s="2"/>
      <c r="C26" s="2"/>
      <c r="D26" s="2">
        <v>1800000</v>
      </c>
      <c r="E26" s="2">
        <v>-1800000</v>
      </c>
      <c r="F26" s="2"/>
      <c r="G26" s="2"/>
      <c r="H26" s="2"/>
      <c r="I26" s="2"/>
      <c r="J26" s="2"/>
      <c r="K26" s="2">
        <v>0</v>
      </c>
      <c r="L26" s="2"/>
      <c r="M26" s="2"/>
      <c r="N26" s="2"/>
      <c r="O26" s="2">
        <v>0</v>
      </c>
      <c r="P26" s="1">
        <f>_xlfn.XLOOKUP(A26,'[1]Trial Balance'!$A:$A,'[1]Trial Balance'!$H:$H)</f>
        <v>0</v>
      </c>
      <c r="Q26" s="2">
        <f t="shared" si="0"/>
        <v>0</v>
      </c>
      <c r="R26" s="1">
        <f t="shared" si="1"/>
        <v>0</v>
      </c>
    </row>
    <row r="27" spans="1:18" x14ac:dyDescent="0.35">
      <c r="A27" s="26" t="s">
        <v>20</v>
      </c>
      <c r="B27" s="2">
        <v>9321545.129999999</v>
      </c>
      <c r="C27" s="2">
        <v>942227</v>
      </c>
      <c r="D27" s="2">
        <v>16440156</v>
      </c>
      <c r="E27" s="2">
        <v>4387134.9000000004</v>
      </c>
      <c r="F27" s="2">
        <v>5415996.5999999996</v>
      </c>
      <c r="G27" s="2">
        <v>10561537.220000001</v>
      </c>
      <c r="H27" s="2">
        <v>-932908</v>
      </c>
      <c r="I27" s="2">
        <v>2159117.5</v>
      </c>
      <c r="J27" s="2">
        <v>7853497.1999999993</v>
      </c>
      <c r="K27" s="2">
        <v>56148303.549999997</v>
      </c>
      <c r="L27" s="35">
        <v>1184447</v>
      </c>
      <c r="M27" s="2">
        <v>1099395.7999999998</v>
      </c>
      <c r="N27" s="2">
        <v>2283842.7999999998</v>
      </c>
      <c r="O27" s="2">
        <v>58432146.349999994</v>
      </c>
      <c r="P27" s="1">
        <f>_xlfn.XLOOKUP(A27,'[1]Trial Balance'!$A:$A,'[1]Trial Balance'!$H:$H)</f>
        <v>1099395.7999992371</v>
      </c>
      <c r="Q27" s="2">
        <f t="shared" si="0"/>
        <v>7.627531886100769E-7</v>
      </c>
      <c r="R27" s="1">
        <f t="shared" si="1"/>
        <v>22914.567196078428</v>
      </c>
    </row>
    <row r="28" spans="1:18" x14ac:dyDescent="0.35">
      <c r="A28" s="26" t="s">
        <v>22</v>
      </c>
      <c r="B28" s="2">
        <v>3384746.54</v>
      </c>
      <c r="C28" s="2">
        <v>10291417.890000001</v>
      </c>
      <c r="D28" s="2">
        <v>132377879.79999991</v>
      </c>
      <c r="E28" s="2">
        <v>56640353.539999977</v>
      </c>
      <c r="F28" s="2">
        <v>46193751.180000015</v>
      </c>
      <c r="G28" s="2">
        <v>8540142.9000000022</v>
      </c>
      <c r="H28" s="2">
        <v>4777696</v>
      </c>
      <c r="I28" s="2"/>
      <c r="J28" s="2"/>
      <c r="K28" s="2">
        <v>262205987.84999987</v>
      </c>
      <c r="L28" s="34">
        <v>170814094</v>
      </c>
      <c r="M28" s="2"/>
      <c r="N28" s="2">
        <v>170814094</v>
      </c>
      <c r="O28" s="2">
        <v>433020081.8499999</v>
      </c>
      <c r="P28" s="1">
        <f>_xlfn.XLOOKUP(A28,'[1]Trial Balance'!$A:$A,'[1]Trial Balance'!$H:$H)</f>
        <v>0</v>
      </c>
      <c r="Q28" s="2">
        <f t="shared" si="0"/>
        <v>0</v>
      </c>
      <c r="R28" s="1">
        <f t="shared" si="1"/>
        <v>169811.79680392152</v>
      </c>
    </row>
    <row r="29" spans="1:18" x14ac:dyDescent="0.35">
      <c r="A29" s="26" t="s">
        <v>23</v>
      </c>
      <c r="B29" s="2">
        <v>330367.96000000002</v>
      </c>
      <c r="C29" s="2">
        <v>1250610.1199999999</v>
      </c>
      <c r="D29" s="2">
        <v>20426316.999999996</v>
      </c>
      <c r="E29" s="2">
        <v>25173384.009999998</v>
      </c>
      <c r="F29" s="2">
        <v>63888517.460000001</v>
      </c>
      <c r="G29" s="2">
        <v>906224.92999999993</v>
      </c>
      <c r="H29" s="2">
        <v>4375000</v>
      </c>
      <c r="I29" s="2"/>
      <c r="J29" s="2"/>
      <c r="K29" s="2">
        <v>116350421.47999999</v>
      </c>
      <c r="L29" s="34">
        <v>24000</v>
      </c>
      <c r="M29" s="2"/>
      <c r="N29" s="2">
        <v>24000</v>
      </c>
      <c r="O29" s="2">
        <v>116374421.47999999</v>
      </c>
      <c r="P29" s="1">
        <f>_xlfn.XLOOKUP(A29,'[1]Trial Balance'!$A:$A,'[1]Trial Balance'!$H:$H)</f>
        <v>0</v>
      </c>
      <c r="Q29" s="2">
        <f t="shared" si="0"/>
        <v>0</v>
      </c>
      <c r="R29" s="1">
        <f t="shared" si="1"/>
        <v>45637.028031372545</v>
      </c>
    </row>
    <row r="30" spans="1:18" x14ac:dyDescent="0.35">
      <c r="A30" s="26" t="s">
        <v>24</v>
      </c>
      <c r="B30" s="2">
        <v>350000</v>
      </c>
      <c r="C30" s="2"/>
      <c r="D30" s="2"/>
      <c r="E30" s="2">
        <v>-350000</v>
      </c>
      <c r="F30" s="2"/>
      <c r="G30" s="2"/>
      <c r="H30" s="2"/>
      <c r="I30" s="2"/>
      <c r="J30" s="2"/>
      <c r="K30" s="2">
        <v>0</v>
      </c>
      <c r="L30" s="2"/>
      <c r="M30" s="2"/>
      <c r="N30" s="2"/>
      <c r="O30" s="2">
        <v>0</v>
      </c>
      <c r="P30" s="1">
        <f>_xlfn.XLOOKUP(A30,'[1]Trial Balance'!$A:$A,'[1]Trial Balance'!$H:$H)</f>
        <v>0</v>
      </c>
      <c r="Q30" s="2">
        <f t="shared" si="0"/>
        <v>0</v>
      </c>
      <c r="R30" s="1">
        <f t="shared" si="1"/>
        <v>0</v>
      </c>
    </row>
    <row r="31" spans="1:18" x14ac:dyDescent="0.35">
      <c r="A31" s="26" t="s">
        <v>26</v>
      </c>
      <c r="B31" s="2"/>
      <c r="C31" s="2">
        <v>839087291.13</v>
      </c>
      <c r="D31" s="2"/>
      <c r="E31" s="2"/>
      <c r="F31" s="2">
        <v>106720000</v>
      </c>
      <c r="G31" s="2"/>
      <c r="H31" s="2"/>
      <c r="I31" s="2"/>
      <c r="J31" s="2"/>
      <c r="K31" s="2">
        <v>945807291.13</v>
      </c>
      <c r="L31" s="2"/>
      <c r="M31" s="2"/>
      <c r="N31" s="2"/>
      <c r="O31" s="2">
        <v>945807291.13</v>
      </c>
      <c r="P31" s="1">
        <f>_xlfn.XLOOKUP(A31,'[1]Trial Balance'!$A:$A,'[1]Trial Balance'!$H:$H)</f>
        <v>0</v>
      </c>
      <c r="Q31" s="2">
        <f t="shared" si="0"/>
        <v>0</v>
      </c>
      <c r="R31" s="1">
        <f t="shared" si="1"/>
        <v>370904.82005098037</v>
      </c>
    </row>
    <row r="32" spans="1:18" x14ac:dyDescent="0.35">
      <c r="A32" s="26" t="s">
        <v>27</v>
      </c>
      <c r="B32" s="2">
        <v>470489.95</v>
      </c>
      <c r="C32" s="2">
        <v>907799.42</v>
      </c>
      <c r="D32" s="2">
        <v>4358431.83</v>
      </c>
      <c r="E32" s="2">
        <v>8250681.6899999995</v>
      </c>
      <c r="F32" s="2">
        <v>8514093.3200000003</v>
      </c>
      <c r="G32" s="2">
        <v>3165972.1000000006</v>
      </c>
      <c r="H32" s="2">
        <v>428417.62</v>
      </c>
      <c r="I32" s="2">
        <v>428417.62</v>
      </c>
      <c r="J32" s="2">
        <v>10348436.199999999</v>
      </c>
      <c r="K32" s="2">
        <v>36872739.75</v>
      </c>
      <c r="L32" s="2"/>
      <c r="M32" s="2">
        <v>23483743.18</v>
      </c>
      <c r="N32" s="2">
        <v>23483743.18</v>
      </c>
      <c r="O32" s="2">
        <v>60356482.93</v>
      </c>
      <c r="P32" s="1">
        <f>_xlfn.XLOOKUP(A32,'[1]Trial Balance'!$A:$A,'[1]Trial Balance'!$H:$H)</f>
        <v>23483743.180000011</v>
      </c>
      <c r="Q32" s="2">
        <f t="shared" si="0"/>
        <v>0</v>
      </c>
      <c r="R32" s="1">
        <f t="shared" si="1"/>
        <v>23669.208992156862</v>
      </c>
    </row>
    <row r="33" spans="1:18" x14ac:dyDescent="0.35">
      <c r="A33" s="26" t="s">
        <v>28</v>
      </c>
      <c r="B33" s="2">
        <v>4476000</v>
      </c>
      <c r="C33" s="2"/>
      <c r="D33" s="2">
        <v>66508500</v>
      </c>
      <c r="E33" s="2">
        <v>4401000</v>
      </c>
      <c r="F33" s="2">
        <v>24122326.5</v>
      </c>
      <c r="G33" s="2">
        <v>86995997.079999983</v>
      </c>
      <c r="H33" s="2">
        <v>17478953</v>
      </c>
      <c r="I33" s="2">
        <v>19188346.560000002</v>
      </c>
      <c r="J33" s="2">
        <v>629341724</v>
      </c>
      <c r="K33" s="2">
        <v>852512847.13999999</v>
      </c>
      <c r="L33" s="35">
        <v>58484383.57</v>
      </c>
      <c r="M33" s="2">
        <v>22320201.969999999</v>
      </c>
      <c r="N33" s="2">
        <v>80804585.539999992</v>
      </c>
      <c r="O33" s="2">
        <v>933317432.68000007</v>
      </c>
      <c r="P33" s="1">
        <f>_xlfn.XLOOKUP(A33,'[1]Trial Balance'!$A:$A,'[1]Trial Balance'!$H:$H)</f>
        <v>22320201.970000003</v>
      </c>
      <c r="Q33" s="2">
        <f t="shared" si="0"/>
        <v>0</v>
      </c>
      <c r="R33" s="1">
        <f t="shared" si="1"/>
        <v>366006.83634509804</v>
      </c>
    </row>
    <row r="34" spans="1:18" x14ac:dyDescent="0.35">
      <c r="A34" s="26" t="s">
        <v>29</v>
      </c>
      <c r="B34" s="2">
        <v>490093.69</v>
      </c>
      <c r="C34" s="2">
        <v>378249.76</v>
      </c>
      <c r="D34" s="2">
        <v>8157375.5699999984</v>
      </c>
      <c r="E34" s="2">
        <v>7390763.6799999997</v>
      </c>
      <c r="F34" s="2">
        <v>28923737.099999998</v>
      </c>
      <c r="G34" s="2">
        <v>4352163.74</v>
      </c>
      <c r="H34" s="2">
        <v>11182858.140000001</v>
      </c>
      <c r="I34" s="2">
        <v>27362857.929999996</v>
      </c>
      <c r="J34" s="2"/>
      <c r="K34" s="2">
        <v>88238099.609999999</v>
      </c>
      <c r="L34" s="2"/>
      <c r="M34" s="2"/>
      <c r="N34" s="2"/>
      <c r="O34" s="2">
        <v>88238099.609999999</v>
      </c>
      <c r="P34" s="1">
        <f>_xlfn.XLOOKUP(A34,'[1]Trial Balance'!$A:$A,'[1]Trial Balance'!$H:$H)</f>
        <v>0</v>
      </c>
      <c r="Q34" s="2">
        <f t="shared" si="0"/>
        <v>0</v>
      </c>
      <c r="R34" s="1">
        <f t="shared" si="1"/>
        <v>34603.176317647056</v>
      </c>
    </row>
    <row r="35" spans="1:18" x14ac:dyDescent="0.35">
      <c r="A35" s="26" t="s">
        <v>30</v>
      </c>
      <c r="B35" s="2"/>
      <c r="C35" s="2">
        <v>1000000</v>
      </c>
      <c r="D35" s="2">
        <v>37432222.07</v>
      </c>
      <c r="E35" s="2">
        <v>5022150.1500000004</v>
      </c>
      <c r="F35" s="2">
        <v>8958448.6400000006</v>
      </c>
      <c r="G35" s="2">
        <v>3180077.72</v>
      </c>
      <c r="H35" s="2">
        <v>2284252.9299999992</v>
      </c>
      <c r="I35" s="2"/>
      <c r="J35" s="2"/>
      <c r="K35" s="2">
        <v>57877151.509999998</v>
      </c>
      <c r="L35" s="2"/>
      <c r="M35" s="2"/>
      <c r="N35" s="2"/>
      <c r="O35" s="2">
        <v>57877151.509999998</v>
      </c>
      <c r="P35" s="1">
        <f>_xlfn.XLOOKUP(A35,'[1]Trial Balance'!$A:$A,'[1]Trial Balance'!$H:$H)</f>
        <v>0</v>
      </c>
      <c r="Q35" s="2">
        <f t="shared" si="0"/>
        <v>0</v>
      </c>
      <c r="R35" s="1">
        <f t="shared" si="1"/>
        <v>22696.922160784314</v>
      </c>
    </row>
    <row r="36" spans="1:18" x14ac:dyDescent="0.35">
      <c r="A36" s="26" t="s">
        <v>31</v>
      </c>
      <c r="B36" s="2"/>
      <c r="C36" s="2"/>
      <c r="D36" s="2"/>
      <c r="E36" s="2"/>
      <c r="F36" s="2"/>
      <c r="G36" s="2">
        <v>2703343.81</v>
      </c>
      <c r="H36" s="2">
        <v>34539049.120000005</v>
      </c>
      <c r="I36" s="2">
        <v>22765506.199999999</v>
      </c>
      <c r="J36" s="2">
        <v>11684218.759999998</v>
      </c>
      <c r="K36" s="2">
        <v>71692117.890000015</v>
      </c>
      <c r="L36" s="34">
        <v>7629593.5200000014</v>
      </c>
      <c r="M36" s="2">
        <v>23575840.16</v>
      </c>
      <c r="N36" s="2">
        <v>31205433.68</v>
      </c>
      <c r="O36" s="2">
        <v>102897551.57000001</v>
      </c>
      <c r="P36" s="1">
        <f>_xlfn.XLOOKUP(A36,'[1]Trial Balance'!$A:$A,'[1]Trial Balance'!$H:$H)</f>
        <v>23575840.16</v>
      </c>
      <c r="Q36" s="2">
        <f t="shared" si="0"/>
        <v>0</v>
      </c>
      <c r="R36" s="1">
        <f t="shared" si="1"/>
        <v>40351.98100784314</v>
      </c>
    </row>
    <row r="37" spans="1:18" x14ac:dyDescent="0.35">
      <c r="A37" s="25" t="s">
        <v>41</v>
      </c>
      <c r="B37" s="2">
        <v>466330924.30000001</v>
      </c>
      <c r="C37" s="2">
        <v>1319800497.51</v>
      </c>
      <c r="D37" s="2">
        <v>632821420.61999989</v>
      </c>
      <c r="E37" s="2">
        <v>-150662080.98999998</v>
      </c>
      <c r="F37" s="2">
        <v>403534594.76000005</v>
      </c>
      <c r="G37" s="2">
        <v>163054776.61999997</v>
      </c>
      <c r="H37" s="2">
        <v>63738786.560000002</v>
      </c>
      <c r="I37" s="2">
        <v>879578950.24999988</v>
      </c>
      <c r="J37" s="2">
        <v>780805797.54999995</v>
      </c>
      <c r="K37" s="2">
        <v>4559003667.1800003</v>
      </c>
      <c r="L37" s="2">
        <v>318513627.06999999</v>
      </c>
      <c r="M37" s="2">
        <v>113254961.38999999</v>
      </c>
      <c r="N37" s="2">
        <v>431768588.45999998</v>
      </c>
      <c r="O37" s="2">
        <v>4990772255.6399994</v>
      </c>
      <c r="R37" s="2">
        <f>SUM(R23:R36)</f>
        <v>1446292.6628901958</v>
      </c>
    </row>
    <row r="38" spans="1:18" x14ac:dyDescent="0.35">
      <c r="K38" s="1"/>
      <c r="L38" s="1"/>
      <c r="M38" s="2"/>
      <c r="N38" s="2"/>
      <c r="O38" s="2" t="e">
        <f>+'Bud vs Actual'!#REF!</f>
        <v>#REF!</v>
      </c>
    </row>
    <row r="39" spans="1:18" x14ac:dyDescent="0.35">
      <c r="O39" s="2" t="e">
        <f>+O38-O37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44D7-8A75-4031-948A-5DE317A7F203}">
  <sheetPr filterMode="1"/>
  <dimension ref="A1:AD1812"/>
  <sheetViews>
    <sheetView topLeftCell="Y1" zoomScale="85" zoomScaleNormal="85" workbookViewId="0">
      <selection activeCell="AA16" sqref="AA16"/>
    </sheetView>
  </sheetViews>
  <sheetFormatPr defaultRowHeight="14.5" x14ac:dyDescent="0.35"/>
  <cols>
    <col min="1" max="1" width="6.7265625" customWidth="1"/>
    <col min="2" max="3" width="15.7265625" style="21" customWidth="1"/>
    <col min="4" max="12" width="15.7265625" customWidth="1"/>
    <col min="13" max="13" width="35.7265625" customWidth="1"/>
    <col min="14" max="14" width="32.7265625" customWidth="1"/>
    <col min="15" max="16" width="15.7265625" customWidth="1"/>
    <col min="17" max="17" width="17" customWidth="1"/>
    <col min="18" max="18" width="13.26953125" customWidth="1"/>
    <col min="19" max="19" width="16.81640625" customWidth="1"/>
    <col min="20" max="25" width="15.7265625" customWidth="1"/>
    <col min="26" max="26" width="46.453125" bestFit="1" customWidth="1"/>
    <col min="27" max="27" width="44" customWidth="1"/>
    <col min="28" max="28" width="52.54296875" customWidth="1"/>
    <col min="29" max="29" width="14" bestFit="1" customWidth="1"/>
    <col min="30" max="30" width="12.26953125" bestFit="1" customWidth="1"/>
  </cols>
  <sheetData>
    <row r="1" spans="1:30" x14ac:dyDescent="0.35">
      <c r="AA1" t="s">
        <v>710</v>
      </c>
      <c r="AC1">
        <v>2550</v>
      </c>
    </row>
    <row r="2" spans="1:30" ht="20.149999999999999" customHeight="1" x14ac:dyDescent="0.35">
      <c r="A2" s="19" t="s">
        <v>2596</v>
      </c>
      <c r="B2" s="20" t="s">
        <v>2595</v>
      </c>
      <c r="C2" s="20" t="s">
        <v>2594</v>
      </c>
      <c r="D2" s="19" t="s">
        <v>2593</v>
      </c>
      <c r="E2" s="19" t="s">
        <v>2592</v>
      </c>
      <c r="F2" s="19" t="s">
        <v>2591</v>
      </c>
      <c r="G2" s="19" t="s">
        <v>2590</v>
      </c>
      <c r="H2" s="19" t="s">
        <v>2589</v>
      </c>
      <c r="I2" s="19" t="s">
        <v>2588</v>
      </c>
      <c r="J2" s="19" t="s">
        <v>2587</v>
      </c>
      <c r="K2" s="19" t="s">
        <v>2586</v>
      </c>
      <c r="L2" s="19" t="s">
        <v>2585</v>
      </c>
      <c r="M2" s="19" t="s">
        <v>2584</v>
      </c>
      <c r="N2" s="19" t="s">
        <v>2583</v>
      </c>
      <c r="O2" s="19" t="s">
        <v>2582</v>
      </c>
      <c r="P2" s="19" t="s">
        <v>2581</v>
      </c>
      <c r="Q2" s="19" t="s">
        <v>0</v>
      </c>
      <c r="R2" s="19" t="s">
        <v>1</v>
      </c>
      <c r="S2" s="19" t="s">
        <v>2580</v>
      </c>
      <c r="T2" s="19" t="s">
        <v>2579</v>
      </c>
      <c r="U2" s="19" t="s">
        <v>2578</v>
      </c>
      <c r="V2" s="19" t="s">
        <v>2577</v>
      </c>
      <c r="W2" s="19" t="s">
        <v>2576</v>
      </c>
      <c r="X2" s="19" t="s">
        <v>2575</v>
      </c>
      <c r="Y2" s="19" t="s">
        <v>2598</v>
      </c>
      <c r="Z2" s="19" t="s">
        <v>2597</v>
      </c>
      <c r="AA2" s="19" t="s">
        <v>2574</v>
      </c>
      <c r="AB2" s="19" t="s">
        <v>2601</v>
      </c>
      <c r="AC2" s="19" t="s">
        <v>2600</v>
      </c>
      <c r="AD2" s="19" t="s">
        <v>2617</v>
      </c>
    </row>
    <row r="3" spans="1:30" x14ac:dyDescent="0.35">
      <c r="A3" s="7">
        <v>26</v>
      </c>
      <c r="B3" s="6">
        <v>45749.276342592595</v>
      </c>
      <c r="C3" s="6">
        <v>45749</v>
      </c>
      <c r="D3" s="7" t="s">
        <v>2573</v>
      </c>
      <c r="E3" s="7" t="s">
        <v>1981</v>
      </c>
      <c r="F3" s="7"/>
      <c r="G3" s="7" t="s">
        <v>2572</v>
      </c>
      <c r="H3" s="7"/>
      <c r="I3" s="7"/>
      <c r="J3" s="7" t="s">
        <v>1816</v>
      </c>
      <c r="K3" s="7" t="s">
        <v>1815</v>
      </c>
      <c r="L3" s="7" t="s">
        <v>1883</v>
      </c>
      <c r="M3" s="7" t="s">
        <v>17</v>
      </c>
      <c r="N3" s="7" t="s">
        <v>1504</v>
      </c>
      <c r="O3" s="7" t="s">
        <v>68</v>
      </c>
      <c r="P3" s="7" t="s">
        <v>68</v>
      </c>
      <c r="Q3" s="9">
        <v>0</v>
      </c>
      <c r="R3" s="9">
        <v>1560000</v>
      </c>
      <c r="S3" s="9">
        <f t="shared" ref="S3:S66" si="0">+Q3-R3</f>
        <v>-1560000</v>
      </c>
      <c r="T3" s="4" t="s">
        <v>53</v>
      </c>
      <c r="U3" s="7"/>
      <c r="V3" s="7"/>
      <c r="W3" s="9">
        <v>1</v>
      </c>
      <c r="X3" s="7"/>
      <c r="Y3" s="7"/>
      <c r="Z3" s="7" t="s">
        <v>14</v>
      </c>
      <c r="AA3" s="36" t="s">
        <v>17</v>
      </c>
      <c r="AB3" s="4" t="s">
        <v>2602</v>
      </c>
      <c r="AC3" s="22">
        <f t="shared" ref="AC3:AC42" si="1">+S3/$AC$1</f>
        <v>-611.76470588235293</v>
      </c>
      <c r="AD3" s="23">
        <v>300000</v>
      </c>
    </row>
    <row r="4" spans="1:30" hidden="1" x14ac:dyDescent="0.35">
      <c r="A4" s="7">
        <v>27</v>
      </c>
      <c r="B4" s="6">
        <v>45750.412418981483</v>
      </c>
      <c r="C4" s="6">
        <v>45750</v>
      </c>
      <c r="D4" s="7" t="s">
        <v>2571</v>
      </c>
      <c r="E4" s="7" t="s">
        <v>714</v>
      </c>
      <c r="F4" s="7"/>
      <c r="G4" s="7" t="s">
        <v>2570</v>
      </c>
      <c r="H4" s="7" t="s">
        <v>2427</v>
      </c>
      <c r="I4" s="7" t="s">
        <v>2426</v>
      </c>
      <c r="J4" s="7" t="s">
        <v>1816</v>
      </c>
      <c r="K4" s="7" t="s">
        <v>1815</v>
      </c>
      <c r="L4" s="7" t="s">
        <v>1814</v>
      </c>
      <c r="M4" s="7" t="s">
        <v>28</v>
      </c>
      <c r="N4" s="7" t="s">
        <v>2146</v>
      </c>
      <c r="O4" s="7" t="s">
        <v>105</v>
      </c>
      <c r="P4" s="7" t="s">
        <v>1775</v>
      </c>
      <c r="Q4" s="9">
        <v>2076000</v>
      </c>
      <c r="R4" s="9">
        <v>0</v>
      </c>
      <c r="S4" s="9">
        <f t="shared" si="0"/>
        <v>2076000</v>
      </c>
      <c r="T4" s="4" t="s">
        <v>53</v>
      </c>
      <c r="U4" s="7"/>
      <c r="V4" s="7"/>
      <c r="W4" s="9">
        <v>1</v>
      </c>
      <c r="X4" s="7"/>
      <c r="Y4" s="7"/>
      <c r="Z4" s="7" t="s">
        <v>14</v>
      </c>
      <c r="AA4" s="36" t="s">
        <v>28</v>
      </c>
      <c r="AB4" s="4"/>
      <c r="AC4" s="22">
        <f t="shared" si="1"/>
        <v>814.11764705882354</v>
      </c>
      <c r="AD4" s="23">
        <v>0</v>
      </c>
    </row>
    <row r="5" spans="1:30" x14ac:dyDescent="0.35">
      <c r="A5" s="7">
        <v>28</v>
      </c>
      <c r="B5" s="6">
        <v>45750</v>
      </c>
      <c r="C5" s="6">
        <v>45750</v>
      </c>
      <c r="D5" s="7" t="s">
        <v>1696</v>
      </c>
      <c r="E5" s="7" t="s">
        <v>61</v>
      </c>
      <c r="F5" s="7" t="s">
        <v>1695</v>
      </c>
      <c r="G5" s="7" t="s">
        <v>1695</v>
      </c>
      <c r="H5" s="7"/>
      <c r="I5" s="7"/>
      <c r="J5" s="7" t="s">
        <v>59</v>
      </c>
      <c r="K5" s="7" t="s">
        <v>58</v>
      </c>
      <c r="L5" s="7" t="s">
        <v>57</v>
      </c>
      <c r="M5" s="7" t="s">
        <v>1071</v>
      </c>
      <c r="N5" s="7" t="s">
        <v>1504</v>
      </c>
      <c r="O5" s="7" t="s">
        <v>68</v>
      </c>
      <c r="P5" s="7" t="s">
        <v>68</v>
      </c>
      <c r="Q5" s="11">
        <v>1000000</v>
      </c>
      <c r="R5" s="11">
        <v>0</v>
      </c>
      <c r="S5" s="9">
        <f t="shared" si="0"/>
        <v>1000000</v>
      </c>
      <c r="T5" s="4" t="s">
        <v>53</v>
      </c>
      <c r="U5" s="7" t="s">
        <v>610</v>
      </c>
      <c r="V5" s="4"/>
      <c r="W5" s="9">
        <v>-4</v>
      </c>
      <c r="X5" s="7" t="s">
        <v>94</v>
      </c>
      <c r="Y5" s="7"/>
      <c r="Z5" s="7" t="s">
        <v>14</v>
      </c>
      <c r="AA5" s="36" t="s">
        <v>17</v>
      </c>
      <c r="AB5" s="4" t="s">
        <v>2602</v>
      </c>
      <c r="AC5" s="22">
        <f t="shared" si="1"/>
        <v>392.15686274509807</v>
      </c>
      <c r="AD5" s="23">
        <v>0</v>
      </c>
    </row>
    <row r="6" spans="1:30" x14ac:dyDescent="0.35">
      <c r="A6" s="7">
        <v>29</v>
      </c>
      <c r="B6" s="6">
        <v>45750</v>
      </c>
      <c r="C6" s="6">
        <v>45750</v>
      </c>
      <c r="D6" s="7" t="s">
        <v>1694</v>
      </c>
      <c r="E6" s="7" t="s">
        <v>61</v>
      </c>
      <c r="F6" s="7" t="s">
        <v>1693</v>
      </c>
      <c r="G6" s="7" t="s">
        <v>1693</v>
      </c>
      <c r="H6" s="7"/>
      <c r="I6" s="7"/>
      <c r="J6" s="7" t="s">
        <v>59</v>
      </c>
      <c r="K6" s="7" t="s">
        <v>58</v>
      </c>
      <c r="L6" s="7" t="s">
        <v>57</v>
      </c>
      <c r="M6" s="7" t="s">
        <v>1071</v>
      </c>
      <c r="N6" s="7" t="s">
        <v>1504</v>
      </c>
      <c r="O6" s="7" t="s">
        <v>68</v>
      </c>
      <c r="P6" s="7" t="s">
        <v>68</v>
      </c>
      <c r="Q6" s="11">
        <v>60000</v>
      </c>
      <c r="R6" s="11">
        <v>0</v>
      </c>
      <c r="S6" s="9">
        <f t="shared" si="0"/>
        <v>60000</v>
      </c>
      <c r="T6" s="4" t="s">
        <v>53</v>
      </c>
      <c r="U6" s="7" t="s">
        <v>121</v>
      </c>
      <c r="V6" s="4"/>
      <c r="W6" s="9">
        <v>-4</v>
      </c>
      <c r="X6" s="7" t="s">
        <v>94</v>
      </c>
      <c r="Y6" s="7"/>
      <c r="Z6" s="7" t="s">
        <v>14</v>
      </c>
      <c r="AA6" s="36" t="s">
        <v>17</v>
      </c>
      <c r="AB6" s="4" t="s">
        <v>2602</v>
      </c>
      <c r="AC6" s="22">
        <f t="shared" si="1"/>
        <v>23.529411764705884</v>
      </c>
      <c r="AD6" s="23">
        <v>0</v>
      </c>
    </row>
    <row r="7" spans="1:30" x14ac:dyDescent="0.35">
      <c r="A7" s="7">
        <v>30</v>
      </c>
      <c r="B7" s="6">
        <v>45750</v>
      </c>
      <c r="C7" s="6">
        <v>45750</v>
      </c>
      <c r="D7" s="7" t="s">
        <v>1692</v>
      </c>
      <c r="E7" s="7" t="s">
        <v>61</v>
      </c>
      <c r="F7" s="7" t="s">
        <v>1691</v>
      </c>
      <c r="G7" s="7" t="s">
        <v>1691</v>
      </c>
      <c r="H7" s="7"/>
      <c r="I7" s="7"/>
      <c r="J7" s="7" t="s">
        <v>59</v>
      </c>
      <c r="K7" s="7" t="s">
        <v>58</v>
      </c>
      <c r="L7" s="7" t="s">
        <v>57</v>
      </c>
      <c r="M7" s="7" t="s">
        <v>1071</v>
      </c>
      <c r="N7" s="7" t="s">
        <v>1690</v>
      </c>
      <c r="O7" s="7" t="s">
        <v>68</v>
      </c>
      <c r="P7" s="7" t="s">
        <v>68</v>
      </c>
      <c r="Q7" s="11">
        <v>350000</v>
      </c>
      <c r="R7" s="11">
        <v>0</v>
      </c>
      <c r="S7" s="9">
        <f t="shared" si="0"/>
        <v>350000</v>
      </c>
      <c r="T7" s="4" t="s">
        <v>53</v>
      </c>
      <c r="U7" s="7" t="s">
        <v>133</v>
      </c>
      <c r="V7" s="4"/>
      <c r="W7" s="9">
        <v>-50</v>
      </c>
      <c r="X7" s="7" t="s">
        <v>124</v>
      </c>
      <c r="Y7" s="7"/>
      <c r="Z7" s="7" t="s">
        <v>14</v>
      </c>
      <c r="AA7" s="36" t="s">
        <v>24</v>
      </c>
      <c r="AB7" s="4" t="s">
        <v>2602</v>
      </c>
      <c r="AC7" s="22">
        <f t="shared" si="1"/>
        <v>137.25490196078431</v>
      </c>
      <c r="AD7" s="23">
        <v>0</v>
      </c>
    </row>
    <row r="8" spans="1:30" x14ac:dyDescent="0.35">
      <c r="A8" s="7">
        <v>31</v>
      </c>
      <c r="B8" s="6">
        <v>45750</v>
      </c>
      <c r="C8" s="6">
        <v>45750</v>
      </c>
      <c r="D8" s="7" t="s">
        <v>1689</v>
      </c>
      <c r="E8" s="7" t="s">
        <v>61</v>
      </c>
      <c r="F8" s="7" t="s">
        <v>1688</v>
      </c>
      <c r="G8" s="7" t="s">
        <v>1688</v>
      </c>
      <c r="H8" s="7"/>
      <c r="I8" s="7"/>
      <c r="J8" s="7" t="s">
        <v>59</v>
      </c>
      <c r="K8" s="7" t="s">
        <v>58</v>
      </c>
      <c r="L8" s="7" t="s">
        <v>70</v>
      </c>
      <c r="M8" s="7" t="s">
        <v>35</v>
      </c>
      <c r="N8" s="7" t="s">
        <v>73</v>
      </c>
      <c r="O8" s="7" t="s">
        <v>68</v>
      </c>
      <c r="P8" s="7" t="s">
        <v>68</v>
      </c>
      <c r="Q8" s="11">
        <v>66951.86</v>
      </c>
      <c r="R8" s="11">
        <v>0</v>
      </c>
      <c r="S8" s="9">
        <f t="shared" si="0"/>
        <v>66951.86</v>
      </c>
      <c r="T8" s="4" t="s">
        <v>53</v>
      </c>
      <c r="U8" s="7" t="s">
        <v>67</v>
      </c>
      <c r="V8" s="4"/>
      <c r="W8" s="9">
        <v>-25</v>
      </c>
      <c r="X8" s="7" t="s">
        <v>51</v>
      </c>
      <c r="Y8" s="7"/>
      <c r="Z8" s="7" t="s">
        <v>14</v>
      </c>
      <c r="AA8" s="36" t="s">
        <v>20</v>
      </c>
      <c r="AB8" s="4" t="s">
        <v>2602</v>
      </c>
      <c r="AC8" s="22">
        <f t="shared" si="1"/>
        <v>26.255631372549018</v>
      </c>
      <c r="AD8" s="23">
        <v>0</v>
      </c>
    </row>
    <row r="9" spans="1:30" x14ac:dyDescent="0.35">
      <c r="A9" s="7">
        <v>32</v>
      </c>
      <c r="B9" s="6">
        <v>45750</v>
      </c>
      <c r="C9" s="6">
        <v>45750</v>
      </c>
      <c r="D9" s="7" t="s">
        <v>1687</v>
      </c>
      <c r="E9" s="7" t="s">
        <v>61</v>
      </c>
      <c r="F9" s="7" t="s">
        <v>1686</v>
      </c>
      <c r="G9" s="7" t="s">
        <v>1686</v>
      </c>
      <c r="H9" s="7"/>
      <c r="I9" s="7"/>
      <c r="J9" s="7" t="s">
        <v>59</v>
      </c>
      <c r="K9" s="7" t="s">
        <v>58</v>
      </c>
      <c r="L9" s="7" t="s">
        <v>70</v>
      </c>
      <c r="M9" s="7" t="s">
        <v>35</v>
      </c>
      <c r="N9" s="7" t="s">
        <v>80</v>
      </c>
      <c r="O9" s="7" t="s">
        <v>68</v>
      </c>
      <c r="P9" s="7" t="s">
        <v>68</v>
      </c>
      <c r="Q9" s="11">
        <v>66951.86</v>
      </c>
      <c r="R9" s="11">
        <v>0</v>
      </c>
      <c r="S9" s="9">
        <f t="shared" si="0"/>
        <v>66951.86</v>
      </c>
      <c r="T9" s="4" t="s">
        <v>53</v>
      </c>
      <c r="U9" s="7" t="s">
        <v>67</v>
      </c>
      <c r="V9" s="4"/>
      <c r="W9" s="9">
        <v>-25</v>
      </c>
      <c r="X9" s="7" t="s">
        <v>51</v>
      </c>
      <c r="Y9" s="7"/>
      <c r="Z9" s="7" t="s">
        <v>14</v>
      </c>
      <c r="AA9" s="36" t="s">
        <v>20</v>
      </c>
      <c r="AB9" s="4" t="s">
        <v>2602</v>
      </c>
      <c r="AC9" s="22">
        <f t="shared" si="1"/>
        <v>26.255631372549018</v>
      </c>
      <c r="AD9" s="23">
        <v>0</v>
      </c>
    </row>
    <row r="10" spans="1:30" x14ac:dyDescent="0.35">
      <c r="A10" s="7">
        <v>33</v>
      </c>
      <c r="B10" s="6">
        <v>45750</v>
      </c>
      <c r="C10" s="6">
        <v>45750</v>
      </c>
      <c r="D10" s="7" t="s">
        <v>1685</v>
      </c>
      <c r="E10" s="7" t="s">
        <v>61</v>
      </c>
      <c r="F10" s="7" t="s">
        <v>1684</v>
      </c>
      <c r="G10" s="7" t="s">
        <v>1684</v>
      </c>
      <c r="H10" s="7"/>
      <c r="I10" s="7"/>
      <c r="J10" s="7" t="s">
        <v>59</v>
      </c>
      <c r="K10" s="7" t="s">
        <v>58</v>
      </c>
      <c r="L10" s="7" t="s">
        <v>70</v>
      </c>
      <c r="M10" s="7" t="s">
        <v>35</v>
      </c>
      <c r="N10" s="7" t="s">
        <v>87</v>
      </c>
      <c r="O10" s="7" t="s">
        <v>68</v>
      </c>
      <c r="P10" s="7" t="s">
        <v>68</v>
      </c>
      <c r="Q10" s="11">
        <v>267807.45</v>
      </c>
      <c r="R10" s="11">
        <v>0</v>
      </c>
      <c r="S10" s="9">
        <f t="shared" si="0"/>
        <v>267807.45</v>
      </c>
      <c r="T10" s="4" t="s">
        <v>53</v>
      </c>
      <c r="U10" s="7" t="s">
        <v>67</v>
      </c>
      <c r="V10" s="4"/>
      <c r="W10" s="9">
        <v>-100</v>
      </c>
      <c r="X10" s="7" t="s">
        <v>51</v>
      </c>
      <c r="Y10" s="7"/>
      <c r="Z10" s="7" t="s">
        <v>14</v>
      </c>
      <c r="AA10" s="36" t="s">
        <v>20</v>
      </c>
      <c r="AB10" s="4" t="s">
        <v>2602</v>
      </c>
      <c r="AC10" s="22">
        <f t="shared" si="1"/>
        <v>105.02252941176471</v>
      </c>
      <c r="AD10" s="23">
        <v>0</v>
      </c>
    </row>
    <row r="11" spans="1:30" x14ac:dyDescent="0.35">
      <c r="A11" s="7">
        <v>34</v>
      </c>
      <c r="B11" s="6">
        <v>45751.575671296298</v>
      </c>
      <c r="C11" s="6">
        <v>45751</v>
      </c>
      <c r="D11" s="7" t="s">
        <v>2569</v>
      </c>
      <c r="E11" s="7" t="s">
        <v>1331</v>
      </c>
      <c r="F11" s="7" t="s">
        <v>1499</v>
      </c>
      <c r="G11" s="7" t="s">
        <v>2568</v>
      </c>
      <c r="H11" s="7" t="s">
        <v>1497</v>
      </c>
      <c r="I11" s="7" t="s">
        <v>1496</v>
      </c>
      <c r="J11" s="7" t="s">
        <v>1816</v>
      </c>
      <c r="K11" s="7" t="s">
        <v>1815</v>
      </c>
      <c r="L11" s="7" t="s">
        <v>1915</v>
      </c>
      <c r="M11" s="7" t="s">
        <v>20</v>
      </c>
      <c r="N11" s="7" t="s">
        <v>1324</v>
      </c>
      <c r="O11" s="7" t="s">
        <v>68</v>
      </c>
      <c r="P11" s="7" t="s">
        <v>68</v>
      </c>
      <c r="Q11" s="9">
        <v>754545</v>
      </c>
      <c r="R11" s="9">
        <v>0</v>
      </c>
      <c r="S11" s="9">
        <f t="shared" si="0"/>
        <v>754545</v>
      </c>
      <c r="T11" s="4" t="s">
        <v>53</v>
      </c>
      <c r="U11" s="7"/>
      <c r="V11" s="7"/>
      <c r="W11" s="9">
        <v>1</v>
      </c>
      <c r="X11" s="7"/>
      <c r="Y11" s="7"/>
      <c r="Z11" s="7" t="s">
        <v>14</v>
      </c>
      <c r="AA11" s="36" t="s">
        <v>20</v>
      </c>
      <c r="AB11" s="4" t="s">
        <v>2602</v>
      </c>
      <c r="AC11" s="22">
        <f t="shared" si="1"/>
        <v>295.89999999999998</v>
      </c>
      <c r="AD11" s="23">
        <v>0</v>
      </c>
    </row>
    <row r="12" spans="1:30" x14ac:dyDescent="0.35">
      <c r="A12" s="7">
        <v>35</v>
      </c>
      <c r="B12" s="6">
        <v>45751.56659722222</v>
      </c>
      <c r="C12" s="6">
        <v>45751</v>
      </c>
      <c r="D12" s="7" t="s">
        <v>2567</v>
      </c>
      <c r="E12" s="7" t="s">
        <v>1331</v>
      </c>
      <c r="F12" s="7" t="s">
        <v>1499</v>
      </c>
      <c r="G12" s="7" t="s">
        <v>2566</v>
      </c>
      <c r="H12" s="7" t="s">
        <v>1497</v>
      </c>
      <c r="I12" s="7" t="s">
        <v>1496</v>
      </c>
      <c r="J12" s="7" t="s">
        <v>1816</v>
      </c>
      <c r="K12" s="7" t="s">
        <v>1815</v>
      </c>
      <c r="L12" s="7" t="s">
        <v>1915</v>
      </c>
      <c r="M12" s="7" t="s">
        <v>20</v>
      </c>
      <c r="N12" s="7" t="s">
        <v>1324</v>
      </c>
      <c r="O12" s="7" t="s">
        <v>68</v>
      </c>
      <c r="P12" s="7" t="s">
        <v>68</v>
      </c>
      <c r="Q12" s="9">
        <v>769340</v>
      </c>
      <c r="R12" s="9">
        <v>0</v>
      </c>
      <c r="S12" s="9">
        <f t="shared" si="0"/>
        <v>769340</v>
      </c>
      <c r="T12" s="4" t="s">
        <v>53</v>
      </c>
      <c r="U12" s="7"/>
      <c r="V12" s="7"/>
      <c r="W12" s="9">
        <v>1</v>
      </c>
      <c r="X12" s="7"/>
      <c r="Y12" s="7"/>
      <c r="Z12" s="7" t="s">
        <v>14</v>
      </c>
      <c r="AA12" s="36" t="s">
        <v>20</v>
      </c>
      <c r="AB12" s="4" t="s">
        <v>2602</v>
      </c>
      <c r="AC12" s="22">
        <f t="shared" si="1"/>
        <v>301.70196078431371</v>
      </c>
      <c r="AD12" s="23">
        <v>0</v>
      </c>
    </row>
    <row r="13" spans="1:30" x14ac:dyDescent="0.35">
      <c r="A13" s="7">
        <v>36</v>
      </c>
      <c r="B13" s="6">
        <v>45751.560300925928</v>
      </c>
      <c r="C13" s="6">
        <v>45751</v>
      </c>
      <c r="D13" s="7" t="s">
        <v>2565</v>
      </c>
      <c r="E13" s="7" t="s">
        <v>1331</v>
      </c>
      <c r="F13" s="7" t="s">
        <v>1499</v>
      </c>
      <c r="G13" s="7" t="s">
        <v>2564</v>
      </c>
      <c r="H13" s="7" t="s">
        <v>1497</v>
      </c>
      <c r="I13" s="7" t="s">
        <v>1496</v>
      </c>
      <c r="J13" s="7" t="s">
        <v>1816</v>
      </c>
      <c r="K13" s="7" t="s">
        <v>1815</v>
      </c>
      <c r="L13" s="7" t="s">
        <v>1915</v>
      </c>
      <c r="M13" s="7" t="s">
        <v>20</v>
      </c>
      <c r="N13" s="7" t="s">
        <v>1324</v>
      </c>
      <c r="O13" s="7" t="s">
        <v>68</v>
      </c>
      <c r="P13" s="7" t="s">
        <v>68</v>
      </c>
      <c r="Q13" s="9">
        <v>769340</v>
      </c>
      <c r="R13" s="9">
        <v>0</v>
      </c>
      <c r="S13" s="9">
        <f t="shared" si="0"/>
        <v>769340</v>
      </c>
      <c r="T13" s="4" t="s">
        <v>53</v>
      </c>
      <c r="U13" s="7"/>
      <c r="V13" s="7"/>
      <c r="W13" s="9">
        <v>1</v>
      </c>
      <c r="X13" s="7"/>
      <c r="Y13" s="7"/>
      <c r="Z13" s="7" t="s">
        <v>14</v>
      </c>
      <c r="AA13" s="36" t="s">
        <v>20</v>
      </c>
      <c r="AB13" s="4" t="s">
        <v>2602</v>
      </c>
      <c r="AC13" s="22">
        <f t="shared" si="1"/>
        <v>301.70196078431371</v>
      </c>
      <c r="AD13" s="23">
        <v>0</v>
      </c>
    </row>
    <row r="14" spans="1:30" x14ac:dyDescent="0.35">
      <c r="A14" s="7">
        <v>37</v>
      </c>
      <c r="B14" s="6">
        <v>45751.555497685185</v>
      </c>
      <c r="C14" s="6">
        <v>45751</v>
      </c>
      <c r="D14" s="7" t="s">
        <v>2563</v>
      </c>
      <c r="E14" s="7" t="s">
        <v>1331</v>
      </c>
      <c r="F14" s="7" t="s">
        <v>1499</v>
      </c>
      <c r="G14" s="7" t="s">
        <v>2562</v>
      </c>
      <c r="H14" s="7" t="s">
        <v>1497</v>
      </c>
      <c r="I14" s="7" t="s">
        <v>1496</v>
      </c>
      <c r="J14" s="7" t="s">
        <v>1816</v>
      </c>
      <c r="K14" s="7" t="s">
        <v>1815</v>
      </c>
      <c r="L14" s="7" t="s">
        <v>1915</v>
      </c>
      <c r="M14" s="7" t="s">
        <v>20</v>
      </c>
      <c r="N14" s="7" t="s">
        <v>1324</v>
      </c>
      <c r="O14" s="7" t="s">
        <v>68</v>
      </c>
      <c r="P14" s="7" t="s">
        <v>68</v>
      </c>
      <c r="Q14" s="9">
        <v>294420.5</v>
      </c>
      <c r="R14" s="9">
        <v>0</v>
      </c>
      <c r="S14" s="9">
        <f t="shared" si="0"/>
        <v>294420.5</v>
      </c>
      <c r="T14" s="4" t="s">
        <v>53</v>
      </c>
      <c r="U14" s="7"/>
      <c r="V14" s="7"/>
      <c r="W14" s="9">
        <v>1</v>
      </c>
      <c r="X14" s="7"/>
      <c r="Y14" s="7"/>
      <c r="Z14" s="7" t="s">
        <v>14</v>
      </c>
      <c r="AA14" s="36" t="s">
        <v>20</v>
      </c>
      <c r="AB14" s="4" t="s">
        <v>2602</v>
      </c>
      <c r="AC14" s="22">
        <f t="shared" si="1"/>
        <v>115.45901960784313</v>
      </c>
      <c r="AD14" s="23">
        <v>0</v>
      </c>
    </row>
    <row r="15" spans="1:30" x14ac:dyDescent="0.35">
      <c r="A15" s="7">
        <v>38</v>
      </c>
      <c r="B15" s="6">
        <v>45751.548668981479</v>
      </c>
      <c r="C15" s="6">
        <v>45751</v>
      </c>
      <c r="D15" s="7" t="s">
        <v>2561</v>
      </c>
      <c r="E15" s="7" t="s">
        <v>1331</v>
      </c>
      <c r="F15" s="7" t="s">
        <v>1499</v>
      </c>
      <c r="G15" s="7" t="s">
        <v>2560</v>
      </c>
      <c r="H15" s="7" t="s">
        <v>1497</v>
      </c>
      <c r="I15" s="7" t="s">
        <v>1496</v>
      </c>
      <c r="J15" s="7" t="s">
        <v>1816</v>
      </c>
      <c r="K15" s="7" t="s">
        <v>1815</v>
      </c>
      <c r="L15" s="7" t="s">
        <v>1915</v>
      </c>
      <c r="M15" s="7" t="s">
        <v>20</v>
      </c>
      <c r="N15" s="7" t="s">
        <v>1324</v>
      </c>
      <c r="O15" s="7" t="s">
        <v>68</v>
      </c>
      <c r="P15" s="7" t="s">
        <v>68</v>
      </c>
      <c r="Q15" s="9">
        <v>837397</v>
      </c>
      <c r="R15" s="9">
        <v>0</v>
      </c>
      <c r="S15" s="9">
        <f t="shared" si="0"/>
        <v>837397</v>
      </c>
      <c r="T15" s="4" t="s">
        <v>53</v>
      </c>
      <c r="U15" s="7"/>
      <c r="V15" s="7"/>
      <c r="W15" s="9">
        <v>1</v>
      </c>
      <c r="X15" s="7"/>
      <c r="Y15" s="7"/>
      <c r="Z15" s="7" t="s">
        <v>14</v>
      </c>
      <c r="AA15" s="36" t="s">
        <v>20</v>
      </c>
      <c r="AB15" s="4" t="s">
        <v>2602</v>
      </c>
      <c r="AC15" s="22">
        <f t="shared" si="1"/>
        <v>328.39098039215685</v>
      </c>
      <c r="AD15" s="23">
        <v>0</v>
      </c>
    </row>
    <row r="16" spans="1:30" x14ac:dyDescent="0.35">
      <c r="A16" s="7">
        <v>39</v>
      </c>
      <c r="B16" s="6">
        <v>45751.545370370368</v>
      </c>
      <c r="C16" s="6">
        <v>45751</v>
      </c>
      <c r="D16" s="7" t="s">
        <v>2559</v>
      </c>
      <c r="E16" s="7" t="s">
        <v>1331</v>
      </c>
      <c r="F16" s="7" t="s">
        <v>2558</v>
      </c>
      <c r="G16" s="7" t="s">
        <v>2557</v>
      </c>
      <c r="H16" s="7" t="s">
        <v>1497</v>
      </c>
      <c r="I16" s="7" t="s">
        <v>1496</v>
      </c>
      <c r="J16" s="7" t="s">
        <v>1816</v>
      </c>
      <c r="K16" s="7" t="s">
        <v>1815</v>
      </c>
      <c r="L16" s="7" t="s">
        <v>1915</v>
      </c>
      <c r="M16" s="7" t="s">
        <v>20</v>
      </c>
      <c r="N16" s="7" t="s">
        <v>1324</v>
      </c>
      <c r="O16" s="7" t="s">
        <v>68</v>
      </c>
      <c r="P16" s="7" t="s">
        <v>68</v>
      </c>
      <c r="Q16" s="9">
        <v>79893</v>
      </c>
      <c r="R16" s="9">
        <v>0</v>
      </c>
      <c r="S16" s="9">
        <f t="shared" si="0"/>
        <v>79893</v>
      </c>
      <c r="T16" s="4" t="s">
        <v>53</v>
      </c>
      <c r="U16" s="7"/>
      <c r="V16" s="7"/>
      <c r="W16" s="9">
        <v>1</v>
      </c>
      <c r="X16" s="7"/>
      <c r="Y16" s="7"/>
      <c r="Z16" s="7" t="s">
        <v>14</v>
      </c>
      <c r="AA16" s="36" t="s">
        <v>20</v>
      </c>
      <c r="AB16" s="4" t="s">
        <v>2602</v>
      </c>
      <c r="AC16" s="22">
        <f t="shared" si="1"/>
        <v>31.330588235294119</v>
      </c>
      <c r="AD16" s="23">
        <v>0</v>
      </c>
    </row>
    <row r="17" spans="1:30" x14ac:dyDescent="0.35">
      <c r="A17" s="7">
        <v>40</v>
      </c>
      <c r="B17" s="6">
        <v>45751.530243055553</v>
      </c>
      <c r="C17" s="6">
        <v>45751</v>
      </c>
      <c r="D17" s="7" t="s">
        <v>2556</v>
      </c>
      <c r="E17" s="7" t="s">
        <v>1331</v>
      </c>
      <c r="F17" s="7" t="s">
        <v>1499</v>
      </c>
      <c r="G17" s="7" t="s">
        <v>2555</v>
      </c>
      <c r="H17" s="7" t="s">
        <v>1497</v>
      </c>
      <c r="I17" s="7" t="s">
        <v>1496</v>
      </c>
      <c r="J17" s="7" t="s">
        <v>1816</v>
      </c>
      <c r="K17" s="7" t="s">
        <v>1815</v>
      </c>
      <c r="L17" s="7" t="s">
        <v>1915</v>
      </c>
      <c r="M17" s="7" t="s">
        <v>20</v>
      </c>
      <c r="N17" s="7" t="s">
        <v>1324</v>
      </c>
      <c r="O17" s="7" t="s">
        <v>68</v>
      </c>
      <c r="P17" s="7" t="s">
        <v>68</v>
      </c>
      <c r="Q17" s="9">
        <v>955757</v>
      </c>
      <c r="R17" s="9">
        <v>0</v>
      </c>
      <c r="S17" s="9">
        <f t="shared" si="0"/>
        <v>955757</v>
      </c>
      <c r="T17" s="4" t="s">
        <v>53</v>
      </c>
      <c r="U17" s="7"/>
      <c r="V17" s="7"/>
      <c r="W17" s="9">
        <v>1</v>
      </c>
      <c r="X17" s="7"/>
      <c r="Y17" s="7"/>
      <c r="Z17" s="7" t="s">
        <v>14</v>
      </c>
      <c r="AA17" s="36" t="s">
        <v>20</v>
      </c>
      <c r="AB17" s="4" t="s">
        <v>2602</v>
      </c>
      <c r="AC17" s="22">
        <f t="shared" si="1"/>
        <v>374.80666666666667</v>
      </c>
      <c r="AD17" s="23">
        <v>0</v>
      </c>
    </row>
    <row r="18" spans="1:30" x14ac:dyDescent="0.35">
      <c r="A18" s="7">
        <v>41</v>
      </c>
      <c r="B18" s="6">
        <v>45751.527743055558</v>
      </c>
      <c r="C18" s="6">
        <v>45751</v>
      </c>
      <c r="D18" s="7" t="s">
        <v>2554</v>
      </c>
      <c r="E18" s="7" t="s">
        <v>1331</v>
      </c>
      <c r="F18" s="7" t="s">
        <v>1499</v>
      </c>
      <c r="G18" s="7" t="s">
        <v>2553</v>
      </c>
      <c r="H18" s="7" t="s">
        <v>1497</v>
      </c>
      <c r="I18" s="7" t="s">
        <v>1496</v>
      </c>
      <c r="J18" s="7" t="s">
        <v>1816</v>
      </c>
      <c r="K18" s="7" t="s">
        <v>1815</v>
      </c>
      <c r="L18" s="7" t="s">
        <v>1915</v>
      </c>
      <c r="M18" s="7" t="s">
        <v>20</v>
      </c>
      <c r="N18" s="7" t="s">
        <v>1324</v>
      </c>
      <c r="O18" s="7" t="s">
        <v>68</v>
      </c>
      <c r="P18" s="7" t="s">
        <v>68</v>
      </c>
      <c r="Q18" s="9">
        <v>201212</v>
      </c>
      <c r="R18" s="9">
        <v>0</v>
      </c>
      <c r="S18" s="9">
        <f t="shared" si="0"/>
        <v>201212</v>
      </c>
      <c r="T18" s="4" t="s">
        <v>53</v>
      </c>
      <c r="U18" s="7"/>
      <c r="V18" s="7"/>
      <c r="W18" s="9">
        <v>1</v>
      </c>
      <c r="X18" s="7"/>
      <c r="Y18" s="7"/>
      <c r="Z18" s="7" t="s">
        <v>14</v>
      </c>
      <c r="AA18" s="36" t="s">
        <v>20</v>
      </c>
      <c r="AB18" s="4" t="s">
        <v>2602</v>
      </c>
      <c r="AC18" s="22">
        <f t="shared" si="1"/>
        <v>78.906666666666666</v>
      </c>
      <c r="AD18" s="23">
        <v>0</v>
      </c>
    </row>
    <row r="19" spans="1:30" x14ac:dyDescent="0.35">
      <c r="A19" s="7">
        <v>42</v>
      </c>
      <c r="B19" s="6">
        <v>45751.525104166663</v>
      </c>
      <c r="C19" s="6">
        <v>45751</v>
      </c>
      <c r="D19" s="7" t="s">
        <v>2552</v>
      </c>
      <c r="E19" s="7" t="s">
        <v>1331</v>
      </c>
      <c r="F19" s="7" t="s">
        <v>1499</v>
      </c>
      <c r="G19" s="7" t="s">
        <v>2551</v>
      </c>
      <c r="H19" s="7" t="s">
        <v>1497</v>
      </c>
      <c r="I19" s="7" t="s">
        <v>1496</v>
      </c>
      <c r="J19" s="7" t="s">
        <v>1816</v>
      </c>
      <c r="K19" s="7" t="s">
        <v>1815</v>
      </c>
      <c r="L19" s="7" t="s">
        <v>1915</v>
      </c>
      <c r="M19" s="7" t="s">
        <v>20</v>
      </c>
      <c r="N19" s="7" t="s">
        <v>1324</v>
      </c>
      <c r="O19" s="7" t="s">
        <v>68</v>
      </c>
      <c r="P19" s="7" t="s">
        <v>68</v>
      </c>
      <c r="Q19" s="9">
        <v>778217</v>
      </c>
      <c r="R19" s="9">
        <v>0</v>
      </c>
      <c r="S19" s="9">
        <f t="shared" si="0"/>
        <v>778217</v>
      </c>
      <c r="T19" s="4" t="s">
        <v>53</v>
      </c>
      <c r="U19" s="7"/>
      <c r="V19" s="7"/>
      <c r="W19" s="9">
        <v>1</v>
      </c>
      <c r="X19" s="7"/>
      <c r="Y19" s="7"/>
      <c r="Z19" s="7" t="s">
        <v>14</v>
      </c>
      <c r="AA19" s="36" t="s">
        <v>20</v>
      </c>
      <c r="AB19" s="4" t="s">
        <v>2602</v>
      </c>
      <c r="AC19" s="22">
        <f t="shared" si="1"/>
        <v>305.18313725490196</v>
      </c>
      <c r="AD19" s="23">
        <v>0</v>
      </c>
    </row>
    <row r="20" spans="1:30" x14ac:dyDescent="0.35">
      <c r="A20" s="7">
        <v>43</v>
      </c>
      <c r="B20" s="6">
        <v>45751.516562500001</v>
      </c>
      <c r="C20" s="6">
        <v>45751</v>
      </c>
      <c r="D20" s="7" t="s">
        <v>2550</v>
      </c>
      <c r="E20" s="7" t="s">
        <v>1331</v>
      </c>
      <c r="F20" s="7" t="s">
        <v>1499</v>
      </c>
      <c r="G20" s="7" t="s">
        <v>2549</v>
      </c>
      <c r="H20" s="7" t="s">
        <v>1497</v>
      </c>
      <c r="I20" s="7" t="s">
        <v>1496</v>
      </c>
      <c r="J20" s="7" t="s">
        <v>1816</v>
      </c>
      <c r="K20" s="7" t="s">
        <v>1815</v>
      </c>
      <c r="L20" s="7" t="s">
        <v>1915</v>
      </c>
      <c r="M20" s="7" t="s">
        <v>20</v>
      </c>
      <c r="N20" s="7" t="s">
        <v>1324</v>
      </c>
      <c r="O20" s="7" t="s">
        <v>68</v>
      </c>
      <c r="P20" s="7" t="s">
        <v>68</v>
      </c>
      <c r="Q20" s="9">
        <v>207130</v>
      </c>
      <c r="R20" s="9">
        <v>0</v>
      </c>
      <c r="S20" s="9">
        <f t="shared" si="0"/>
        <v>207130</v>
      </c>
      <c r="T20" s="4" t="s">
        <v>53</v>
      </c>
      <c r="U20" s="7"/>
      <c r="V20" s="7"/>
      <c r="W20" s="9">
        <v>1</v>
      </c>
      <c r="X20" s="7"/>
      <c r="Y20" s="7"/>
      <c r="Z20" s="7" t="s">
        <v>14</v>
      </c>
      <c r="AA20" s="36" t="s">
        <v>20</v>
      </c>
      <c r="AB20" s="4" t="s">
        <v>2602</v>
      </c>
      <c r="AC20" s="22">
        <f t="shared" si="1"/>
        <v>81.227450980392163</v>
      </c>
      <c r="AD20" s="23">
        <v>0</v>
      </c>
    </row>
    <row r="21" spans="1:30" x14ac:dyDescent="0.35">
      <c r="A21" s="7">
        <v>44</v>
      </c>
      <c r="B21" s="6">
        <v>45751.514363425929</v>
      </c>
      <c r="C21" s="6">
        <v>45751</v>
      </c>
      <c r="D21" s="7" t="s">
        <v>2548</v>
      </c>
      <c r="E21" s="7" t="s">
        <v>1331</v>
      </c>
      <c r="F21" s="7" t="s">
        <v>1499</v>
      </c>
      <c r="G21" s="7" t="s">
        <v>2547</v>
      </c>
      <c r="H21" s="7" t="s">
        <v>1497</v>
      </c>
      <c r="I21" s="7" t="s">
        <v>1496</v>
      </c>
      <c r="J21" s="7" t="s">
        <v>1816</v>
      </c>
      <c r="K21" s="7" t="s">
        <v>1815</v>
      </c>
      <c r="L21" s="7" t="s">
        <v>1915</v>
      </c>
      <c r="M21" s="7" t="s">
        <v>20</v>
      </c>
      <c r="N21" s="7" t="s">
        <v>1324</v>
      </c>
      <c r="O21" s="7" t="s">
        <v>68</v>
      </c>
      <c r="P21" s="7" t="s">
        <v>68</v>
      </c>
      <c r="Q21" s="9">
        <v>756024.5</v>
      </c>
      <c r="R21" s="9">
        <v>0</v>
      </c>
      <c r="S21" s="9">
        <f t="shared" si="0"/>
        <v>756024.5</v>
      </c>
      <c r="T21" s="4" t="s">
        <v>53</v>
      </c>
      <c r="U21" s="7"/>
      <c r="V21" s="7"/>
      <c r="W21" s="9">
        <v>1</v>
      </c>
      <c r="X21" s="7"/>
      <c r="Y21" s="7"/>
      <c r="Z21" s="7" t="s">
        <v>14</v>
      </c>
      <c r="AA21" s="36" t="s">
        <v>20</v>
      </c>
      <c r="AB21" s="4" t="s">
        <v>2602</v>
      </c>
      <c r="AC21" s="22">
        <f t="shared" si="1"/>
        <v>296.48019607843139</v>
      </c>
      <c r="AD21" s="23">
        <v>0</v>
      </c>
    </row>
    <row r="22" spans="1:30" x14ac:dyDescent="0.35">
      <c r="A22" s="7">
        <v>45</v>
      </c>
      <c r="B22" s="6">
        <v>45751.509652777779</v>
      </c>
      <c r="C22" s="6">
        <v>45751</v>
      </c>
      <c r="D22" s="7" t="s">
        <v>2546</v>
      </c>
      <c r="E22" s="7" t="s">
        <v>1331</v>
      </c>
      <c r="F22" s="7" t="s">
        <v>1499</v>
      </c>
      <c r="G22" s="7" t="s">
        <v>2545</v>
      </c>
      <c r="H22" s="7" t="s">
        <v>1497</v>
      </c>
      <c r="I22" s="7" t="s">
        <v>1496</v>
      </c>
      <c r="J22" s="7" t="s">
        <v>1816</v>
      </c>
      <c r="K22" s="7" t="s">
        <v>1815</v>
      </c>
      <c r="L22" s="7" t="s">
        <v>1915</v>
      </c>
      <c r="M22" s="7" t="s">
        <v>20</v>
      </c>
      <c r="N22" s="7" t="s">
        <v>1324</v>
      </c>
      <c r="O22" s="7" t="s">
        <v>68</v>
      </c>
      <c r="P22" s="7" t="s">
        <v>68</v>
      </c>
      <c r="Q22" s="9">
        <v>133155</v>
      </c>
      <c r="R22" s="9">
        <v>0</v>
      </c>
      <c r="S22" s="9">
        <f t="shared" si="0"/>
        <v>133155</v>
      </c>
      <c r="T22" s="4" t="s">
        <v>53</v>
      </c>
      <c r="U22" s="7"/>
      <c r="V22" s="7"/>
      <c r="W22" s="9">
        <v>1</v>
      </c>
      <c r="X22" s="7"/>
      <c r="Y22" s="7"/>
      <c r="Z22" s="7" t="s">
        <v>14</v>
      </c>
      <c r="AA22" s="36" t="s">
        <v>20</v>
      </c>
      <c r="AB22" s="4" t="s">
        <v>2602</v>
      </c>
      <c r="AC22" s="22">
        <f t="shared" si="1"/>
        <v>52.21764705882353</v>
      </c>
      <c r="AD22" s="23">
        <v>0</v>
      </c>
    </row>
    <row r="23" spans="1:30" x14ac:dyDescent="0.35">
      <c r="A23" s="7">
        <v>46</v>
      </c>
      <c r="B23" s="6">
        <v>45751.495393518519</v>
      </c>
      <c r="C23" s="6">
        <v>45751</v>
      </c>
      <c r="D23" s="7" t="s">
        <v>2544</v>
      </c>
      <c r="E23" s="7" t="s">
        <v>1819</v>
      </c>
      <c r="F23" s="7" t="s">
        <v>2236</v>
      </c>
      <c r="G23" s="7" t="s">
        <v>2543</v>
      </c>
      <c r="H23" s="7"/>
      <c r="I23" s="7"/>
      <c r="J23" s="7" t="s">
        <v>2148</v>
      </c>
      <c r="K23" s="7" t="s">
        <v>1815</v>
      </c>
      <c r="L23" s="7" t="s">
        <v>2147</v>
      </c>
      <c r="M23" s="7" t="s">
        <v>4</v>
      </c>
      <c r="N23" s="7" t="s">
        <v>2146</v>
      </c>
      <c r="O23" s="7" t="s">
        <v>105</v>
      </c>
      <c r="P23" s="7" t="s">
        <v>1775</v>
      </c>
      <c r="Q23" s="9">
        <v>5000000</v>
      </c>
      <c r="R23" s="9">
        <v>0</v>
      </c>
      <c r="S23" s="9">
        <f t="shared" si="0"/>
        <v>5000000</v>
      </c>
      <c r="T23" s="4" t="s">
        <v>53</v>
      </c>
      <c r="U23" s="7"/>
      <c r="V23" s="7"/>
      <c r="W23" s="9">
        <v>1</v>
      </c>
      <c r="X23" s="7"/>
      <c r="Y23" s="7"/>
      <c r="Z23" s="7" t="s">
        <v>2</v>
      </c>
      <c r="AA23" s="36" t="s">
        <v>4</v>
      </c>
      <c r="AB23" s="4" t="s">
        <v>2604</v>
      </c>
      <c r="AC23" s="22">
        <f t="shared" si="1"/>
        <v>1960.7843137254902</v>
      </c>
      <c r="AD23" s="23">
        <v>600000</v>
      </c>
    </row>
    <row r="24" spans="1:30" x14ac:dyDescent="0.35">
      <c r="A24" s="7">
        <v>47</v>
      </c>
      <c r="B24" s="6">
        <v>45751.493587962963</v>
      </c>
      <c r="C24" s="6">
        <v>45751</v>
      </c>
      <c r="D24" s="7" t="s">
        <v>2542</v>
      </c>
      <c r="E24" s="7" t="s">
        <v>1819</v>
      </c>
      <c r="F24" s="7" t="s">
        <v>2236</v>
      </c>
      <c r="G24" s="7" t="s">
        <v>2541</v>
      </c>
      <c r="H24" s="7"/>
      <c r="I24" s="7"/>
      <c r="J24" s="7" t="s">
        <v>2148</v>
      </c>
      <c r="K24" s="7" t="s">
        <v>1815</v>
      </c>
      <c r="L24" s="7" t="s">
        <v>2147</v>
      </c>
      <c r="M24" s="7" t="s">
        <v>4</v>
      </c>
      <c r="N24" s="7" t="s">
        <v>2146</v>
      </c>
      <c r="O24" s="7" t="s">
        <v>105</v>
      </c>
      <c r="P24" s="7" t="s">
        <v>1775</v>
      </c>
      <c r="Q24" s="9">
        <v>4000000</v>
      </c>
      <c r="R24" s="9">
        <v>0</v>
      </c>
      <c r="S24" s="9">
        <f t="shared" si="0"/>
        <v>4000000</v>
      </c>
      <c r="T24" s="4" t="s">
        <v>53</v>
      </c>
      <c r="U24" s="7"/>
      <c r="V24" s="7"/>
      <c r="W24" s="9">
        <v>1</v>
      </c>
      <c r="X24" s="7"/>
      <c r="Y24" s="7"/>
      <c r="Z24" s="7" t="s">
        <v>2</v>
      </c>
      <c r="AA24" s="36" t="s">
        <v>4</v>
      </c>
      <c r="AB24" s="4" t="s">
        <v>2604</v>
      </c>
      <c r="AC24" s="22">
        <f t="shared" si="1"/>
        <v>1568.6274509803923</v>
      </c>
      <c r="AD24" s="23">
        <v>0</v>
      </c>
    </row>
    <row r="25" spans="1:30" x14ac:dyDescent="0.35">
      <c r="A25" s="7">
        <v>48</v>
      </c>
      <c r="B25" s="6">
        <v>45751.4919212963</v>
      </c>
      <c r="C25" s="6">
        <v>45751</v>
      </c>
      <c r="D25" s="7" t="s">
        <v>2540</v>
      </c>
      <c r="E25" s="7" t="s">
        <v>1819</v>
      </c>
      <c r="F25" s="7" t="s">
        <v>2236</v>
      </c>
      <c r="G25" s="7" t="s">
        <v>2539</v>
      </c>
      <c r="H25" s="7"/>
      <c r="I25" s="7"/>
      <c r="J25" s="7" t="s">
        <v>2148</v>
      </c>
      <c r="K25" s="7" t="s">
        <v>1815</v>
      </c>
      <c r="L25" s="7" t="s">
        <v>2147</v>
      </c>
      <c r="M25" s="7" t="s">
        <v>4</v>
      </c>
      <c r="N25" s="7" t="s">
        <v>2146</v>
      </c>
      <c r="O25" s="7" t="s">
        <v>105</v>
      </c>
      <c r="P25" s="7" t="s">
        <v>1775</v>
      </c>
      <c r="Q25" s="9">
        <v>2000000</v>
      </c>
      <c r="R25" s="9">
        <v>0</v>
      </c>
      <c r="S25" s="9">
        <f t="shared" si="0"/>
        <v>2000000</v>
      </c>
      <c r="T25" s="4" t="s">
        <v>53</v>
      </c>
      <c r="U25" s="7"/>
      <c r="V25" s="7"/>
      <c r="W25" s="9">
        <v>1</v>
      </c>
      <c r="X25" s="7"/>
      <c r="Y25" s="7"/>
      <c r="Z25" s="7" t="s">
        <v>2</v>
      </c>
      <c r="AA25" s="36" t="s">
        <v>4</v>
      </c>
      <c r="AB25" s="4" t="s">
        <v>2604</v>
      </c>
      <c r="AC25" s="22">
        <f t="shared" si="1"/>
        <v>784.31372549019613</v>
      </c>
      <c r="AD25" s="23">
        <v>0</v>
      </c>
    </row>
    <row r="26" spans="1:30" x14ac:dyDescent="0.35">
      <c r="A26" s="7">
        <v>49</v>
      </c>
      <c r="B26" s="6">
        <v>45751.490023148152</v>
      </c>
      <c r="C26" s="6">
        <v>45751</v>
      </c>
      <c r="D26" s="7" t="s">
        <v>2538</v>
      </c>
      <c r="E26" s="7" t="s">
        <v>1819</v>
      </c>
      <c r="F26" s="7" t="s">
        <v>2537</v>
      </c>
      <c r="G26" s="7" t="s">
        <v>2536</v>
      </c>
      <c r="H26" s="7"/>
      <c r="I26" s="7"/>
      <c r="J26" s="7" t="s">
        <v>2148</v>
      </c>
      <c r="K26" s="7" t="s">
        <v>1815</v>
      </c>
      <c r="L26" s="7" t="s">
        <v>2147</v>
      </c>
      <c r="M26" s="7" t="s">
        <v>4</v>
      </c>
      <c r="N26" s="7" t="s">
        <v>2146</v>
      </c>
      <c r="O26" s="7" t="s">
        <v>105</v>
      </c>
      <c r="P26" s="7" t="s">
        <v>1775</v>
      </c>
      <c r="Q26" s="9">
        <v>3000000</v>
      </c>
      <c r="R26" s="9">
        <v>0</v>
      </c>
      <c r="S26" s="9">
        <f t="shared" si="0"/>
        <v>3000000</v>
      </c>
      <c r="T26" s="4" t="s">
        <v>53</v>
      </c>
      <c r="U26" s="7"/>
      <c r="V26" s="7"/>
      <c r="W26" s="9">
        <v>1</v>
      </c>
      <c r="X26" s="7"/>
      <c r="Y26" s="7"/>
      <c r="Z26" s="7" t="s">
        <v>2</v>
      </c>
      <c r="AA26" s="36" t="s">
        <v>4</v>
      </c>
      <c r="AB26" s="4" t="s">
        <v>2604</v>
      </c>
      <c r="AC26" s="22">
        <f t="shared" si="1"/>
        <v>1176.4705882352941</v>
      </c>
      <c r="AD26" s="23">
        <v>0</v>
      </c>
    </row>
    <row r="27" spans="1:30" x14ac:dyDescent="0.35">
      <c r="A27" s="7">
        <v>50</v>
      </c>
      <c r="B27" s="6">
        <v>45751.456145833334</v>
      </c>
      <c r="C27" s="6">
        <v>45751</v>
      </c>
      <c r="D27" s="7" t="s">
        <v>2535</v>
      </c>
      <c r="E27" s="7" t="s">
        <v>1981</v>
      </c>
      <c r="F27" s="7" t="s">
        <v>2219</v>
      </c>
      <c r="G27" s="7" t="s">
        <v>2534</v>
      </c>
      <c r="H27" s="7"/>
      <c r="I27" s="7"/>
      <c r="J27" s="7" t="s">
        <v>2148</v>
      </c>
      <c r="K27" s="7" t="s">
        <v>1815</v>
      </c>
      <c r="L27" s="7" t="s">
        <v>2147</v>
      </c>
      <c r="M27" s="7" t="s">
        <v>4</v>
      </c>
      <c r="N27" s="7" t="s">
        <v>2146</v>
      </c>
      <c r="O27" s="7" t="s">
        <v>105</v>
      </c>
      <c r="P27" s="7" t="s">
        <v>1775</v>
      </c>
      <c r="Q27" s="9">
        <v>10000000</v>
      </c>
      <c r="R27" s="9">
        <v>0</v>
      </c>
      <c r="S27" s="9">
        <f t="shared" si="0"/>
        <v>10000000</v>
      </c>
      <c r="T27" s="4" t="s">
        <v>53</v>
      </c>
      <c r="U27" s="7"/>
      <c r="V27" s="7"/>
      <c r="W27" s="9">
        <v>1</v>
      </c>
      <c r="X27" s="7"/>
      <c r="Y27" s="7"/>
      <c r="Z27" s="7" t="s">
        <v>2</v>
      </c>
      <c r="AA27" s="36" t="s">
        <v>4</v>
      </c>
      <c r="AB27" s="4" t="s">
        <v>2604</v>
      </c>
      <c r="AC27" s="22">
        <f t="shared" si="1"/>
        <v>3921.5686274509803</v>
      </c>
      <c r="AD27" s="23">
        <v>0</v>
      </c>
    </row>
    <row r="28" spans="1:30" x14ac:dyDescent="0.35">
      <c r="A28" s="7">
        <v>51</v>
      </c>
      <c r="B28" s="6">
        <v>45751.455057870371</v>
      </c>
      <c r="C28" s="6">
        <v>45751</v>
      </c>
      <c r="D28" s="7" t="s">
        <v>2533</v>
      </c>
      <c r="E28" s="7" t="s">
        <v>1981</v>
      </c>
      <c r="F28" s="7" t="s">
        <v>2219</v>
      </c>
      <c r="G28" s="7" t="s">
        <v>2532</v>
      </c>
      <c r="H28" s="7"/>
      <c r="I28" s="7"/>
      <c r="J28" s="7" t="s">
        <v>2148</v>
      </c>
      <c r="K28" s="7" t="s">
        <v>1815</v>
      </c>
      <c r="L28" s="7" t="s">
        <v>2147</v>
      </c>
      <c r="M28" s="7" t="s">
        <v>4</v>
      </c>
      <c r="N28" s="7" t="s">
        <v>2146</v>
      </c>
      <c r="O28" s="7" t="s">
        <v>105</v>
      </c>
      <c r="P28" s="7" t="s">
        <v>1775</v>
      </c>
      <c r="Q28" s="9">
        <v>10000000</v>
      </c>
      <c r="R28" s="9">
        <v>0</v>
      </c>
      <c r="S28" s="9">
        <f t="shared" si="0"/>
        <v>10000000</v>
      </c>
      <c r="T28" s="4" t="s">
        <v>53</v>
      </c>
      <c r="U28" s="7"/>
      <c r="V28" s="7"/>
      <c r="W28" s="9">
        <v>1</v>
      </c>
      <c r="X28" s="7"/>
      <c r="Y28" s="7"/>
      <c r="Z28" s="7" t="s">
        <v>2</v>
      </c>
      <c r="AA28" s="36" t="s">
        <v>4</v>
      </c>
      <c r="AB28" s="4" t="s">
        <v>2604</v>
      </c>
      <c r="AC28" s="22">
        <f t="shared" si="1"/>
        <v>3921.5686274509803</v>
      </c>
      <c r="AD28" s="23">
        <v>0</v>
      </c>
    </row>
    <row r="29" spans="1:30" x14ac:dyDescent="0.35">
      <c r="A29" s="7">
        <v>52</v>
      </c>
      <c r="B29" s="6">
        <v>45751.454050925924</v>
      </c>
      <c r="C29" s="6">
        <v>45751</v>
      </c>
      <c r="D29" s="7" t="s">
        <v>2531</v>
      </c>
      <c r="E29" s="7" t="s">
        <v>1981</v>
      </c>
      <c r="F29" s="7" t="s">
        <v>2219</v>
      </c>
      <c r="G29" s="7" t="s">
        <v>2530</v>
      </c>
      <c r="H29" s="7"/>
      <c r="I29" s="7"/>
      <c r="J29" s="7" t="s">
        <v>2148</v>
      </c>
      <c r="K29" s="7" t="s">
        <v>1815</v>
      </c>
      <c r="L29" s="7" t="s">
        <v>2147</v>
      </c>
      <c r="M29" s="7" t="s">
        <v>4</v>
      </c>
      <c r="N29" s="7" t="s">
        <v>2146</v>
      </c>
      <c r="O29" s="7" t="s">
        <v>105</v>
      </c>
      <c r="P29" s="7" t="s">
        <v>1775</v>
      </c>
      <c r="Q29" s="9">
        <v>10000000</v>
      </c>
      <c r="R29" s="9">
        <v>0</v>
      </c>
      <c r="S29" s="9">
        <f t="shared" si="0"/>
        <v>10000000</v>
      </c>
      <c r="T29" s="4" t="s">
        <v>53</v>
      </c>
      <c r="U29" s="7"/>
      <c r="V29" s="7"/>
      <c r="W29" s="9">
        <v>1</v>
      </c>
      <c r="X29" s="7"/>
      <c r="Y29" s="7"/>
      <c r="Z29" s="7" t="s">
        <v>2</v>
      </c>
      <c r="AA29" s="36" t="s">
        <v>4</v>
      </c>
      <c r="AB29" s="4" t="s">
        <v>2604</v>
      </c>
      <c r="AC29" s="22">
        <f t="shared" si="1"/>
        <v>3921.5686274509803</v>
      </c>
      <c r="AD29" s="23">
        <v>0</v>
      </c>
    </row>
    <row r="30" spans="1:30" x14ac:dyDescent="0.35">
      <c r="A30" s="7">
        <v>53</v>
      </c>
      <c r="B30" s="6">
        <v>45751.452905092592</v>
      </c>
      <c r="C30" s="6">
        <v>45751</v>
      </c>
      <c r="D30" s="7" t="s">
        <v>2529</v>
      </c>
      <c r="E30" s="7" t="s">
        <v>1981</v>
      </c>
      <c r="F30" s="7" t="s">
        <v>2528</v>
      </c>
      <c r="G30" s="7" t="s">
        <v>2527</v>
      </c>
      <c r="H30" s="7"/>
      <c r="I30" s="7"/>
      <c r="J30" s="7" t="s">
        <v>2148</v>
      </c>
      <c r="K30" s="7" t="s">
        <v>1815</v>
      </c>
      <c r="L30" s="7" t="s">
        <v>2147</v>
      </c>
      <c r="M30" s="7" t="s">
        <v>4</v>
      </c>
      <c r="N30" s="7" t="s">
        <v>2146</v>
      </c>
      <c r="O30" s="7" t="s">
        <v>105</v>
      </c>
      <c r="P30" s="7" t="s">
        <v>1775</v>
      </c>
      <c r="Q30" s="9">
        <v>10000000</v>
      </c>
      <c r="R30" s="9">
        <v>0</v>
      </c>
      <c r="S30" s="9">
        <f t="shared" si="0"/>
        <v>10000000</v>
      </c>
      <c r="T30" s="4" t="s">
        <v>53</v>
      </c>
      <c r="U30" s="7"/>
      <c r="V30" s="7"/>
      <c r="W30" s="9">
        <v>1</v>
      </c>
      <c r="X30" s="7"/>
      <c r="Y30" s="7"/>
      <c r="Z30" s="7" t="s">
        <v>2</v>
      </c>
      <c r="AA30" s="36" t="s">
        <v>4</v>
      </c>
      <c r="AB30" s="4" t="s">
        <v>2604</v>
      </c>
      <c r="AC30" s="22">
        <f t="shared" si="1"/>
        <v>3921.5686274509803</v>
      </c>
      <c r="AD30" s="23">
        <v>0</v>
      </c>
    </row>
    <row r="31" spans="1:30" x14ac:dyDescent="0.35">
      <c r="A31" s="7">
        <v>54</v>
      </c>
      <c r="B31" s="6">
        <v>45751.451643518521</v>
      </c>
      <c r="C31" s="6">
        <v>45751</v>
      </c>
      <c r="D31" s="7" t="s">
        <v>2526</v>
      </c>
      <c r="E31" s="7" t="s">
        <v>1981</v>
      </c>
      <c r="F31" s="7" t="s">
        <v>2219</v>
      </c>
      <c r="G31" s="7" t="s">
        <v>2525</v>
      </c>
      <c r="H31" s="7"/>
      <c r="I31" s="7"/>
      <c r="J31" s="7" t="s">
        <v>2148</v>
      </c>
      <c r="K31" s="7" t="s">
        <v>1815</v>
      </c>
      <c r="L31" s="7" t="s">
        <v>2147</v>
      </c>
      <c r="M31" s="7" t="s">
        <v>4</v>
      </c>
      <c r="N31" s="7" t="s">
        <v>2146</v>
      </c>
      <c r="O31" s="7" t="s">
        <v>105</v>
      </c>
      <c r="P31" s="7" t="s">
        <v>1775</v>
      </c>
      <c r="Q31" s="9">
        <v>10000000</v>
      </c>
      <c r="R31" s="9">
        <v>0</v>
      </c>
      <c r="S31" s="9">
        <f t="shared" si="0"/>
        <v>10000000</v>
      </c>
      <c r="T31" s="4" t="s">
        <v>53</v>
      </c>
      <c r="U31" s="7"/>
      <c r="V31" s="7"/>
      <c r="W31" s="9">
        <v>1</v>
      </c>
      <c r="X31" s="7"/>
      <c r="Y31" s="7"/>
      <c r="Z31" s="7" t="s">
        <v>2</v>
      </c>
      <c r="AA31" s="36" t="s">
        <v>4</v>
      </c>
      <c r="AB31" s="4" t="s">
        <v>2604</v>
      </c>
      <c r="AC31" s="22">
        <f t="shared" si="1"/>
        <v>3921.5686274509803</v>
      </c>
      <c r="AD31" s="23">
        <v>0</v>
      </c>
    </row>
    <row r="32" spans="1:30" x14ac:dyDescent="0.35">
      <c r="A32" s="7">
        <v>55</v>
      </c>
      <c r="B32" s="6">
        <v>45751.450706018521</v>
      </c>
      <c r="C32" s="6">
        <v>45751</v>
      </c>
      <c r="D32" s="7" t="s">
        <v>2524</v>
      </c>
      <c r="E32" s="7" t="s">
        <v>1981</v>
      </c>
      <c r="F32" s="7" t="s">
        <v>2219</v>
      </c>
      <c r="G32" s="7" t="s">
        <v>2523</v>
      </c>
      <c r="H32" s="7"/>
      <c r="I32" s="7"/>
      <c r="J32" s="7" t="s">
        <v>2148</v>
      </c>
      <c r="K32" s="7" t="s">
        <v>1815</v>
      </c>
      <c r="L32" s="7" t="s">
        <v>2147</v>
      </c>
      <c r="M32" s="7" t="s">
        <v>4</v>
      </c>
      <c r="N32" s="7" t="s">
        <v>2146</v>
      </c>
      <c r="O32" s="7" t="s">
        <v>105</v>
      </c>
      <c r="P32" s="7" t="s">
        <v>1775</v>
      </c>
      <c r="Q32" s="9">
        <v>10000000</v>
      </c>
      <c r="R32" s="9">
        <v>0</v>
      </c>
      <c r="S32" s="9">
        <f t="shared" si="0"/>
        <v>10000000</v>
      </c>
      <c r="T32" s="4" t="s">
        <v>53</v>
      </c>
      <c r="U32" s="7"/>
      <c r="V32" s="7"/>
      <c r="W32" s="9">
        <v>1</v>
      </c>
      <c r="X32" s="7"/>
      <c r="Y32" s="7"/>
      <c r="Z32" s="7" t="s">
        <v>2</v>
      </c>
      <c r="AA32" s="36" t="s">
        <v>4</v>
      </c>
      <c r="AB32" s="4" t="s">
        <v>2604</v>
      </c>
      <c r="AC32" s="22">
        <f t="shared" si="1"/>
        <v>3921.5686274509803</v>
      </c>
      <c r="AD32" s="23">
        <v>0</v>
      </c>
    </row>
    <row r="33" spans="1:30" x14ac:dyDescent="0.35">
      <c r="A33" s="7">
        <v>56</v>
      </c>
      <c r="B33" s="6">
        <v>45751.449756944443</v>
      </c>
      <c r="C33" s="6">
        <v>45751</v>
      </c>
      <c r="D33" s="7" t="s">
        <v>2522</v>
      </c>
      <c r="E33" s="7" t="s">
        <v>1981</v>
      </c>
      <c r="F33" s="7" t="s">
        <v>2219</v>
      </c>
      <c r="G33" s="7" t="s">
        <v>2521</v>
      </c>
      <c r="H33" s="7"/>
      <c r="I33" s="7"/>
      <c r="J33" s="7" t="s">
        <v>2148</v>
      </c>
      <c r="K33" s="7" t="s">
        <v>1815</v>
      </c>
      <c r="L33" s="7" t="s">
        <v>2147</v>
      </c>
      <c r="M33" s="7" t="s">
        <v>4</v>
      </c>
      <c r="N33" s="7" t="s">
        <v>2146</v>
      </c>
      <c r="O33" s="7" t="s">
        <v>105</v>
      </c>
      <c r="P33" s="7" t="s">
        <v>1775</v>
      </c>
      <c r="Q33" s="9">
        <v>10000000</v>
      </c>
      <c r="R33" s="9">
        <v>0</v>
      </c>
      <c r="S33" s="9">
        <f t="shared" si="0"/>
        <v>10000000</v>
      </c>
      <c r="T33" s="4" t="s">
        <v>53</v>
      </c>
      <c r="U33" s="7"/>
      <c r="V33" s="7"/>
      <c r="W33" s="9">
        <v>1</v>
      </c>
      <c r="X33" s="7"/>
      <c r="Y33" s="7"/>
      <c r="Z33" s="7" t="s">
        <v>2</v>
      </c>
      <c r="AA33" s="36" t="s">
        <v>4</v>
      </c>
      <c r="AB33" s="4" t="s">
        <v>2604</v>
      </c>
      <c r="AC33" s="22">
        <f t="shared" si="1"/>
        <v>3921.5686274509803</v>
      </c>
      <c r="AD33" s="23">
        <v>0</v>
      </c>
    </row>
    <row r="34" spans="1:30" x14ac:dyDescent="0.35">
      <c r="A34" s="7">
        <v>57</v>
      </c>
      <c r="B34" s="6">
        <v>45751.448773148149</v>
      </c>
      <c r="C34" s="6">
        <v>45751</v>
      </c>
      <c r="D34" s="7" t="s">
        <v>2520</v>
      </c>
      <c r="E34" s="7" t="s">
        <v>1981</v>
      </c>
      <c r="F34" s="7" t="s">
        <v>2219</v>
      </c>
      <c r="G34" s="7" t="s">
        <v>2519</v>
      </c>
      <c r="H34" s="7"/>
      <c r="I34" s="7"/>
      <c r="J34" s="7" t="s">
        <v>2148</v>
      </c>
      <c r="K34" s="7" t="s">
        <v>1815</v>
      </c>
      <c r="L34" s="7" t="s">
        <v>2147</v>
      </c>
      <c r="M34" s="7" t="s">
        <v>4</v>
      </c>
      <c r="N34" s="7" t="s">
        <v>2146</v>
      </c>
      <c r="O34" s="7" t="s">
        <v>105</v>
      </c>
      <c r="P34" s="7" t="s">
        <v>1775</v>
      </c>
      <c r="Q34" s="9">
        <v>10000000</v>
      </c>
      <c r="R34" s="9">
        <v>0</v>
      </c>
      <c r="S34" s="9">
        <f t="shared" si="0"/>
        <v>10000000</v>
      </c>
      <c r="T34" s="4" t="s">
        <v>53</v>
      </c>
      <c r="U34" s="7"/>
      <c r="V34" s="7"/>
      <c r="W34" s="9">
        <v>1</v>
      </c>
      <c r="X34" s="7"/>
      <c r="Y34" s="7"/>
      <c r="Z34" s="7" t="s">
        <v>2</v>
      </c>
      <c r="AA34" s="36" t="s">
        <v>4</v>
      </c>
      <c r="AB34" s="4" t="s">
        <v>2604</v>
      </c>
      <c r="AC34" s="22">
        <f t="shared" si="1"/>
        <v>3921.5686274509803</v>
      </c>
      <c r="AD34" s="23">
        <v>0</v>
      </c>
    </row>
    <row r="35" spans="1:30" x14ac:dyDescent="0.35">
      <c r="A35" s="7">
        <v>58</v>
      </c>
      <c r="B35" s="6">
        <v>45751.447291666664</v>
      </c>
      <c r="C35" s="6">
        <v>45751</v>
      </c>
      <c r="D35" s="7" t="s">
        <v>2518</v>
      </c>
      <c r="E35" s="7" t="s">
        <v>1981</v>
      </c>
      <c r="F35" s="7" t="s">
        <v>2219</v>
      </c>
      <c r="G35" s="7" t="s">
        <v>2517</v>
      </c>
      <c r="H35" s="7"/>
      <c r="I35" s="7"/>
      <c r="J35" s="7" t="s">
        <v>2148</v>
      </c>
      <c r="K35" s="7" t="s">
        <v>1815</v>
      </c>
      <c r="L35" s="7" t="s">
        <v>2147</v>
      </c>
      <c r="M35" s="7" t="s">
        <v>4</v>
      </c>
      <c r="N35" s="7" t="s">
        <v>2146</v>
      </c>
      <c r="O35" s="7" t="s">
        <v>105</v>
      </c>
      <c r="P35" s="7" t="s">
        <v>1775</v>
      </c>
      <c r="Q35" s="9">
        <v>10000000</v>
      </c>
      <c r="R35" s="9">
        <v>0</v>
      </c>
      <c r="S35" s="9">
        <f t="shared" si="0"/>
        <v>10000000</v>
      </c>
      <c r="T35" s="4" t="s">
        <v>53</v>
      </c>
      <c r="U35" s="7"/>
      <c r="V35" s="7"/>
      <c r="W35" s="9">
        <v>1</v>
      </c>
      <c r="X35" s="7"/>
      <c r="Y35" s="7"/>
      <c r="Z35" s="7" t="s">
        <v>2</v>
      </c>
      <c r="AA35" s="36" t="s">
        <v>4</v>
      </c>
      <c r="AB35" s="4" t="s">
        <v>2604</v>
      </c>
      <c r="AC35" s="22">
        <f t="shared" si="1"/>
        <v>3921.5686274509803</v>
      </c>
      <c r="AD35" s="23">
        <v>0</v>
      </c>
    </row>
    <row r="36" spans="1:30" x14ac:dyDescent="0.35">
      <c r="A36" s="7">
        <v>59</v>
      </c>
      <c r="B36" s="6">
        <v>45751.445787037039</v>
      </c>
      <c r="C36" s="6">
        <v>45751</v>
      </c>
      <c r="D36" s="7" t="s">
        <v>2516</v>
      </c>
      <c r="E36" s="7" t="s">
        <v>1981</v>
      </c>
      <c r="F36" s="7" t="s">
        <v>2219</v>
      </c>
      <c r="G36" s="7" t="s">
        <v>2515</v>
      </c>
      <c r="H36" s="7"/>
      <c r="I36" s="7"/>
      <c r="J36" s="7" t="s">
        <v>2148</v>
      </c>
      <c r="K36" s="7" t="s">
        <v>1815</v>
      </c>
      <c r="L36" s="7" t="s">
        <v>2147</v>
      </c>
      <c r="M36" s="7" t="s">
        <v>4</v>
      </c>
      <c r="N36" s="7" t="s">
        <v>2146</v>
      </c>
      <c r="O36" s="7" t="s">
        <v>105</v>
      </c>
      <c r="P36" s="7" t="s">
        <v>1775</v>
      </c>
      <c r="Q36" s="9">
        <v>10000000</v>
      </c>
      <c r="R36" s="9">
        <v>0</v>
      </c>
      <c r="S36" s="9">
        <f t="shared" si="0"/>
        <v>10000000</v>
      </c>
      <c r="T36" s="4" t="s">
        <v>53</v>
      </c>
      <c r="U36" s="7"/>
      <c r="V36" s="7"/>
      <c r="W36" s="9">
        <v>1</v>
      </c>
      <c r="X36" s="7"/>
      <c r="Y36" s="7"/>
      <c r="Z36" s="7" t="s">
        <v>2</v>
      </c>
      <c r="AA36" s="36" t="s">
        <v>4</v>
      </c>
      <c r="AB36" s="4" t="s">
        <v>2604</v>
      </c>
      <c r="AC36" s="22">
        <f t="shared" si="1"/>
        <v>3921.5686274509803</v>
      </c>
      <c r="AD36" s="23">
        <v>0</v>
      </c>
    </row>
    <row r="37" spans="1:30" x14ac:dyDescent="0.35">
      <c r="A37" s="7">
        <v>60</v>
      </c>
      <c r="B37" s="6">
        <v>45751.444745370369</v>
      </c>
      <c r="C37" s="6">
        <v>45751</v>
      </c>
      <c r="D37" s="7" t="s">
        <v>2514</v>
      </c>
      <c r="E37" s="7" t="s">
        <v>1981</v>
      </c>
      <c r="F37" s="7" t="s">
        <v>2219</v>
      </c>
      <c r="G37" s="7" t="s">
        <v>2513</v>
      </c>
      <c r="H37" s="7"/>
      <c r="I37" s="7"/>
      <c r="J37" s="7" t="s">
        <v>2148</v>
      </c>
      <c r="K37" s="7" t="s">
        <v>1815</v>
      </c>
      <c r="L37" s="7" t="s">
        <v>2147</v>
      </c>
      <c r="M37" s="7" t="s">
        <v>4</v>
      </c>
      <c r="N37" s="7" t="s">
        <v>2146</v>
      </c>
      <c r="O37" s="7" t="s">
        <v>105</v>
      </c>
      <c r="P37" s="7" t="s">
        <v>1775</v>
      </c>
      <c r="Q37" s="9">
        <v>10000000</v>
      </c>
      <c r="R37" s="9">
        <v>0</v>
      </c>
      <c r="S37" s="9">
        <f t="shared" si="0"/>
        <v>10000000</v>
      </c>
      <c r="T37" s="4" t="s">
        <v>53</v>
      </c>
      <c r="U37" s="7"/>
      <c r="V37" s="7"/>
      <c r="W37" s="9">
        <v>1</v>
      </c>
      <c r="X37" s="7"/>
      <c r="Y37" s="7"/>
      <c r="Z37" s="7" t="s">
        <v>2</v>
      </c>
      <c r="AA37" s="36" t="s">
        <v>4</v>
      </c>
      <c r="AB37" s="4" t="s">
        <v>2604</v>
      </c>
      <c r="AC37" s="22">
        <f t="shared" si="1"/>
        <v>3921.5686274509803</v>
      </c>
      <c r="AD37" s="23">
        <v>0</v>
      </c>
    </row>
    <row r="38" spans="1:30" x14ac:dyDescent="0.35">
      <c r="A38" s="7">
        <v>61</v>
      </c>
      <c r="B38" s="6">
        <v>45751.443414351852</v>
      </c>
      <c r="C38" s="6">
        <v>45751</v>
      </c>
      <c r="D38" s="7" t="s">
        <v>2512</v>
      </c>
      <c r="E38" s="7" t="s">
        <v>1981</v>
      </c>
      <c r="F38" s="7" t="s">
        <v>2219</v>
      </c>
      <c r="G38" s="7" t="s">
        <v>2511</v>
      </c>
      <c r="H38" s="7"/>
      <c r="I38" s="7"/>
      <c r="J38" s="7" t="s">
        <v>2148</v>
      </c>
      <c r="K38" s="7" t="s">
        <v>1815</v>
      </c>
      <c r="L38" s="7" t="s">
        <v>2147</v>
      </c>
      <c r="M38" s="7" t="s">
        <v>4</v>
      </c>
      <c r="N38" s="7" t="s">
        <v>2146</v>
      </c>
      <c r="O38" s="7" t="s">
        <v>105</v>
      </c>
      <c r="P38" s="7" t="s">
        <v>1775</v>
      </c>
      <c r="Q38" s="9">
        <v>10000000</v>
      </c>
      <c r="R38" s="9">
        <v>0</v>
      </c>
      <c r="S38" s="9">
        <f t="shared" si="0"/>
        <v>10000000</v>
      </c>
      <c r="T38" s="4" t="s">
        <v>53</v>
      </c>
      <c r="U38" s="7"/>
      <c r="V38" s="7"/>
      <c r="W38" s="9">
        <v>1</v>
      </c>
      <c r="X38" s="7"/>
      <c r="Y38" s="7"/>
      <c r="Z38" s="7" t="s">
        <v>2</v>
      </c>
      <c r="AA38" s="36" t="s">
        <v>4</v>
      </c>
      <c r="AB38" s="4" t="s">
        <v>2604</v>
      </c>
      <c r="AC38" s="22">
        <f t="shared" si="1"/>
        <v>3921.5686274509803</v>
      </c>
      <c r="AD38" s="23">
        <v>0</v>
      </c>
    </row>
    <row r="39" spans="1:30" x14ac:dyDescent="0.35">
      <c r="A39" s="7">
        <v>62</v>
      </c>
      <c r="B39" s="6">
        <v>45751.441689814812</v>
      </c>
      <c r="C39" s="6">
        <v>45751</v>
      </c>
      <c r="D39" s="7" t="s">
        <v>2510</v>
      </c>
      <c r="E39" s="7" t="s">
        <v>1981</v>
      </c>
      <c r="F39" s="7" t="s">
        <v>2219</v>
      </c>
      <c r="G39" s="7" t="s">
        <v>2509</v>
      </c>
      <c r="H39" s="7"/>
      <c r="I39" s="7"/>
      <c r="J39" s="7" t="s">
        <v>2148</v>
      </c>
      <c r="K39" s="7" t="s">
        <v>1815</v>
      </c>
      <c r="L39" s="7" t="s">
        <v>2147</v>
      </c>
      <c r="M39" s="7" t="s">
        <v>4</v>
      </c>
      <c r="N39" s="7" t="s">
        <v>2146</v>
      </c>
      <c r="O39" s="7" t="s">
        <v>105</v>
      </c>
      <c r="P39" s="7" t="s">
        <v>1775</v>
      </c>
      <c r="Q39" s="9">
        <v>10000000</v>
      </c>
      <c r="R39" s="9">
        <v>0</v>
      </c>
      <c r="S39" s="9">
        <f t="shared" si="0"/>
        <v>10000000</v>
      </c>
      <c r="T39" s="4" t="s">
        <v>53</v>
      </c>
      <c r="U39" s="7"/>
      <c r="V39" s="7"/>
      <c r="W39" s="9">
        <v>1</v>
      </c>
      <c r="X39" s="7"/>
      <c r="Y39" s="7"/>
      <c r="Z39" s="7" t="s">
        <v>2</v>
      </c>
      <c r="AA39" s="36" t="s">
        <v>4</v>
      </c>
      <c r="AB39" s="4" t="s">
        <v>2604</v>
      </c>
      <c r="AC39" s="22">
        <f t="shared" si="1"/>
        <v>3921.5686274509803</v>
      </c>
      <c r="AD39" s="23">
        <v>0</v>
      </c>
    </row>
    <row r="40" spans="1:30" x14ac:dyDescent="0.35">
      <c r="A40" s="7">
        <v>63</v>
      </c>
      <c r="B40" s="6">
        <v>45751.440497685187</v>
      </c>
      <c r="C40" s="6">
        <v>45751</v>
      </c>
      <c r="D40" s="7" t="s">
        <v>2508</v>
      </c>
      <c r="E40" s="7" t="s">
        <v>1981</v>
      </c>
      <c r="F40" s="7" t="s">
        <v>2219</v>
      </c>
      <c r="G40" s="7" t="s">
        <v>2507</v>
      </c>
      <c r="H40" s="7"/>
      <c r="I40" s="7"/>
      <c r="J40" s="7" t="s">
        <v>2148</v>
      </c>
      <c r="K40" s="7" t="s">
        <v>1815</v>
      </c>
      <c r="L40" s="7" t="s">
        <v>2147</v>
      </c>
      <c r="M40" s="7" t="s">
        <v>4</v>
      </c>
      <c r="N40" s="7" t="s">
        <v>2146</v>
      </c>
      <c r="O40" s="7" t="s">
        <v>105</v>
      </c>
      <c r="P40" s="7" t="s">
        <v>1775</v>
      </c>
      <c r="Q40" s="9">
        <v>10000000</v>
      </c>
      <c r="R40" s="9">
        <v>0</v>
      </c>
      <c r="S40" s="9">
        <f t="shared" si="0"/>
        <v>10000000</v>
      </c>
      <c r="T40" s="4" t="s">
        <v>53</v>
      </c>
      <c r="U40" s="7"/>
      <c r="V40" s="7"/>
      <c r="W40" s="9">
        <v>1</v>
      </c>
      <c r="X40" s="7"/>
      <c r="Y40" s="7"/>
      <c r="Z40" s="7" t="s">
        <v>2</v>
      </c>
      <c r="AA40" s="36" t="s">
        <v>4</v>
      </c>
      <c r="AB40" s="4" t="s">
        <v>2604</v>
      </c>
      <c r="AC40" s="22">
        <f t="shared" si="1"/>
        <v>3921.5686274509803</v>
      </c>
      <c r="AD40" s="23">
        <v>0</v>
      </c>
    </row>
    <row r="41" spans="1:30" x14ac:dyDescent="0.35">
      <c r="A41" s="7">
        <v>64</v>
      </c>
      <c r="B41" s="6">
        <v>45751.438506944447</v>
      </c>
      <c r="C41" s="6">
        <v>45751</v>
      </c>
      <c r="D41" s="7" t="s">
        <v>2506</v>
      </c>
      <c r="E41" s="7" t="s">
        <v>1981</v>
      </c>
      <c r="F41" s="7" t="s">
        <v>2219</v>
      </c>
      <c r="G41" s="7" t="s">
        <v>2505</v>
      </c>
      <c r="H41" s="7"/>
      <c r="I41" s="7"/>
      <c r="J41" s="7" t="s">
        <v>2148</v>
      </c>
      <c r="K41" s="7" t="s">
        <v>1815</v>
      </c>
      <c r="L41" s="7" t="s">
        <v>2147</v>
      </c>
      <c r="M41" s="7" t="s">
        <v>4</v>
      </c>
      <c r="N41" s="7" t="s">
        <v>2146</v>
      </c>
      <c r="O41" s="7" t="s">
        <v>105</v>
      </c>
      <c r="P41" s="7" t="s">
        <v>1775</v>
      </c>
      <c r="Q41" s="9">
        <v>10000000</v>
      </c>
      <c r="R41" s="9">
        <v>0</v>
      </c>
      <c r="S41" s="9">
        <f t="shared" si="0"/>
        <v>10000000</v>
      </c>
      <c r="T41" s="4" t="s">
        <v>53</v>
      </c>
      <c r="U41" s="7"/>
      <c r="V41" s="7"/>
      <c r="W41" s="9">
        <v>1</v>
      </c>
      <c r="X41" s="7"/>
      <c r="Y41" s="7"/>
      <c r="Z41" s="7" t="s">
        <v>2</v>
      </c>
      <c r="AA41" s="36" t="s">
        <v>4</v>
      </c>
      <c r="AB41" s="4" t="s">
        <v>2604</v>
      </c>
      <c r="AC41" s="22">
        <f t="shared" si="1"/>
        <v>3921.5686274509803</v>
      </c>
      <c r="AD41" s="23">
        <v>0</v>
      </c>
    </row>
    <row r="42" spans="1:30" x14ac:dyDescent="0.35">
      <c r="A42" s="7">
        <v>65</v>
      </c>
      <c r="B42" s="6">
        <v>45751.437465277777</v>
      </c>
      <c r="C42" s="6">
        <v>45751</v>
      </c>
      <c r="D42" s="7" t="s">
        <v>2504</v>
      </c>
      <c r="E42" s="7" t="s">
        <v>1981</v>
      </c>
      <c r="F42" s="7" t="s">
        <v>2219</v>
      </c>
      <c r="G42" s="7" t="s">
        <v>2503</v>
      </c>
      <c r="H42" s="7"/>
      <c r="I42" s="7"/>
      <c r="J42" s="7" t="s">
        <v>2148</v>
      </c>
      <c r="K42" s="7" t="s">
        <v>1815</v>
      </c>
      <c r="L42" s="7" t="s">
        <v>2147</v>
      </c>
      <c r="M42" s="7" t="s">
        <v>4</v>
      </c>
      <c r="N42" s="7" t="s">
        <v>2146</v>
      </c>
      <c r="O42" s="7" t="s">
        <v>105</v>
      </c>
      <c r="P42" s="7" t="s">
        <v>1775</v>
      </c>
      <c r="Q42" s="9">
        <v>10000000</v>
      </c>
      <c r="R42" s="9">
        <v>0</v>
      </c>
      <c r="S42" s="9">
        <f t="shared" si="0"/>
        <v>10000000</v>
      </c>
      <c r="T42" s="4" t="s">
        <v>53</v>
      </c>
      <c r="U42" s="7"/>
      <c r="V42" s="7"/>
      <c r="W42" s="9">
        <v>1</v>
      </c>
      <c r="X42" s="7"/>
      <c r="Y42" s="7"/>
      <c r="Z42" s="7" t="s">
        <v>2</v>
      </c>
      <c r="AA42" s="36" t="s">
        <v>4</v>
      </c>
      <c r="AB42" s="4" t="s">
        <v>2604</v>
      </c>
      <c r="AC42" s="22">
        <f t="shared" si="1"/>
        <v>3921.5686274509803</v>
      </c>
      <c r="AD42" s="23">
        <v>0</v>
      </c>
    </row>
    <row r="43" spans="1:30" x14ac:dyDescent="0.35">
      <c r="A43" s="7">
        <v>66</v>
      </c>
      <c r="B43" s="6">
        <v>45751.43608796296</v>
      </c>
      <c r="C43" s="6">
        <v>45751</v>
      </c>
      <c r="D43" s="7" t="s">
        <v>2502</v>
      </c>
      <c r="E43" s="7" t="s">
        <v>1981</v>
      </c>
      <c r="F43" s="7" t="s">
        <v>2219</v>
      </c>
      <c r="G43" s="7" t="s">
        <v>2501</v>
      </c>
      <c r="H43" s="7"/>
      <c r="I43" s="7"/>
      <c r="J43" s="7" t="s">
        <v>2148</v>
      </c>
      <c r="K43" s="7" t="s">
        <v>1815</v>
      </c>
      <c r="L43" s="7" t="s">
        <v>2147</v>
      </c>
      <c r="M43" s="7" t="s">
        <v>4</v>
      </c>
      <c r="N43" s="7" t="s">
        <v>2146</v>
      </c>
      <c r="O43" s="7" t="s">
        <v>105</v>
      </c>
      <c r="P43" s="7" t="s">
        <v>2463</v>
      </c>
      <c r="Q43" s="9">
        <v>10000000</v>
      </c>
      <c r="R43" s="9">
        <v>0</v>
      </c>
      <c r="S43" s="9">
        <f t="shared" si="0"/>
        <v>10000000</v>
      </c>
      <c r="T43" s="4" t="s">
        <v>53</v>
      </c>
      <c r="U43" s="7"/>
      <c r="V43" s="7"/>
      <c r="W43" s="9">
        <v>1</v>
      </c>
      <c r="X43" s="7"/>
      <c r="Y43" s="7"/>
      <c r="Z43" s="7" t="s">
        <v>2</v>
      </c>
      <c r="AA43" s="36" t="s">
        <v>4</v>
      </c>
      <c r="AB43" s="4" t="s">
        <v>2604</v>
      </c>
      <c r="AC43" s="22">
        <f t="shared" ref="AC43:AC106" si="2">+S43/$AC$1</f>
        <v>3921.5686274509803</v>
      </c>
      <c r="AD43" s="23">
        <v>0</v>
      </c>
    </row>
    <row r="44" spans="1:30" x14ac:dyDescent="0.35">
      <c r="A44" s="7">
        <v>67</v>
      </c>
      <c r="B44" s="6">
        <v>45751.434907407405</v>
      </c>
      <c r="C44" s="6">
        <v>45751</v>
      </c>
      <c r="D44" s="7" t="s">
        <v>2500</v>
      </c>
      <c r="E44" s="7" t="s">
        <v>1981</v>
      </c>
      <c r="F44" s="7" t="s">
        <v>2219</v>
      </c>
      <c r="G44" s="7" t="s">
        <v>2499</v>
      </c>
      <c r="H44" s="7"/>
      <c r="I44" s="7"/>
      <c r="J44" s="7" t="s">
        <v>2148</v>
      </c>
      <c r="K44" s="7" t="s">
        <v>1815</v>
      </c>
      <c r="L44" s="7" t="s">
        <v>2147</v>
      </c>
      <c r="M44" s="7" t="s">
        <v>4</v>
      </c>
      <c r="N44" s="7" t="s">
        <v>2146</v>
      </c>
      <c r="O44" s="7" t="s">
        <v>105</v>
      </c>
      <c r="P44" s="7" t="s">
        <v>1775</v>
      </c>
      <c r="Q44" s="9">
        <v>10000000</v>
      </c>
      <c r="R44" s="9">
        <v>0</v>
      </c>
      <c r="S44" s="9">
        <f t="shared" si="0"/>
        <v>10000000</v>
      </c>
      <c r="T44" s="4" t="s">
        <v>53</v>
      </c>
      <c r="U44" s="7"/>
      <c r="V44" s="7"/>
      <c r="W44" s="9">
        <v>1</v>
      </c>
      <c r="X44" s="7"/>
      <c r="Y44" s="7"/>
      <c r="Z44" s="7" t="s">
        <v>2</v>
      </c>
      <c r="AA44" s="36" t="s">
        <v>4</v>
      </c>
      <c r="AB44" s="4" t="s">
        <v>2604</v>
      </c>
      <c r="AC44" s="22">
        <f t="shared" si="2"/>
        <v>3921.5686274509803</v>
      </c>
      <c r="AD44" s="23">
        <v>0</v>
      </c>
    </row>
    <row r="45" spans="1:30" x14ac:dyDescent="0.35">
      <c r="A45" s="7">
        <v>68</v>
      </c>
      <c r="B45" s="6">
        <v>45751.433900462966</v>
      </c>
      <c r="C45" s="6">
        <v>45751</v>
      </c>
      <c r="D45" s="7" t="s">
        <v>2498</v>
      </c>
      <c r="E45" s="7" t="s">
        <v>1981</v>
      </c>
      <c r="F45" s="7" t="s">
        <v>2219</v>
      </c>
      <c r="G45" s="7" t="s">
        <v>2497</v>
      </c>
      <c r="H45" s="7"/>
      <c r="I45" s="7"/>
      <c r="J45" s="7" t="s">
        <v>2148</v>
      </c>
      <c r="K45" s="7" t="s">
        <v>1815</v>
      </c>
      <c r="L45" s="7" t="s">
        <v>2147</v>
      </c>
      <c r="M45" s="7" t="s">
        <v>4</v>
      </c>
      <c r="N45" s="7" t="s">
        <v>2146</v>
      </c>
      <c r="O45" s="7" t="s">
        <v>105</v>
      </c>
      <c r="P45" s="7" t="s">
        <v>1775</v>
      </c>
      <c r="Q45" s="9">
        <v>10000000</v>
      </c>
      <c r="R45" s="9">
        <v>0</v>
      </c>
      <c r="S45" s="9">
        <f t="shared" si="0"/>
        <v>10000000</v>
      </c>
      <c r="T45" s="4" t="s">
        <v>53</v>
      </c>
      <c r="U45" s="7"/>
      <c r="V45" s="7"/>
      <c r="W45" s="9">
        <v>1</v>
      </c>
      <c r="X45" s="7"/>
      <c r="Y45" s="7"/>
      <c r="Z45" s="7" t="s">
        <v>2</v>
      </c>
      <c r="AA45" s="36" t="s">
        <v>4</v>
      </c>
      <c r="AB45" s="4" t="s">
        <v>2604</v>
      </c>
      <c r="AC45" s="22">
        <f t="shared" si="2"/>
        <v>3921.5686274509803</v>
      </c>
      <c r="AD45" s="23">
        <v>0</v>
      </c>
    </row>
    <row r="46" spans="1:30" x14ac:dyDescent="0.35">
      <c r="A46" s="7">
        <v>69</v>
      </c>
      <c r="B46" s="6">
        <v>45751.43277777778</v>
      </c>
      <c r="C46" s="6">
        <v>45751</v>
      </c>
      <c r="D46" s="7" t="s">
        <v>2496</v>
      </c>
      <c r="E46" s="7" t="s">
        <v>1981</v>
      </c>
      <c r="F46" s="7" t="s">
        <v>2219</v>
      </c>
      <c r="G46" s="7" t="s">
        <v>2495</v>
      </c>
      <c r="H46" s="7"/>
      <c r="I46" s="7"/>
      <c r="J46" s="7" t="s">
        <v>2148</v>
      </c>
      <c r="K46" s="7" t="s">
        <v>1815</v>
      </c>
      <c r="L46" s="7" t="s">
        <v>2147</v>
      </c>
      <c r="M46" s="7" t="s">
        <v>4</v>
      </c>
      <c r="N46" s="7" t="s">
        <v>2146</v>
      </c>
      <c r="O46" s="7" t="s">
        <v>105</v>
      </c>
      <c r="P46" s="7" t="s">
        <v>1775</v>
      </c>
      <c r="Q46" s="9">
        <v>10000000</v>
      </c>
      <c r="R46" s="9">
        <v>0</v>
      </c>
      <c r="S46" s="9">
        <f t="shared" si="0"/>
        <v>10000000</v>
      </c>
      <c r="T46" s="4" t="s">
        <v>53</v>
      </c>
      <c r="U46" s="7"/>
      <c r="V46" s="7"/>
      <c r="W46" s="9">
        <v>1</v>
      </c>
      <c r="X46" s="7"/>
      <c r="Y46" s="7"/>
      <c r="Z46" s="7" t="s">
        <v>2</v>
      </c>
      <c r="AA46" s="36" t="s">
        <v>4</v>
      </c>
      <c r="AB46" s="4" t="s">
        <v>2604</v>
      </c>
      <c r="AC46" s="22">
        <f t="shared" si="2"/>
        <v>3921.5686274509803</v>
      </c>
      <c r="AD46" s="23">
        <v>0</v>
      </c>
    </row>
    <row r="47" spans="1:30" x14ac:dyDescent="0.35">
      <c r="A47" s="7">
        <v>70</v>
      </c>
      <c r="B47" s="6">
        <v>45751.431655092594</v>
      </c>
      <c r="C47" s="6">
        <v>45751</v>
      </c>
      <c r="D47" s="7" t="s">
        <v>2494</v>
      </c>
      <c r="E47" s="7" t="s">
        <v>1981</v>
      </c>
      <c r="F47" s="7" t="s">
        <v>2219</v>
      </c>
      <c r="G47" s="7" t="s">
        <v>2493</v>
      </c>
      <c r="H47" s="7"/>
      <c r="I47" s="7"/>
      <c r="J47" s="7" t="s">
        <v>2148</v>
      </c>
      <c r="K47" s="7" t="s">
        <v>1815</v>
      </c>
      <c r="L47" s="7" t="s">
        <v>2147</v>
      </c>
      <c r="M47" s="7" t="s">
        <v>4</v>
      </c>
      <c r="N47" s="7" t="s">
        <v>2146</v>
      </c>
      <c r="O47" s="7" t="s">
        <v>105</v>
      </c>
      <c r="P47" s="7" t="s">
        <v>1775</v>
      </c>
      <c r="Q47" s="9">
        <v>10000000</v>
      </c>
      <c r="R47" s="9">
        <v>0</v>
      </c>
      <c r="S47" s="9">
        <f t="shared" si="0"/>
        <v>10000000</v>
      </c>
      <c r="T47" s="4" t="s">
        <v>53</v>
      </c>
      <c r="U47" s="7"/>
      <c r="V47" s="7"/>
      <c r="W47" s="9">
        <v>1</v>
      </c>
      <c r="X47" s="7"/>
      <c r="Y47" s="7"/>
      <c r="Z47" s="7" t="s">
        <v>2</v>
      </c>
      <c r="AA47" s="36" t="s">
        <v>4</v>
      </c>
      <c r="AB47" s="4" t="s">
        <v>2604</v>
      </c>
      <c r="AC47" s="22">
        <f t="shared" si="2"/>
        <v>3921.5686274509803</v>
      </c>
      <c r="AD47" s="23">
        <v>0</v>
      </c>
    </row>
    <row r="48" spans="1:30" x14ac:dyDescent="0.35">
      <c r="A48" s="7">
        <v>71</v>
      </c>
      <c r="B48" s="6">
        <v>45751.429062499999</v>
      </c>
      <c r="C48" s="6">
        <v>45751</v>
      </c>
      <c r="D48" s="7" t="s">
        <v>2492</v>
      </c>
      <c r="E48" s="7" t="s">
        <v>1981</v>
      </c>
      <c r="F48" s="7" t="s">
        <v>2219</v>
      </c>
      <c r="G48" s="7" t="s">
        <v>2491</v>
      </c>
      <c r="H48" s="7"/>
      <c r="I48" s="7"/>
      <c r="J48" s="7" t="s">
        <v>2148</v>
      </c>
      <c r="K48" s="7" t="s">
        <v>1815</v>
      </c>
      <c r="L48" s="7" t="s">
        <v>2147</v>
      </c>
      <c r="M48" s="7" t="s">
        <v>4</v>
      </c>
      <c r="N48" s="7" t="s">
        <v>2146</v>
      </c>
      <c r="O48" s="7" t="s">
        <v>105</v>
      </c>
      <c r="P48" s="7" t="s">
        <v>1775</v>
      </c>
      <c r="Q48" s="9">
        <v>3000000</v>
      </c>
      <c r="R48" s="9">
        <v>0</v>
      </c>
      <c r="S48" s="9">
        <f t="shared" si="0"/>
        <v>3000000</v>
      </c>
      <c r="T48" s="4" t="s">
        <v>53</v>
      </c>
      <c r="U48" s="7"/>
      <c r="V48" s="7"/>
      <c r="W48" s="9">
        <v>1</v>
      </c>
      <c r="X48" s="7"/>
      <c r="Y48" s="7"/>
      <c r="Z48" s="7" t="s">
        <v>2</v>
      </c>
      <c r="AA48" s="36" t="s">
        <v>4</v>
      </c>
      <c r="AB48" s="4" t="s">
        <v>2604</v>
      </c>
      <c r="AC48" s="22">
        <f t="shared" si="2"/>
        <v>1176.4705882352941</v>
      </c>
      <c r="AD48" s="23">
        <v>0</v>
      </c>
    </row>
    <row r="49" spans="1:30" x14ac:dyDescent="0.35">
      <c r="A49" s="7">
        <v>72</v>
      </c>
      <c r="B49" s="6">
        <v>45751.427997685183</v>
      </c>
      <c r="C49" s="6">
        <v>45751</v>
      </c>
      <c r="D49" s="7" t="s">
        <v>2490</v>
      </c>
      <c r="E49" s="7" t="s">
        <v>1981</v>
      </c>
      <c r="F49" s="7" t="s">
        <v>2219</v>
      </c>
      <c r="G49" s="7" t="s">
        <v>2489</v>
      </c>
      <c r="H49" s="7"/>
      <c r="I49" s="7"/>
      <c r="J49" s="7" t="s">
        <v>2148</v>
      </c>
      <c r="K49" s="7" t="s">
        <v>1815</v>
      </c>
      <c r="L49" s="7" t="s">
        <v>2147</v>
      </c>
      <c r="M49" s="7" t="s">
        <v>4</v>
      </c>
      <c r="N49" s="7" t="s">
        <v>2146</v>
      </c>
      <c r="O49" s="7" t="s">
        <v>105</v>
      </c>
      <c r="P49" s="7" t="s">
        <v>1775</v>
      </c>
      <c r="Q49" s="9">
        <v>10000000</v>
      </c>
      <c r="R49" s="9">
        <v>0</v>
      </c>
      <c r="S49" s="9">
        <f t="shared" si="0"/>
        <v>10000000</v>
      </c>
      <c r="T49" s="4" t="s">
        <v>53</v>
      </c>
      <c r="U49" s="7"/>
      <c r="V49" s="7"/>
      <c r="W49" s="9">
        <v>1</v>
      </c>
      <c r="X49" s="7"/>
      <c r="Y49" s="7"/>
      <c r="Z49" s="7" t="s">
        <v>2</v>
      </c>
      <c r="AA49" s="36" t="s">
        <v>4</v>
      </c>
      <c r="AB49" s="4" t="s">
        <v>2604</v>
      </c>
      <c r="AC49" s="22">
        <f t="shared" si="2"/>
        <v>3921.5686274509803</v>
      </c>
      <c r="AD49" s="23">
        <v>0</v>
      </c>
    </row>
    <row r="50" spans="1:30" x14ac:dyDescent="0.35">
      <c r="A50" s="7">
        <v>73</v>
      </c>
      <c r="B50" s="6">
        <v>45751.426539351851</v>
      </c>
      <c r="C50" s="6">
        <v>45751</v>
      </c>
      <c r="D50" s="7" t="s">
        <v>2488</v>
      </c>
      <c r="E50" s="7" t="s">
        <v>1981</v>
      </c>
      <c r="F50" s="7" t="s">
        <v>2219</v>
      </c>
      <c r="G50" s="7" t="s">
        <v>2487</v>
      </c>
      <c r="H50" s="7"/>
      <c r="I50" s="7"/>
      <c r="J50" s="7" t="s">
        <v>2148</v>
      </c>
      <c r="K50" s="7" t="s">
        <v>1815</v>
      </c>
      <c r="L50" s="7" t="s">
        <v>2147</v>
      </c>
      <c r="M50" s="7" t="s">
        <v>4</v>
      </c>
      <c r="N50" s="7" t="s">
        <v>2146</v>
      </c>
      <c r="O50" s="7" t="s">
        <v>105</v>
      </c>
      <c r="P50" s="7" t="s">
        <v>1775</v>
      </c>
      <c r="Q50" s="9">
        <v>10000000</v>
      </c>
      <c r="R50" s="9">
        <v>0</v>
      </c>
      <c r="S50" s="9">
        <f t="shared" si="0"/>
        <v>10000000</v>
      </c>
      <c r="T50" s="4" t="s">
        <v>53</v>
      </c>
      <c r="U50" s="7"/>
      <c r="V50" s="7"/>
      <c r="W50" s="9">
        <v>1</v>
      </c>
      <c r="X50" s="7"/>
      <c r="Y50" s="7"/>
      <c r="Z50" s="7" t="s">
        <v>2</v>
      </c>
      <c r="AA50" s="36" t="s">
        <v>4</v>
      </c>
      <c r="AB50" s="4" t="s">
        <v>2604</v>
      </c>
      <c r="AC50" s="22">
        <f t="shared" si="2"/>
        <v>3921.5686274509803</v>
      </c>
      <c r="AD50" s="23">
        <v>0</v>
      </c>
    </row>
    <row r="51" spans="1:30" x14ac:dyDescent="0.35">
      <c r="A51" s="7">
        <v>74</v>
      </c>
      <c r="B51" s="6">
        <v>45751.425416666665</v>
      </c>
      <c r="C51" s="6">
        <v>45751</v>
      </c>
      <c r="D51" s="7" t="s">
        <v>2486</v>
      </c>
      <c r="E51" s="7" t="s">
        <v>1981</v>
      </c>
      <c r="F51" s="7" t="s">
        <v>2219</v>
      </c>
      <c r="G51" s="7" t="s">
        <v>2485</v>
      </c>
      <c r="H51" s="7"/>
      <c r="I51" s="7"/>
      <c r="J51" s="7" t="s">
        <v>2148</v>
      </c>
      <c r="K51" s="7" t="s">
        <v>1815</v>
      </c>
      <c r="L51" s="7" t="s">
        <v>2147</v>
      </c>
      <c r="M51" s="7" t="s">
        <v>4</v>
      </c>
      <c r="N51" s="7" t="s">
        <v>2146</v>
      </c>
      <c r="O51" s="7" t="s">
        <v>105</v>
      </c>
      <c r="P51" s="7" t="s">
        <v>1775</v>
      </c>
      <c r="Q51" s="9">
        <v>10000000</v>
      </c>
      <c r="R51" s="9">
        <v>0</v>
      </c>
      <c r="S51" s="9">
        <f t="shared" si="0"/>
        <v>10000000</v>
      </c>
      <c r="T51" s="4" t="s">
        <v>53</v>
      </c>
      <c r="U51" s="7"/>
      <c r="V51" s="7"/>
      <c r="W51" s="9">
        <v>1</v>
      </c>
      <c r="X51" s="7"/>
      <c r="Y51" s="7"/>
      <c r="Z51" s="7" t="s">
        <v>2</v>
      </c>
      <c r="AA51" s="36" t="s">
        <v>4</v>
      </c>
      <c r="AB51" s="4" t="s">
        <v>2604</v>
      </c>
      <c r="AC51" s="22">
        <f t="shared" si="2"/>
        <v>3921.5686274509803</v>
      </c>
      <c r="AD51" s="23">
        <v>0</v>
      </c>
    </row>
    <row r="52" spans="1:30" x14ac:dyDescent="0.35">
      <c r="A52" s="7">
        <v>75</v>
      </c>
      <c r="B52" s="6">
        <v>45751.423796296294</v>
      </c>
      <c r="C52" s="6">
        <v>45751</v>
      </c>
      <c r="D52" s="7" t="s">
        <v>2484</v>
      </c>
      <c r="E52" s="7" t="s">
        <v>1981</v>
      </c>
      <c r="F52" s="7" t="s">
        <v>2219</v>
      </c>
      <c r="G52" s="7" t="s">
        <v>2483</v>
      </c>
      <c r="H52" s="7"/>
      <c r="I52" s="7"/>
      <c r="J52" s="7" t="s">
        <v>2148</v>
      </c>
      <c r="K52" s="7" t="s">
        <v>1815</v>
      </c>
      <c r="L52" s="7" t="s">
        <v>2147</v>
      </c>
      <c r="M52" s="7" t="s">
        <v>4</v>
      </c>
      <c r="N52" s="7" t="s">
        <v>2146</v>
      </c>
      <c r="O52" s="7" t="s">
        <v>105</v>
      </c>
      <c r="P52" s="7" t="s">
        <v>1775</v>
      </c>
      <c r="Q52" s="9">
        <v>10000000</v>
      </c>
      <c r="R52" s="9">
        <v>0</v>
      </c>
      <c r="S52" s="9">
        <f t="shared" si="0"/>
        <v>10000000</v>
      </c>
      <c r="T52" s="4" t="s">
        <v>53</v>
      </c>
      <c r="U52" s="7"/>
      <c r="V52" s="7"/>
      <c r="W52" s="9">
        <v>1</v>
      </c>
      <c r="X52" s="7"/>
      <c r="Y52" s="7"/>
      <c r="Z52" s="7" t="s">
        <v>2</v>
      </c>
      <c r="AA52" s="36" t="s">
        <v>4</v>
      </c>
      <c r="AB52" s="4" t="s">
        <v>2604</v>
      </c>
      <c r="AC52" s="22">
        <f t="shared" si="2"/>
        <v>3921.5686274509803</v>
      </c>
      <c r="AD52" s="23">
        <v>0</v>
      </c>
    </row>
    <row r="53" spans="1:30" x14ac:dyDescent="0.35">
      <c r="A53" s="7">
        <v>76</v>
      </c>
      <c r="B53" s="6">
        <v>45751.422500000001</v>
      </c>
      <c r="C53" s="6">
        <v>45751</v>
      </c>
      <c r="D53" s="7" t="s">
        <v>2482</v>
      </c>
      <c r="E53" s="7" t="s">
        <v>1981</v>
      </c>
      <c r="F53" s="7" t="s">
        <v>2219</v>
      </c>
      <c r="G53" s="7" t="s">
        <v>2481</v>
      </c>
      <c r="H53" s="7"/>
      <c r="I53" s="7"/>
      <c r="J53" s="7" t="s">
        <v>2148</v>
      </c>
      <c r="K53" s="7" t="s">
        <v>1815</v>
      </c>
      <c r="L53" s="7" t="s">
        <v>2147</v>
      </c>
      <c r="M53" s="7" t="s">
        <v>4</v>
      </c>
      <c r="N53" s="7" t="s">
        <v>2146</v>
      </c>
      <c r="O53" s="7" t="s">
        <v>105</v>
      </c>
      <c r="P53" s="7" t="s">
        <v>1775</v>
      </c>
      <c r="Q53" s="9">
        <v>10000000</v>
      </c>
      <c r="R53" s="9">
        <v>0</v>
      </c>
      <c r="S53" s="9">
        <f t="shared" si="0"/>
        <v>10000000</v>
      </c>
      <c r="T53" s="4" t="s">
        <v>53</v>
      </c>
      <c r="U53" s="7"/>
      <c r="V53" s="7"/>
      <c r="W53" s="9">
        <v>1</v>
      </c>
      <c r="X53" s="7"/>
      <c r="Y53" s="7"/>
      <c r="Z53" s="7" t="s">
        <v>2</v>
      </c>
      <c r="AA53" s="36" t="s">
        <v>4</v>
      </c>
      <c r="AB53" s="4" t="s">
        <v>2604</v>
      </c>
      <c r="AC53" s="22">
        <f t="shared" si="2"/>
        <v>3921.5686274509803</v>
      </c>
      <c r="AD53" s="23">
        <v>0</v>
      </c>
    </row>
    <row r="54" spans="1:30" x14ac:dyDescent="0.35">
      <c r="A54" s="7">
        <v>77</v>
      </c>
      <c r="B54" s="6">
        <v>45751.420115740744</v>
      </c>
      <c r="C54" s="6">
        <v>45751</v>
      </c>
      <c r="D54" s="7" t="s">
        <v>2480</v>
      </c>
      <c r="E54" s="7" t="s">
        <v>1981</v>
      </c>
      <c r="F54" s="7" t="s">
        <v>2219</v>
      </c>
      <c r="G54" s="7" t="s">
        <v>2479</v>
      </c>
      <c r="H54" s="7"/>
      <c r="I54" s="7"/>
      <c r="J54" s="7" t="s">
        <v>2148</v>
      </c>
      <c r="K54" s="7" t="s">
        <v>1815</v>
      </c>
      <c r="L54" s="7" t="s">
        <v>2147</v>
      </c>
      <c r="M54" s="7" t="s">
        <v>4</v>
      </c>
      <c r="N54" s="7" t="s">
        <v>2146</v>
      </c>
      <c r="O54" s="7" t="s">
        <v>105</v>
      </c>
      <c r="P54" s="7" t="s">
        <v>1775</v>
      </c>
      <c r="Q54" s="9">
        <v>7000000</v>
      </c>
      <c r="R54" s="9">
        <v>0</v>
      </c>
      <c r="S54" s="9">
        <f t="shared" si="0"/>
        <v>7000000</v>
      </c>
      <c r="T54" s="4" t="s">
        <v>53</v>
      </c>
      <c r="U54" s="7"/>
      <c r="V54" s="7"/>
      <c r="W54" s="9">
        <v>1</v>
      </c>
      <c r="X54" s="7"/>
      <c r="Y54" s="7"/>
      <c r="Z54" s="7" t="s">
        <v>2</v>
      </c>
      <c r="AA54" s="36" t="s">
        <v>4</v>
      </c>
      <c r="AB54" s="4" t="s">
        <v>2604</v>
      </c>
      <c r="AC54" s="22">
        <f t="shared" si="2"/>
        <v>2745.0980392156862</v>
      </c>
      <c r="AD54" s="23">
        <v>0</v>
      </c>
    </row>
    <row r="55" spans="1:30" x14ac:dyDescent="0.35">
      <c r="A55" s="7">
        <v>78</v>
      </c>
      <c r="B55" s="6">
        <v>45751.418240740742</v>
      </c>
      <c r="C55" s="6">
        <v>45751</v>
      </c>
      <c r="D55" s="7" t="s">
        <v>2478</v>
      </c>
      <c r="E55" s="7" t="s">
        <v>1981</v>
      </c>
      <c r="F55" s="7" t="s">
        <v>2219</v>
      </c>
      <c r="G55" s="7" t="s">
        <v>2477</v>
      </c>
      <c r="H55" s="7"/>
      <c r="I55" s="7"/>
      <c r="J55" s="7" t="s">
        <v>2148</v>
      </c>
      <c r="K55" s="7" t="s">
        <v>1815</v>
      </c>
      <c r="L55" s="7" t="s">
        <v>2147</v>
      </c>
      <c r="M55" s="7" t="s">
        <v>4</v>
      </c>
      <c r="N55" s="7" t="s">
        <v>2146</v>
      </c>
      <c r="O55" s="7" t="s">
        <v>105</v>
      </c>
      <c r="P55" s="7" t="s">
        <v>1775</v>
      </c>
      <c r="Q55" s="9">
        <v>1000000</v>
      </c>
      <c r="R55" s="9">
        <v>0</v>
      </c>
      <c r="S55" s="9">
        <f t="shared" si="0"/>
        <v>1000000</v>
      </c>
      <c r="T55" s="4" t="s">
        <v>53</v>
      </c>
      <c r="U55" s="7"/>
      <c r="V55" s="7"/>
      <c r="W55" s="9">
        <v>1</v>
      </c>
      <c r="X55" s="7"/>
      <c r="Y55" s="7"/>
      <c r="Z55" s="7" t="s">
        <v>2</v>
      </c>
      <c r="AA55" s="36" t="s">
        <v>4</v>
      </c>
      <c r="AB55" s="4" t="s">
        <v>2604</v>
      </c>
      <c r="AC55" s="22">
        <f t="shared" si="2"/>
        <v>392.15686274509807</v>
      </c>
      <c r="AD55" s="23">
        <v>0</v>
      </c>
    </row>
    <row r="56" spans="1:30" x14ac:dyDescent="0.35">
      <c r="A56" s="7">
        <v>79</v>
      </c>
      <c r="B56" s="6">
        <v>45751.416805555556</v>
      </c>
      <c r="C56" s="6">
        <v>45751</v>
      </c>
      <c r="D56" s="7" t="s">
        <v>2476</v>
      </c>
      <c r="E56" s="7" t="s">
        <v>1981</v>
      </c>
      <c r="F56" s="7" t="s">
        <v>2219</v>
      </c>
      <c r="G56" s="7" t="s">
        <v>2475</v>
      </c>
      <c r="H56" s="7"/>
      <c r="I56" s="7"/>
      <c r="J56" s="7" t="s">
        <v>2148</v>
      </c>
      <c r="K56" s="7" t="s">
        <v>1815</v>
      </c>
      <c r="L56" s="7" t="s">
        <v>2147</v>
      </c>
      <c r="M56" s="7" t="s">
        <v>4</v>
      </c>
      <c r="N56" s="7" t="s">
        <v>2146</v>
      </c>
      <c r="O56" s="7" t="s">
        <v>105</v>
      </c>
      <c r="P56" s="7" t="s">
        <v>1775</v>
      </c>
      <c r="Q56" s="9">
        <v>10000000</v>
      </c>
      <c r="R56" s="9">
        <v>0</v>
      </c>
      <c r="S56" s="9">
        <f t="shared" si="0"/>
        <v>10000000</v>
      </c>
      <c r="T56" s="4" t="s">
        <v>53</v>
      </c>
      <c r="U56" s="7"/>
      <c r="V56" s="7"/>
      <c r="W56" s="9">
        <v>1</v>
      </c>
      <c r="X56" s="7"/>
      <c r="Y56" s="7"/>
      <c r="Z56" s="7" t="s">
        <v>2</v>
      </c>
      <c r="AA56" s="36" t="s">
        <v>4</v>
      </c>
      <c r="AB56" s="4" t="s">
        <v>2604</v>
      </c>
      <c r="AC56" s="22">
        <f t="shared" si="2"/>
        <v>3921.5686274509803</v>
      </c>
      <c r="AD56" s="23">
        <v>0</v>
      </c>
    </row>
    <row r="57" spans="1:30" hidden="1" x14ac:dyDescent="0.35">
      <c r="A57" s="7">
        <v>80</v>
      </c>
      <c r="B57" s="6">
        <v>45751.415497685186</v>
      </c>
      <c r="C57" s="6">
        <v>45751</v>
      </c>
      <c r="D57" s="7" t="s">
        <v>2474</v>
      </c>
      <c r="E57" s="7" t="s">
        <v>1981</v>
      </c>
      <c r="F57" s="7" t="s">
        <v>2219</v>
      </c>
      <c r="G57" s="7" t="s">
        <v>2473</v>
      </c>
      <c r="H57" s="7"/>
      <c r="I57" s="7"/>
      <c r="J57" s="7" t="s">
        <v>2148</v>
      </c>
      <c r="K57" s="7" t="s">
        <v>1815</v>
      </c>
      <c r="L57" s="7" t="s">
        <v>2472</v>
      </c>
      <c r="M57" s="7" t="s">
        <v>3</v>
      </c>
      <c r="N57" s="7" t="s">
        <v>2146</v>
      </c>
      <c r="O57" s="7" t="s">
        <v>105</v>
      </c>
      <c r="P57" s="7" t="s">
        <v>1775</v>
      </c>
      <c r="Q57" s="9">
        <v>10000000</v>
      </c>
      <c r="R57" s="9">
        <v>0</v>
      </c>
      <c r="S57" s="9">
        <f t="shared" si="0"/>
        <v>10000000</v>
      </c>
      <c r="T57" s="4" t="s">
        <v>53</v>
      </c>
      <c r="U57" s="7"/>
      <c r="V57" s="7"/>
      <c r="W57" s="9">
        <v>1</v>
      </c>
      <c r="X57" s="7"/>
      <c r="Y57" s="7"/>
      <c r="Z57" s="7" t="s">
        <v>2</v>
      </c>
      <c r="AA57" s="36" t="s">
        <v>3</v>
      </c>
      <c r="AB57" s="4"/>
      <c r="AC57" s="22">
        <f t="shared" si="2"/>
        <v>3921.5686274509803</v>
      </c>
      <c r="AD57" s="23">
        <v>0</v>
      </c>
    </row>
    <row r="58" spans="1:30" x14ac:dyDescent="0.35">
      <c r="A58" s="7">
        <v>81</v>
      </c>
      <c r="B58" s="6">
        <v>45751.413298611114</v>
      </c>
      <c r="C58" s="6">
        <v>45751</v>
      </c>
      <c r="D58" s="7" t="s">
        <v>2471</v>
      </c>
      <c r="E58" s="7" t="s">
        <v>1981</v>
      </c>
      <c r="F58" s="7" t="s">
        <v>2219</v>
      </c>
      <c r="G58" s="7" t="s">
        <v>2470</v>
      </c>
      <c r="H58" s="7"/>
      <c r="I58" s="7"/>
      <c r="J58" s="7" t="s">
        <v>2148</v>
      </c>
      <c r="K58" s="7" t="s">
        <v>1815</v>
      </c>
      <c r="L58" s="7" t="s">
        <v>2147</v>
      </c>
      <c r="M58" s="7" t="s">
        <v>4</v>
      </c>
      <c r="N58" s="7" t="s">
        <v>2146</v>
      </c>
      <c r="O58" s="7" t="s">
        <v>105</v>
      </c>
      <c r="P58" s="7" t="s">
        <v>1775</v>
      </c>
      <c r="Q58" s="9">
        <v>10000000</v>
      </c>
      <c r="R58" s="9">
        <v>0</v>
      </c>
      <c r="S58" s="9">
        <f t="shared" si="0"/>
        <v>10000000</v>
      </c>
      <c r="T58" s="4" t="s">
        <v>53</v>
      </c>
      <c r="U58" s="7"/>
      <c r="V58" s="7"/>
      <c r="W58" s="9">
        <v>1</v>
      </c>
      <c r="X58" s="7"/>
      <c r="Y58" s="7"/>
      <c r="Z58" s="7" t="s">
        <v>2</v>
      </c>
      <c r="AA58" s="36" t="s">
        <v>4</v>
      </c>
      <c r="AB58" s="4" t="s">
        <v>2604</v>
      </c>
      <c r="AC58" s="22">
        <f t="shared" si="2"/>
        <v>3921.5686274509803</v>
      </c>
      <c r="AD58" s="23">
        <v>0</v>
      </c>
    </row>
    <row r="59" spans="1:30" x14ac:dyDescent="0.35">
      <c r="A59" s="7">
        <v>82</v>
      </c>
      <c r="B59" s="6">
        <v>45751.412187499998</v>
      </c>
      <c r="C59" s="6">
        <v>45751</v>
      </c>
      <c r="D59" s="7" t="s">
        <v>2469</v>
      </c>
      <c r="E59" s="7" t="s">
        <v>1981</v>
      </c>
      <c r="F59" s="7" t="s">
        <v>2219</v>
      </c>
      <c r="G59" s="7" t="s">
        <v>2468</v>
      </c>
      <c r="H59" s="7"/>
      <c r="I59" s="7"/>
      <c r="J59" s="7" t="s">
        <v>2148</v>
      </c>
      <c r="K59" s="7" t="s">
        <v>1815</v>
      </c>
      <c r="L59" s="7" t="s">
        <v>2147</v>
      </c>
      <c r="M59" s="7" t="s">
        <v>4</v>
      </c>
      <c r="N59" s="7" t="s">
        <v>2146</v>
      </c>
      <c r="O59" s="7" t="s">
        <v>105</v>
      </c>
      <c r="P59" s="7" t="s">
        <v>1775</v>
      </c>
      <c r="Q59" s="9">
        <v>10000000</v>
      </c>
      <c r="R59" s="9">
        <v>0</v>
      </c>
      <c r="S59" s="9">
        <f t="shared" si="0"/>
        <v>10000000</v>
      </c>
      <c r="T59" s="4" t="s">
        <v>53</v>
      </c>
      <c r="U59" s="7"/>
      <c r="V59" s="7"/>
      <c r="W59" s="9">
        <v>1</v>
      </c>
      <c r="X59" s="7"/>
      <c r="Y59" s="7"/>
      <c r="Z59" s="7" t="s">
        <v>2</v>
      </c>
      <c r="AA59" s="36" t="s">
        <v>4</v>
      </c>
      <c r="AB59" s="4" t="s">
        <v>2604</v>
      </c>
      <c r="AC59" s="22">
        <f t="shared" si="2"/>
        <v>3921.5686274509803</v>
      </c>
      <c r="AD59" s="23">
        <v>0</v>
      </c>
    </row>
    <row r="60" spans="1:30" x14ac:dyDescent="0.35">
      <c r="A60" s="7">
        <v>83</v>
      </c>
      <c r="B60" s="6">
        <v>45751.410995370374</v>
      </c>
      <c r="C60" s="6">
        <v>45751</v>
      </c>
      <c r="D60" s="7" t="s">
        <v>2467</v>
      </c>
      <c r="E60" s="7" t="s">
        <v>1981</v>
      </c>
      <c r="F60" s="7" t="s">
        <v>2219</v>
      </c>
      <c r="G60" s="7" t="s">
        <v>2466</v>
      </c>
      <c r="H60" s="7"/>
      <c r="I60" s="7"/>
      <c r="J60" s="7" t="s">
        <v>2148</v>
      </c>
      <c r="K60" s="7" t="s">
        <v>1815</v>
      </c>
      <c r="L60" s="7" t="s">
        <v>2147</v>
      </c>
      <c r="M60" s="7" t="s">
        <v>4</v>
      </c>
      <c r="N60" s="7" t="s">
        <v>2146</v>
      </c>
      <c r="O60" s="7" t="s">
        <v>105</v>
      </c>
      <c r="P60" s="7" t="s">
        <v>1775</v>
      </c>
      <c r="Q60" s="9">
        <v>10000000</v>
      </c>
      <c r="R60" s="9">
        <v>0</v>
      </c>
      <c r="S60" s="9">
        <f t="shared" si="0"/>
        <v>10000000</v>
      </c>
      <c r="T60" s="4" t="s">
        <v>53</v>
      </c>
      <c r="U60" s="7"/>
      <c r="V60" s="7"/>
      <c r="W60" s="9">
        <v>1</v>
      </c>
      <c r="X60" s="7"/>
      <c r="Y60" s="7"/>
      <c r="Z60" s="7" t="s">
        <v>2</v>
      </c>
      <c r="AA60" s="36" t="s">
        <v>4</v>
      </c>
      <c r="AB60" s="4" t="s">
        <v>2604</v>
      </c>
      <c r="AC60" s="22">
        <f t="shared" si="2"/>
        <v>3921.5686274509803</v>
      </c>
      <c r="AD60" s="23">
        <v>0</v>
      </c>
    </row>
    <row r="61" spans="1:30" x14ac:dyDescent="0.35">
      <c r="A61" s="7">
        <v>84</v>
      </c>
      <c r="B61" s="6">
        <v>45751.409050925926</v>
      </c>
      <c r="C61" s="6">
        <v>45751</v>
      </c>
      <c r="D61" s="7" t="s">
        <v>2465</v>
      </c>
      <c r="E61" s="7" t="s">
        <v>1981</v>
      </c>
      <c r="F61" s="7" t="s">
        <v>2219</v>
      </c>
      <c r="G61" s="7" t="s">
        <v>2464</v>
      </c>
      <c r="H61" s="7"/>
      <c r="I61" s="7"/>
      <c r="J61" s="7" t="s">
        <v>2148</v>
      </c>
      <c r="K61" s="7" t="s">
        <v>1815</v>
      </c>
      <c r="L61" s="7" t="s">
        <v>2147</v>
      </c>
      <c r="M61" s="7" t="s">
        <v>4</v>
      </c>
      <c r="N61" s="7" t="s">
        <v>2146</v>
      </c>
      <c r="O61" s="7" t="s">
        <v>105</v>
      </c>
      <c r="P61" s="7" t="s">
        <v>2463</v>
      </c>
      <c r="Q61" s="9">
        <v>10000000</v>
      </c>
      <c r="R61" s="9">
        <v>0</v>
      </c>
      <c r="S61" s="9">
        <f t="shared" si="0"/>
        <v>10000000</v>
      </c>
      <c r="T61" s="4" t="s">
        <v>53</v>
      </c>
      <c r="U61" s="7"/>
      <c r="V61" s="7"/>
      <c r="W61" s="9">
        <v>1</v>
      </c>
      <c r="X61" s="7"/>
      <c r="Y61" s="7"/>
      <c r="Z61" s="7" t="s">
        <v>2</v>
      </c>
      <c r="AA61" s="36" t="s">
        <v>4</v>
      </c>
      <c r="AB61" s="4" t="s">
        <v>2604</v>
      </c>
      <c r="AC61" s="22">
        <f t="shared" si="2"/>
        <v>3921.5686274509803</v>
      </c>
      <c r="AD61" s="23">
        <v>0</v>
      </c>
    </row>
    <row r="62" spans="1:30" x14ac:dyDescent="0.35">
      <c r="A62" s="7">
        <v>85</v>
      </c>
      <c r="B62" s="6">
        <v>45751.406597222223</v>
      </c>
      <c r="C62" s="6">
        <v>45751</v>
      </c>
      <c r="D62" s="7" t="s">
        <v>2462</v>
      </c>
      <c r="E62" s="7" t="s">
        <v>1981</v>
      </c>
      <c r="F62" s="7" t="s">
        <v>2219</v>
      </c>
      <c r="G62" s="7" t="s">
        <v>2461</v>
      </c>
      <c r="H62" s="7"/>
      <c r="I62" s="7"/>
      <c r="J62" s="7" t="s">
        <v>2148</v>
      </c>
      <c r="K62" s="7" t="s">
        <v>1815</v>
      </c>
      <c r="L62" s="7" t="s">
        <v>2147</v>
      </c>
      <c r="M62" s="7" t="s">
        <v>4</v>
      </c>
      <c r="N62" s="7" t="s">
        <v>2146</v>
      </c>
      <c r="O62" s="7" t="s">
        <v>105</v>
      </c>
      <c r="P62" s="7" t="s">
        <v>1775</v>
      </c>
      <c r="Q62" s="9">
        <v>10000000</v>
      </c>
      <c r="R62" s="9">
        <v>0</v>
      </c>
      <c r="S62" s="9">
        <f t="shared" si="0"/>
        <v>10000000</v>
      </c>
      <c r="T62" s="4" t="s">
        <v>53</v>
      </c>
      <c r="U62" s="7"/>
      <c r="V62" s="7"/>
      <c r="W62" s="9">
        <v>1</v>
      </c>
      <c r="X62" s="7"/>
      <c r="Y62" s="7"/>
      <c r="Z62" s="7" t="s">
        <v>2</v>
      </c>
      <c r="AA62" s="36" t="s">
        <v>4</v>
      </c>
      <c r="AB62" s="4" t="s">
        <v>2604</v>
      </c>
      <c r="AC62" s="22">
        <f t="shared" si="2"/>
        <v>3921.5686274509803</v>
      </c>
      <c r="AD62" s="23">
        <v>0</v>
      </c>
    </row>
    <row r="63" spans="1:30" x14ac:dyDescent="0.35">
      <c r="A63" s="7">
        <v>86</v>
      </c>
      <c r="B63" s="6">
        <v>45751.405173611114</v>
      </c>
      <c r="C63" s="6">
        <v>45751</v>
      </c>
      <c r="D63" s="7" t="s">
        <v>2460</v>
      </c>
      <c r="E63" s="7" t="s">
        <v>1981</v>
      </c>
      <c r="F63" s="7" t="s">
        <v>2219</v>
      </c>
      <c r="G63" s="7" t="s">
        <v>2459</v>
      </c>
      <c r="H63" s="7"/>
      <c r="I63" s="7"/>
      <c r="J63" s="7" t="s">
        <v>2148</v>
      </c>
      <c r="K63" s="7" t="s">
        <v>1815</v>
      </c>
      <c r="L63" s="7" t="s">
        <v>2147</v>
      </c>
      <c r="M63" s="7" t="s">
        <v>4</v>
      </c>
      <c r="N63" s="7" t="s">
        <v>2146</v>
      </c>
      <c r="O63" s="7" t="s">
        <v>105</v>
      </c>
      <c r="P63" s="7" t="s">
        <v>1775</v>
      </c>
      <c r="Q63" s="9">
        <v>10000000</v>
      </c>
      <c r="R63" s="9">
        <v>0</v>
      </c>
      <c r="S63" s="9">
        <f t="shared" si="0"/>
        <v>10000000</v>
      </c>
      <c r="T63" s="4" t="s">
        <v>53</v>
      </c>
      <c r="U63" s="7"/>
      <c r="V63" s="7"/>
      <c r="W63" s="9">
        <v>1</v>
      </c>
      <c r="X63" s="7"/>
      <c r="Y63" s="7"/>
      <c r="Z63" s="7" t="s">
        <v>2</v>
      </c>
      <c r="AA63" s="36" t="s">
        <v>4</v>
      </c>
      <c r="AB63" s="4" t="s">
        <v>2604</v>
      </c>
      <c r="AC63" s="22">
        <f t="shared" si="2"/>
        <v>3921.5686274509803</v>
      </c>
      <c r="AD63" s="23">
        <v>0</v>
      </c>
    </row>
    <row r="64" spans="1:30" x14ac:dyDescent="0.35">
      <c r="A64" s="7">
        <v>87</v>
      </c>
      <c r="B64" s="6">
        <v>45751.532893518517</v>
      </c>
      <c r="C64" s="6">
        <v>45751</v>
      </c>
      <c r="D64" s="7" t="s">
        <v>2458</v>
      </c>
      <c r="E64" s="7" t="s">
        <v>1331</v>
      </c>
      <c r="F64" s="7" t="s">
        <v>1954</v>
      </c>
      <c r="G64" s="7" t="s">
        <v>2457</v>
      </c>
      <c r="H64" s="7" t="s">
        <v>1497</v>
      </c>
      <c r="I64" s="7" t="s">
        <v>1496</v>
      </c>
      <c r="J64" s="7" t="s">
        <v>1816</v>
      </c>
      <c r="K64" s="7" t="s">
        <v>1815</v>
      </c>
      <c r="L64" s="7" t="s">
        <v>1915</v>
      </c>
      <c r="M64" s="7" t="s">
        <v>20</v>
      </c>
      <c r="N64" s="7" t="s">
        <v>1324</v>
      </c>
      <c r="O64" s="7" t="s">
        <v>68</v>
      </c>
      <c r="P64" s="7" t="s">
        <v>68</v>
      </c>
      <c r="Q64" s="9">
        <v>0</v>
      </c>
      <c r="R64" s="9">
        <v>2884314.84</v>
      </c>
      <c r="S64" s="9">
        <f t="shared" si="0"/>
        <v>-2884314.84</v>
      </c>
      <c r="T64" s="4" t="s">
        <v>53</v>
      </c>
      <c r="U64" s="7"/>
      <c r="V64" s="7"/>
      <c r="W64" s="9">
        <v>1</v>
      </c>
      <c r="X64" s="7"/>
      <c r="Y64" s="7"/>
      <c r="Z64" s="7" t="s">
        <v>14</v>
      </c>
      <c r="AA64" s="36" t="s">
        <v>20</v>
      </c>
      <c r="AB64" s="4" t="s">
        <v>2602</v>
      </c>
      <c r="AC64" s="22">
        <f t="shared" si="2"/>
        <v>-1131.1038588235294</v>
      </c>
      <c r="AD64" s="23">
        <v>0</v>
      </c>
    </row>
    <row r="65" spans="1:30" x14ac:dyDescent="0.35">
      <c r="A65" s="7">
        <v>88</v>
      </c>
      <c r="B65" s="6">
        <v>45752.394675925927</v>
      </c>
      <c r="C65" s="6">
        <v>45752</v>
      </c>
      <c r="D65" s="7" t="s">
        <v>2456</v>
      </c>
      <c r="E65" s="7" t="s">
        <v>1331</v>
      </c>
      <c r="F65" s="7" t="s">
        <v>1499</v>
      </c>
      <c r="G65" s="7" t="s">
        <v>2455</v>
      </c>
      <c r="H65" s="7" t="s">
        <v>1497</v>
      </c>
      <c r="I65" s="7" t="s">
        <v>1496</v>
      </c>
      <c r="J65" s="7" t="s">
        <v>1816</v>
      </c>
      <c r="K65" s="7" t="s">
        <v>1815</v>
      </c>
      <c r="L65" s="7" t="s">
        <v>1915</v>
      </c>
      <c r="M65" s="7" t="s">
        <v>20</v>
      </c>
      <c r="N65" s="7" t="s">
        <v>1324</v>
      </c>
      <c r="O65" s="7" t="s">
        <v>68</v>
      </c>
      <c r="P65" s="7" t="s">
        <v>68</v>
      </c>
      <c r="Q65" s="9">
        <v>1133297</v>
      </c>
      <c r="R65" s="9">
        <v>0</v>
      </c>
      <c r="S65" s="9">
        <f t="shared" si="0"/>
        <v>1133297</v>
      </c>
      <c r="T65" s="4" t="s">
        <v>53</v>
      </c>
      <c r="U65" s="7"/>
      <c r="V65" s="7"/>
      <c r="W65" s="9">
        <v>1</v>
      </c>
      <c r="X65" s="7"/>
      <c r="Y65" s="7"/>
      <c r="Z65" s="7" t="s">
        <v>14</v>
      </c>
      <c r="AA65" s="36" t="s">
        <v>20</v>
      </c>
      <c r="AB65" s="4" t="s">
        <v>2602</v>
      </c>
      <c r="AC65" s="22">
        <f t="shared" si="2"/>
        <v>444.43019607843138</v>
      </c>
      <c r="AD65" s="23">
        <v>0</v>
      </c>
    </row>
    <row r="66" spans="1:30" x14ac:dyDescent="0.35">
      <c r="A66" s="7">
        <v>89</v>
      </c>
      <c r="B66" s="6">
        <v>45752.389039351852</v>
      </c>
      <c r="C66" s="6">
        <v>45752</v>
      </c>
      <c r="D66" s="7" t="s">
        <v>2454</v>
      </c>
      <c r="E66" s="7" t="s">
        <v>1331</v>
      </c>
      <c r="F66" s="7" t="s">
        <v>1499</v>
      </c>
      <c r="G66" s="7" t="s">
        <v>2453</v>
      </c>
      <c r="H66" s="7" t="s">
        <v>1497</v>
      </c>
      <c r="I66" s="7" t="s">
        <v>1496</v>
      </c>
      <c r="J66" s="7" t="s">
        <v>1816</v>
      </c>
      <c r="K66" s="7" t="s">
        <v>1815</v>
      </c>
      <c r="L66" s="7" t="s">
        <v>1915</v>
      </c>
      <c r="M66" s="7" t="s">
        <v>20</v>
      </c>
      <c r="N66" s="7" t="s">
        <v>1324</v>
      </c>
      <c r="O66" s="7" t="s">
        <v>68</v>
      </c>
      <c r="P66" s="7" t="s">
        <v>68</v>
      </c>
      <c r="Q66" s="9">
        <v>757504</v>
      </c>
      <c r="R66" s="9">
        <v>0</v>
      </c>
      <c r="S66" s="9">
        <f t="shared" si="0"/>
        <v>757504</v>
      </c>
      <c r="T66" s="4" t="s">
        <v>53</v>
      </c>
      <c r="U66" s="7"/>
      <c r="V66" s="7"/>
      <c r="W66" s="9">
        <v>1</v>
      </c>
      <c r="X66" s="7"/>
      <c r="Y66" s="7"/>
      <c r="Z66" s="7" t="s">
        <v>14</v>
      </c>
      <c r="AA66" s="36" t="s">
        <v>20</v>
      </c>
      <c r="AB66" s="4" t="s">
        <v>2602</v>
      </c>
      <c r="AC66" s="22">
        <f t="shared" si="2"/>
        <v>297.06039215686275</v>
      </c>
      <c r="AD66" s="23">
        <v>0</v>
      </c>
    </row>
    <row r="67" spans="1:30" x14ac:dyDescent="0.35">
      <c r="A67" s="7">
        <v>90</v>
      </c>
      <c r="B67" s="6">
        <v>45752.386724537035</v>
      </c>
      <c r="C67" s="6">
        <v>45752</v>
      </c>
      <c r="D67" s="7" t="s">
        <v>2452</v>
      </c>
      <c r="E67" s="7" t="s">
        <v>1331</v>
      </c>
      <c r="F67" s="7" t="s">
        <v>1499</v>
      </c>
      <c r="G67" s="7" t="s">
        <v>2451</v>
      </c>
      <c r="H67" s="7" t="s">
        <v>1497</v>
      </c>
      <c r="I67" s="7" t="s">
        <v>1496</v>
      </c>
      <c r="J67" s="7" t="s">
        <v>1816</v>
      </c>
      <c r="K67" s="7" t="s">
        <v>1815</v>
      </c>
      <c r="L67" s="7" t="s">
        <v>1915</v>
      </c>
      <c r="M67" s="7" t="s">
        <v>20</v>
      </c>
      <c r="N67" s="7" t="s">
        <v>1324</v>
      </c>
      <c r="O67" s="7" t="s">
        <v>68</v>
      </c>
      <c r="P67" s="7" t="s">
        <v>68</v>
      </c>
      <c r="Q67" s="9">
        <v>153868</v>
      </c>
      <c r="R67" s="9">
        <v>0</v>
      </c>
      <c r="S67" s="9">
        <f t="shared" ref="S67:S73" si="3">+Q67-R67</f>
        <v>153868</v>
      </c>
      <c r="T67" s="4" t="s">
        <v>53</v>
      </c>
      <c r="U67" s="7"/>
      <c r="V67" s="7"/>
      <c r="W67" s="9">
        <v>1</v>
      </c>
      <c r="X67" s="7"/>
      <c r="Y67" s="7"/>
      <c r="Z67" s="7" t="s">
        <v>14</v>
      </c>
      <c r="AA67" s="36" t="s">
        <v>20</v>
      </c>
      <c r="AB67" s="4" t="s">
        <v>2602</v>
      </c>
      <c r="AC67" s="22">
        <f t="shared" si="2"/>
        <v>60.340392156862748</v>
      </c>
      <c r="AD67" s="23">
        <v>0</v>
      </c>
    </row>
    <row r="68" spans="1:30" x14ac:dyDescent="0.35">
      <c r="A68" s="7">
        <v>91</v>
      </c>
      <c r="B68" s="6">
        <v>45752.383553240739</v>
      </c>
      <c r="C68" s="6">
        <v>45752</v>
      </c>
      <c r="D68" s="7" t="s">
        <v>2450</v>
      </c>
      <c r="E68" s="7" t="s">
        <v>1331</v>
      </c>
      <c r="F68" s="7" t="s">
        <v>1499</v>
      </c>
      <c r="G68" s="7" t="s">
        <v>2449</v>
      </c>
      <c r="H68" s="7" t="s">
        <v>1497</v>
      </c>
      <c r="I68" s="7" t="s">
        <v>1496</v>
      </c>
      <c r="J68" s="7" t="s">
        <v>1816</v>
      </c>
      <c r="K68" s="7" t="s">
        <v>1815</v>
      </c>
      <c r="L68" s="7" t="s">
        <v>1915</v>
      </c>
      <c r="M68" s="7" t="s">
        <v>20</v>
      </c>
      <c r="N68" s="7" t="s">
        <v>1324</v>
      </c>
      <c r="O68" s="7" t="s">
        <v>68</v>
      </c>
      <c r="P68" s="7" t="s">
        <v>68</v>
      </c>
      <c r="Q68" s="9">
        <v>147950</v>
      </c>
      <c r="R68" s="9">
        <v>0</v>
      </c>
      <c r="S68" s="9">
        <f t="shared" si="3"/>
        <v>147950</v>
      </c>
      <c r="T68" s="4" t="s">
        <v>53</v>
      </c>
      <c r="U68" s="7"/>
      <c r="V68" s="7"/>
      <c r="W68" s="9">
        <v>1</v>
      </c>
      <c r="X68" s="7"/>
      <c r="Y68" s="7"/>
      <c r="Z68" s="7" t="s">
        <v>14</v>
      </c>
      <c r="AA68" s="36" t="s">
        <v>20</v>
      </c>
      <c r="AB68" s="4" t="s">
        <v>2602</v>
      </c>
      <c r="AC68" s="22">
        <f t="shared" si="2"/>
        <v>58.019607843137258</v>
      </c>
      <c r="AD68" s="23">
        <v>0</v>
      </c>
    </row>
    <row r="69" spans="1:30" x14ac:dyDescent="0.35">
      <c r="A69" s="7">
        <v>92</v>
      </c>
      <c r="B69" s="6">
        <v>45752.375509259262</v>
      </c>
      <c r="C69" s="6">
        <v>45752</v>
      </c>
      <c r="D69" s="7" t="s">
        <v>2448</v>
      </c>
      <c r="E69" s="7" t="s">
        <v>1331</v>
      </c>
      <c r="F69" s="7" t="s">
        <v>1499</v>
      </c>
      <c r="G69" s="7" t="s">
        <v>2447</v>
      </c>
      <c r="H69" s="7" t="s">
        <v>1497</v>
      </c>
      <c r="I69" s="7" t="s">
        <v>1496</v>
      </c>
      <c r="J69" s="7" t="s">
        <v>1816</v>
      </c>
      <c r="K69" s="7" t="s">
        <v>1815</v>
      </c>
      <c r="L69" s="7" t="s">
        <v>1915</v>
      </c>
      <c r="M69" s="7" t="s">
        <v>20</v>
      </c>
      <c r="N69" s="7" t="s">
        <v>1324</v>
      </c>
      <c r="O69" s="7" t="s">
        <v>68</v>
      </c>
      <c r="P69" s="7" t="s">
        <v>68</v>
      </c>
      <c r="Q69" s="9">
        <v>946880</v>
      </c>
      <c r="R69" s="9">
        <v>0</v>
      </c>
      <c r="S69" s="9">
        <f t="shared" si="3"/>
        <v>946880</v>
      </c>
      <c r="T69" s="4" t="s">
        <v>53</v>
      </c>
      <c r="U69" s="7"/>
      <c r="V69" s="7"/>
      <c r="W69" s="9">
        <v>1</v>
      </c>
      <c r="X69" s="7"/>
      <c r="Y69" s="7"/>
      <c r="Z69" s="7" t="s">
        <v>14</v>
      </c>
      <c r="AA69" s="36" t="s">
        <v>20</v>
      </c>
      <c r="AB69" s="4" t="s">
        <v>2602</v>
      </c>
      <c r="AC69" s="22">
        <f t="shared" si="2"/>
        <v>371.32549019607842</v>
      </c>
      <c r="AD69" s="23">
        <v>0</v>
      </c>
    </row>
    <row r="70" spans="1:30" x14ac:dyDescent="0.35">
      <c r="A70" s="7">
        <v>93</v>
      </c>
      <c r="B70" s="6">
        <v>45752.372013888889</v>
      </c>
      <c r="C70" s="6">
        <v>45752</v>
      </c>
      <c r="D70" s="7" t="s">
        <v>2446</v>
      </c>
      <c r="E70" s="7" t="s">
        <v>1331</v>
      </c>
      <c r="F70" s="7" t="s">
        <v>1499</v>
      </c>
      <c r="G70" s="7" t="s">
        <v>2445</v>
      </c>
      <c r="H70" s="7" t="s">
        <v>1497</v>
      </c>
      <c r="I70" s="7" t="s">
        <v>1496</v>
      </c>
      <c r="J70" s="7" t="s">
        <v>1816</v>
      </c>
      <c r="K70" s="7" t="s">
        <v>1815</v>
      </c>
      <c r="L70" s="7" t="s">
        <v>1915</v>
      </c>
      <c r="M70" s="7" t="s">
        <v>20</v>
      </c>
      <c r="N70" s="7" t="s">
        <v>1324</v>
      </c>
      <c r="O70" s="7" t="s">
        <v>68</v>
      </c>
      <c r="P70" s="7" t="s">
        <v>68</v>
      </c>
      <c r="Q70" s="9">
        <v>609554</v>
      </c>
      <c r="R70" s="9">
        <v>0</v>
      </c>
      <c r="S70" s="9">
        <f t="shared" si="3"/>
        <v>609554</v>
      </c>
      <c r="T70" s="4" t="s">
        <v>53</v>
      </c>
      <c r="U70" s="7"/>
      <c r="V70" s="7"/>
      <c r="W70" s="9">
        <v>1</v>
      </c>
      <c r="X70" s="7"/>
      <c r="Y70" s="7"/>
      <c r="Z70" s="7" t="s">
        <v>14</v>
      </c>
      <c r="AA70" s="36" t="s">
        <v>20</v>
      </c>
      <c r="AB70" s="4" t="s">
        <v>2602</v>
      </c>
      <c r="AC70" s="22">
        <f t="shared" si="2"/>
        <v>239.04078431372548</v>
      </c>
      <c r="AD70" s="23">
        <v>0</v>
      </c>
    </row>
    <row r="71" spans="1:30" x14ac:dyDescent="0.35">
      <c r="A71" s="7">
        <v>94</v>
      </c>
      <c r="B71" s="6">
        <v>45752.311886574076</v>
      </c>
      <c r="C71" s="6">
        <v>45752</v>
      </c>
      <c r="D71" s="7" t="s">
        <v>2444</v>
      </c>
      <c r="E71" s="7" t="s">
        <v>1331</v>
      </c>
      <c r="F71" s="7" t="s">
        <v>1499</v>
      </c>
      <c r="G71" s="7" t="s">
        <v>2443</v>
      </c>
      <c r="H71" s="7" t="s">
        <v>1497</v>
      </c>
      <c r="I71" s="7" t="s">
        <v>1496</v>
      </c>
      <c r="J71" s="7" t="s">
        <v>1816</v>
      </c>
      <c r="K71" s="7" t="s">
        <v>1815</v>
      </c>
      <c r="L71" s="7" t="s">
        <v>1915</v>
      </c>
      <c r="M71" s="7" t="s">
        <v>20</v>
      </c>
      <c r="N71" s="7" t="s">
        <v>1324</v>
      </c>
      <c r="O71" s="7" t="s">
        <v>68</v>
      </c>
      <c r="P71" s="7" t="s">
        <v>68</v>
      </c>
      <c r="Q71" s="9">
        <v>350641.5</v>
      </c>
      <c r="R71" s="9">
        <v>0</v>
      </c>
      <c r="S71" s="9">
        <f t="shared" si="3"/>
        <v>350641.5</v>
      </c>
      <c r="T71" s="4" t="s">
        <v>53</v>
      </c>
      <c r="U71" s="7"/>
      <c r="V71" s="7"/>
      <c r="W71" s="9">
        <v>1</v>
      </c>
      <c r="X71" s="7"/>
      <c r="Y71" s="7"/>
      <c r="Z71" s="7" t="s">
        <v>14</v>
      </c>
      <c r="AA71" s="36" t="s">
        <v>20</v>
      </c>
      <c r="AB71" s="4" t="s">
        <v>2602</v>
      </c>
      <c r="AC71" s="22">
        <f t="shared" si="2"/>
        <v>137.50647058823529</v>
      </c>
      <c r="AD71" s="23">
        <v>0</v>
      </c>
    </row>
    <row r="72" spans="1:30" x14ac:dyDescent="0.35">
      <c r="A72" s="7">
        <v>95</v>
      </c>
      <c r="B72" s="6">
        <v>45752</v>
      </c>
      <c r="C72" s="6">
        <v>45752</v>
      </c>
      <c r="D72" s="7" t="s">
        <v>1683</v>
      </c>
      <c r="E72" s="7" t="s">
        <v>61</v>
      </c>
      <c r="F72" s="7" t="s">
        <v>1682</v>
      </c>
      <c r="G72" s="7" t="s">
        <v>1682</v>
      </c>
      <c r="H72" s="7"/>
      <c r="I72" s="7"/>
      <c r="J72" s="7" t="s">
        <v>59</v>
      </c>
      <c r="K72" s="7" t="s">
        <v>58</v>
      </c>
      <c r="L72" s="7" t="s">
        <v>70</v>
      </c>
      <c r="M72" s="7" t="s">
        <v>35</v>
      </c>
      <c r="N72" s="7" t="s">
        <v>69</v>
      </c>
      <c r="O72" s="7" t="s">
        <v>68</v>
      </c>
      <c r="P72" s="7" t="s">
        <v>54</v>
      </c>
      <c r="Q72" s="11">
        <v>267807.45</v>
      </c>
      <c r="R72" s="11">
        <v>0</v>
      </c>
      <c r="S72" s="9">
        <f t="shared" si="3"/>
        <v>267807.45</v>
      </c>
      <c r="T72" s="4" t="s">
        <v>53</v>
      </c>
      <c r="U72" s="7" t="s">
        <v>67</v>
      </c>
      <c r="V72" s="4"/>
      <c r="W72" s="9">
        <v>-100</v>
      </c>
      <c r="X72" s="7" t="s">
        <v>51</v>
      </c>
      <c r="Y72" s="7"/>
      <c r="Z72" s="7" t="s">
        <v>14</v>
      </c>
      <c r="AA72" s="36" t="s">
        <v>20</v>
      </c>
      <c r="AB72" s="4" t="s">
        <v>2602</v>
      </c>
      <c r="AC72" s="22">
        <f t="shared" si="2"/>
        <v>105.02252941176471</v>
      </c>
      <c r="AD72" s="23">
        <v>0</v>
      </c>
    </row>
    <row r="73" spans="1:30" x14ac:dyDescent="0.35">
      <c r="A73" s="7">
        <v>96</v>
      </c>
      <c r="B73" s="6">
        <v>45752</v>
      </c>
      <c r="C73" s="6">
        <v>45752</v>
      </c>
      <c r="D73" s="7" t="s">
        <v>1681</v>
      </c>
      <c r="E73" s="7" t="s">
        <v>61</v>
      </c>
      <c r="F73" s="7" t="s">
        <v>1680</v>
      </c>
      <c r="G73" s="7" t="s">
        <v>1680</v>
      </c>
      <c r="H73" s="7"/>
      <c r="I73" s="7"/>
      <c r="J73" s="7" t="s">
        <v>59</v>
      </c>
      <c r="K73" s="7" t="s">
        <v>58</v>
      </c>
      <c r="L73" s="7" t="s">
        <v>70</v>
      </c>
      <c r="M73" s="7" t="s">
        <v>35</v>
      </c>
      <c r="N73" s="7" t="s">
        <v>87</v>
      </c>
      <c r="O73" s="7" t="s">
        <v>68</v>
      </c>
      <c r="P73" s="7" t="s">
        <v>54</v>
      </c>
      <c r="Q73" s="11">
        <v>267807.46000000002</v>
      </c>
      <c r="R73" s="11">
        <v>0</v>
      </c>
      <c r="S73" s="9">
        <f t="shared" si="3"/>
        <v>267807.46000000002</v>
      </c>
      <c r="T73" s="4" t="s">
        <v>53</v>
      </c>
      <c r="U73" s="7" t="s">
        <v>67</v>
      </c>
      <c r="V73" s="4"/>
      <c r="W73" s="9">
        <v>-100</v>
      </c>
      <c r="X73" s="7" t="s">
        <v>51</v>
      </c>
      <c r="Y73" s="7"/>
      <c r="Z73" s="7" t="s">
        <v>14</v>
      </c>
      <c r="AA73" s="36" t="s">
        <v>20</v>
      </c>
      <c r="AB73" s="4" t="s">
        <v>2602</v>
      </c>
      <c r="AC73" s="22">
        <f t="shared" si="2"/>
        <v>105.02253333333334</v>
      </c>
      <c r="AD73" s="23">
        <v>0</v>
      </c>
    </row>
    <row r="74" spans="1:30" hidden="1" x14ac:dyDescent="0.35">
      <c r="A74" s="7">
        <v>97</v>
      </c>
      <c r="B74" s="6">
        <v>45755</v>
      </c>
      <c r="C74" s="6">
        <v>45755</v>
      </c>
      <c r="D74" s="7" t="s">
        <v>1812</v>
      </c>
      <c r="E74" s="7" t="s">
        <v>61</v>
      </c>
      <c r="F74" s="7" t="s">
        <v>1811</v>
      </c>
      <c r="G74" s="7" t="s">
        <v>1810</v>
      </c>
      <c r="H74" s="7"/>
      <c r="I74" s="7"/>
      <c r="J74" s="7" t="s">
        <v>59</v>
      </c>
      <c r="K74" s="7" t="s">
        <v>58</v>
      </c>
      <c r="L74" s="7" t="s">
        <v>325</v>
      </c>
      <c r="M74" s="7" t="s">
        <v>1764</v>
      </c>
      <c r="N74" s="7" t="s">
        <v>1699</v>
      </c>
      <c r="O74" s="7" t="s">
        <v>1703</v>
      </c>
      <c r="P74" s="7" t="s">
        <v>196</v>
      </c>
      <c r="Q74" s="11">
        <v>1515000</v>
      </c>
      <c r="R74" s="11">
        <v>0</v>
      </c>
      <c r="S74" s="9">
        <f t="shared" ref="S74:S130" si="4">+Q74-R74</f>
        <v>1515000</v>
      </c>
      <c r="T74" s="4" t="s">
        <v>53</v>
      </c>
      <c r="U74" s="7" t="s">
        <v>1803</v>
      </c>
      <c r="V74" s="4"/>
      <c r="W74" s="9">
        <v>-1</v>
      </c>
      <c r="X74" s="7" t="s">
        <v>94</v>
      </c>
      <c r="Y74" s="7"/>
      <c r="Z74" s="7" t="s">
        <v>7</v>
      </c>
      <c r="AA74" s="37" t="s">
        <v>8</v>
      </c>
      <c r="AB74" s="16"/>
      <c r="AC74" s="22">
        <f t="shared" si="2"/>
        <v>594.11764705882354</v>
      </c>
      <c r="AD74" s="23">
        <v>0</v>
      </c>
    </row>
    <row r="75" spans="1:30" x14ac:dyDescent="0.35">
      <c r="A75" s="7">
        <v>98</v>
      </c>
      <c r="B75" s="6">
        <v>45757</v>
      </c>
      <c r="C75" s="6">
        <v>45757</v>
      </c>
      <c r="D75" s="7" t="s">
        <v>1679</v>
      </c>
      <c r="E75" s="7" t="s">
        <v>61</v>
      </c>
      <c r="F75" s="7" t="s">
        <v>1678</v>
      </c>
      <c r="G75" s="7" t="s">
        <v>1678</v>
      </c>
      <c r="H75" s="7"/>
      <c r="I75" s="7"/>
      <c r="J75" s="7" t="s">
        <v>59</v>
      </c>
      <c r="K75" s="7" t="s">
        <v>58</v>
      </c>
      <c r="L75" s="7" t="s">
        <v>70</v>
      </c>
      <c r="M75" s="7" t="s">
        <v>35</v>
      </c>
      <c r="N75" s="7" t="s">
        <v>73</v>
      </c>
      <c r="O75" s="7" t="s">
        <v>68</v>
      </c>
      <c r="P75" s="7" t="s">
        <v>54</v>
      </c>
      <c r="Q75" s="11">
        <v>66951.86</v>
      </c>
      <c r="R75" s="11">
        <v>0</v>
      </c>
      <c r="S75" s="9">
        <f t="shared" si="4"/>
        <v>66951.86</v>
      </c>
      <c r="T75" s="4" t="s">
        <v>53</v>
      </c>
      <c r="U75" s="7" t="s">
        <v>67</v>
      </c>
      <c r="V75" s="4"/>
      <c r="W75" s="9">
        <v>-25</v>
      </c>
      <c r="X75" s="7" t="s">
        <v>51</v>
      </c>
      <c r="Y75" s="7"/>
      <c r="Z75" s="7" t="s">
        <v>14</v>
      </c>
      <c r="AA75" s="36" t="s">
        <v>20</v>
      </c>
      <c r="AB75" s="4" t="s">
        <v>2602</v>
      </c>
      <c r="AC75" s="22">
        <f t="shared" si="2"/>
        <v>26.255631372549018</v>
      </c>
      <c r="AD75" s="23">
        <v>0</v>
      </c>
    </row>
    <row r="76" spans="1:30" x14ac:dyDescent="0.35">
      <c r="A76" s="7">
        <v>99</v>
      </c>
      <c r="B76" s="6">
        <v>45757</v>
      </c>
      <c r="C76" s="6">
        <v>45757</v>
      </c>
      <c r="D76" s="7" t="s">
        <v>1677</v>
      </c>
      <c r="E76" s="7" t="s">
        <v>61</v>
      </c>
      <c r="F76" s="7" t="s">
        <v>1676</v>
      </c>
      <c r="G76" s="7" t="s">
        <v>1676</v>
      </c>
      <c r="H76" s="7"/>
      <c r="I76" s="7"/>
      <c r="J76" s="7" t="s">
        <v>59</v>
      </c>
      <c r="K76" s="7" t="s">
        <v>58</v>
      </c>
      <c r="L76" s="7" t="s">
        <v>70</v>
      </c>
      <c r="M76" s="7" t="s">
        <v>35</v>
      </c>
      <c r="N76" s="7" t="s">
        <v>87</v>
      </c>
      <c r="O76" s="7" t="s">
        <v>68</v>
      </c>
      <c r="P76" s="7" t="s">
        <v>54</v>
      </c>
      <c r="Q76" s="11">
        <v>214245.96</v>
      </c>
      <c r="R76" s="11">
        <v>0</v>
      </c>
      <c r="S76" s="9">
        <f t="shared" si="4"/>
        <v>214245.96</v>
      </c>
      <c r="T76" s="4" t="s">
        <v>53</v>
      </c>
      <c r="U76" s="7" t="s">
        <v>67</v>
      </c>
      <c r="V76" s="4"/>
      <c r="W76" s="9">
        <v>-80</v>
      </c>
      <c r="X76" s="7" t="s">
        <v>51</v>
      </c>
      <c r="Y76" s="7"/>
      <c r="Z76" s="7" t="s">
        <v>14</v>
      </c>
      <c r="AA76" s="36" t="s">
        <v>20</v>
      </c>
      <c r="AB76" s="4" t="s">
        <v>2602</v>
      </c>
      <c r="AC76" s="22">
        <f t="shared" si="2"/>
        <v>84.018023529411764</v>
      </c>
      <c r="AD76" s="23">
        <v>0</v>
      </c>
    </row>
    <row r="77" spans="1:30" hidden="1" x14ac:dyDescent="0.35">
      <c r="A77" s="7">
        <v>100</v>
      </c>
      <c r="B77" s="6">
        <v>45758.382303240738</v>
      </c>
      <c r="C77" s="6">
        <v>45758</v>
      </c>
      <c r="D77" s="7" t="s">
        <v>2442</v>
      </c>
      <c r="E77" s="7" t="s">
        <v>714</v>
      </c>
      <c r="F77" s="7"/>
      <c r="G77" s="7" t="s">
        <v>2424</v>
      </c>
      <c r="H77" s="7" t="s">
        <v>2427</v>
      </c>
      <c r="I77" s="7" t="s">
        <v>2426</v>
      </c>
      <c r="J77" s="7" t="s">
        <v>1816</v>
      </c>
      <c r="K77" s="7" t="s">
        <v>1815</v>
      </c>
      <c r="L77" s="7" t="s">
        <v>1814</v>
      </c>
      <c r="M77" s="7" t="s">
        <v>28</v>
      </c>
      <c r="N77" s="7" t="s">
        <v>1825</v>
      </c>
      <c r="O77" s="7" t="s">
        <v>105</v>
      </c>
      <c r="P77" s="7" t="s">
        <v>1775</v>
      </c>
      <c r="Q77" s="9">
        <v>800000</v>
      </c>
      <c r="R77" s="9">
        <v>0</v>
      </c>
      <c r="S77" s="9">
        <f t="shared" si="4"/>
        <v>800000</v>
      </c>
      <c r="T77" s="4" t="s">
        <v>53</v>
      </c>
      <c r="U77" s="7"/>
      <c r="V77" s="7"/>
      <c r="W77" s="9">
        <v>1</v>
      </c>
      <c r="X77" s="7"/>
      <c r="Y77" s="7"/>
      <c r="Z77" s="7" t="s">
        <v>14</v>
      </c>
      <c r="AA77" s="36" t="s">
        <v>28</v>
      </c>
      <c r="AB77" s="4"/>
      <c r="AC77" s="22">
        <f t="shared" si="2"/>
        <v>313.72549019607845</v>
      </c>
      <c r="AD77" s="23">
        <v>0</v>
      </c>
    </row>
    <row r="78" spans="1:30" hidden="1" x14ac:dyDescent="0.35">
      <c r="A78" s="7">
        <v>101</v>
      </c>
      <c r="B78" s="6">
        <v>45761</v>
      </c>
      <c r="C78" s="6">
        <v>45761</v>
      </c>
      <c r="D78" s="7" t="s">
        <v>1809</v>
      </c>
      <c r="E78" s="7" t="s">
        <v>61</v>
      </c>
      <c r="F78" s="7" t="s">
        <v>1808</v>
      </c>
      <c r="G78" s="7" t="s">
        <v>1807</v>
      </c>
      <c r="H78" s="7"/>
      <c r="I78" s="7"/>
      <c r="J78" s="7" t="s">
        <v>59</v>
      </c>
      <c r="K78" s="7" t="s">
        <v>58</v>
      </c>
      <c r="L78" s="7" t="s">
        <v>325</v>
      </c>
      <c r="M78" s="7" t="s">
        <v>1764</v>
      </c>
      <c r="N78" s="7" t="s">
        <v>1699</v>
      </c>
      <c r="O78" s="7" t="s">
        <v>1703</v>
      </c>
      <c r="P78" s="7" t="s">
        <v>1703</v>
      </c>
      <c r="Q78" s="11">
        <v>593220.34</v>
      </c>
      <c r="R78" s="11">
        <v>0</v>
      </c>
      <c r="S78" s="9">
        <f t="shared" si="4"/>
        <v>593220.34</v>
      </c>
      <c r="T78" s="4" t="s">
        <v>53</v>
      </c>
      <c r="U78" s="7" t="s">
        <v>1767</v>
      </c>
      <c r="V78" s="4"/>
      <c r="W78" s="9">
        <v>-1</v>
      </c>
      <c r="X78" s="7" t="s">
        <v>94</v>
      </c>
      <c r="Y78" s="7"/>
      <c r="Z78" s="7" t="s">
        <v>5</v>
      </c>
      <c r="AA78" s="37" t="s">
        <v>6</v>
      </c>
      <c r="AB78" s="16"/>
      <c r="AC78" s="22">
        <f t="shared" si="2"/>
        <v>232.63542745098039</v>
      </c>
      <c r="AD78" s="23">
        <v>0</v>
      </c>
    </row>
    <row r="79" spans="1:30" x14ac:dyDescent="0.35">
      <c r="A79" s="7">
        <v>102</v>
      </c>
      <c r="B79" s="6">
        <v>45762</v>
      </c>
      <c r="C79" s="6">
        <v>45762</v>
      </c>
      <c r="D79" s="7" t="s">
        <v>1675</v>
      </c>
      <c r="E79" s="7" t="s">
        <v>61</v>
      </c>
      <c r="F79" s="7" t="s">
        <v>1674</v>
      </c>
      <c r="G79" s="7" t="s">
        <v>1674</v>
      </c>
      <c r="H79" s="7"/>
      <c r="I79" s="7"/>
      <c r="J79" s="7" t="s">
        <v>59</v>
      </c>
      <c r="K79" s="7" t="s">
        <v>58</v>
      </c>
      <c r="L79" s="7" t="s">
        <v>57</v>
      </c>
      <c r="M79" s="7" t="s">
        <v>1071</v>
      </c>
      <c r="N79" s="7" t="s">
        <v>118</v>
      </c>
      <c r="O79" s="7" t="s">
        <v>68</v>
      </c>
      <c r="P79" s="7" t="s">
        <v>54</v>
      </c>
      <c r="Q79" s="11">
        <v>90000</v>
      </c>
      <c r="R79" s="11">
        <v>0</v>
      </c>
      <c r="S79" s="9">
        <f t="shared" si="4"/>
        <v>90000</v>
      </c>
      <c r="T79" s="4" t="s">
        <v>53</v>
      </c>
      <c r="U79" s="7" t="s">
        <v>121</v>
      </c>
      <c r="V79" s="4"/>
      <c r="W79" s="9">
        <v>-6</v>
      </c>
      <c r="X79" s="7" t="s">
        <v>94</v>
      </c>
      <c r="Y79" s="7"/>
      <c r="Z79" s="7" t="s">
        <v>14</v>
      </c>
      <c r="AA79" s="36" t="s">
        <v>23</v>
      </c>
      <c r="AB79" s="4" t="s">
        <v>2607</v>
      </c>
      <c r="AC79" s="22">
        <f t="shared" si="2"/>
        <v>35.294117647058826</v>
      </c>
      <c r="AD79" s="23">
        <v>70000</v>
      </c>
    </row>
    <row r="80" spans="1:30" x14ac:dyDescent="0.35">
      <c r="A80" s="7">
        <v>103</v>
      </c>
      <c r="B80" s="6">
        <v>45763</v>
      </c>
      <c r="C80" s="6">
        <v>45763</v>
      </c>
      <c r="D80" s="7" t="s">
        <v>1673</v>
      </c>
      <c r="E80" s="7" t="s">
        <v>61</v>
      </c>
      <c r="F80" s="7" t="s">
        <v>1672</v>
      </c>
      <c r="G80" s="7" t="s">
        <v>1672</v>
      </c>
      <c r="H80" s="7"/>
      <c r="I80" s="7"/>
      <c r="J80" s="7" t="s">
        <v>59</v>
      </c>
      <c r="K80" s="7" t="s">
        <v>58</v>
      </c>
      <c r="L80" s="7" t="s">
        <v>57</v>
      </c>
      <c r="M80" s="7" t="s">
        <v>1071</v>
      </c>
      <c r="N80" s="7"/>
      <c r="O80" s="7" t="s">
        <v>68</v>
      </c>
      <c r="P80" s="7" t="s">
        <v>1503</v>
      </c>
      <c r="Q80" s="11">
        <v>0</v>
      </c>
      <c r="R80" s="11">
        <v>435137.14</v>
      </c>
      <c r="S80" s="9">
        <f t="shared" si="4"/>
        <v>-435137.14</v>
      </c>
      <c r="T80" s="4" t="s">
        <v>53</v>
      </c>
      <c r="U80" s="7" t="s">
        <v>1671</v>
      </c>
      <c r="V80" s="4"/>
      <c r="W80" s="9">
        <v>2</v>
      </c>
      <c r="X80" s="7" t="s">
        <v>94</v>
      </c>
      <c r="Y80" s="7"/>
      <c r="Z80" s="7" t="s">
        <v>14</v>
      </c>
      <c r="AA80" s="36" t="s">
        <v>20</v>
      </c>
      <c r="AB80" s="4" t="s">
        <v>2602</v>
      </c>
      <c r="AC80" s="22">
        <f t="shared" si="2"/>
        <v>-170.6420156862745</v>
      </c>
      <c r="AD80" s="23">
        <v>0</v>
      </c>
    </row>
    <row r="81" spans="1:30" x14ac:dyDescent="0.35">
      <c r="A81" s="7">
        <v>104</v>
      </c>
      <c r="B81" s="6">
        <v>45764</v>
      </c>
      <c r="C81" s="6">
        <v>45764</v>
      </c>
      <c r="D81" s="7" t="s">
        <v>1670</v>
      </c>
      <c r="E81" s="7" t="s">
        <v>61</v>
      </c>
      <c r="F81" s="7" t="s">
        <v>1669</v>
      </c>
      <c r="G81" s="7" t="s">
        <v>1669</v>
      </c>
      <c r="H81" s="7"/>
      <c r="I81" s="7"/>
      <c r="J81" s="7" t="s">
        <v>59</v>
      </c>
      <c r="K81" s="7" t="s">
        <v>58</v>
      </c>
      <c r="L81" s="7" t="s">
        <v>57</v>
      </c>
      <c r="M81" s="7" t="s">
        <v>1071</v>
      </c>
      <c r="N81" s="7" t="s">
        <v>118</v>
      </c>
      <c r="O81" s="7" t="s">
        <v>68</v>
      </c>
      <c r="P81" s="7" t="s">
        <v>54</v>
      </c>
      <c r="Q81" s="11">
        <v>90000</v>
      </c>
      <c r="R81" s="11">
        <v>0</v>
      </c>
      <c r="S81" s="9">
        <f t="shared" si="4"/>
        <v>90000</v>
      </c>
      <c r="T81" s="4" t="s">
        <v>53</v>
      </c>
      <c r="U81" s="7" t="s">
        <v>121</v>
      </c>
      <c r="V81" s="4"/>
      <c r="W81" s="9">
        <v>-6</v>
      </c>
      <c r="X81" s="7" t="s">
        <v>94</v>
      </c>
      <c r="Y81" s="7"/>
      <c r="Z81" s="7" t="s">
        <v>14</v>
      </c>
      <c r="AA81" s="36" t="s">
        <v>23</v>
      </c>
      <c r="AB81" s="4" t="s">
        <v>2607</v>
      </c>
      <c r="AC81" s="22">
        <f t="shared" si="2"/>
        <v>35.294117647058826</v>
      </c>
      <c r="AD81" s="23">
        <v>0</v>
      </c>
    </row>
    <row r="82" spans="1:30" x14ac:dyDescent="0.35">
      <c r="A82" s="7">
        <v>105</v>
      </c>
      <c r="B82" s="6">
        <v>45769</v>
      </c>
      <c r="C82" s="6">
        <v>45769</v>
      </c>
      <c r="D82" s="7" t="s">
        <v>1668</v>
      </c>
      <c r="E82" s="7" t="s">
        <v>61</v>
      </c>
      <c r="F82" s="7" t="s">
        <v>1667</v>
      </c>
      <c r="G82" s="7" t="s">
        <v>1667</v>
      </c>
      <c r="H82" s="7"/>
      <c r="I82" s="7"/>
      <c r="J82" s="7" t="s">
        <v>59</v>
      </c>
      <c r="K82" s="7" t="s">
        <v>58</v>
      </c>
      <c r="L82" s="7" t="s">
        <v>57</v>
      </c>
      <c r="M82" s="7" t="s">
        <v>1071</v>
      </c>
      <c r="N82" s="7" t="s">
        <v>266</v>
      </c>
      <c r="O82" s="7" t="s">
        <v>68</v>
      </c>
      <c r="P82" s="7" t="s">
        <v>54</v>
      </c>
      <c r="Q82" s="11">
        <v>150000</v>
      </c>
      <c r="R82" s="11">
        <v>0</v>
      </c>
      <c r="S82" s="9">
        <f t="shared" si="4"/>
        <v>150000</v>
      </c>
      <c r="T82" s="4" t="s">
        <v>53</v>
      </c>
      <c r="U82" s="7" t="s">
        <v>121</v>
      </c>
      <c r="V82" s="4"/>
      <c r="W82" s="9">
        <v>-10</v>
      </c>
      <c r="X82" s="7" t="s">
        <v>94</v>
      </c>
      <c r="Y82" s="7"/>
      <c r="Z82" s="7" t="s">
        <v>14</v>
      </c>
      <c r="AA82" s="36" t="s">
        <v>22</v>
      </c>
      <c r="AB82" s="4" t="s">
        <v>2835</v>
      </c>
      <c r="AC82" s="22">
        <f t="shared" si="2"/>
        <v>58.823529411764703</v>
      </c>
      <c r="AD82" s="23">
        <v>0</v>
      </c>
    </row>
    <row r="83" spans="1:30" x14ac:dyDescent="0.35">
      <c r="A83" s="7">
        <v>106</v>
      </c>
      <c r="B83" s="6">
        <v>45771.391736111109</v>
      </c>
      <c r="C83" s="6">
        <v>45771</v>
      </c>
      <c r="D83" s="7" t="s">
        <v>2441</v>
      </c>
      <c r="E83" s="7" t="s">
        <v>1331</v>
      </c>
      <c r="F83" s="7" t="s">
        <v>2440</v>
      </c>
      <c r="G83" s="7" t="s">
        <v>2439</v>
      </c>
      <c r="H83" s="7" t="s">
        <v>2364</v>
      </c>
      <c r="I83" s="7" t="s">
        <v>2363</v>
      </c>
      <c r="J83" s="7" t="s">
        <v>1816</v>
      </c>
      <c r="K83" s="7" t="s">
        <v>1815</v>
      </c>
      <c r="L83" s="7" t="s">
        <v>1915</v>
      </c>
      <c r="M83" s="7" t="s">
        <v>20</v>
      </c>
      <c r="N83" s="7" t="s">
        <v>1324</v>
      </c>
      <c r="O83" s="7" t="s">
        <v>68</v>
      </c>
      <c r="P83" s="7" t="s">
        <v>68</v>
      </c>
      <c r="Q83" s="9">
        <v>800000</v>
      </c>
      <c r="R83" s="9">
        <v>0</v>
      </c>
      <c r="S83" s="9">
        <f t="shared" si="4"/>
        <v>800000</v>
      </c>
      <c r="T83" s="4" t="s">
        <v>53</v>
      </c>
      <c r="U83" s="7" t="s">
        <v>1824</v>
      </c>
      <c r="V83" s="7" t="s">
        <v>1823</v>
      </c>
      <c r="W83" s="9">
        <v>1</v>
      </c>
      <c r="X83" s="7" t="s">
        <v>94</v>
      </c>
      <c r="Y83" s="7"/>
      <c r="Z83" s="7" t="s">
        <v>14</v>
      </c>
      <c r="AA83" s="36" t="s">
        <v>20</v>
      </c>
      <c r="AB83" s="4" t="s">
        <v>2602</v>
      </c>
      <c r="AC83" s="22">
        <f t="shared" si="2"/>
        <v>313.72549019607845</v>
      </c>
      <c r="AD83" s="23">
        <v>0</v>
      </c>
    </row>
    <row r="84" spans="1:30" x14ac:dyDescent="0.35">
      <c r="A84" s="7">
        <v>107</v>
      </c>
      <c r="B84" s="6">
        <v>45771.318391203706</v>
      </c>
      <c r="C84" s="6">
        <v>45771</v>
      </c>
      <c r="D84" s="7" t="s">
        <v>2438</v>
      </c>
      <c r="E84" s="7" t="s">
        <v>1331</v>
      </c>
      <c r="F84" s="7" t="s">
        <v>2437</v>
      </c>
      <c r="G84" s="7" t="s">
        <v>2436</v>
      </c>
      <c r="H84" s="7" t="s">
        <v>2435</v>
      </c>
      <c r="I84" s="7" t="s">
        <v>2434</v>
      </c>
      <c r="J84" s="7" t="s">
        <v>1816</v>
      </c>
      <c r="K84" s="7" t="s">
        <v>1815</v>
      </c>
      <c r="L84" s="7" t="s">
        <v>1883</v>
      </c>
      <c r="M84" s="7" t="s">
        <v>17</v>
      </c>
      <c r="N84" s="7" t="s">
        <v>1504</v>
      </c>
      <c r="O84" s="7" t="s">
        <v>68</v>
      </c>
      <c r="P84" s="7" t="s">
        <v>68</v>
      </c>
      <c r="Q84" s="9">
        <v>5809197.5700000003</v>
      </c>
      <c r="R84" s="9">
        <v>0</v>
      </c>
      <c r="S84" s="9">
        <f t="shared" si="4"/>
        <v>5809197.5700000003</v>
      </c>
      <c r="T84" s="4" t="s">
        <v>53</v>
      </c>
      <c r="U84" s="7" t="s">
        <v>1904</v>
      </c>
      <c r="V84" s="7" t="s">
        <v>1823</v>
      </c>
      <c r="W84" s="9">
        <v>31</v>
      </c>
      <c r="X84" s="7" t="s">
        <v>1903</v>
      </c>
      <c r="Y84" s="7"/>
      <c r="Z84" s="7" t="s">
        <v>14</v>
      </c>
      <c r="AA84" s="36" t="s">
        <v>17</v>
      </c>
      <c r="AB84" s="4" t="s">
        <v>2602</v>
      </c>
      <c r="AC84" s="22">
        <f t="shared" si="2"/>
        <v>2278.1166941176471</v>
      </c>
      <c r="AD84" s="23">
        <v>0</v>
      </c>
    </row>
    <row r="85" spans="1:30" x14ac:dyDescent="0.35">
      <c r="A85" s="7">
        <v>108</v>
      </c>
      <c r="B85" s="6">
        <v>45771.245891203704</v>
      </c>
      <c r="C85" s="6">
        <v>45771</v>
      </c>
      <c r="D85" s="7" t="s">
        <v>2432</v>
      </c>
      <c r="E85" s="7" t="s">
        <v>1331</v>
      </c>
      <c r="F85" s="7" t="s">
        <v>2433</v>
      </c>
      <c r="G85" s="7" t="s">
        <v>2430</v>
      </c>
      <c r="H85" s="7" t="s">
        <v>2327</v>
      </c>
      <c r="I85" s="7" t="s">
        <v>2326</v>
      </c>
      <c r="J85" s="7" t="s">
        <v>1816</v>
      </c>
      <c r="K85" s="7" t="s">
        <v>1815</v>
      </c>
      <c r="L85" s="7" t="s">
        <v>1883</v>
      </c>
      <c r="M85" s="7" t="s">
        <v>17</v>
      </c>
      <c r="N85" s="7" t="s">
        <v>1504</v>
      </c>
      <c r="O85" s="7" t="s">
        <v>1065</v>
      </c>
      <c r="P85" s="7" t="s">
        <v>126</v>
      </c>
      <c r="Q85" s="9">
        <v>12427837.5</v>
      </c>
      <c r="R85" s="9">
        <v>0</v>
      </c>
      <c r="S85" s="9">
        <f t="shared" si="4"/>
        <v>12427837.5</v>
      </c>
      <c r="T85" s="4" t="s">
        <v>53</v>
      </c>
      <c r="U85" s="7" t="s">
        <v>1890</v>
      </c>
      <c r="V85" s="7" t="s">
        <v>1823</v>
      </c>
      <c r="W85" s="9">
        <v>1</v>
      </c>
      <c r="X85" s="7" t="s">
        <v>1889</v>
      </c>
      <c r="Y85" s="7"/>
      <c r="Z85" s="7" t="s">
        <v>14</v>
      </c>
      <c r="AA85" s="36" t="s">
        <v>17</v>
      </c>
      <c r="AB85" s="4" t="s">
        <v>2602</v>
      </c>
      <c r="AC85" s="22">
        <f t="shared" si="2"/>
        <v>4873.661764705882</v>
      </c>
      <c r="AD85" s="23">
        <v>0</v>
      </c>
    </row>
    <row r="86" spans="1:30" x14ac:dyDescent="0.35">
      <c r="A86" s="7">
        <v>109</v>
      </c>
      <c r="B86" s="6">
        <v>45771.245891203704</v>
      </c>
      <c r="C86" s="6">
        <v>45771</v>
      </c>
      <c r="D86" s="7" t="s">
        <v>2432</v>
      </c>
      <c r="E86" s="7" t="s">
        <v>1331</v>
      </c>
      <c r="F86" s="7" t="s">
        <v>2431</v>
      </c>
      <c r="G86" s="7" t="s">
        <v>2430</v>
      </c>
      <c r="H86" s="7" t="s">
        <v>2327</v>
      </c>
      <c r="I86" s="7" t="s">
        <v>2326</v>
      </c>
      <c r="J86" s="7" t="s">
        <v>1816</v>
      </c>
      <c r="K86" s="7" t="s">
        <v>1815</v>
      </c>
      <c r="L86" s="7" t="s">
        <v>1883</v>
      </c>
      <c r="M86" s="7" t="s">
        <v>17</v>
      </c>
      <c r="N86" s="7" t="s">
        <v>1504</v>
      </c>
      <c r="O86" s="7" t="s">
        <v>68</v>
      </c>
      <c r="P86" s="7" t="s">
        <v>68</v>
      </c>
      <c r="Q86" s="9">
        <v>33219721.600000001</v>
      </c>
      <c r="R86" s="9">
        <v>0</v>
      </c>
      <c r="S86" s="9">
        <f t="shared" si="4"/>
        <v>33219721.600000001</v>
      </c>
      <c r="T86" s="4" t="s">
        <v>53</v>
      </c>
      <c r="U86" s="7" t="s">
        <v>1890</v>
      </c>
      <c r="V86" s="7" t="s">
        <v>1823</v>
      </c>
      <c r="W86" s="9">
        <v>1</v>
      </c>
      <c r="X86" s="7" t="s">
        <v>1889</v>
      </c>
      <c r="Y86" s="7"/>
      <c r="Z86" s="7" t="s">
        <v>14</v>
      </c>
      <c r="AA86" s="36" t="s">
        <v>17</v>
      </c>
      <c r="AB86" s="4" t="s">
        <v>2602</v>
      </c>
      <c r="AC86" s="22">
        <f t="shared" si="2"/>
        <v>13027.341803921568</v>
      </c>
      <c r="AD86" s="23">
        <v>0</v>
      </c>
    </row>
    <row r="87" spans="1:30" hidden="1" x14ac:dyDescent="0.35">
      <c r="A87" s="7">
        <v>110</v>
      </c>
      <c r="B87" s="6">
        <v>45772</v>
      </c>
      <c r="C87" s="6">
        <v>45772</v>
      </c>
      <c r="D87" s="7" t="s">
        <v>1806</v>
      </c>
      <c r="E87" s="7" t="s">
        <v>61</v>
      </c>
      <c r="F87" s="7" t="s">
        <v>1805</v>
      </c>
      <c r="G87" s="7" t="s">
        <v>1804</v>
      </c>
      <c r="H87" s="7"/>
      <c r="I87" s="7"/>
      <c r="J87" s="7" t="s">
        <v>59</v>
      </c>
      <c r="K87" s="7" t="s">
        <v>58</v>
      </c>
      <c r="L87" s="7" t="s">
        <v>325</v>
      </c>
      <c r="M87" s="7" t="s">
        <v>1764</v>
      </c>
      <c r="N87" s="7" t="s">
        <v>1699</v>
      </c>
      <c r="O87" s="7" t="s">
        <v>1560</v>
      </c>
      <c r="P87" s="7" t="s">
        <v>196</v>
      </c>
      <c r="Q87" s="11">
        <v>1515000</v>
      </c>
      <c r="R87" s="11">
        <v>0</v>
      </c>
      <c r="S87" s="9">
        <f t="shared" si="4"/>
        <v>1515000</v>
      </c>
      <c r="T87" s="4" t="s">
        <v>53</v>
      </c>
      <c r="U87" s="7" t="s">
        <v>1803</v>
      </c>
      <c r="V87" s="4"/>
      <c r="W87" s="9">
        <v>-1</v>
      </c>
      <c r="X87" s="7" t="s">
        <v>94</v>
      </c>
      <c r="Y87" s="7"/>
      <c r="Z87" s="7" t="s">
        <v>7</v>
      </c>
      <c r="AA87" s="37" t="s">
        <v>8</v>
      </c>
      <c r="AB87" s="16"/>
      <c r="AC87" s="22">
        <f t="shared" si="2"/>
        <v>594.11764705882354</v>
      </c>
      <c r="AD87" s="23">
        <v>0</v>
      </c>
    </row>
    <row r="88" spans="1:30" hidden="1" x14ac:dyDescent="0.35">
      <c r="A88" s="7">
        <v>111</v>
      </c>
      <c r="B88" s="6">
        <v>45772</v>
      </c>
      <c r="C88" s="6">
        <v>45772</v>
      </c>
      <c r="D88" s="7" t="s">
        <v>1791</v>
      </c>
      <c r="E88" s="7" t="s">
        <v>61</v>
      </c>
      <c r="F88" s="7" t="s">
        <v>1790</v>
      </c>
      <c r="G88" s="7" t="s">
        <v>1790</v>
      </c>
      <c r="H88" s="7"/>
      <c r="I88" s="7"/>
      <c r="J88" s="7" t="s">
        <v>59</v>
      </c>
      <c r="K88" s="7" t="s">
        <v>58</v>
      </c>
      <c r="L88" s="7" t="s">
        <v>57</v>
      </c>
      <c r="M88" s="7" t="s">
        <v>1071</v>
      </c>
      <c r="N88" s="7" t="s">
        <v>1699</v>
      </c>
      <c r="O88" s="7" t="s">
        <v>1560</v>
      </c>
      <c r="P88" s="7" t="s">
        <v>196</v>
      </c>
      <c r="Q88" s="11">
        <v>1477796.61</v>
      </c>
      <c r="R88" s="11">
        <v>0</v>
      </c>
      <c r="S88" s="9">
        <f t="shared" si="4"/>
        <v>1477796.61</v>
      </c>
      <c r="T88" s="4" t="s">
        <v>53</v>
      </c>
      <c r="U88" s="7" t="s">
        <v>1789</v>
      </c>
      <c r="V88" s="4"/>
      <c r="W88" s="9">
        <v>-1</v>
      </c>
      <c r="X88" s="7" t="s">
        <v>94</v>
      </c>
      <c r="Y88" s="7"/>
      <c r="Z88" s="7" t="s">
        <v>7</v>
      </c>
      <c r="AA88" s="37" t="s">
        <v>10</v>
      </c>
      <c r="AB88" s="16">
        <v>0</v>
      </c>
      <c r="AC88" s="22">
        <f t="shared" si="2"/>
        <v>579.52808235294117</v>
      </c>
      <c r="AD88" s="23">
        <v>0</v>
      </c>
    </row>
    <row r="89" spans="1:30" x14ac:dyDescent="0.35">
      <c r="A89" s="7">
        <v>112</v>
      </c>
      <c r="B89" s="6">
        <v>45772</v>
      </c>
      <c r="C89" s="6">
        <v>45772</v>
      </c>
      <c r="D89" s="7" t="s">
        <v>1666</v>
      </c>
      <c r="E89" s="7" t="s">
        <v>61</v>
      </c>
      <c r="F89" s="7" t="s">
        <v>1665</v>
      </c>
      <c r="G89" s="7" t="s">
        <v>1665</v>
      </c>
      <c r="H89" s="7"/>
      <c r="I89" s="7"/>
      <c r="J89" s="7" t="s">
        <v>59</v>
      </c>
      <c r="K89" s="7" t="s">
        <v>58</v>
      </c>
      <c r="L89" s="7" t="s">
        <v>57</v>
      </c>
      <c r="M89" s="7" t="s">
        <v>1071</v>
      </c>
      <c r="N89" s="7" t="s">
        <v>118</v>
      </c>
      <c r="O89" s="7" t="s">
        <v>68</v>
      </c>
      <c r="P89" s="7" t="s">
        <v>54</v>
      </c>
      <c r="Q89" s="11">
        <v>60000</v>
      </c>
      <c r="R89" s="11">
        <v>0</v>
      </c>
      <c r="S89" s="9">
        <f t="shared" si="4"/>
        <v>60000</v>
      </c>
      <c r="T89" s="4" t="s">
        <v>53</v>
      </c>
      <c r="U89" s="7" t="s">
        <v>121</v>
      </c>
      <c r="V89" s="4"/>
      <c r="W89" s="9">
        <v>-4</v>
      </c>
      <c r="X89" s="7" t="s">
        <v>94</v>
      </c>
      <c r="Y89" s="7"/>
      <c r="Z89" s="7" t="s">
        <v>14</v>
      </c>
      <c r="AA89" s="36" t="s">
        <v>23</v>
      </c>
      <c r="AB89" s="4" t="s">
        <v>2607</v>
      </c>
      <c r="AC89" s="22">
        <f t="shared" si="2"/>
        <v>23.529411764705884</v>
      </c>
      <c r="AD89" s="23">
        <v>0</v>
      </c>
    </row>
    <row r="90" spans="1:30" hidden="1" x14ac:dyDescent="0.35">
      <c r="A90" s="7">
        <v>113</v>
      </c>
      <c r="B90" s="6">
        <v>45775.513692129629</v>
      </c>
      <c r="C90" s="6">
        <v>45775</v>
      </c>
      <c r="D90" s="7" t="s">
        <v>2429</v>
      </c>
      <c r="E90" s="7" t="s">
        <v>714</v>
      </c>
      <c r="F90" s="7"/>
      <c r="G90" s="7" t="s">
        <v>2428</v>
      </c>
      <c r="H90" s="7"/>
      <c r="I90" s="7"/>
      <c r="J90" s="7" t="s">
        <v>1816</v>
      </c>
      <c r="K90" s="7" t="s">
        <v>1815</v>
      </c>
      <c r="L90" s="7" t="s">
        <v>1814</v>
      </c>
      <c r="M90" s="7" t="s">
        <v>28</v>
      </c>
      <c r="N90" s="7" t="s">
        <v>1825</v>
      </c>
      <c r="O90" s="7" t="s">
        <v>105</v>
      </c>
      <c r="P90" s="7" t="s">
        <v>1775</v>
      </c>
      <c r="Q90" s="9">
        <v>300000</v>
      </c>
      <c r="R90" s="9">
        <v>0</v>
      </c>
      <c r="S90" s="9">
        <f t="shared" si="4"/>
        <v>300000</v>
      </c>
      <c r="T90" s="4" t="s">
        <v>53</v>
      </c>
      <c r="U90" s="7"/>
      <c r="V90" s="7"/>
      <c r="W90" s="9">
        <v>1</v>
      </c>
      <c r="X90" s="7"/>
      <c r="Y90" s="7"/>
      <c r="Z90" s="7" t="s">
        <v>14</v>
      </c>
      <c r="AA90" s="36" t="s">
        <v>28</v>
      </c>
      <c r="AB90" s="4"/>
      <c r="AC90" s="22">
        <f t="shared" si="2"/>
        <v>117.64705882352941</v>
      </c>
      <c r="AD90" s="23">
        <v>0</v>
      </c>
    </row>
    <row r="91" spans="1:30" hidden="1" x14ac:dyDescent="0.35">
      <c r="A91" s="7">
        <v>114</v>
      </c>
      <c r="B91" s="6">
        <v>45775.513692129629</v>
      </c>
      <c r="C91" s="6">
        <v>45775</v>
      </c>
      <c r="D91" s="7" t="s">
        <v>2429</v>
      </c>
      <c r="E91" s="7" t="s">
        <v>714</v>
      </c>
      <c r="F91" s="7"/>
      <c r="G91" s="7" t="s">
        <v>2428</v>
      </c>
      <c r="H91" s="7" t="s">
        <v>2427</v>
      </c>
      <c r="I91" s="7" t="s">
        <v>2426</v>
      </c>
      <c r="J91" s="7" t="s">
        <v>1816</v>
      </c>
      <c r="K91" s="7" t="s">
        <v>1815</v>
      </c>
      <c r="L91" s="7" t="s">
        <v>1814</v>
      </c>
      <c r="M91" s="7" t="s">
        <v>28</v>
      </c>
      <c r="N91" s="7" t="s">
        <v>1825</v>
      </c>
      <c r="O91" s="7" t="s">
        <v>105</v>
      </c>
      <c r="P91" s="7" t="s">
        <v>1775</v>
      </c>
      <c r="Q91" s="9">
        <v>500000</v>
      </c>
      <c r="R91" s="9">
        <v>0</v>
      </c>
      <c r="S91" s="9">
        <f t="shared" si="4"/>
        <v>500000</v>
      </c>
      <c r="T91" s="4" t="s">
        <v>53</v>
      </c>
      <c r="U91" s="7"/>
      <c r="V91" s="7"/>
      <c r="W91" s="9">
        <v>1</v>
      </c>
      <c r="X91" s="7"/>
      <c r="Y91" s="7"/>
      <c r="Z91" s="7" t="s">
        <v>14</v>
      </c>
      <c r="AA91" s="36" t="s">
        <v>28</v>
      </c>
      <c r="AB91" s="4"/>
      <c r="AC91" s="22">
        <f t="shared" si="2"/>
        <v>196.07843137254903</v>
      </c>
      <c r="AD91" s="23">
        <v>0</v>
      </c>
    </row>
    <row r="92" spans="1:30" hidden="1" x14ac:dyDescent="0.35">
      <c r="A92" s="7">
        <v>115</v>
      </c>
      <c r="B92" s="6">
        <v>45775.505972222221</v>
      </c>
      <c r="C92" s="6">
        <v>45775</v>
      </c>
      <c r="D92" s="7" t="s">
        <v>2425</v>
      </c>
      <c r="E92" s="7" t="s">
        <v>714</v>
      </c>
      <c r="F92" s="7"/>
      <c r="G92" s="7" t="s">
        <v>2424</v>
      </c>
      <c r="H92" s="7" t="s">
        <v>2427</v>
      </c>
      <c r="I92" s="7" t="s">
        <v>2426</v>
      </c>
      <c r="J92" s="7" t="s">
        <v>1816</v>
      </c>
      <c r="K92" s="7" t="s">
        <v>1815</v>
      </c>
      <c r="L92" s="7" t="s">
        <v>1814</v>
      </c>
      <c r="M92" s="7" t="s">
        <v>28</v>
      </c>
      <c r="N92" s="7" t="s">
        <v>1825</v>
      </c>
      <c r="O92" s="7" t="s">
        <v>105</v>
      </c>
      <c r="P92" s="7" t="s">
        <v>1775</v>
      </c>
      <c r="Q92" s="9">
        <v>500000</v>
      </c>
      <c r="R92" s="9">
        <v>0</v>
      </c>
      <c r="S92" s="9">
        <f t="shared" si="4"/>
        <v>500000</v>
      </c>
      <c r="T92" s="4" t="s">
        <v>53</v>
      </c>
      <c r="U92" s="7"/>
      <c r="V92" s="7"/>
      <c r="W92" s="9">
        <v>1</v>
      </c>
      <c r="X92" s="7"/>
      <c r="Y92" s="7"/>
      <c r="Z92" s="7" t="s">
        <v>14</v>
      </c>
      <c r="AA92" s="36" t="s">
        <v>28</v>
      </c>
      <c r="AB92" s="4"/>
      <c r="AC92" s="22">
        <f t="shared" si="2"/>
        <v>196.07843137254903</v>
      </c>
      <c r="AD92" s="23">
        <v>0</v>
      </c>
    </row>
    <row r="93" spans="1:30" hidden="1" x14ac:dyDescent="0.35">
      <c r="A93" s="7">
        <v>116</v>
      </c>
      <c r="B93" s="6">
        <v>45775.505972222221</v>
      </c>
      <c r="C93" s="6">
        <v>45775</v>
      </c>
      <c r="D93" s="7" t="s">
        <v>2425</v>
      </c>
      <c r="E93" s="7" t="s">
        <v>714</v>
      </c>
      <c r="F93" s="7"/>
      <c r="G93" s="7" t="s">
        <v>2424</v>
      </c>
      <c r="H93" s="7"/>
      <c r="I93" s="7"/>
      <c r="J93" s="7" t="s">
        <v>1816</v>
      </c>
      <c r="K93" s="7" t="s">
        <v>1815</v>
      </c>
      <c r="L93" s="7" t="s">
        <v>1814</v>
      </c>
      <c r="M93" s="7" t="s">
        <v>28</v>
      </c>
      <c r="N93" s="7" t="s">
        <v>1825</v>
      </c>
      <c r="O93" s="7" t="s">
        <v>105</v>
      </c>
      <c r="P93" s="7" t="s">
        <v>1775</v>
      </c>
      <c r="Q93" s="9">
        <v>300000</v>
      </c>
      <c r="R93" s="9">
        <v>0</v>
      </c>
      <c r="S93" s="9">
        <f t="shared" si="4"/>
        <v>300000</v>
      </c>
      <c r="T93" s="4" t="s">
        <v>53</v>
      </c>
      <c r="U93" s="7"/>
      <c r="V93" s="7"/>
      <c r="W93" s="9">
        <v>1</v>
      </c>
      <c r="X93" s="7"/>
      <c r="Y93" s="7"/>
      <c r="Z93" s="7" t="s">
        <v>14</v>
      </c>
      <c r="AA93" s="36" t="s">
        <v>28</v>
      </c>
      <c r="AB93" s="4"/>
      <c r="AC93" s="22">
        <f t="shared" si="2"/>
        <v>117.64705882352941</v>
      </c>
      <c r="AD93" s="23">
        <v>0</v>
      </c>
    </row>
    <row r="94" spans="1:30" x14ac:dyDescent="0.35">
      <c r="A94" s="7">
        <v>117</v>
      </c>
      <c r="B94" s="6">
        <v>45775</v>
      </c>
      <c r="C94" s="6">
        <v>45775</v>
      </c>
      <c r="D94" s="7" t="s">
        <v>1664</v>
      </c>
      <c r="E94" s="7" t="s">
        <v>61</v>
      </c>
      <c r="F94" s="7" t="s">
        <v>1663</v>
      </c>
      <c r="G94" s="7" t="s">
        <v>1663</v>
      </c>
      <c r="H94" s="7"/>
      <c r="I94" s="7"/>
      <c r="J94" s="7" t="s">
        <v>59</v>
      </c>
      <c r="K94" s="7" t="s">
        <v>58</v>
      </c>
      <c r="L94" s="7" t="s">
        <v>57</v>
      </c>
      <c r="M94" s="7" t="s">
        <v>1071</v>
      </c>
      <c r="N94" s="7" t="s">
        <v>266</v>
      </c>
      <c r="O94" s="7" t="s">
        <v>68</v>
      </c>
      <c r="P94" s="7" t="s">
        <v>54</v>
      </c>
      <c r="Q94" s="11">
        <v>54962.96</v>
      </c>
      <c r="R94" s="11">
        <v>0</v>
      </c>
      <c r="S94" s="9">
        <f t="shared" si="4"/>
        <v>54962.96</v>
      </c>
      <c r="T94" s="4" t="s">
        <v>53</v>
      </c>
      <c r="U94" s="7" t="s">
        <v>320</v>
      </c>
      <c r="V94" s="4"/>
      <c r="W94" s="9">
        <v>-100</v>
      </c>
      <c r="X94" s="7" t="s">
        <v>94</v>
      </c>
      <c r="Y94" s="7"/>
      <c r="Z94" s="7" t="s">
        <v>14</v>
      </c>
      <c r="AA94" s="36" t="s">
        <v>22</v>
      </c>
      <c r="AB94" s="4" t="s">
        <v>2835</v>
      </c>
      <c r="AC94" s="22">
        <f t="shared" si="2"/>
        <v>21.554101960784312</v>
      </c>
      <c r="AD94" s="23">
        <v>0</v>
      </c>
    </row>
    <row r="95" spans="1:30" x14ac:dyDescent="0.35">
      <c r="A95" s="7">
        <v>118</v>
      </c>
      <c r="B95" s="6">
        <v>45775</v>
      </c>
      <c r="C95" s="6">
        <v>45775</v>
      </c>
      <c r="D95" s="7" t="s">
        <v>1662</v>
      </c>
      <c r="E95" s="7" t="s">
        <v>61</v>
      </c>
      <c r="F95" s="7" t="s">
        <v>1661</v>
      </c>
      <c r="G95" s="7" t="s">
        <v>1661</v>
      </c>
      <c r="H95" s="7"/>
      <c r="I95" s="7"/>
      <c r="J95" s="7" t="s">
        <v>59</v>
      </c>
      <c r="K95" s="7" t="s">
        <v>58</v>
      </c>
      <c r="L95" s="7" t="s">
        <v>57</v>
      </c>
      <c r="M95" s="7" t="s">
        <v>1071</v>
      </c>
      <c r="N95" s="7" t="s">
        <v>266</v>
      </c>
      <c r="O95" s="7" t="s">
        <v>68</v>
      </c>
      <c r="P95" s="7" t="s">
        <v>54</v>
      </c>
      <c r="Q95" s="11">
        <v>2220339</v>
      </c>
      <c r="R95" s="11">
        <v>0</v>
      </c>
      <c r="S95" s="9">
        <f t="shared" si="4"/>
        <v>2220339</v>
      </c>
      <c r="T95" s="4" t="s">
        <v>53</v>
      </c>
      <c r="U95" s="7" t="s">
        <v>1213</v>
      </c>
      <c r="V95" s="4"/>
      <c r="W95" s="9">
        <v>-20</v>
      </c>
      <c r="X95" s="7" t="s">
        <v>94</v>
      </c>
      <c r="Y95" s="7"/>
      <c r="Z95" s="7" t="s">
        <v>14</v>
      </c>
      <c r="AA95" s="36" t="s">
        <v>22</v>
      </c>
      <c r="AB95" s="4" t="s">
        <v>2835</v>
      </c>
      <c r="AC95" s="22">
        <f t="shared" si="2"/>
        <v>870.72117647058826</v>
      </c>
      <c r="AD95" s="23">
        <v>0</v>
      </c>
    </row>
    <row r="96" spans="1:30" x14ac:dyDescent="0.35">
      <c r="A96" s="7">
        <v>119</v>
      </c>
      <c r="B96" s="6">
        <v>45775</v>
      </c>
      <c r="C96" s="6">
        <v>45775</v>
      </c>
      <c r="D96" s="7" t="s">
        <v>1660</v>
      </c>
      <c r="E96" s="7" t="s">
        <v>61</v>
      </c>
      <c r="F96" s="7" t="s">
        <v>1659</v>
      </c>
      <c r="G96" s="7" t="s">
        <v>1659</v>
      </c>
      <c r="H96" s="7"/>
      <c r="I96" s="7"/>
      <c r="J96" s="7" t="s">
        <v>59</v>
      </c>
      <c r="K96" s="7" t="s">
        <v>58</v>
      </c>
      <c r="L96" s="7" t="s">
        <v>57</v>
      </c>
      <c r="M96" s="7" t="s">
        <v>1071</v>
      </c>
      <c r="N96" s="7" t="s">
        <v>266</v>
      </c>
      <c r="O96" s="7" t="s">
        <v>68</v>
      </c>
      <c r="P96" s="7" t="s">
        <v>54</v>
      </c>
      <c r="Q96" s="11">
        <v>99995.43</v>
      </c>
      <c r="R96" s="11">
        <v>0</v>
      </c>
      <c r="S96" s="9">
        <f t="shared" si="4"/>
        <v>99995.43</v>
      </c>
      <c r="T96" s="4" t="s">
        <v>53</v>
      </c>
      <c r="U96" s="7" t="s">
        <v>307</v>
      </c>
      <c r="V96" s="4"/>
      <c r="W96" s="9">
        <v>-1</v>
      </c>
      <c r="X96" s="7" t="s">
        <v>94</v>
      </c>
      <c r="Y96" s="7"/>
      <c r="Z96" s="7" t="s">
        <v>14</v>
      </c>
      <c r="AA96" s="36" t="s">
        <v>22</v>
      </c>
      <c r="AB96" s="4" t="s">
        <v>2835</v>
      </c>
      <c r="AC96" s="22">
        <f t="shared" si="2"/>
        <v>39.213894117647058</v>
      </c>
      <c r="AD96" s="23">
        <v>0</v>
      </c>
    </row>
    <row r="97" spans="1:30" x14ac:dyDescent="0.35">
      <c r="A97" s="7">
        <v>120</v>
      </c>
      <c r="B97" s="6">
        <v>45775</v>
      </c>
      <c r="C97" s="6">
        <v>45775</v>
      </c>
      <c r="D97" s="7" t="s">
        <v>1658</v>
      </c>
      <c r="E97" s="7" t="s">
        <v>61</v>
      </c>
      <c r="F97" s="7" t="s">
        <v>1657</v>
      </c>
      <c r="G97" s="7" t="s">
        <v>1657</v>
      </c>
      <c r="H97" s="7"/>
      <c r="I97" s="7"/>
      <c r="J97" s="7" t="s">
        <v>59</v>
      </c>
      <c r="K97" s="7" t="s">
        <v>58</v>
      </c>
      <c r="L97" s="7" t="s">
        <v>57</v>
      </c>
      <c r="M97" s="7" t="s">
        <v>1071</v>
      </c>
      <c r="N97" s="7" t="s">
        <v>266</v>
      </c>
      <c r="O97" s="7" t="s">
        <v>68</v>
      </c>
      <c r="P97" s="7" t="s">
        <v>54</v>
      </c>
      <c r="Q97" s="11">
        <v>634449.15</v>
      </c>
      <c r="R97" s="11">
        <v>0</v>
      </c>
      <c r="S97" s="9">
        <f t="shared" si="4"/>
        <v>634449.15</v>
      </c>
      <c r="T97" s="4" t="s">
        <v>53</v>
      </c>
      <c r="U97" s="7" t="s">
        <v>1170</v>
      </c>
      <c r="V97" s="4"/>
      <c r="W97" s="9">
        <v>-5</v>
      </c>
      <c r="X97" s="7" t="s">
        <v>94</v>
      </c>
      <c r="Y97" s="7"/>
      <c r="Z97" s="7" t="s">
        <v>14</v>
      </c>
      <c r="AA97" s="36" t="s">
        <v>22</v>
      </c>
      <c r="AB97" s="4" t="s">
        <v>2835</v>
      </c>
      <c r="AC97" s="22">
        <f t="shared" si="2"/>
        <v>248.80358823529411</v>
      </c>
      <c r="AD97" s="23">
        <v>0</v>
      </c>
    </row>
    <row r="98" spans="1:30" x14ac:dyDescent="0.35">
      <c r="A98" s="7">
        <v>121</v>
      </c>
      <c r="B98" s="6">
        <v>45776</v>
      </c>
      <c r="C98" s="6">
        <v>45776</v>
      </c>
      <c r="D98" s="7" t="s">
        <v>1656</v>
      </c>
      <c r="E98" s="7" t="s">
        <v>61</v>
      </c>
      <c r="F98" s="7" t="s">
        <v>1655</v>
      </c>
      <c r="G98" s="7" t="s">
        <v>1655</v>
      </c>
      <c r="H98" s="7"/>
      <c r="I98" s="7"/>
      <c r="J98" s="7" t="s">
        <v>59</v>
      </c>
      <c r="K98" s="7" t="s">
        <v>58</v>
      </c>
      <c r="L98" s="7" t="s">
        <v>57</v>
      </c>
      <c r="M98" s="7" t="s">
        <v>1071</v>
      </c>
      <c r="N98" s="7" t="s">
        <v>266</v>
      </c>
      <c r="O98" s="7" t="s">
        <v>68</v>
      </c>
      <c r="P98" s="7" t="s">
        <v>54</v>
      </c>
      <c r="Q98" s="11">
        <v>225000</v>
      </c>
      <c r="R98" s="11">
        <v>0</v>
      </c>
      <c r="S98" s="9">
        <f t="shared" si="4"/>
        <v>225000</v>
      </c>
      <c r="T98" s="4" t="s">
        <v>53</v>
      </c>
      <c r="U98" s="7" t="s">
        <v>121</v>
      </c>
      <c r="V98" s="4"/>
      <c r="W98" s="9">
        <v>-15</v>
      </c>
      <c r="X98" s="7" t="s">
        <v>94</v>
      </c>
      <c r="Y98" s="7"/>
      <c r="Z98" s="7" t="s">
        <v>14</v>
      </c>
      <c r="AA98" s="36" t="s">
        <v>22</v>
      </c>
      <c r="AB98" s="4" t="s">
        <v>2835</v>
      </c>
      <c r="AC98" s="22">
        <f t="shared" si="2"/>
        <v>88.235294117647058</v>
      </c>
      <c r="AD98" s="23">
        <v>0</v>
      </c>
    </row>
    <row r="99" spans="1:30" hidden="1" x14ac:dyDescent="0.35">
      <c r="A99" s="7">
        <v>122</v>
      </c>
      <c r="B99" s="6">
        <v>45777</v>
      </c>
      <c r="C99" s="6">
        <v>45777</v>
      </c>
      <c r="D99" s="7" t="s">
        <v>1802</v>
      </c>
      <c r="E99" s="7" t="s">
        <v>61</v>
      </c>
      <c r="F99" s="7" t="s">
        <v>1801</v>
      </c>
      <c r="G99" s="7" t="s">
        <v>1800</v>
      </c>
      <c r="H99" s="7"/>
      <c r="I99" s="7"/>
      <c r="J99" s="7" t="s">
        <v>59</v>
      </c>
      <c r="K99" s="7" t="s">
        <v>58</v>
      </c>
      <c r="L99" s="7" t="s">
        <v>325</v>
      </c>
      <c r="M99" s="7" t="s">
        <v>1764</v>
      </c>
      <c r="N99" s="7" t="s">
        <v>1699</v>
      </c>
      <c r="O99" s="7" t="s">
        <v>1703</v>
      </c>
      <c r="P99" s="7" t="s">
        <v>1712</v>
      </c>
      <c r="Q99" s="11">
        <v>8700000</v>
      </c>
      <c r="R99" s="11">
        <v>0</v>
      </c>
      <c r="S99" s="9">
        <f t="shared" si="4"/>
        <v>8700000</v>
      </c>
      <c r="T99" s="4" t="s">
        <v>53</v>
      </c>
      <c r="U99" s="7" t="s">
        <v>1799</v>
      </c>
      <c r="V99" s="4"/>
      <c r="W99" s="9">
        <v>-6</v>
      </c>
      <c r="X99" s="7" t="s">
        <v>94</v>
      </c>
      <c r="Y99" s="7"/>
      <c r="Z99" s="7" t="s">
        <v>5</v>
      </c>
      <c r="AA99" s="37" t="s">
        <v>6</v>
      </c>
      <c r="AB99" s="16"/>
      <c r="AC99" s="22">
        <f t="shared" si="2"/>
        <v>3411.7647058823532</v>
      </c>
      <c r="AD99" s="23">
        <v>0</v>
      </c>
    </row>
    <row r="100" spans="1:30" hidden="1" x14ac:dyDescent="0.35">
      <c r="A100" s="7">
        <v>123</v>
      </c>
      <c r="B100" s="6">
        <v>45777</v>
      </c>
      <c r="C100" s="6">
        <v>45777</v>
      </c>
      <c r="D100" s="7" t="s">
        <v>1798</v>
      </c>
      <c r="E100" s="7" t="s">
        <v>61</v>
      </c>
      <c r="F100" s="7" t="s">
        <v>1797</v>
      </c>
      <c r="G100" s="7" t="s">
        <v>1796</v>
      </c>
      <c r="H100" s="7"/>
      <c r="I100" s="7"/>
      <c r="J100" s="7" t="s">
        <v>59</v>
      </c>
      <c r="K100" s="7" t="s">
        <v>58</v>
      </c>
      <c r="L100" s="7" t="s">
        <v>325</v>
      </c>
      <c r="M100" s="7" t="s">
        <v>1764</v>
      </c>
      <c r="N100" s="7" t="s">
        <v>1699</v>
      </c>
      <c r="O100" s="7" t="s">
        <v>1703</v>
      </c>
      <c r="P100" s="7" t="s">
        <v>1712</v>
      </c>
      <c r="Q100" s="15">
        <v>4475702.0599999996</v>
      </c>
      <c r="R100" s="15">
        <v>0</v>
      </c>
      <c r="S100" s="9">
        <f t="shared" si="4"/>
        <v>4475702.0599999996</v>
      </c>
      <c r="T100" s="4" t="s">
        <v>53</v>
      </c>
      <c r="U100" s="7" t="s">
        <v>1747</v>
      </c>
      <c r="V100" s="4"/>
      <c r="W100" s="18">
        <v>-6</v>
      </c>
      <c r="X100" s="7" t="s">
        <v>94</v>
      </c>
      <c r="Y100" s="7"/>
      <c r="Z100" s="7" t="s">
        <v>5</v>
      </c>
      <c r="AA100" s="37" t="s">
        <v>6</v>
      </c>
      <c r="AB100" s="16"/>
      <c r="AC100" s="22">
        <f t="shared" si="2"/>
        <v>1755.1772784313723</v>
      </c>
      <c r="AD100" s="23">
        <v>0</v>
      </c>
    </row>
    <row r="101" spans="1:30" hidden="1" x14ac:dyDescent="0.35">
      <c r="A101" s="7">
        <v>124</v>
      </c>
      <c r="B101" s="6">
        <v>45777</v>
      </c>
      <c r="C101" s="6">
        <v>45777</v>
      </c>
      <c r="D101" s="7" t="s">
        <v>1795</v>
      </c>
      <c r="E101" s="7" t="s">
        <v>61</v>
      </c>
      <c r="F101" s="7" t="s">
        <v>1794</v>
      </c>
      <c r="G101" s="7" t="s">
        <v>1793</v>
      </c>
      <c r="H101" s="7"/>
      <c r="I101" s="7"/>
      <c r="J101" s="7" t="s">
        <v>59</v>
      </c>
      <c r="K101" s="7" t="s">
        <v>58</v>
      </c>
      <c r="L101" s="7" t="s">
        <v>325</v>
      </c>
      <c r="M101" s="7" t="s">
        <v>1764</v>
      </c>
      <c r="N101" s="7" t="s">
        <v>1699</v>
      </c>
      <c r="O101" s="7" t="s">
        <v>1703</v>
      </c>
      <c r="P101" s="7" t="s">
        <v>1712</v>
      </c>
      <c r="Q101" s="15">
        <v>8113188.4100000001</v>
      </c>
      <c r="R101" s="15">
        <v>0</v>
      </c>
      <c r="S101" s="9">
        <f t="shared" si="4"/>
        <v>8113188.4100000001</v>
      </c>
      <c r="T101" s="4" t="s">
        <v>53</v>
      </c>
      <c r="U101" s="7" t="s">
        <v>1792</v>
      </c>
      <c r="V101" s="4"/>
      <c r="W101" s="18">
        <v>-6</v>
      </c>
      <c r="X101" s="7" t="s">
        <v>94</v>
      </c>
      <c r="Y101" s="7"/>
      <c r="Z101" s="7" t="s">
        <v>5</v>
      </c>
      <c r="AA101" s="37" t="s">
        <v>6</v>
      </c>
      <c r="AB101" s="16"/>
      <c r="AC101" s="22">
        <f t="shared" si="2"/>
        <v>3181.6425137254901</v>
      </c>
      <c r="AD101" s="23">
        <v>0</v>
      </c>
    </row>
    <row r="102" spans="1:30" hidden="1" x14ac:dyDescent="0.35">
      <c r="A102" s="7">
        <v>125</v>
      </c>
      <c r="B102" s="6">
        <v>45777</v>
      </c>
      <c r="C102" s="6">
        <v>45777</v>
      </c>
      <c r="D102" s="7" t="s">
        <v>1788</v>
      </c>
      <c r="E102" s="7" t="s">
        <v>61</v>
      </c>
      <c r="F102" s="7" t="s">
        <v>1787</v>
      </c>
      <c r="G102" s="7" t="s">
        <v>1787</v>
      </c>
      <c r="H102" s="7"/>
      <c r="I102" s="7"/>
      <c r="J102" s="7" t="s">
        <v>59</v>
      </c>
      <c r="K102" s="7" t="s">
        <v>58</v>
      </c>
      <c r="L102" s="7" t="s">
        <v>57</v>
      </c>
      <c r="M102" s="7" t="s">
        <v>1071</v>
      </c>
      <c r="N102" s="7" t="s">
        <v>1699</v>
      </c>
      <c r="O102" s="7" t="s">
        <v>1703</v>
      </c>
      <c r="P102" s="7" t="s">
        <v>1712</v>
      </c>
      <c r="Q102" s="11">
        <v>1271186.46</v>
      </c>
      <c r="R102" s="11">
        <v>0</v>
      </c>
      <c r="S102" s="9">
        <f t="shared" si="4"/>
        <v>1271186.46</v>
      </c>
      <c r="T102" s="4" t="s">
        <v>53</v>
      </c>
      <c r="U102" s="7" t="s">
        <v>1786</v>
      </c>
      <c r="V102" s="4"/>
      <c r="W102" s="9">
        <v>-6</v>
      </c>
      <c r="X102" s="7" t="s">
        <v>94</v>
      </c>
      <c r="Y102" s="7"/>
      <c r="Z102" s="7" t="s">
        <v>5</v>
      </c>
      <c r="AA102" s="37" t="s">
        <v>6</v>
      </c>
      <c r="AB102" s="16"/>
      <c r="AC102" s="22">
        <f t="shared" si="2"/>
        <v>498.50449411764703</v>
      </c>
      <c r="AD102" s="23">
        <v>0</v>
      </c>
    </row>
    <row r="103" spans="1:30" hidden="1" x14ac:dyDescent="0.35">
      <c r="A103" s="7">
        <v>126</v>
      </c>
      <c r="B103" s="6">
        <v>45777</v>
      </c>
      <c r="C103" s="6">
        <v>45777</v>
      </c>
      <c r="D103" s="7" t="s">
        <v>1785</v>
      </c>
      <c r="E103" s="7" t="s">
        <v>61</v>
      </c>
      <c r="F103" s="7" t="s">
        <v>1784</v>
      </c>
      <c r="G103" s="7" t="s">
        <v>1784</v>
      </c>
      <c r="H103" s="7"/>
      <c r="I103" s="7"/>
      <c r="J103" s="7" t="s">
        <v>59</v>
      </c>
      <c r="K103" s="7" t="s">
        <v>58</v>
      </c>
      <c r="L103" s="7" t="s">
        <v>57</v>
      </c>
      <c r="M103" s="7" t="s">
        <v>1071</v>
      </c>
      <c r="N103" s="7" t="s">
        <v>1699</v>
      </c>
      <c r="O103" s="7" t="s">
        <v>1703</v>
      </c>
      <c r="P103" s="7" t="s">
        <v>1712</v>
      </c>
      <c r="Q103" s="11">
        <v>3889830.48</v>
      </c>
      <c r="R103" s="11">
        <v>0</v>
      </c>
      <c r="S103" s="9">
        <f t="shared" si="4"/>
        <v>3889830.48</v>
      </c>
      <c r="T103" s="4" t="s">
        <v>53</v>
      </c>
      <c r="U103" s="7" t="s">
        <v>1783</v>
      </c>
      <c r="V103" s="4"/>
      <c r="W103" s="9">
        <v>-6</v>
      </c>
      <c r="X103" s="7" t="s">
        <v>94</v>
      </c>
      <c r="Y103" s="7"/>
      <c r="Z103" s="7" t="s">
        <v>5</v>
      </c>
      <c r="AA103" s="37" t="s">
        <v>6</v>
      </c>
      <c r="AB103" s="16"/>
      <c r="AC103" s="22">
        <f t="shared" si="2"/>
        <v>1525.4237176470588</v>
      </c>
      <c r="AD103" s="23">
        <v>0</v>
      </c>
    </row>
    <row r="104" spans="1:30" x14ac:dyDescent="0.35">
      <c r="A104" s="7">
        <v>127</v>
      </c>
      <c r="B104" s="6">
        <v>45777</v>
      </c>
      <c r="C104" s="6">
        <v>45777</v>
      </c>
      <c r="D104" s="7" t="s">
        <v>1654</v>
      </c>
      <c r="E104" s="7" t="s">
        <v>61</v>
      </c>
      <c r="F104" s="7" t="s">
        <v>1653</v>
      </c>
      <c r="G104" s="7" t="s">
        <v>1653</v>
      </c>
      <c r="H104" s="7"/>
      <c r="I104" s="7"/>
      <c r="J104" s="7" t="s">
        <v>59</v>
      </c>
      <c r="K104" s="7" t="s">
        <v>58</v>
      </c>
      <c r="L104" s="7" t="s">
        <v>57</v>
      </c>
      <c r="M104" s="7" t="s">
        <v>1071</v>
      </c>
      <c r="N104" s="7" t="s">
        <v>118</v>
      </c>
      <c r="O104" s="7" t="s">
        <v>68</v>
      </c>
      <c r="P104" s="7" t="s">
        <v>54</v>
      </c>
      <c r="Q104" s="11">
        <v>51893.89</v>
      </c>
      <c r="R104" s="11">
        <v>0</v>
      </c>
      <c r="S104" s="9">
        <f t="shared" si="4"/>
        <v>51893.89</v>
      </c>
      <c r="T104" s="4" t="s">
        <v>53</v>
      </c>
      <c r="U104" s="7" t="s">
        <v>1652</v>
      </c>
      <c r="V104" s="4"/>
      <c r="W104" s="9">
        <v>-4</v>
      </c>
      <c r="X104" s="7" t="s">
        <v>124</v>
      </c>
      <c r="Y104" s="7"/>
      <c r="Z104" s="7" t="s">
        <v>14</v>
      </c>
      <c r="AA104" s="36" t="s">
        <v>23</v>
      </c>
      <c r="AB104" s="4" t="s">
        <v>2607</v>
      </c>
      <c r="AC104" s="22">
        <f t="shared" si="2"/>
        <v>20.350545098039216</v>
      </c>
      <c r="AD104" s="23">
        <v>0</v>
      </c>
    </row>
    <row r="105" spans="1:30" x14ac:dyDescent="0.35">
      <c r="A105" s="7">
        <v>128</v>
      </c>
      <c r="B105" s="6">
        <v>45777</v>
      </c>
      <c r="C105" s="6">
        <v>45777</v>
      </c>
      <c r="D105" s="7" t="s">
        <v>1651</v>
      </c>
      <c r="E105" s="7" t="s">
        <v>61</v>
      </c>
      <c r="F105" s="7" t="s">
        <v>1650</v>
      </c>
      <c r="G105" s="7" t="s">
        <v>1650</v>
      </c>
      <c r="H105" s="7"/>
      <c r="I105" s="7"/>
      <c r="J105" s="7" t="s">
        <v>59</v>
      </c>
      <c r="K105" s="7" t="s">
        <v>58</v>
      </c>
      <c r="L105" s="7" t="s">
        <v>57</v>
      </c>
      <c r="M105" s="7" t="s">
        <v>1071</v>
      </c>
      <c r="N105" s="7" t="s">
        <v>118</v>
      </c>
      <c r="O105" s="7" t="s">
        <v>68</v>
      </c>
      <c r="P105" s="7" t="s">
        <v>54</v>
      </c>
      <c r="Q105" s="11">
        <v>38474.07</v>
      </c>
      <c r="R105" s="11">
        <v>0</v>
      </c>
      <c r="S105" s="9">
        <f t="shared" si="4"/>
        <v>38474.07</v>
      </c>
      <c r="T105" s="4" t="s">
        <v>53</v>
      </c>
      <c r="U105" s="7" t="s">
        <v>320</v>
      </c>
      <c r="V105" s="4"/>
      <c r="W105" s="9">
        <v>-70</v>
      </c>
      <c r="X105" s="7" t="s">
        <v>94</v>
      </c>
      <c r="Y105" s="7"/>
      <c r="Z105" s="7" t="s">
        <v>14</v>
      </c>
      <c r="AA105" s="36" t="s">
        <v>23</v>
      </c>
      <c r="AB105" s="4" t="s">
        <v>2607</v>
      </c>
      <c r="AC105" s="22">
        <f t="shared" si="2"/>
        <v>15.087870588235294</v>
      </c>
      <c r="AD105" s="23">
        <v>0</v>
      </c>
    </row>
    <row r="106" spans="1:30" x14ac:dyDescent="0.35">
      <c r="A106" s="7">
        <v>129</v>
      </c>
      <c r="B106" s="6">
        <v>45777</v>
      </c>
      <c r="C106" s="6">
        <v>45777</v>
      </c>
      <c r="D106" s="7" t="s">
        <v>1649</v>
      </c>
      <c r="E106" s="7" t="s">
        <v>61</v>
      </c>
      <c r="F106" s="7" t="s">
        <v>1648</v>
      </c>
      <c r="G106" s="7" t="s">
        <v>1648</v>
      </c>
      <c r="H106" s="7"/>
      <c r="I106" s="7"/>
      <c r="J106" s="7" t="s">
        <v>59</v>
      </c>
      <c r="K106" s="7" t="s">
        <v>58</v>
      </c>
      <c r="L106" s="7" t="s">
        <v>70</v>
      </c>
      <c r="M106" s="7" t="s">
        <v>35</v>
      </c>
      <c r="N106" s="7"/>
      <c r="O106" s="7" t="s">
        <v>68</v>
      </c>
      <c r="P106" s="7" t="s">
        <v>68</v>
      </c>
      <c r="Q106" s="11">
        <v>0</v>
      </c>
      <c r="R106" s="11">
        <v>2730.46</v>
      </c>
      <c r="S106" s="9">
        <f t="shared" si="4"/>
        <v>-2730.46</v>
      </c>
      <c r="T106" s="4" t="s">
        <v>53</v>
      </c>
      <c r="U106" s="7" t="s">
        <v>67</v>
      </c>
      <c r="V106" s="4"/>
      <c r="W106" s="9">
        <v>1</v>
      </c>
      <c r="X106" s="7" t="s">
        <v>51</v>
      </c>
      <c r="Y106" s="7"/>
      <c r="Z106" s="7" t="s">
        <v>14</v>
      </c>
      <c r="AA106" s="36" t="s">
        <v>20</v>
      </c>
      <c r="AB106" s="4" t="s">
        <v>2602</v>
      </c>
      <c r="AC106" s="22">
        <f t="shared" si="2"/>
        <v>-1.0707686274509804</v>
      </c>
      <c r="AD106" s="23">
        <v>0</v>
      </c>
    </row>
    <row r="107" spans="1:30" x14ac:dyDescent="0.35">
      <c r="A107" s="7">
        <v>130</v>
      </c>
      <c r="B107" s="6">
        <v>45777</v>
      </c>
      <c r="C107" s="6">
        <v>45777</v>
      </c>
      <c r="D107" s="7" t="s">
        <v>1647</v>
      </c>
      <c r="E107" s="7" t="s">
        <v>61</v>
      </c>
      <c r="F107" s="7" t="s">
        <v>1646</v>
      </c>
      <c r="G107" s="7" t="s">
        <v>1646</v>
      </c>
      <c r="H107" s="7"/>
      <c r="I107" s="7"/>
      <c r="J107" s="7" t="s">
        <v>59</v>
      </c>
      <c r="K107" s="7" t="s">
        <v>58</v>
      </c>
      <c r="L107" s="7" t="s">
        <v>70</v>
      </c>
      <c r="M107" s="7" t="s">
        <v>35</v>
      </c>
      <c r="N107" s="7"/>
      <c r="O107" s="7" t="s">
        <v>68</v>
      </c>
      <c r="P107" s="7" t="s">
        <v>68</v>
      </c>
      <c r="Q107" s="11">
        <v>0</v>
      </c>
      <c r="R107" s="11">
        <v>10921.83</v>
      </c>
      <c r="S107" s="9">
        <f t="shared" si="4"/>
        <v>-10921.83</v>
      </c>
      <c r="T107" s="4" t="s">
        <v>53</v>
      </c>
      <c r="U107" s="7" t="s">
        <v>67</v>
      </c>
      <c r="V107" s="4"/>
      <c r="W107" s="9">
        <v>4</v>
      </c>
      <c r="X107" s="7" t="s">
        <v>51</v>
      </c>
      <c r="Y107" s="7"/>
      <c r="Z107" s="7" t="s">
        <v>14</v>
      </c>
      <c r="AA107" s="36" t="s">
        <v>20</v>
      </c>
      <c r="AB107" s="4" t="s">
        <v>2602</v>
      </c>
      <c r="AC107" s="22">
        <f t="shared" ref="AC107:AC170" si="5">+S107/$AC$1</f>
        <v>-4.2830705882352937</v>
      </c>
      <c r="AD107" s="23">
        <v>0</v>
      </c>
    </row>
    <row r="108" spans="1:30" x14ac:dyDescent="0.35">
      <c r="A108" s="7">
        <v>131</v>
      </c>
      <c r="B108" s="6">
        <v>45779.595752314817</v>
      </c>
      <c r="C108" s="6">
        <v>45779</v>
      </c>
      <c r="D108" s="7" t="s">
        <v>2423</v>
      </c>
      <c r="E108" s="7" t="s">
        <v>61</v>
      </c>
      <c r="F108" s="7" t="s">
        <v>2422</v>
      </c>
      <c r="G108" s="7" t="s">
        <v>2422</v>
      </c>
      <c r="H108" s="7"/>
      <c r="I108" s="7"/>
      <c r="J108" s="7" t="s">
        <v>1816</v>
      </c>
      <c r="K108" s="7" t="s">
        <v>1815</v>
      </c>
      <c r="L108" s="7" t="s">
        <v>1992</v>
      </c>
      <c r="M108" s="7" t="s">
        <v>18</v>
      </c>
      <c r="N108" s="7" t="s">
        <v>2421</v>
      </c>
      <c r="O108" s="7" t="s">
        <v>639</v>
      </c>
      <c r="P108" s="7" t="s">
        <v>54</v>
      </c>
      <c r="Q108" s="9">
        <v>2227156.0499999998</v>
      </c>
      <c r="R108" s="9">
        <v>0</v>
      </c>
      <c r="S108" s="9">
        <f t="shared" si="4"/>
        <v>2227156.0499999998</v>
      </c>
      <c r="T108" s="4" t="s">
        <v>53</v>
      </c>
      <c r="U108" s="7" t="s">
        <v>2420</v>
      </c>
      <c r="V108" s="7" t="s">
        <v>1990</v>
      </c>
      <c r="W108" s="9">
        <v>-15</v>
      </c>
      <c r="X108" s="7" t="s">
        <v>94</v>
      </c>
      <c r="Y108" s="7"/>
      <c r="Z108" s="7" t="s">
        <v>14</v>
      </c>
      <c r="AA108" s="36" t="s">
        <v>22</v>
      </c>
      <c r="AB108" s="4" t="s">
        <v>2835</v>
      </c>
      <c r="AC108" s="22">
        <f t="shared" si="5"/>
        <v>873.39452941176467</v>
      </c>
      <c r="AD108" s="23">
        <v>0</v>
      </c>
    </row>
    <row r="109" spans="1:30" hidden="1" x14ac:dyDescent="0.35">
      <c r="A109" s="7">
        <v>132</v>
      </c>
      <c r="B109" s="6">
        <v>45782</v>
      </c>
      <c r="C109" s="6">
        <v>45782</v>
      </c>
      <c r="D109" s="7" t="s">
        <v>1782</v>
      </c>
      <c r="E109" s="7" t="s">
        <v>61</v>
      </c>
      <c r="F109" s="7" t="s">
        <v>1781</v>
      </c>
      <c r="G109" s="7" t="s">
        <v>1781</v>
      </c>
      <c r="H109" s="7"/>
      <c r="I109" s="7"/>
      <c r="J109" s="7" t="s">
        <v>59</v>
      </c>
      <c r="K109" s="7" t="s">
        <v>58</v>
      </c>
      <c r="L109" s="7" t="s">
        <v>325</v>
      </c>
      <c r="M109" s="7" t="s">
        <v>1764</v>
      </c>
      <c r="N109" s="7" t="s">
        <v>1699</v>
      </c>
      <c r="O109" s="7" t="s">
        <v>1065</v>
      </c>
      <c r="P109" s="7" t="s">
        <v>1724</v>
      </c>
      <c r="Q109" s="11">
        <v>137666.67000000001</v>
      </c>
      <c r="R109" s="11">
        <v>0</v>
      </c>
      <c r="S109" s="9">
        <f t="shared" si="4"/>
        <v>137666.67000000001</v>
      </c>
      <c r="T109" s="4" t="s">
        <v>53</v>
      </c>
      <c r="U109" s="7" t="s">
        <v>1780</v>
      </c>
      <c r="V109" s="4"/>
      <c r="W109" s="9">
        <v>-1</v>
      </c>
      <c r="X109" s="7" t="s">
        <v>94</v>
      </c>
      <c r="Y109" s="7"/>
      <c r="Z109" s="7" t="s">
        <v>5</v>
      </c>
      <c r="AA109" s="37" t="s">
        <v>6</v>
      </c>
      <c r="AB109" s="16"/>
      <c r="AC109" s="22">
        <f t="shared" si="5"/>
        <v>53.986929411764713</v>
      </c>
      <c r="AD109" s="23">
        <v>0</v>
      </c>
    </row>
    <row r="110" spans="1:30" x14ac:dyDescent="0.35">
      <c r="A110" s="7">
        <v>133</v>
      </c>
      <c r="B110" s="6">
        <v>45782</v>
      </c>
      <c r="C110" s="6">
        <v>45782</v>
      </c>
      <c r="D110" s="7" t="s">
        <v>89</v>
      </c>
      <c r="E110" s="7" t="s">
        <v>61</v>
      </c>
      <c r="F110" s="7" t="s">
        <v>88</v>
      </c>
      <c r="G110" s="7" t="s">
        <v>88</v>
      </c>
      <c r="H110" s="7"/>
      <c r="I110" s="7"/>
      <c r="J110" s="7" t="s">
        <v>59</v>
      </c>
      <c r="K110" s="7" t="s">
        <v>58</v>
      </c>
      <c r="L110" s="7" t="s">
        <v>70</v>
      </c>
      <c r="M110" s="7" t="s">
        <v>35</v>
      </c>
      <c r="N110" s="7" t="s">
        <v>87</v>
      </c>
      <c r="O110" s="7" t="s">
        <v>68</v>
      </c>
      <c r="P110" s="7" t="s">
        <v>54</v>
      </c>
      <c r="Q110" s="18">
        <v>109652.67</v>
      </c>
      <c r="R110" s="18">
        <v>0</v>
      </c>
      <c r="S110" s="9">
        <f t="shared" si="4"/>
        <v>109652.67</v>
      </c>
      <c r="T110" s="4" t="s">
        <v>53</v>
      </c>
      <c r="U110" s="7" t="s">
        <v>67</v>
      </c>
      <c r="V110" s="4"/>
      <c r="W110" s="14">
        <v>-40</v>
      </c>
      <c r="X110" s="8" t="s">
        <v>51</v>
      </c>
      <c r="Y110" s="8"/>
      <c r="Z110" s="7" t="s">
        <v>14</v>
      </c>
      <c r="AA110" s="36" t="s">
        <v>22</v>
      </c>
      <c r="AB110" s="4" t="s">
        <v>2835</v>
      </c>
      <c r="AC110" s="22">
        <f t="shared" si="5"/>
        <v>43.001047058823531</v>
      </c>
      <c r="AD110" s="23">
        <v>0</v>
      </c>
    </row>
    <row r="111" spans="1:30" x14ac:dyDescent="0.35">
      <c r="A111" s="7">
        <v>134</v>
      </c>
      <c r="B111" s="6">
        <v>45782</v>
      </c>
      <c r="C111" s="6">
        <v>45782</v>
      </c>
      <c r="D111" s="7" t="s">
        <v>82</v>
      </c>
      <c r="E111" s="7" t="s">
        <v>61</v>
      </c>
      <c r="F111" s="7" t="s">
        <v>81</v>
      </c>
      <c r="G111" s="7" t="s">
        <v>81</v>
      </c>
      <c r="H111" s="7"/>
      <c r="I111" s="7"/>
      <c r="J111" s="7" t="s">
        <v>59</v>
      </c>
      <c r="K111" s="7" t="s">
        <v>58</v>
      </c>
      <c r="L111" s="7" t="s">
        <v>70</v>
      </c>
      <c r="M111" s="7" t="s">
        <v>35</v>
      </c>
      <c r="N111" s="7" t="s">
        <v>80</v>
      </c>
      <c r="O111" s="7" t="s">
        <v>68</v>
      </c>
      <c r="P111" s="7" t="s">
        <v>54</v>
      </c>
      <c r="Q111" s="18">
        <v>54826.33</v>
      </c>
      <c r="R111" s="18">
        <v>0</v>
      </c>
      <c r="S111" s="9">
        <f t="shared" si="4"/>
        <v>54826.33</v>
      </c>
      <c r="T111" s="4" t="s">
        <v>53</v>
      </c>
      <c r="U111" s="7" t="s">
        <v>67</v>
      </c>
      <c r="V111" s="4"/>
      <c r="W111" s="14">
        <v>-20</v>
      </c>
      <c r="X111" s="8" t="s">
        <v>51</v>
      </c>
      <c r="Y111" s="8"/>
      <c r="Z111" s="7" t="s">
        <v>14</v>
      </c>
      <c r="AA111" s="36" t="s">
        <v>22</v>
      </c>
      <c r="AB111" s="4" t="s">
        <v>2835</v>
      </c>
      <c r="AC111" s="22">
        <f t="shared" si="5"/>
        <v>21.500521568627452</v>
      </c>
      <c r="AD111" s="23">
        <v>0</v>
      </c>
    </row>
    <row r="112" spans="1:30" x14ac:dyDescent="0.35">
      <c r="A112" s="7">
        <v>135</v>
      </c>
      <c r="B112" s="6">
        <v>45782</v>
      </c>
      <c r="C112" s="6">
        <v>45782</v>
      </c>
      <c r="D112" s="7" t="s">
        <v>75</v>
      </c>
      <c r="E112" s="7" t="s">
        <v>61</v>
      </c>
      <c r="F112" s="7" t="s">
        <v>74</v>
      </c>
      <c r="G112" s="7" t="s">
        <v>74</v>
      </c>
      <c r="H112" s="7"/>
      <c r="I112" s="7"/>
      <c r="J112" s="7" t="s">
        <v>59</v>
      </c>
      <c r="K112" s="7" t="s">
        <v>58</v>
      </c>
      <c r="L112" s="7" t="s">
        <v>70</v>
      </c>
      <c r="M112" s="7" t="s">
        <v>35</v>
      </c>
      <c r="N112" s="7" t="s">
        <v>73</v>
      </c>
      <c r="O112" s="7" t="s">
        <v>68</v>
      </c>
      <c r="P112" s="7" t="s">
        <v>54</v>
      </c>
      <c r="Q112" s="18">
        <v>54826.34</v>
      </c>
      <c r="R112" s="18">
        <v>0</v>
      </c>
      <c r="S112" s="9">
        <f t="shared" si="4"/>
        <v>54826.34</v>
      </c>
      <c r="T112" s="4" t="s">
        <v>53</v>
      </c>
      <c r="U112" s="7" t="s">
        <v>67</v>
      </c>
      <c r="V112" s="4"/>
      <c r="W112" s="14">
        <v>-20</v>
      </c>
      <c r="X112" s="8" t="s">
        <v>51</v>
      </c>
      <c r="Y112" s="8"/>
      <c r="Z112" s="7" t="s">
        <v>14</v>
      </c>
      <c r="AA112" s="36" t="s">
        <v>22</v>
      </c>
      <c r="AB112" s="4" t="s">
        <v>2835</v>
      </c>
      <c r="AC112" s="22">
        <f t="shared" si="5"/>
        <v>21.500525490196075</v>
      </c>
      <c r="AD112" s="23">
        <v>0</v>
      </c>
    </row>
    <row r="113" spans="1:30" x14ac:dyDescent="0.35">
      <c r="A113" s="7">
        <v>136</v>
      </c>
      <c r="B113" s="6">
        <v>45782</v>
      </c>
      <c r="C113" s="6">
        <v>45782</v>
      </c>
      <c r="D113" s="7" t="s">
        <v>72</v>
      </c>
      <c r="E113" s="7" t="s">
        <v>61</v>
      </c>
      <c r="F113" s="7" t="s">
        <v>71</v>
      </c>
      <c r="G113" s="7" t="s">
        <v>71</v>
      </c>
      <c r="H113" s="7"/>
      <c r="I113" s="7"/>
      <c r="J113" s="7" t="s">
        <v>59</v>
      </c>
      <c r="K113" s="7" t="s">
        <v>58</v>
      </c>
      <c r="L113" s="7" t="s">
        <v>70</v>
      </c>
      <c r="M113" s="7" t="s">
        <v>35</v>
      </c>
      <c r="N113" s="7" t="s">
        <v>69</v>
      </c>
      <c r="O113" s="7" t="s">
        <v>68</v>
      </c>
      <c r="P113" s="7" t="s">
        <v>54</v>
      </c>
      <c r="Q113" s="18">
        <v>274131.68</v>
      </c>
      <c r="R113" s="18">
        <v>0</v>
      </c>
      <c r="S113" s="9">
        <f t="shared" si="4"/>
        <v>274131.68</v>
      </c>
      <c r="T113" s="4" t="s">
        <v>53</v>
      </c>
      <c r="U113" s="7" t="s">
        <v>67</v>
      </c>
      <c r="V113" s="4"/>
      <c r="W113" s="14">
        <v>-100</v>
      </c>
      <c r="X113" s="8" t="s">
        <v>51</v>
      </c>
      <c r="Y113" s="8"/>
      <c r="Z113" s="7" t="s">
        <v>14</v>
      </c>
      <c r="AA113" s="36" t="s">
        <v>22</v>
      </c>
      <c r="AB113" s="4" t="s">
        <v>2835</v>
      </c>
      <c r="AC113" s="22">
        <f t="shared" si="5"/>
        <v>107.50261960784313</v>
      </c>
      <c r="AD113" s="23">
        <v>0</v>
      </c>
    </row>
    <row r="114" spans="1:30" x14ac:dyDescent="0.35">
      <c r="A114" s="7">
        <v>137</v>
      </c>
      <c r="B114" s="6">
        <v>45784.296840277777</v>
      </c>
      <c r="C114" s="6">
        <v>45784</v>
      </c>
      <c r="D114" s="7" t="s">
        <v>2408</v>
      </c>
      <c r="E114" s="7" t="s">
        <v>1331</v>
      </c>
      <c r="F114" s="7" t="s">
        <v>2419</v>
      </c>
      <c r="G114" s="7" t="s">
        <v>2406</v>
      </c>
      <c r="H114" s="7" t="s">
        <v>2012</v>
      </c>
      <c r="I114" s="7" t="s">
        <v>2011</v>
      </c>
      <c r="J114" s="7" t="s">
        <v>1816</v>
      </c>
      <c r="K114" s="7" t="s">
        <v>1815</v>
      </c>
      <c r="L114" s="7" t="s">
        <v>1883</v>
      </c>
      <c r="M114" s="7" t="s">
        <v>17</v>
      </c>
      <c r="N114" s="7" t="s">
        <v>1504</v>
      </c>
      <c r="O114" s="7" t="s">
        <v>68</v>
      </c>
      <c r="P114" s="7" t="s">
        <v>68</v>
      </c>
      <c r="Q114" s="9">
        <v>3525000</v>
      </c>
      <c r="R114" s="9">
        <v>0</v>
      </c>
      <c r="S114" s="9">
        <f t="shared" si="4"/>
        <v>3525000</v>
      </c>
      <c r="T114" s="4" t="s">
        <v>53</v>
      </c>
      <c r="U114" s="7" t="s">
        <v>2418</v>
      </c>
      <c r="V114" s="7" t="s">
        <v>1823</v>
      </c>
      <c r="W114" s="9">
        <v>300</v>
      </c>
      <c r="X114" s="7" t="s">
        <v>205</v>
      </c>
      <c r="Y114" s="7"/>
      <c r="Z114" s="7" t="s">
        <v>14</v>
      </c>
      <c r="AA114" s="36" t="s">
        <v>17</v>
      </c>
      <c r="AB114" s="4" t="s">
        <v>2602</v>
      </c>
      <c r="AC114" s="22">
        <f t="shared" si="5"/>
        <v>1382.3529411764705</v>
      </c>
      <c r="AD114" s="23">
        <v>0</v>
      </c>
    </row>
    <row r="115" spans="1:30" x14ac:dyDescent="0.35">
      <c r="A115" s="7">
        <v>138</v>
      </c>
      <c r="B115" s="6">
        <v>45784.296840277777</v>
      </c>
      <c r="C115" s="6">
        <v>45784</v>
      </c>
      <c r="D115" s="7" t="s">
        <v>2408</v>
      </c>
      <c r="E115" s="7" t="s">
        <v>1331</v>
      </c>
      <c r="F115" s="7" t="s">
        <v>2417</v>
      </c>
      <c r="G115" s="7" t="s">
        <v>2406</v>
      </c>
      <c r="H115" s="7" t="s">
        <v>2012</v>
      </c>
      <c r="I115" s="7" t="s">
        <v>2011</v>
      </c>
      <c r="J115" s="7" t="s">
        <v>1816</v>
      </c>
      <c r="K115" s="7" t="s">
        <v>1815</v>
      </c>
      <c r="L115" s="7" t="s">
        <v>1883</v>
      </c>
      <c r="M115" s="7" t="s">
        <v>17</v>
      </c>
      <c r="N115" s="7" t="s">
        <v>1504</v>
      </c>
      <c r="O115" s="7" t="s">
        <v>68</v>
      </c>
      <c r="P115" s="7" t="s">
        <v>68</v>
      </c>
      <c r="Q115" s="9">
        <v>35250000</v>
      </c>
      <c r="R115" s="9">
        <v>0</v>
      </c>
      <c r="S115" s="9">
        <f t="shared" si="4"/>
        <v>35250000</v>
      </c>
      <c r="T115" s="4" t="s">
        <v>53</v>
      </c>
      <c r="U115" s="7" t="s">
        <v>2010</v>
      </c>
      <c r="V115" s="7" t="s">
        <v>1823</v>
      </c>
      <c r="W115" s="9">
        <v>60</v>
      </c>
      <c r="X115" s="7" t="s">
        <v>1501</v>
      </c>
      <c r="Y115" s="7"/>
      <c r="Z115" s="7" t="s">
        <v>14</v>
      </c>
      <c r="AA115" s="36" t="s">
        <v>17</v>
      </c>
      <c r="AB115" s="4" t="s">
        <v>2602</v>
      </c>
      <c r="AC115" s="22">
        <f t="shared" si="5"/>
        <v>13823.529411764706</v>
      </c>
      <c r="AD115" s="23">
        <v>0</v>
      </c>
    </row>
    <row r="116" spans="1:30" x14ac:dyDescent="0.35">
      <c r="A116" s="7">
        <v>139</v>
      </c>
      <c r="B116" s="6">
        <v>45784.296840277777</v>
      </c>
      <c r="C116" s="6">
        <v>45784</v>
      </c>
      <c r="D116" s="7" t="s">
        <v>2408</v>
      </c>
      <c r="E116" s="7" t="s">
        <v>1331</v>
      </c>
      <c r="F116" s="7" t="s">
        <v>2416</v>
      </c>
      <c r="G116" s="7" t="s">
        <v>2406</v>
      </c>
      <c r="H116" s="7" t="s">
        <v>2012</v>
      </c>
      <c r="I116" s="7" t="s">
        <v>2011</v>
      </c>
      <c r="J116" s="7" t="s">
        <v>1816</v>
      </c>
      <c r="K116" s="7" t="s">
        <v>1815</v>
      </c>
      <c r="L116" s="7" t="s">
        <v>1883</v>
      </c>
      <c r="M116" s="7" t="s">
        <v>17</v>
      </c>
      <c r="N116" s="7" t="s">
        <v>1504</v>
      </c>
      <c r="O116" s="7" t="s">
        <v>68</v>
      </c>
      <c r="P116" s="7" t="s">
        <v>68</v>
      </c>
      <c r="Q116" s="9">
        <v>16920000</v>
      </c>
      <c r="R116" s="9">
        <v>0</v>
      </c>
      <c r="S116" s="9">
        <f t="shared" si="4"/>
        <v>16920000</v>
      </c>
      <c r="T116" s="4" t="s">
        <v>53</v>
      </c>
      <c r="U116" s="7" t="s">
        <v>2010</v>
      </c>
      <c r="V116" s="7" t="s">
        <v>1823</v>
      </c>
      <c r="W116" s="9">
        <v>24</v>
      </c>
      <c r="X116" s="7" t="s">
        <v>1501</v>
      </c>
      <c r="Y116" s="7"/>
      <c r="Z116" s="7" t="s">
        <v>14</v>
      </c>
      <c r="AA116" s="36" t="s">
        <v>17</v>
      </c>
      <c r="AB116" s="4" t="s">
        <v>2602</v>
      </c>
      <c r="AC116" s="22">
        <f t="shared" si="5"/>
        <v>6635.2941176470586</v>
      </c>
      <c r="AD116" s="23">
        <v>0</v>
      </c>
    </row>
    <row r="117" spans="1:30" x14ac:dyDescent="0.35">
      <c r="A117" s="7">
        <v>140</v>
      </c>
      <c r="B117" s="6">
        <v>45784.296840277777</v>
      </c>
      <c r="C117" s="6">
        <v>45784</v>
      </c>
      <c r="D117" s="7" t="s">
        <v>2408</v>
      </c>
      <c r="E117" s="7" t="s">
        <v>1331</v>
      </c>
      <c r="F117" s="7" t="s">
        <v>2415</v>
      </c>
      <c r="G117" s="7" t="s">
        <v>2406</v>
      </c>
      <c r="H117" s="7" t="s">
        <v>2012</v>
      </c>
      <c r="I117" s="7" t="s">
        <v>2011</v>
      </c>
      <c r="J117" s="7" t="s">
        <v>1816</v>
      </c>
      <c r="K117" s="7" t="s">
        <v>1815</v>
      </c>
      <c r="L117" s="7" t="s">
        <v>1883</v>
      </c>
      <c r="M117" s="7" t="s">
        <v>17</v>
      </c>
      <c r="N117" s="7" t="s">
        <v>1504</v>
      </c>
      <c r="O117" s="7" t="s">
        <v>68</v>
      </c>
      <c r="P117" s="7" t="s">
        <v>68</v>
      </c>
      <c r="Q117" s="9">
        <v>14424300</v>
      </c>
      <c r="R117" s="9">
        <v>0</v>
      </c>
      <c r="S117" s="9">
        <f t="shared" si="4"/>
        <v>14424300</v>
      </c>
      <c r="T117" s="4" t="s">
        <v>53</v>
      </c>
      <c r="U117" s="7" t="s">
        <v>2010</v>
      </c>
      <c r="V117" s="7" t="s">
        <v>1823</v>
      </c>
      <c r="W117" s="9">
        <v>20.46</v>
      </c>
      <c r="X117" s="7" t="s">
        <v>1501</v>
      </c>
      <c r="Y117" s="7"/>
      <c r="Z117" s="7" t="s">
        <v>14</v>
      </c>
      <c r="AA117" s="36" t="s">
        <v>17</v>
      </c>
      <c r="AB117" s="4" t="s">
        <v>2602</v>
      </c>
      <c r="AC117" s="22">
        <f t="shared" si="5"/>
        <v>5656.588235294118</v>
      </c>
      <c r="AD117" s="23">
        <v>0</v>
      </c>
    </row>
    <row r="118" spans="1:30" x14ac:dyDescent="0.35">
      <c r="A118" s="7">
        <v>141</v>
      </c>
      <c r="B118" s="6">
        <v>45784.296840277777</v>
      </c>
      <c r="C118" s="6">
        <v>45784</v>
      </c>
      <c r="D118" s="7" t="s">
        <v>2408</v>
      </c>
      <c r="E118" s="7" t="s">
        <v>1331</v>
      </c>
      <c r="F118" s="7" t="s">
        <v>2414</v>
      </c>
      <c r="G118" s="7" t="s">
        <v>2406</v>
      </c>
      <c r="H118" s="7" t="s">
        <v>2012</v>
      </c>
      <c r="I118" s="7" t="s">
        <v>2011</v>
      </c>
      <c r="J118" s="7" t="s">
        <v>1816</v>
      </c>
      <c r="K118" s="7" t="s">
        <v>1815</v>
      </c>
      <c r="L118" s="7" t="s">
        <v>1883</v>
      </c>
      <c r="M118" s="7" t="s">
        <v>17</v>
      </c>
      <c r="N118" s="7" t="s">
        <v>1504</v>
      </c>
      <c r="O118" s="7" t="s">
        <v>68</v>
      </c>
      <c r="P118" s="7" t="s">
        <v>68</v>
      </c>
      <c r="Q118" s="9">
        <v>1269000</v>
      </c>
      <c r="R118" s="9">
        <v>0</v>
      </c>
      <c r="S118" s="9">
        <f t="shared" si="4"/>
        <v>1269000</v>
      </c>
      <c r="T118" s="4" t="s">
        <v>53</v>
      </c>
      <c r="U118" s="7" t="s">
        <v>2010</v>
      </c>
      <c r="V118" s="7" t="s">
        <v>1823</v>
      </c>
      <c r="W118" s="9">
        <v>180</v>
      </c>
      <c r="X118" s="7" t="s">
        <v>1501</v>
      </c>
      <c r="Y118" s="7"/>
      <c r="Z118" s="7" t="s">
        <v>14</v>
      </c>
      <c r="AA118" s="36" t="s">
        <v>17</v>
      </c>
      <c r="AB118" s="4" t="s">
        <v>2602</v>
      </c>
      <c r="AC118" s="22">
        <f t="shared" si="5"/>
        <v>497.64705882352939</v>
      </c>
      <c r="AD118" s="23">
        <v>0</v>
      </c>
    </row>
    <row r="119" spans="1:30" x14ac:dyDescent="0.35">
      <c r="A119" s="7">
        <v>142</v>
      </c>
      <c r="B119" s="6">
        <v>45784.296840277777</v>
      </c>
      <c r="C119" s="6">
        <v>45784</v>
      </c>
      <c r="D119" s="7" t="s">
        <v>2408</v>
      </c>
      <c r="E119" s="7" t="s">
        <v>1331</v>
      </c>
      <c r="F119" s="7" t="s">
        <v>2413</v>
      </c>
      <c r="G119" s="7" t="s">
        <v>2406</v>
      </c>
      <c r="H119" s="7" t="s">
        <v>2012</v>
      </c>
      <c r="I119" s="7" t="s">
        <v>2011</v>
      </c>
      <c r="J119" s="7" t="s">
        <v>1816</v>
      </c>
      <c r="K119" s="7" t="s">
        <v>1815</v>
      </c>
      <c r="L119" s="7" t="s">
        <v>1883</v>
      </c>
      <c r="M119" s="7" t="s">
        <v>17</v>
      </c>
      <c r="N119" s="7" t="s">
        <v>1504</v>
      </c>
      <c r="O119" s="7" t="s">
        <v>68</v>
      </c>
      <c r="P119" s="7" t="s">
        <v>68</v>
      </c>
      <c r="Q119" s="9">
        <v>400000</v>
      </c>
      <c r="R119" s="9">
        <v>0</v>
      </c>
      <c r="S119" s="9">
        <f t="shared" si="4"/>
        <v>400000</v>
      </c>
      <c r="T119" s="4" t="s">
        <v>53</v>
      </c>
      <c r="U119" s="7" t="s">
        <v>2322</v>
      </c>
      <c r="V119" s="7" t="s">
        <v>1823</v>
      </c>
      <c r="W119" s="9">
        <v>10</v>
      </c>
      <c r="X119" s="7" t="s">
        <v>94</v>
      </c>
      <c r="Y119" s="7"/>
      <c r="Z119" s="7" t="s">
        <v>14</v>
      </c>
      <c r="AA119" s="36" t="s">
        <v>17</v>
      </c>
      <c r="AB119" s="4" t="s">
        <v>2602</v>
      </c>
      <c r="AC119" s="22">
        <f t="shared" si="5"/>
        <v>156.86274509803923</v>
      </c>
      <c r="AD119" s="23">
        <v>0</v>
      </c>
    </row>
    <row r="120" spans="1:30" x14ac:dyDescent="0.35">
      <c r="A120" s="7">
        <v>143</v>
      </c>
      <c r="B120" s="6">
        <v>45784.296840277777</v>
      </c>
      <c r="C120" s="6">
        <v>45784</v>
      </c>
      <c r="D120" s="7" t="s">
        <v>2408</v>
      </c>
      <c r="E120" s="7" t="s">
        <v>1331</v>
      </c>
      <c r="F120" s="7" t="s">
        <v>2412</v>
      </c>
      <c r="G120" s="7" t="s">
        <v>2406</v>
      </c>
      <c r="H120" s="7" t="s">
        <v>2012</v>
      </c>
      <c r="I120" s="7" t="s">
        <v>2011</v>
      </c>
      <c r="J120" s="7" t="s">
        <v>1816</v>
      </c>
      <c r="K120" s="7" t="s">
        <v>1815</v>
      </c>
      <c r="L120" s="7" t="s">
        <v>1883</v>
      </c>
      <c r="M120" s="7" t="s">
        <v>17</v>
      </c>
      <c r="N120" s="7" t="s">
        <v>1504</v>
      </c>
      <c r="O120" s="7" t="s">
        <v>68</v>
      </c>
      <c r="P120" s="7" t="s">
        <v>68</v>
      </c>
      <c r="Q120" s="9">
        <v>2115000</v>
      </c>
      <c r="R120" s="9">
        <v>0</v>
      </c>
      <c r="S120" s="9">
        <f t="shared" si="4"/>
        <v>2115000</v>
      </c>
      <c r="T120" s="4" t="s">
        <v>53</v>
      </c>
      <c r="U120" s="7" t="s">
        <v>2010</v>
      </c>
      <c r="V120" s="7" t="s">
        <v>1823</v>
      </c>
      <c r="W120" s="9">
        <v>3</v>
      </c>
      <c r="X120" s="7" t="s">
        <v>1501</v>
      </c>
      <c r="Y120" s="7"/>
      <c r="Z120" s="7" t="s">
        <v>14</v>
      </c>
      <c r="AA120" s="36" t="s">
        <v>17</v>
      </c>
      <c r="AB120" s="4" t="s">
        <v>2602</v>
      </c>
      <c r="AC120" s="22">
        <f t="shared" si="5"/>
        <v>829.41176470588232</v>
      </c>
      <c r="AD120" s="23">
        <v>0</v>
      </c>
    </row>
    <row r="121" spans="1:30" x14ac:dyDescent="0.35">
      <c r="A121" s="7">
        <v>144</v>
      </c>
      <c r="B121" s="6">
        <v>45784.296840277777</v>
      </c>
      <c r="C121" s="6">
        <v>45784</v>
      </c>
      <c r="D121" s="7" t="s">
        <v>2408</v>
      </c>
      <c r="E121" s="7" t="s">
        <v>1331</v>
      </c>
      <c r="F121" s="7" t="s">
        <v>2411</v>
      </c>
      <c r="G121" s="7" t="s">
        <v>2406</v>
      </c>
      <c r="H121" s="7" t="s">
        <v>2012</v>
      </c>
      <c r="I121" s="7" t="s">
        <v>2011</v>
      </c>
      <c r="J121" s="7" t="s">
        <v>1816</v>
      </c>
      <c r="K121" s="7" t="s">
        <v>1815</v>
      </c>
      <c r="L121" s="7" t="s">
        <v>1883</v>
      </c>
      <c r="M121" s="7" t="s">
        <v>17</v>
      </c>
      <c r="N121" s="7" t="s">
        <v>1504</v>
      </c>
      <c r="O121" s="7" t="s">
        <v>68</v>
      </c>
      <c r="P121" s="7" t="s">
        <v>68</v>
      </c>
      <c r="Q121" s="9">
        <v>1586250</v>
      </c>
      <c r="R121" s="9">
        <v>0</v>
      </c>
      <c r="S121" s="9">
        <f t="shared" si="4"/>
        <v>1586250</v>
      </c>
      <c r="T121" s="4" t="s">
        <v>53</v>
      </c>
      <c r="U121" s="7" t="s">
        <v>2322</v>
      </c>
      <c r="V121" s="7" t="s">
        <v>1823</v>
      </c>
      <c r="W121" s="9">
        <v>450</v>
      </c>
      <c r="X121" s="7" t="s">
        <v>94</v>
      </c>
      <c r="Y121" s="7"/>
      <c r="Z121" s="7" t="s">
        <v>14</v>
      </c>
      <c r="AA121" s="36" t="s">
        <v>17</v>
      </c>
      <c r="AB121" s="4" t="s">
        <v>2602</v>
      </c>
      <c r="AC121" s="22">
        <f t="shared" si="5"/>
        <v>622.05882352941171</v>
      </c>
      <c r="AD121" s="23">
        <v>0</v>
      </c>
    </row>
    <row r="122" spans="1:30" x14ac:dyDescent="0.35">
      <c r="A122" s="7">
        <v>145</v>
      </c>
      <c r="B122" s="6">
        <v>45784.296840277777</v>
      </c>
      <c r="C122" s="6">
        <v>45784</v>
      </c>
      <c r="D122" s="7" t="s">
        <v>2408</v>
      </c>
      <c r="E122" s="7" t="s">
        <v>1331</v>
      </c>
      <c r="F122" s="7" t="s">
        <v>2410</v>
      </c>
      <c r="G122" s="7" t="s">
        <v>2406</v>
      </c>
      <c r="H122" s="7" t="s">
        <v>2012</v>
      </c>
      <c r="I122" s="7" t="s">
        <v>2011</v>
      </c>
      <c r="J122" s="7" t="s">
        <v>1816</v>
      </c>
      <c r="K122" s="7" t="s">
        <v>1815</v>
      </c>
      <c r="L122" s="7" t="s">
        <v>1883</v>
      </c>
      <c r="M122" s="7" t="s">
        <v>17</v>
      </c>
      <c r="N122" s="7" t="s">
        <v>1504</v>
      </c>
      <c r="O122" s="7" t="s">
        <v>68</v>
      </c>
      <c r="P122" s="7" t="s">
        <v>68</v>
      </c>
      <c r="Q122" s="9">
        <v>6010125</v>
      </c>
      <c r="R122" s="9">
        <v>0</v>
      </c>
      <c r="S122" s="9">
        <f t="shared" si="4"/>
        <v>6010125</v>
      </c>
      <c r="T122" s="4" t="s">
        <v>53</v>
      </c>
      <c r="U122" s="7" t="s">
        <v>2010</v>
      </c>
      <c r="V122" s="7" t="s">
        <v>1823</v>
      </c>
      <c r="W122" s="9">
        <v>20.46</v>
      </c>
      <c r="X122" s="7" t="s">
        <v>1501</v>
      </c>
      <c r="Y122" s="7"/>
      <c r="Z122" s="7" t="s">
        <v>14</v>
      </c>
      <c r="AA122" s="36" t="s">
        <v>17</v>
      </c>
      <c r="AB122" s="4" t="s">
        <v>2602</v>
      </c>
      <c r="AC122" s="22">
        <f t="shared" si="5"/>
        <v>2356.9117647058824</v>
      </c>
      <c r="AD122" s="23">
        <v>0</v>
      </c>
    </row>
    <row r="123" spans="1:30" x14ac:dyDescent="0.35">
      <c r="A123" s="7">
        <v>146</v>
      </c>
      <c r="B123" s="6">
        <v>45784.296840277777</v>
      </c>
      <c r="C123" s="6">
        <v>45784</v>
      </c>
      <c r="D123" s="7" t="s">
        <v>2408</v>
      </c>
      <c r="E123" s="7" t="s">
        <v>1331</v>
      </c>
      <c r="F123" s="7" t="s">
        <v>2409</v>
      </c>
      <c r="G123" s="7" t="s">
        <v>2406</v>
      </c>
      <c r="H123" s="7" t="s">
        <v>2012</v>
      </c>
      <c r="I123" s="7" t="s">
        <v>2011</v>
      </c>
      <c r="J123" s="7" t="s">
        <v>1816</v>
      </c>
      <c r="K123" s="7" t="s">
        <v>1815</v>
      </c>
      <c r="L123" s="7" t="s">
        <v>1883</v>
      </c>
      <c r="M123" s="7" t="s">
        <v>17</v>
      </c>
      <c r="N123" s="7" t="s">
        <v>1504</v>
      </c>
      <c r="O123" s="7" t="s">
        <v>68</v>
      </c>
      <c r="P123" s="7" t="s">
        <v>68</v>
      </c>
      <c r="Q123" s="9">
        <v>93765000</v>
      </c>
      <c r="R123" s="9">
        <v>0</v>
      </c>
      <c r="S123" s="9">
        <f t="shared" si="4"/>
        <v>93765000</v>
      </c>
      <c r="T123" s="4" t="s">
        <v>53</v>
      </c>
      <c r="U123" s="7" t="s">
        <v>2010</v>
      </c>
      <c r="V123" s="7" t="s">
        <v>1823</v>
      </c>
      <c r="W123" s="9">
        <v>133</v>
      </c>
      <c r="X123" s="7" t="s">
        <v>1501</v>
      </c>
      <c r="Y123" s="7"/>
      <c r="Z123" s="7" t="s">
        <v>14</v>
      </c>
      <c r="AA123" s="36" t="s">
        <v>17</v>
      </c>
      <c r="AB123" s="4" t="s">
        <v>2602</v>
      </c>
      <c r="AC123" s="22">
        <f t="shared" si="5"/>
        <v>36770.588235294119</v>
      </c>
      <c r="AD123" s="23">
        <v>0</v>
      </c>
    </row>
    <row r="124" spans="1:30" x14ac:dyDescent="0.35">
      <c r="A124" s="7">
        <v>147</v>
      </c>
      <c r="B124" s="6">
        <v>45784.296840277777</v>
      </c>
      <c r="C124" s="6">
        <v>45784</v>
      </c>
      <c r="D124" s="7" t="s">
        <v>2408</v>
      </c>
      <c r="E124" s="7" t="s">
        <v>1331</v>
      </c>
      <c r="F124" s="7" t="s">
        <v>2407</v>
      </c>
      <c r="G124" s="7" t="s">
        <v>2406</v>
      </c>
      <c r="H124" s="7" t="s">
        <v>2012</v>
      </c>
      <c r="I124" s="7" t="s">
        <v>2011</v>
      </c>
      <c r="J124" s="7" t="s">
        <v>1816</v>
      </c>
      <c r="K124" s="7" t="s">
        <v>1815</v>
      </c>
      <c r="L124" s="7" t="s">
        <v>1883</v>
      </c>
      <c r="M124" s="7" t="s">
        <v>17</v>
      </c>
      <c r="N124" s="7" t="s">
        <v>1504</v>
      </c>
      <c r="O124" s="7" t="s">
        <v>68</v>
      </c>
      <c r="P124" s="7" t="s">
        <v>68</v>
      </c>
      <c r="Q124" s="9">
        <v>77550000</v>
      </c>
      <c r="R124" s="9">
        <v>0</v>
      </c>
      <c r="S124" s="9">
        <f t="shared" si="4"/>
        <v>77550000</v>
      </c>
      <c r="T124" s="4" t="s">
        <v>53</v>
      </c>
      <c r="U124" s="7" t="s">
        <v>2010</v>
      </c>
      <c r="V124" s="7" t="s">
        <v>1823</v>
      </c>
      <c r="W124" s="9">
        <v>110</v>
      </c>
      <c r="X124" s="7" t="s">
        <v>1501</v>
      </c>
      <c r="Y124" s="7"/>
      <c r="Z124" s="7" t="s">
        <v>14</v>
      </c>
      <c r="AA124" s="36" t="s">
        <v>17</v>
      </c>
      <c r="AB124" s="4" t="s">
        <v>2602</v>
      </c>
      <c r="AC124" s="22">
        <f t="shared" si="5"/>
        <v>30411.764705882353</v>
      </c>
      <c r="AD124" s="23">
        <v>0</v>
      </c>
    </row>
    <row r="125" spans="1:30" x14ac:dyDescent="0.35">
      <c r="A125" s="7">
        <v>148</v>
      </c>
      <c r="B125" s="6">
        <v>45789.392418981479</v>
      </c>
      <c r="C125" s="6">
        <v>45789</v>
      </c>
      <c r="D125" s="7" t="s">
        <v>2405</v>
      </c>
      <c r="E125" s="7" t="s">
        <v>1331</v>
      </c>
      <c r="F125" s="7" t="s">
        <v>1499</v>
      </c>
      <c r="G125" s="7" t="s">
        <v>2404</v>
      </c>
      <c r="H125" s="7" t="s">
        <v>1497</v>
      </c>
      <c r="I125" s="7" t="s">
        <v>1496</v>
      </c>
      <c r="J125" s="7" t="s">
        <v>1816</v>
      </c>
      <c r="K125" s="7" t="s">
        <v>1815</v>
      </c>
      <c r="L125" s="7" t="s">
        <v>1915</v>
      </c>
      <c r="M125" s="7" t="s">
        <v>20</v>
      </c>
      <c r="N125" s="7" t="s">
        <v>1324</v>
      </c>
      <c r="O125" s="7" t="s">
        <v>68</v>
      </c>
      <c r="P125" s="7" t="s">
        <v>68</v>
      </c>
      <c r="Q125" s="9">
        <v>942227</v>
      </c>
      <c r="R125" s="9">
        <v>0</v>
      </c>
      <c r="S125" s="9">
        <f t="shared" si="4"/>
        <v>942227</v>
      </c>
      <c r="T125" s="4" t="s">
        <v>53</v>
      </c>
      <c r="U125" s="7"/>
      <c r="V125" s="7"/>
      <c r="W125" s="9">
        <v>1</v>
      </c>
      <c r="X125" s="7"/>
      <c r="Y125" s="7"/>
      <c r="Z125" s="7" t="s">
        <v>14</v>
      </c>
      <c r="AA125" s="36" t="s">
        <v>20</v>
      </c>
      <c r="AB125" s="4" t="s">
        <v>2602</v>
      </c>
      <c r="AC125" s="22">
        <f t="shared" si="5"/>
        <v>369.50078431372549</v>
      </c>
      <c r="AD125" s="23">
        <v>0</v>
      </c>
    </row>
    <row r="126" spans="1:30" x14ac:dyDescent="0.35">
      <c r="A126" s="7">
        <v>149</v>
      </c>
      <c r="B126" s="6">
        <v>45792.278020833335</v>
      </c>
      <c r="C126" s="6">
        <v>45792</v>
      </c>
      <c r="D126" s="7" t="s">
        <v>2403</v>
      </c>
      <c r="E126" s="7" t="s">
        <v>1331</v>
      </c>
      <c r="F126" s="7" t="s">
        <v>2402</v>
      </c>
      <c r="G126" s="7" t="s">
        <v>2401</v>
      </c>
      <c r="H126" s="7" t="s">
        <v>2400</v>
      </c>
      <c r="I126" s="7" t="s">
        <v>2399</v>
      </c>
      <c r="J126" s="7" t="s">
        <v>1816</v>
      </c>
      <c r="K126" s="7" t="s">
        <v>1815</v>
      </c>
      <c r="L126" s="7" t="s">
        <v>2049</v>
      </c>
      <c r="M126" s="7" t="s">
        <v>26</v>
      </c>
      <c r="N126" s="7" t="s">
        <v>2048</v>
      </c>
      <c r="O126" s="7" t="s">
        <v>68</v>
      </c>
      <c r="P126" s="7" t="s">
        <v>68</v>
      </c>
      <c r="Q126" s="9">
        <v>839087291.13</v>
      </c>
      <c r="R126" s="9">
        <v>0</v>
      </c>
      <c r="S126" s="9">
        <f t="shared" si="4"/>
        <v>839087291.13</v>
      </c>
      <c r="T126" s="4" t="s">
        <v>53</v>
      </c>
      <c r="U126" s="7" t="s">
        <v>1890</v>
      </c>
      <c r="V126" s="7" t="s">
        <v>1823</v>
      </c>
      <c r="W126" s="9">
        <v>1</v>
      </c>
      <c r="X126" s="7" t="s">
        <v>1889</v>
      </c>
      <c r="Y126" s="7"/>
      <c r="Z126" s="7" t="s">
        <v>14</v>
      </c>
      <c r="AA126" s="36" t="s">
        <v>26</v>
      </c>
      <c r="AB126" s="4" t="s">
        <v>2835</v>
      </c>
      <c r="AC126" s="22">
        <f t="shared" si="5"/>
        <v>329053.8396588235</v>
      </c>
      <c r="AD126" s="23">
        <v>0</v>
      </c>
    </row>
    <row r="127" spans="1:30" x14ac:dyDescent="0.35">
      <c r="A127" s="7">
        <v>150</v>
      </c>
      <c r="B127" s="6">
        <v>45797</v>
      </c>
      <c r="C127" s="6">
        <v>45797</v>
      </c>
      <c r="D127" s="7" t="s">
        <v>1612</v>
      </c>
      <c r="E127" s="7" t="s">
        <v>61</v>
      </c>
      <c r="F127" s="7" t="s">
        <v>1611</v>
      </c>
      <c r="G127" s="7" t="s">
        <v>1611</v>
      </c>
      <c r="H127" s="7"/>
      <c r="I127" s="7"/>
      <c r="J127" s="7" t="s">
        <v>59</v>
      </c>
      <c r="K127" s="7" t="s">
        <v>58</v>
      </c>
      <c r="L127" s="7" t="s">
        <v>57</v>
      </c>
      <c r="M127" s="7" t="s">
        <v>1071</v>
      </c>
      <c r="N127" s="7" t="s">
        <v>317</v>
      </c>
      <c r="O127" s="7" t="s">
        <v>68</v>
      </c>
      <c r="P127" s="7" t="s">
        <v>54</v>
      </c>
      <c r="Q127" s="15">
        <v>75000</v>
      </c>
      <c r="R127" s="15">
        <v>0</v>
      </c>
      <c r="S127" s="9">
        <f t="shared" si="4"/>
        <v>75000</v>
      </c>
      <c r="T127" s="4" t="s">
        <v>53</v>
      </c>
      <c r="U127" s="7" t="s">
        <v>121</v>
      </c>
      <c r="V127" s="4"/>
      <c r="W127" s="14">
        <v>-5</v>
      </c>
      <c r="X127" s="8" t="s">
        <v>94</v>
      </c>
      <c r="Y127" s="8"/>
      <c r="Z127" s="7" t="s">
        <v>14</v>
      </c>
      <c r="AA127" s="36" t="s">
        <v>23</v>
      </c>
      <c r="AB127" s="4" t="s">
        <v>2607</v>
      </c>
      <c r="AC127" s="22">
        <f t="shared" si="5"/>
        <v>29.411764705882351</v>
      </c>
      <c r="AD127" s="23">
        <v>0</v>
      </c>
    </row>
    <row r="128" spans="1:30" x14ac:dyDescent="0.35">
      <c r="A128" s="7">
        <v>151</v>
      </c>
      <c r="B128" s="6">
        <v>45797</v>
      </c>
      <c r="C128" s="6">
        <v>45797</v>
      </c>
      <c r="D128" s="7" t="s">
        <v>1595</v>
      </c>
      <c r="E128" s="7" t="s">
        <v>61</v>
      </c>
      <c r="F128" s="7" t="s">
        <v>1594</v>
      </c>
      <c r="G128" s="7" t="s">
        <v>1594</v>
      </c>
      <c r="H128" s="7"/>
      <c r="I128" s="7"/>
      <c r="J128" s="7" t="s">
        <v>59</v>
      </c>
      <c r="K128" s="7" t="s">
        <v>58</v>
      </c>
      <c r="L128" s="7" t="s">
        <v>57</v>
      </c>
      <c r="M128" s="7" t="s">
        <v>1071</v>
      </c>
      <c r="N128" s="7" t="s">
        <v>266</v>
      </c>
      <c r="O128" s="7" t="s">
        <v>68</v>
      </c>
      <c r="P128" s="7" t="s">
        <v>54</v>
      </c>
      <c r="Q128" s="15">
        <v>60459.25</v>
      </c>
      <c r="R128" s="15">
        <v>0</v>
      </c>
      <c r="S128" s="9">
        <f t="shared" si="4"/>
        <v>60459.25</v>
      </c>
      <c r="T128" s="4" t="s">
        <v>53</v>
      </c>
      <c r="U128" s="7" t="s">
        <v>320</v>
      </c>
      <c r="V128" s="4"/>
      <c r="W128" s="14">
        <v>-110</v>
      </c>
      <c r="X128" s="8" t="s">
        <v>94</v>
      </c>
      <c r="Y128" s="8"/>
      <c r="Z128" s="7" t="s">
        <v>14</v>
      </c>
      <c r="AA128" s="36" t="s">
        <v>22</v>
      </c>
      <c r="AB128" s="4" t="s">
        <v>2835</v>
      </c>
      <c r="AC128" s="22">
        <f t="shared" si="5"/>
        <v>23.70950980392157</v>
      </c>
      <c r="AD128" s="23">
        <v>0</v>
      </c>
    </row>
    <row r="129" spans="1:30" hidden="1" x14ac:dyDescent="0.35">
      <c r="A129" s="7">
        <v>152</v>
      </c>
      <c r="B129" s="6">
        <v>45798</v>
      </c>
      <c r="C129" s="6">
        <v>45798</v>
      </c>
      <c r="D129" s="7" t="s">
        <v>1779</v>
      </c>
      <c r="E129" s="7" t="s">
        <v>61</v>
      </c>
      <c r="F129" s="7" t="s">
        <v>1778</v>
      </c>
      <c r="G129" s="7" t="s">
        <v>1778</v>
      </c>
      <c r="H129" s="7"/>
      <c r="I129" s="7"/>
      <c r="J129" s="7" t="s">
        <v>59</v>
      </c>
      <c r="K129" s="7" t="s">
        <v>58</v>
      </c>
      <c r="L129" s="7" t="s">
        <v>325</v>
      </c>
      <c r="M129" s="7" t="s">
        <v>1764</v>
      </c>
      <c r="N129" s="7" t="s">
        <v>1699</v>
      </c>
      <c r="O129" s="7" t="s">
        <v>1703</v>
      </c>
      <c r="P129" s="7" t="s">
        <v>1503</v>
      </c>
      <c r="Q129" s="11">
        <v>1769491.55</v>
      </c>
      <c r="R129" s="11">
        <v>0</v>
      </c>
      <c r="S129" s="9">
        <f t="shared" si="4"/>
        <v>1769491.55</v>
      </c>
      <c r="T129" s="4" t="s">
        <v>53</v>
      </c>
      <c r="U129" s="7" t="s">
        <v>1767</v>
      </c>
      <c r="V129" s="4"/>
      <c r="W129" s="9">
        <v>-6</v>
      </c>
      <c r="X129" s="7" t="s">
        <v>94</v>
      </c>
      <c r="Y129" s="7"/>
      <c r="Z129" s="7" t="s">
        <v>5</v>
      </c>
      <c r="AA129" s="37" t="s">
        <v>6</v>
      </c>
      <c r="AB129" s="16"/>
      <c r="AC129" s="22">
        <f t="shared" si="5"/>
        <v>693.91825490196084</v>
      </c>
      <c r="AD129" s="23">
        <v>0</v>
      </c>
    </row>
    <row r="130" spans="1:30" x14ac:dyDescent="0.35">
      <c r="A130" s="7">
        <v>153</v>
      </c>
      <c r="B130" s="6">
        <v>45799.578425925924</v>
      </c>
      <c r="C130" s="6">
        <v>45799</v>
      </c>
      <c r="D130" s="7" t="s">
        <v>2398</v>
      </c>
      <c r="E130" s="7" t="s">
        <v>61</v>
      </c>
      <c r="F130" s="7" t="s">
        <v>2397</v>
      </c>
      <c r="G130" s="7" t="s">
        <v>2397</v>
      </c>
      <c r="H130" s="7"/>
      <c r="I130" s="7"/>
      <c r="J130" s="7" t="s">
        <v>1816</v>
      </c>
      <c r="K130" s="7" t="s">
        <v>1815</v>
      </c>
      <c r="L130" s="7" t="s">
        <v>1992</v>
      </c>
      <c r="M130" s="7" t="s">
        <v>18</v>
      </c>
      <c r="N130" s="7" t="s">
        <v>118</v>
      </c>
      <c r="O130" s="7" t="s">
        <v>1752</v>
      </c>
      <c r="P130" s="7" t="s">
        <v>54</v>
      </c>
      <c r="Q130" s="9">
        <v>2923770.68</v>
      </c>
      <c r="R130" s="9">
        <v>0</v>
      </c>
      <c r="S130" s="9">
        <f t="shared" si="4"/>
        <v>2923770.68</v>
      </c>
      <c r="T130" s="4" t="s">
        <v>53</v>
      </c>
      <c r="U130" s="7" t="s">
        <v>1991</v>
      </c>
      <c r="V130" s="7" t="s">
        <v>1990</v>
      </c>
      <c r="W130" s="9">
        <v>-164</v>
      </c>
      <c r="X130" s="7" t="s">
        <v>124</v>
      </c>
      <c r="Y130" s="7"/>
      <c r="Z130" s="7" t="s">
        <v>14</v>
      </c>
      <c r="AA130" s="36" t="s">
        <v>22</v>
      </c>
      <c r="AB130" s="4" t="s">
        <v>2835</v>
      </c>
      <c r="AC130" s="22">
        <f t="shared" si="5"/>
        <v>1146.5767372549021</v>
      </c>
      <c r="AD130" s="23">
        <v>0</v>
      </c>
    </row>
    <row r="131" spans="1:30" hidden="1" x14ac:dyDescent="0.35">
      <c r="A131" s="7">
        <v>154</v>
      </c>
      <c r="B131" s="6">
        <v>45799.478854166664</v>
      </c>
      <c r="C131" s="6">
        <v>45799</v>
      </c>
      <c r="D131" s="7" t="s">
        <v>2396</v>
      </c>
      <c r="E131" s="7" t="s">
        <v>1050</v>
      </c>
      <c r="F131" s="7"/>
      <c r="G131" s="7" t="s">
        <v>2395</v>
      </c>
      <c r="H131" s="7"/>
      <c r="I131" s="7"/>
      <c r="J131" s="7" t="s">
        <v>1816</v>
      </c>
      <c r="K131" s="7" t="s">
        <v>1815</v>
      </c>
      <c r="L131" s="7" t="s">
        <v>1956</v>
      </c>
      <c r="M131" s="7" t="s">
        <v>30</v>
      </c>
      <c r="N131" s="7" t="s">
        <v>211</v>
      </c>
      <c r="O131" s="7" t="s">
        <v>210</v>
      </c>
      <c r="P131" s="7" t="s">
        <v>210</v>
      </c>
      <c r="Q131" s="9">
        <v>1000000</v>
      </c>
      <c r="R131" s="9">
        <v>0</v>
      </c>
      <c r="S131" s="9">
        <f t="shared" ref="S131:S194" si="6">+Q131-R131</f>
        <v>1000000</v>
      </c>
      <c r="T131" s="4" t="s">
        <v>53</v>
      </c>
      <c r="U131" s="7"/>
      <c r="V131" s="7"/>
      <c r="W131" s="9">
        <v>1</v>
      </c>
      <c r="X131" s="7"/>
      <c r="Y131" s="7"/>
      <c r="Z131" s="7" t="s">
        <v>14</v>
      </c>
      <c r="AA131" s="36" t="s">
        <v>30</v>
      </c>
      <c r="AB131" s="4"/>
      <c r="AC131" s="22">
        <f t="shared" si="5"/>
        <v>392.15686274509807</v>
      </c>
      <c r="AD131" s="23">
        <v>0</v>
      </c>
    </row>
    <row r="132" spans="1:30" x14ac:dyDescent="0.35">
      <c r="A132" s="7">
        <v>155</v>
      </c>
      <c r="B132" s="6">
        <v>45799</v>
      </c>
      <c r="C132" s="6">
        <v>45799</v>
      </c>
      <c r="D132" s="7" t="s">
        <v>1618</v>
      </c>
      <c r="E132" s="7" t="s">
        <v>61</v>
      </c>
      <c r="F132" s="7" t="s">
        <v>1617</v>
      </c>
      <c r="G132" s="7" t="s">
        <v>1617</v>
      </c>
      <c r="H132" s="7"/>
      <c r="I132" s="7"/>
      <c r="J132" s="7" t="s">
        <v>59</v>
      </c>
      <c r="K132" s="7" t="s">
        <v>58</v>
      </c>
      <c r="L132" s="7" t="s">
        <v>57</v>
      </c>
      <c r="M132" s="7" t="s">
        <v>1071</v>
      </c>
      <c r="N132" s="7" t="s">
        <v>317</v>
      </c>
      <c r="O132" s="7" t="s">
        <v>68</v>
      </c>
      <c r="P132" s="7" t="s">
        <v>54</v>
      </c>
      <c r="Q132" s="15">
        <v>60000</v>
      </c>
      <c r="R132" s="15">
        <v>0</v>
      </c>
      <c r="S132" s="9">
        <f t="shared" si="6"/>
        <v>60000</v>
      </c>
      <c r="T132" s="4" t="s">
        <v>53</v>
      </c>
      <c r="U132" s="7" t="s">
        <v>121</v>
      </c>
      <c r="V132" s="4"/>
      <c r="W132" s="14">
        <v>-4</v>
      </c>
      <c r="X132" s="8" t="s">
        <v>94</v>
      </c>
      <c r="Y132" s="8"/>
      <c r="Z132" s="7" t="s">
        <v>14</v>
      </c>
      <c r="AA132" s="36" t="s">
        <v>23</v>
      </c>
      <c r="AB132" s="4" t="s">
        <v>2607</v>
      </c>
      <c r="AC132" s="22">
        <f t="shared" si="5"/>
        <v>23.529411764705884</v>
      </c>
      <c r="AD132" s="23">
        <v>0</v>
      </c>
    </row>
    <row r="133" spans="1:30" x14ac:dyDescent="0.35">
      <c r="A133" s="7">
        <v>156</v>
      </c>
      <c r="B133" s="6">
        <v>45799</v>
      </c>
      <c r="C133" s="6">
        <v>45799</v>
      </c>
      <c r="D133" s="7" t="s">
        <v>1616</v>
      </c>
      <c r="E133" s="7" t="s">
        <v>61</v>
      </c>
      <c r="F133" s="7" t="s">
        <v>1615</v>
      </c>
      <c r="G133" s="7" t="s">
        <v>1615</v>
      </c>
      <c r="H133" s="7"/>
      <c r="I133" s="7"/>
      <c r="J133" s="7" t="s">
        <v>59</v>
      </c>
      <c r="K133" s="7" t="s">
        <v>58</v>
      </c>
      <c r="L133" s="7" t="s">
        <v>57</v>
      </c>
      <c r="M133" s="7" t="s">
        <v>1071</v>
      </c>
      <c r="N133" s="7" t="s">
        <v>317</v>
      </c>
      <c r="O133" s="7" t="s">
        <v>68</v>
      </c>
      <c r="P133" s="7" t="s">
        <v>54</v>
      </c>
      <c r="Q133" s="15">
        <v>16313.55</v>
      </c>
      <c r="R133" s="15">
        <v>0</v>
      </c>
      <c r="S133" s="9">
        <f t="shared" si="6"/>
        <v>16313.55</v>
      </c>
      <c r="T133" s="4" t="s">
        <v>53</v>
      </c>
      <c r="U133" s="7" t="s">
        <v>117</v>
      </c>
      <c r="V133" s="4"/>
      <c r="W133" s="14">
        <v>-5</v>
      </c>
      <c r="X133" s="8" t="s">
        <v>94</v>
      </c>
      <c r="Y133" s="8"/>
      <c r="Z133" s="7" t="s">
        <v>14</v>
      </c>
      <c r="AA133" s="36" t="s">
        <v>23</v>
      </c>
      <c r="AB133" s="4" t="s">
        <v>2607</v>
      </c>
      <c r="AC133" s="22">
        <f t="shared" si="5"/>
        <v>6.3974705882352936</v>
      </c>
      <c r="AD133" s="23">
        <v>0</v>
      </c>
    </row>
    <row r="134" spans="1:30" x14ac:dyDescent="0.35">
      <c r="A134" s="7">
        <v>157</v>
      </c>
      <c r="B134" s="6">
        <v>45799</v>
      </c>
      <c r="C134" s="6">
        <v>45799</v>
      </c>
      <c r="D134" s="7" t="s">
        <v>1614</v>
      </c>
      <c r="E134" s="7" t="s">
        <v>61</v>
      </c>
      <c r="F134" s="7" t="s">
        <v>1613</v>
      </c>
      <c r="G134" s="7" t="s">
        <v>1613</v>
      </c>
      <c r="H134" s="7"/>
      <c r="I134" s="7"/>
      <c r="J134" s="7" t="s">
        <v>59</v>
      </c>
      <c r="K134" s="7" t="s">
        <v>58</v>
      </c>
      <c r="L134" s="7" t="s">
        <v>57</v>
      </c>
      <c r="M134" s="7" t="s">
        <v>1071</v>
      </c>
      <c r="N134" s="7" t="s">
        <v>317</v>
      </c>
      <c r="O134" s="7" t="s">
        <v>68</v>
      </c>
      <c r="P134" s="7" t="s">
        <v>54</v>
      </c>
      <c r="Q134" s="15">
        <v>40975.089999999997</v>
      </c>
      <c r="R134" s="15">
        <v>0</v>
      </c>
      <c r="S134" s="9">
        <f t="shared" si="6"/>
        <v>40975.089999999997</v>
      </c>
      <c r="T134" s="4" t="s">
        <v>53</v>
      </c>
      <c r="U134" s="7" t="s">
        <v>271</v>
      </c>
      <c r="V134" s="4"/>
      <c r="W134" s="14">
        <v>-10</v>
      </c>
      <c r="X134" s="8" t="s">
        <v>124</v>
      </c>
      <c r="Y134" s="8"/>
      <c r="Z134" s="7" t="s">
        <v>14</v>
      </c>
      <c r="AA134" s="36" t="s">
        <v>23</v>
      </c>
      <c r="AB134" s="4" t="s">
        <v>2607</v>
      </c>
      <c r="AC134" s="22">
        <f t="shared" si="5"/>
        <v>16.068662745098038</v>
      </c>
      <c r="AD134" s="23">
        <v>0</v>
      </c>
    </row>
    <row r="135" spans="1:30" x14ac:dyDescent="0.35">
      <c r="A135" s="7">
        <v>158</v>
      </c>
      <c r="B135" s="6">
        <v>45799</v>
      </c>
      <c r="C135" s="6">
        <v>45799</v>
      </c>
      <c r="D135" s="7" t="s">
        <v>91</v>
      </c>
      <c r="E135" s="7" t="s">
        <v>61</v>
      </c>
      <c r="F135" s="7" t="s">
        <v>90</v>
      </c>
      <c r="G135" s="7" t="s">
        <v>90</v>
      </c>
      <c r="H135" s="7"/>
      <c r="I135" s="7"/>
      <c r="J135" s="7" t="s">
        <v>59</v>
      </c>
      <c r="K135" s="7" t="s">
        <v>58</v>
      </c>
      <c r="L135" s="7" t="s">
        <v>70</v>
      </c>
      <c r="M135" s="7" t="s">
        <v>35</v>
      </c>
      <c r="N135" s="7" t="s">
        <v>87</v>
      </c>
      <c r="O135" s="7" t="s">
        <v>68</v>
      </c>
      <c r="P135" s="7" t="s">
        <v>54</v>
      </c>
      <c r="Q135" s="18">
        <v>109566.35</v>
      </c>
      <c r="R135" s="18">
        <v>0</v>
      </c>
      <c r="S135" s="9">
        <f t="shared" si="6"/>
        <v>109566.35</v>
      </c>
      <c r="T135" s="4" t="s">
        <v>53</v>
      </c>
      <c r="U135" s="7" t="s">
        <v>67</v>
      </c>
      <c r="V135" s="4"/>
      <c r="W135" s="14">
        <v>-40</v>
      </c>
      <c r="X135" s="8" t="s">
        <v>51</v>
      </c>
      <c r="Y135" s="8"/>
      <c r="Z135" s="7" t="s">
        <v>14</v>
      </c>
      <c r="AA135" s="36" t="s">
        <v>22</v>
      </c>
      <c r="AB135" s="4" t="s">
        <v>2835</v>
      </c>
      <c r="AC135" s="22">
        <f t="shared" si="5"/>
        <v>42.967196078431378</v>
      </c>
      <c r="AD135" s="23">
        <v>0</v>
      </c>
    </row>
    <row r="136" spans="1:30" x14ac:dyDescent="0.35">
      <c r="A136" s="7">
        <v>159</v>
      </c>
      <c r="B136" s="6">
        <v>45799</v>
      </c>
      <c r="C136" s="6">
        <v>45799</v>
      </c>
      <c r="D136" s="7" t="s">
        <v>84</v>
      </c>
      <c r="E136" s="7" t="s">
        <v>61</v>
      </c>
      <c r="F136" s="7" t="s">
        <v>83</v>
      </c>
      <c r="G136" s="7" t="s">
        <v>83</v>
      </c>
      <c r="H136" s="7"/>
      <c r="I136" s="7"/>
      <c r="J136" s="7" t="s">
        <v>59</v>
      </c>
      <c r="K136" s="7" t="s">
        <v>58</v>
      </c>
      <c r="L136" s="7" t="s">
        <v>70</v>
      </c>
      <c r="M136" s="7" t="s">
        <v>35</v>
      </c>
      <c r="N136" s="7" t="s">
        <v>80</v>
      </c>
      <c r="O136" s="7" t="s">
        <v>68</v>
      </c>
      <c r="P136" s="7" t="s">
        <v>54</v>
      </c>
      <c r="Q136" s="18">
        <v>54783.17</v>
      </c>
      <c r="R136" s="18">
        <v>0</v>
      </c>
      <c r="S136" s="9">
        <f t="shared" si="6"/>
        <v>54783.17</v>
      </c>
      <c r="T136" s="4" t="s">
        <v>53</v>
      </c>
      <c r="U136" s="7" t="s">
        <v>67</v>
      </c>
      <c r="V136" s="4"/>
      <c r="W136" s="14">
        <v>-20</v>
      </c>
      <c r="X136" s="8" t="s">
        <v>51</v>
      </c>
      <c r="Y136" s="8"/>
      <c r="Z136" s="7" t="s">
        <v>14</v>
      </c>
      <c r="AA136" s="36" t="s">
        <v>22</v>
      </c>
      <c r="AB136" s="4" t="s">
        <v>2835</v>
      </c>
      <c r="AC136" s="22">
        <f t="shared" si="5"/>
        <v>21.483596078431372</v>
      </c>
      <c r="AD136" s="23">
        <v>0</v>
      </c>
    </row>
    <row r="137" spans="1:30" x14ac:dyDescent="0.35">
      <c r="A137" s="7">
        <v>160</v>
      </c>
      <c r="B137" s="6">
        <v>45799</v>
      </c>
      <c r="C137" s="6">
        <v>45799</v>
      </c>
      <c r="D137" s="7" t="s">
        <v>77</v>
      </c>
      <c r="E137" s="7" t="s">
        <v>61</v>
      </c>
      <c r="F137" s="7" t="s">
        <v>76</v>
      </c>
      <c r="G137" s="7" t="s">
        <v>76</v>
      </c>
      <c r="H137" s="7"/>
      <c r="I137" s="7"/>
      <c r="J137" s="7" t="s">
        <v>59</v>
      </c>
      <c r="K137" s="7" t="s">
        <v>58</v>
      </c>
      <c r="L137" s="7" t="s">
        <v>70</v>
      </c>
      <c r="M137" s="7" t="s">
        <v>35</v>
      </c>
      <c r="N137" s="7" t="s">
        <v>73</v>
      </c>
      <c r="O137" s="7" t="s">
        <v>68</v>
      </c>
      <c r="P137" s="7" t="s">
        <v>54</v>
      </c>
      <c r="Q137" s="18">
        <v>54783.18</v>
      </c>
      <c r="R137" s="18">
        <v>0</v>
      </c>
      <c r="S137" s="9">
        <f t="shared" si="6"/>
        <v>54783.18</v>
      </c>
      <c r="T137" s="4" t="s">
        <v>53</v>
      </c>
      <c r="U137" s="7" t="s">
        <v>67</v>
      </c>
      <c r="V137" s="4"/>
      <c r="W137" s="14">
        <v>-20</v>
      </c>
      <c r="X137" s="8" t="s">
        <v>51</v>
      </c>
      <c r="Y137" s="8"/>
      <c r="Z137" s="7" t="s">
        <v>14</v>
      </c>
      <c r="AA137" s="36" t="s">
        <v>22</v>
      </c>
      <c r="AB137" s="4" t="s">
        <v>2835</v>
      </c>
      <c r="AC137" s="22">
        <f t="shared" si="5"/>
        <v>21.483599999999999</v>
      </c>
      <c r="AD137" s="23">
        <v>0</v>
      </c>
    </row>
    <row r="138" spans="1:30" x14ac:dyDescent="0.35">
      <c r="A138" s="7">
        <v>161</v>
      </c>
      <c r="B138" s="6">
        <v>45803</v>
      </c>
      <c r="C138" s="6">
        <v>45803</v>
      </c>
      <c r="D138" s="7" t="s">
        <v>1606</v>
      </c>
      <c r="E138" s="7" t="s">
        <v>61</v>
      </c>
      <c r="F138" s="7" t="s">
        <v>1605</v>
      </c>
      <c r="G138" s="7" t="s">
        <v>1605</v>
      </c>
      <c r="H138" s="7"/>
      <c r="I138" s="7"/>
      <c r="J138" s="7" t="s">
        <v>59</v>
      </c>
      <c r="K138" s="7" t="s">
        <v>58</v>
      </c>
      <c r="L138" s="7" t="s">
        <v>57</v>
      </c>
      <c r="M138" s="7" t="s">
        <v>1071</v>
      </c>
      <c r="N138" s="7" t="s">
        <v>266</v>
      </c>
      <c r="O138" s="7" t="s">
        <v>68</v>
      </c>
      <c r="P138" s="7" t="s">
        <v>54</v>
      </c>
      <c r="Q138" s="15">
        <v>150000</v>
      </c>
      <c r="R138" s="15">
        <v>0</v>
      </c>
      <c r="S138" s="9">
        <f t="shared" si="6"/>
        <v>150000</v>
      </c>
      <c r="T138" s="4" t="s">
        <v>53</v>
      </c>
      <c r="U138" s="7" t="s">
        <v>121</v>
      </c>
      <c r="V138" s="4"/>
      <c r="W138" s="14">
        <v>-10</v>
      </c>
      <c r="X138" s="8" t="s">
        <v>94</v>
      </c>
      <c r="Y138" s="8"/>
      <c r="Z138" s="7" t="s">
        <v>14</v>
      </c>
      <c r="AA138" s="36" t="s">
        <v>22</v>
      </c>
      <c r="AB138" s="4" t="s">
        <v>2835</v>
      </c>
      <c r="AC138" s="22">
        <f t="shared" si="5"/>
        <v>58.823529411764703</v>
      </c>
      <c r="AD138" s="23">
        <v>0</v>
      </c>
    </row>
    <row r="139" spans="1:30" x14ac:dyDescent="0.35">
      <c r="A139" s="7">
        <v>162</v>
      </c>
      <c r="B139" s="6">
        <v>45803</v>
      </c>
      <c r="C139" s="6">
        <v>45803</v>
      </c>
      <c r="D139" s="7" t="s">
        <v>1604</v>
      </c>
      <c r="E139" s="7" t="s">
        <v>61</v>
      </c>
      <c r="F139" s="7" t="s">
        <v>1603</v>
      </c>
      <c r="G139" s="7" t="s">
        <v>1603</v>
      </c>
      <c r="H139" s="7"/>
      <c r="I139" s="7"/>
      <c r="J139" s="7" t="s">
        <v>59</v>
      </c>
      <c r="K139" s="7" t="s">
        <v>58</v>
      </c>
      <c r="L139" s="7" t="s">
        <v>57</v>
      </c>
      <c r="M139" s="7" t="s">
        <v>1071</v>
      </c>
      <c r="N139" s="7" t="s">
        <v>266</v>
      </c>
      <c r="O139" s="7" t="s">
        <v>68</v>
      </c>
      <c r="P139" s="7" t="s">
        <v>54</v>
      </c>
      <c r="Q139" s="15">
        <v>122925.29</v>
      </c>
      <c r="R139" s="15">
        <v>0</v>
      </c>
      <c r="S139" s="9">
        <f t="shared" si="6"/>
        <v>122925.29</v>
      </c>
      <c r="T139" s="4" t="s">
        <v>53</v>
      </c>
      <c r="U139" s="7" t="s">
        <v>271</v>
      </c>
      <c r="V139" s="4"/>
      <c r="W139" s="14">
        <v>-30</v>
      </c>
      <c r="X139" s="8" t="s">
        <v>124</v>
      </c>
      <c r="Y139" s="8"/>
      <c r="Z139" s="7" t="s">
        <v>14</v>
      </c>
      <c r="AA139" s="36" t="s">
        <v>22</v>
      </c>
      <c r="AB139" s="4" t="s">
        <v>2835</v>
      </c>
      <c r="AC139" s="22">
        <f t="shared" si="5"/>
        <v>48.205996078431369</v>
      </c>
      <c r="AD139" s="23">
        <v>0</v>
      </c>
    </row>
    <row r="140" spans="1:30" x14ac:dyDescent="0.35">
      <c r="A140" s="7">
        <v>163</v>
      </c>
      <c r="B140" s="6">
        <v>45803</v>
      </c>
      <c r="C140" s="6">
        <v>45803</v>
      </c>
      <c r="D140" s="7" t="s">
        <v>1602</v>
      </c>
      <c r="E140" s="7" t="s">
        <v>61</v>
      </c>
      <c r="F140" s="7" t="s">
        <v>1601</v>
      </c>
      <c r="G140" s="7" t="s">
        <v>1601</v>
      </c>
      <c r="H140" s="7"/>
      <c r="I140" s="7"/>
      <c r="J140" s="7" t="s">
        <v>59</v>
      </c>
      <c r="K140" s="7" t="s">
        <v>58</v>
      </c>
      <c r="L140" s="7" t="s">
        <v>57</v>
      </c>
      <c r="M140" s="7" t="s">
        <v>1071</v>
      </c>
      <c r="N140" s="7" t="s">
        <v>266</v>
      </c>
      <c r="O140" s="7" t="s">
        <v>68</v>
      </c>
      <c r="P140" s="7" t="s">
        <v>54</v>
      </c>
      <c r="Q140" s="15">
        <v>10855.93</v>
      </c>
      <c r="R140" s="15">
        <v>0</v>
      </c>
      <c r="S140" s="9">
        <f t="shared" si="6"/>
        <v>10855.93</v>
      </c>
      <c r="T140" s="4" t="s">
        <v>53</v>
      </c>
      <c r="U140" s="7" t="s">
        <v>1600</v>
      </c>
      <c r="V140" s="4"/>
      <c r="W140" s="14">
        <v>-30</v>
      </c>
      <c r="X140" s="8" t="s">
        <v>94</v>
      </c>
      <c r="Y140" s="8"/>
      <c r="Z140" s="7" t="s">
        <v>14</v>
      </c>
      <c r="AA140" s="36" t="s">
        <v>22</v>
      </c>
      <c r="AB140" s="4" t="s">
        <v>2835</v>
      </c>
      <c r="AC140" s="22">
        <f t="shared" si="5"/>
        <v>4.257227450980392</v>
      </c>
      <c r="AD140" s="23">
        <v>0</v>
      </c>
    </row>
    <row r="141" spans="1:30" x14ac:dyDescent="0.35">
      <c r="A141" s="7">
        <v>164</v>
      </c>
      <c r="B141" s="6">
        <v>45803</v>
      </c>
      <c r="C141" s="6">
        <v>45803</v>
      </c>
      <c r="D141" s="7" t="s">
        <v>1599</v>
      </c>
      <c r="E141" s="7" t="s">
        <v>61</v>
      </c>
      <c r="F141" s="7" t="s">
        <v>1598</v>
      </c>
      <c r="G141" s="7" t="s">
        <v>1598</v>
      </c>
      <c r="H141" s="7"/>
      <c r="I141" s="7"/>
      <c r="J141" s="7" t="s">
        <v>59</v>
      </c>
      <c r="K141" s="7" t="s">
        <v>58</v>
      </c>
      <c r="L141" s="7" t="s">
        <v>57</v>
      </c>
      <c r="M141" s="7" t="s">
        <v>1071</v>
      </c>
      <c r="N141" s="7" t="s">
        <v>266</v>
      </c>
      <c r="O141" s="7" t="s">
        <v>68</v>
      </c>
      <c r="P141" s="7" t="s">
        <v>54</v>
      </c>
      <c r="Q141" s="15">
        <v>750000</v>
      </c>
      <c r="R141" s="15">
        <v>0</v>
      </c>
      <c r="S141" s="9">
        <f t="shared" si="6"/>
        <v>750000</v>
      </c>
      <c r="T141" s="4" t="s">
        <v>53</v>
      </c>
      <c r="U141" s="7" t="s">
        <v>610</v>
      </c>
      <c r="V141" s="4"/>
      <c r="W141" s="14">
        <v>-3</v>
      </c>
      <c r="X141" s="8" t="s">
        <v>94</v>
      </c>
      <c r="Y141" s="8"/>
      <c r="Z141" s="7" t="s">
        <v>14</v>
      </c>
      <c r="AA141" s="36" t="s">
        <v>22</v>
      </c>
      <c r="AB141" s="4" t="s">
        <v>2835</v>
      </c>
      <c r="AC141" s="22">
        <f t="shared" si="5"/>
        <v>294.11764705882354</v>
      </c>
      <c r="AD141" s="23">
        <v>0</v>
      </c>
    </row>
    <row r="142" spans="1:30" x14ac:dyDescent="0.35">
      <c r="A142" s="7">
        <v>165</v>
      </c>
      <c r="B142" s="6">
        <v>45803</v>
      </c>
      <c r="C142" s="6">
        <v>45803</v>
      </c>
      <c r="D142" s="7" t="s">
        <v>1597</v>
      </c>
      <c r="E142" s="7" t="s">
        <v>61</v>
      </c>
      <c r="F142" s="7" t="s">
        <v>1596</v>
      </c>
      <c r="G142" s="7" t="s">
        <v>1596</v>
      </c>
      <c r="H142" s="7"/>
      <c r="I142" s="7"/>
      <c r="J142" s="7" t="s">
        <v>59</v>
      </c>
      <c r="K142" s="7" t="s">
        <v>58</v>
      </c>
      <c r="L142" s="7" t="s">
        <v>57</v>
      </c>
      <c r="M142" s="7" t="s">
        <v>1071</v>
      </c>
      <c r="N142" s="7" t="s">
        <v>266</v>
      </c>
      <c r="O142" s="7" t="s">
        <v>68</v>
      </c>
      <c r="P142" s="7" t="s">
        <v>54</v>
      </c>
      <c r="Q142" s="15">
        <v>40975.089999999997</v>
      </c>
      <c r="R142" s="15">
        <v>0</v>
      </c>
      <c r="S142" s="9">
        <f t="shared" si="6"/>
        <v>40975.089999999997</v>
      </c>
      <c r="T142" s="4" t="s">
        <v>53</v>
      </c>
      <c r="U142" s="7" t="s">
        <v>271</v>
      </c>
      <c r="V142" s="4"/>
      <c r="W142" s="14">
        <v>-10</v>
      </c>
      <c r="X142" s="8" t="s">
        <v>124</v>
      </c>
      <c r="Y142" s="8"/>
      <c r="Z142" s="7" t="s">
        <v>14</v>
      </c>
      <c r="AA142" s="36" t="s">
        <v>22</v>
      </c>
      <c r="AB142" s="4" t="s">
        <v>2835</v>
      </c>
      <c r="AC142" s="22">
        <f t="shared" si="5"/>
        <v>16.068662745098038</v>
      </c>
      <c r="AD142" s="23">
        <v>0</v>
      </c>
    </row>
    <row r="143" spans="1:30" hidden="1" x14ac:dyDescent="0.35">
      <c r="A143" s="7">
        <v>166</v>
      </c>
      <c r="B143" s="6">
        <v>45804</v>
      </c>
      <c r="C143" s="6">
        <v>45804</v>
      </c>
      <c r="D143" s="7" t="s">
        <v>1777</v>
      </c>
      <c r="E143" s="7" t="s">
        <v>61</v>
      </c>
      <c r="F143" s="7" t="s">
        <v>1776</v>
      </c>
      <c r="G143" s="7" t="s">
        <v>1776</v>
      </c>
      <c r="H143" s="7"/>
      <c r="I143" s="7"/>
      <c r="J143" s="7" t="s">
        <v>59</v>
      </c>
      <c r="K143" s="7" t="s">
        <v>58</v>
      </c>
      <c r="L143" s="7" t="s">
        <v>325</v>
      </c>
      <c r="M143" s="7" t="s">
        <v>1764</v>
      </c>
      <c r="N143" s="7" t="s">
        <v>1699</v>
      </c>
      <c r="O143" s="7" t="s">
        <v>105</v>
      </c>
      <c r="P143" s="7" t="s">
        <v>1775</v>
      </c>
      <c r="Q143" s="11">
        <v>233050.85</v>
      </c>
      <c r="R143" s="11">
        <v>0</v>
      </c>
      <c r="S143" s="9">
        <f t="shared" si="6"/>
        <v>233050.85</v>
      </c>
      <c r="T143" s="4" t="s">
        <v>53</v>
      </c>
      <c r="U143" s="7" t="s">
        <v>1774</v>
      </c>
      <c r="V143" s="4"/>
      <c r="W143" s="9">
        <v>-1</v>
      </c>
      <c r="X143" s="7" t="s">
        <v>94</v>
      </c>
      <c r="Y143" s="7"/>
      <c r="Z143" s="7" t="s">
        <v>5</v>
      </c>
      <c r="AA143" s="37" t="s">
        <v>6</v>
      </c>
      <c r="AB143" s="16"/>
      <c r="AC143" s="22">
        <f t="shared" si="5"/>
        <v>91.392490196078427</v>
      </c>
      <c r="AD143" s="23">
        <v>0</v>
      </c>
    </row>
    <row r="144" spans="1:30" x14ac:dyDescent="0.35">
      <c r="A144" s="7">
        <v>167</v>
      </c>
      <c r="B144" s="6">
        <v>45804</v>
      </c>
      <c r="C144" s="6">
        <v>45804</v>
      </c>
      <c r="D144" s="7" t="s">
        <v>1631</v>
      </c>
      <c r="E144" s="7" t="s">
        <v>61</v>
      </c>
      <c r="F144" s="7" t="s">
        <v>1630</v>
      </c>
      <c r="G144" s="7" t="s">
        <v>1630</v>
      </c>
      <c r="H144" s="7"/>
      <c r="I144" s="7"/>
      <c r="J144" s="7" t="s">
        <v>59</v>
      </c>
      <c r="K144" s="7" t="s">
        <v>58</v>
      </c>
      <c r="L144" s="7" t="s">
        <v>57</v>
      </c>
      <c r="M144" s="7" t="s">
        <v>1071</v>
      </c>
      <c r="N144" s="7" t="s">
        <v>317</v>
      </c>
      <c r="O144" s="7" t="s">
        <v>68</v>
      </c>
      <c r="P144" s="7" t="s">
        <v>54</v>
      </c>
      <c r="Q144" s="15">
        <v>87500</v>
      </c>
      <c r="R144" s="15">
        <v>0</v>
      </c>
      <c r="S144" s="9">
        <f t="shared" si="6"/>
        <v>87500</v>
      </c>
      <c r="T144" s="4" t="s">
        <v>53</v>
      </c>
      <c r="U144" s="7" t="s">
        <v>133</v>
      </c>
      <c r="V144" s="4"/>
      <c r="W144" s="14">
        <v>-17.5</v>
      </c>
      <c r="X144" s="8" t="s">
        <v>124</v>
      </c>
      <c r="Y144" s="8"/>
      <c r="Z144" s="7" t="s">
        <v>14</v>
      </c>
      <c r="AA144" s="36" t="s">
        <v>23</v>
      </c>
      <c r="AB144" s="4" t="s">
        <v>2607</v>
      </c>
      <c r="AC144" s="22">
        <f t="shared" si="5"/>
        <v>34.313725490196077</v>
      </c>
      <c r="AD144" s="23">
        <v>0</v>
      </c>
    </row>
    <row r="145" spans="1:30" x14ac:dyDescent="0.35">
      <c r="A145" s="7">
        <v>168</v>
      </c>
      <c r="B145" s="6">
        <v>45804</v>
      </c>
      <c r="C145" s="6">
        <v>45804</v>
      </c>
      <c r="D145" s="7" t="s">
        <v>1629</v>
      </c>
      <c r="E145" s="7" t="s">
        <v>61</v>
      </c>
      <c r="F145" s="7" t="s">
        <v>1628</v>
      </c>
      <c r="G145" s="7" t="s">
        <v>1628</v>
      </c>
      <c r="H145" s="7"/>
      <c r="I145" s="7"/>
      <c r="J145" s="7" t="s">
        <v>59</v>
      </c>
      <c r="K145" s="7" t="s">
        <v>58</v>
      </c>
      <c r="L145" s="7" t="s">
        <v>57</v>
      </c>
      <c r="M145" s="7" t="s">
        <v>1071</v>
      </c>
      <c r="N145" s="7" t="s">
        <v>317</v>
      </c>
      <c r="O145" s="7" t="s">
        <v>68</v>
      </c>
      <c r="P145" s="7" t="s">
        <v>54</v>
      </c>
      <c r="Q145" s="15">
        <v>353289.32</v>
      </c>
      <c r="R145" s="15">
        <v>0</v>
      </c>
      <c r="S145" s="9">
        <f t="shared" si="6"/>
        <v>353289.32</v>
      </c>
      <c r="T145" s="4" t="s">
        <v>53</v>
      </c>
      <c r="U145" s="7" t="s">
        <v>130</v>
      </c>
      <c r="V145" s="4"/>
      <c r="W145" s="14">
        <v>-24</v>
      </c>
      <c r="X145" s="8" t="s">
        <v>129</v>
      </c>
      <c r="Y145" s="8"/>
      <c r="Z145" s="7" t="s">
        <v>14</v>
      </c>
      <c r="AA145" s="36" t="s">
        <v>23</v>
      </c>
      <c r="AB145" s="4" t="s">
        <v>2607</v>
      </c>
      <c r="AC145" s="22">
        <f t="shared" si="5"/>
        <v>138.54483137254903</v>
      </c>
      <c r="AD145" s="23">
        <v>0</v>
      </c>
    </row>
    <row r="146" spans="1:30" x14ac:dyDescent="0.35">
      <c r="A146" s="7">
        <v>169</v>
      </c>
      <c r="B146" s="6">
        <v>45804</v>
      </c>
      <c r="C146" s="6">
        <v>45804</v>
      </c>
      <c r="D146" s="7" t="s">
        <v>1627</v>
      </c>
      <c r="E146" s="7" t="s">
        <v>61</v>
      </c>
      <c r="F146" s="7" t="s">
        <v>1626</v>
      </c>
      <c r="G146" s="7" t="s">
        <v>1626</v>
      </c>
      <c r="H146" s="7"/>
      <c r="I146" s="7"/>
      <c r="J146" s="7" t="s">
        <v>59</v>
      </c>
      <c r="K146" s="7" t="s">
        <v>58</v>
      </c>
      <c r="L146" s="7" t="s">
        <v>57</v>
      </c>
      <c r="M146" s="7" t="s">
        <v>1071</v>
      </c>
      <c r="N146" s="7" t="s">
        <v>317</v>
      </c>
      <c r="O146" s="7" t="s">
        <v>68</v>
      </c>
      <c r="P146" s="7" t="s">
        <v>54</v>
      </c>
      <c r="Q146" s="15">
        <v>75000</v>
      </c>
      <c r="R146" s="15">
        <v>0</v>
      </c>
      <c r="S146" s="9">
        <f t="shared" si="6"/>
        <v>75000</v>
      </c>
      <c r="T146" s="4" t="s">
        <v>53</v>
      </c>
      <c r="U146" s="7" t="s">
        <v>121</v>
      </c>
      <c r="V146" s="4"/>
      <c r="W146" s="14">
        <v>-5</v>
      </c>
      <c r="X146" s="8" t="s">
        <v>94</v>
      </c>
      <c r="Y146" s="8"/>
      <c r="Z146" s="7" t="s">
        <v>14</v>
      </c>
      <c r="AA146" s="36" t="s">
        <v>23</v>
      </c>
      <c r="AB146" s="4" t="s">
        <v>2607</v>
      </c>
      <c r="AC146" s="22">
        <f t="shared" si="5"/>
        <v>29.411764705882351</v>
      </c>
      <c r="AD146" s="23">
        <v>0</v>
      </c>
    </row>
    <row r="147" spans="1:30" x14ac:dyDescent="0.35">
      <c r="A147" s="7">
        <v>170</v>
      </c>
      <c r="B147" s="6">
        <v>45804</v>
      </c>
      <c r="C147" s="6">
        <v>45804</v>
      </c>
      <c r="D147" s="7" t="s">
        <v>1625</v>
      </c>
      <c r="E147" s="7" t="s">
        <v>61</v>
      </c>
      <c r="F147" s="7" t="s">
        <v>1624</v>
      </c>
      <c r="G147" s="7" t="s">
        <v>1624</v>
      </c>
      <c r="H147" s="7"/>
      <c r="I147" s="7"/>
      <c r="J147" s="7" t="s">
        <v>59</v>
      </c>
      <c r="K147" s="7" t="s">
        <v>58</v>
      </c>
      <c r="L147" s="7" t="s">
        <v>57</v>
      </c>
      <c r="M147" s="7" t="s">
        <v>1071</v>
      </c>
      <c r="N147" s="7" t="s">
        <v>317</v>
      </c>
      <c r="O147" s="7" t="s">
        <v>68</v>
      </c>
      <c r="P147" s="7" t="s">
        <v>54</v>
      </c>
      <c r="Q147" s="15">
        <v>48383.26</v>
      </c>
      <c r="R147" s="15">
        <v>0</v>
      </c>
      <c r="S147" s="9">
        <f t="shared" si="6"/>
        <v>48383.26</v>
      </c>
      <c r="T147" s="4" t="s">
        <v>53</v>
      </c>
      <c r="U147" s="7" t="s">
        <v>282</v>
      </c>
      <c r="V147" s="4"/>
      <c r="W147" s="14">
        <v>-1</v>
      </c>
      <c r="X147" s="8" t="s">
        <v>94</v>
      </c>
      <c r="Y147" s="8"/>
      <c r="Z147" s="7" t="s">
        <v>14</v>
      </c>
      <c r="AA147" s="36" t="s">
        <v>23</v>
      </c>
      <c r="AB147" s="4" t="s">
        <v>2607</v>
      </c>
      <c r="AC147" s="22">
        <f t="shared" si="5"/>
        <v>18.973827450980394</v>
      </c>
      <c r="AD147" s="23">
        <v>0</v>
      </c>
    </row>
    <row r="148" spans="1:30" x14ac:dyDescent="0.35">
      <c r="A148" s="7">
        <v>171</v>
      </c>
      <c r="B148" s="6">
        <v>45804</v>
      </c>
      <c r="C148" s="6">
        <v>45804</v>
      </c>
      <c r="D148" s="7" t="s">
        <v>1623</v>
      </c>
      <c r="E148" s="7" t="s">
        <v>61</v>
      </c>
      <c r="F148" s="7" t="s">
        <v>1622</v>
      </c>
      <c r="G148" s="7" t="s">
        <v>1622</v>
      </c>
      <c r="H148" s="7"/>
      <c r="I148" s="7"/>
      <c r="J148" s="7" t="s">
        <v>59</v>
      </c>
      <c r="K148" s="7" t="s">
        <v>58</v>
      </c>
      <c r="L148" s="7" t="s">
        <v>57</v>
      </c>
      <c r="M148" s="7" t="s">
        <v>1071</v>
      </c>
      <c r="N148" s="7" t="s">
        <v>317</v>
      </c>
      <c r="O148" s="7" t="s">
        <v>68</v>
      </c>
      <c r="P148" s="7" t="s">
        <v>54</v>
      </c>
      <c r="Q148" s="15">
        <v>61462.64</v>
      </c>
      <c r="R148" s="15">
        <v>0</v>
      </c>
      <c r="S148" s="9">
        <f t="shared" si="6"/>
        <v>61462.64</v>
      </c>
      <c r="T148" s="4" t="s">
        <v>53</v>
      </c>
      <c r="U148" s="7" t="s">
        <v>271</v>
      </c>
      <c r="V148" s="4"/>
      <c r="W148" s="14">
        <v>-15</v>
      </c>
      <c r="X148" s="8" t="s">
        <v>124</v>
      </c>
      <c r="Y148" s="8"/>
      <c r="Z148" s="7" t="s">
        <v>14</v>
      </c>
      <c r="AA148" s="36" t="s">
        <v>23</v>
      </c>
      <c r="AB148" s="4" t="s">
        <v>2607</v>
      </c>
      <c r="AC148" s="22">
        <f t="shared" si="5"/>
        <v>24.102996078431371</v>
      </c>
      <c r="AD148" s="23">
        <v>0</v>
      </c>
    </row>
    <row r="149" spans="1:30" x14ac:dyDescent="0.35">
      <c r="A149" s="7">
        <v>172</v>
      </c>
      <c r="B149" s="6">
        <v>45804</v>
      </c>
      <c r="C149" s="6">
        <v>45804</v>
      </c>
      <c r="D149" s="7" t="s">
        <v>1621</v>
      </c>
      <c r="E149" s="7" t="s">
        <v>61</v>
      </c>
      <c r="F149" s="7" t="s">
        <v>1620</v>
      </c>
      <c r="G149" s="7" t="s">
        <v>1620</v>
      </c>
      <c r="H149" s="7"/>
      <c r="I149" s="7"/>
      <c r="J149" s="7" t="s">
        <v>59</v>
      </c>
      <c r="K149" s="7" t="s">
        <v>58</v>
      </c>
      <c r="L149" s="7" t="s">
        <v>57</v>
      </c>
      <c r="M149" s="7" t="s">
        <v>1071</v>
      </c>
      <c r="N149" s="7" t="s">
        <v>317</v>
      </c>
      <c r="O149" s="7" t="s">
        <v>68</v>
      </c>
      <c r="P149" s="7" t="s">
        <v>54</v>
      </c>
      <c r="Q149" s="15">
        <v>144712.71</v>
      </c>
      <c r="R149" s="15">
        <v>0</v>
      </c>
      <c r="S149" s="9">
        <f t="shared" si="6"/>
        <v>144712.71</v>
      </c>
      <c r="T149" s="4" t="s">
        <v>53</v>
      </c>
      <c r="U149" s="7" t="s">
        <v>1619</v>
      </c>
      <c r="V149" s="4"/>
      <c r="W149" s="14">
        <v>-64</v>
      </c>
      <c r="X149" s="8" t="s">
        <v>94</v>
      </c>
      <c r="Y149" s="8"/>
      <c r="Z149" s="7" t="s">
        <v>14</v>
      </c>
      <c r="AA149" s="36" t="s">
        <v>23</v>
      </c>
      <c r="AB149" s="4" t="s">
        <v>2607</v>
      </c>
      <c r="AC149" s="22">
        <f t="shared" si="5"/>
        <v>56.75008235294117</v>
      </c>
      <c r="AD149" s="23">
        <v>0</v>
      </c>
    </row>
    <row r="150" spans="1:30" x14ac:dyDescent="0.35">
      <c r="A150" s="7">
        <v>173</v>
      </c>
      <c r="B150" s="6">
        <v>45805.328969907408</v>
      </c>
      <c r="C150" s="6">
        <v>45805</v>
      </c>
      <c r="D150" s="7" t="s">
        <v>2394</v>
      </c>
      <c r="E150" s="7" t="s">
        <v>1331</v>
      </c>
      <c r="F150" s="7" t="s">
        <v>2393</v>
      </c>
      <c r="G150" s="7" t="s">
        <v>2392</v>
      </c>
      <c r="H150" s="7" t="s">
        <v>2352</v>
      </c>
      <c r="I150" s="7" t="s">
        <v>2351</v>
      </c>
      <c r="J150" s="7" t="s">
        <v>1816</v>
      </c>
      <c r="K150" s="7" t="s">
        <v>1815</v>
      </c>
      <c r="L150" s="7" t="s">
        <v>1883</v>
      </c>
      <c r="M150" s="7" t="s">
        <v>17</v>
      </c>
      <c r="N150" s="7" t="s">
        <v>1504</v>
      </c>
      <c r="O150" s="7" t="s">
        <v>68</v>
      </c>
      <c r="P150" s="7" t="s">
        <v>68</v>
      </c>
      <c r="Q150" s="9">
        <v>208180543.5</v>
      </c>
      <c r="R150" s="9">
        <v>0</v>
      </c>
      <c r="S150" s="9">
        <f t="shared" si="6"/>
        <v>208180543.5</v>
      </c>
      <c r="T150" s="4" t="s">
        <v>53</v>
      </c>
      <c r="U150" s="7" t="s">
        <v>1890</v>
      </c>
      <c r="V150" s="7" t="s">
        <v>1823</v>
      </c>
      <c r="W150" s="9">
        <v>1</v>
      </c>
      <c r="X150" s="7" t="s">
        <v>1889</v>
      </c>
      <c r="Y150" s="7"/>
      <c r="Z150" s="7" t="s">
        <v>14</v>
      </c>
      <c r="AA150" s="36" t="s">
        <v>17</v>
      </c>
      <c r="AB150" s="4" t="s">
        <v>2602</v>
      </c>
      <c r="AC150" s="22">
        <f t="shared" si="5"/>
        <v>81639.428823529408</v>
      </c>
      <c r="AD150" s="23">
        <v>0</v>
      </c>
    </row>
    <row r="151" spans="1:30" x14ac:dyDescent="0.35">
      <c r="A151" s="7">
        <v>174</v>
      </c>
      <c r="B151" s="6">
        <v>45805</v>
      </c>
      <c r="C151" s="6">
        <v>45805</v>
      </c>
      <c r="D151" s="7" t="s">
        <v>1635</v>
      </c>
      <c r="E151" s="7" t="s">
        <v>61</v>
      </c>
      <c r="F151" s="7" t="s">
        <v>1634</v>
      </c>
      <c r="G151" s="7" t="s">
        <v>1634</v>
      </c>
      <c r="H151" s="7"/>
      <c r="I151" s="7"/>
      <c r="J151" s="7" t="s">
        <v>59</v>
      </c>
      <c r="K151" s="7" t="s">
        <v>58</v>
      </c>
      <c r="L151" s="7" t="s">
        <v>57</v>
      </c>
      <c r="M151" s="7" t="s">
        <v>1071</v>
      </c>
      <c r="N151" s="7" t="s">
        <v>317</v>
      </c>
      <c r="O151" s="7" t="s">
        <v>68</v>
      </c>
      <c r="P151" s="7" t="s">
        <v>54</v>
      </c>
      <c r="Q151" s="15">
        <v>48383.26</v>
      </c>
      <c r="R151" s="15">
        <v>0</v>
      </c>
      <c r="S151" s="9">
        <f t="shared" si="6"/>
        <v>48383.26</v>
      </c>
      <c r="T151" s="4" t="s">
        <v>53</v>
      </c>
      <c r="U151" s="7" t="s">
        <v>282</v>
      </c>
      <c r="V151" s="4"/>
      <c r="W151" s="14">
        <v>-1</v>
      </c>
      <c r="X151" s="8" t="s">
        <v>94</v>
      </c>
      <c r="Y151" s="8"/>
      <c r="Z151" s="7" t="s">
        <v>14</v>
      </c>
      <c r="AA151" s="36" t="s">
        <v>23</v>
      </c>
      <c r="AB151" s="4" t="s">
        <v>2607</v>
      </c>
      <c r="AC151" s="22">
        <f t="shared" si="5"/>
        <v>18.973827450980394</v>
      </c>
      <c r="AD151" s="23">
        <v>0</v>
      </c>
    </row>
    <row r="152" spans="1:30" x14ac:dyDescent="0.35">
      <c r="A152" s="7">
        <v>175</v>
      </c>
      <c r="B152" s="6">
        <v>45805</v>
      </c>
      <c r="C152" s="6">
        <v>45805</v>
      </c>
      <c r="D152" s="7" t="s">
        <v>1633</v>
      </c>
      <c r="E152" s="7" t="s">
        <v>61</v>
      </c>
      <c r="F152" s="7" t="s">
        <v>1632</v>
      </c>
      <c r="G152" s="7" t="s">
        <v>1632</v>
      </c>
      <c r="H152" s="7"/>
      <c r="I152" s="7"/>
      <c r="J152" s="7" t="s">
        <v>59</v>
      </c>
      <c r="K152" s="7" t="s">
        <v>58</v>
      </c>
      <c r="L152" s="7" t="s">
        <v>57</v>
      </c>
      <c r="M152" s="7" t="s">
        <v>1071</v>
      </c>
      <c r="N152" s="7" t="s">
        <v>317</v>
      </c>
      <c r="O152" s="7" t="s">
        <v>68</v>
      </c>
      <c r="P152" s="7" t="s">
        <v>54</v>
      </c>
      <c r="Q152" s="15">
        <v>32627.1</v>
      </c>
      <c r="R152" s="15">
        <v>0</v>
      </c>
      <c r="S152" s="9">
        <f t="shared" si="6"/>
        <v>32627.1</v>
      </c>
      <c r="T152" s="4" t="s">
        <v>53</v>
      </c>
      <c r="U152" s="7" t="s">
        <v>117</v>
      </c>
      <c r="V152" s="4"/>
      <c r="W152" s="14">
        <v>-10</v>
      </c>
      <c r="X152" s="8" t="s">
        <v>94</v>
      </c>
      <c r="Y152" s="8"/>
      <c r="Z152" s="7" t="s">
        <v>14</v>
      </c>
      <c r="AA152" s="36" t="s">
        <v>23</v>
      </c>
      <c r="AB152" s="4" t="s">
        <v>2607</v>
      </c>
      <c r="AC152" s="22">
        <f t="shared" si="5"/>
        <v>12.794941176470587</v>
      </c>
      <c r="AD152" s="23">
        <v>0</v>
      </c>
    </row>
    <row r="153" spans="1:30" x14ac:dyDescent="0.35">
      <c r="A153" s="7">
        <v>176</v>
      </c>
      <c r="B153" s="6">
        <v>45806.584560185183</v>
      </c>
      <c r="C153" s="6">
        <v>45806</v>
      </c>
      <c r="D153" s="7" t="s">
        <v>2391</v>
      </c>
      <c r="E153" s="7" t="s">
        <v>61</v>
      </c>
      <c r="F153" s="7" t="s">
        <v>2390</v>
      </c>
      <c r="G153" s="7" t="s">
        <v>2390</v>
      </c>
      <c r="H153" s="7"/>
      <c r="I153" s="7"/>
      <c r="J153" s="7" t="s">
        <v>1816</v>
      </c>
      <c r="K153" s="7" t="s">
        <v>1815</v>
      </c>
      <c r="L153" s="7" t="s">
        <v>1992</v>
      </c>
      <c r="M153" s="7" t="s">
        <v>18</v>
      </c>
      <c r="N153" s="7" t="s">
        <v>118</v>
      </c>
      <c r="O153" s="7" t="s">
        <v>1752</v>
      </c>
      <c r="P153" s="7" t="s">
        <v>54</v>
      </c>
      <c r="Q153" s="9">
        <v>2923770.68</v>
      </c>
      <c r="R153" s="9">
        <v>0</v>
      </c>
      <c r="S153" s="9">
        <f t="shared" si="6"/>
        <v>2923770.68</v>
      </c>
      <c r="T153" s="4" t="s">
        <v>53</v>
      </c>
      <c r="U153" s="7" t="s">
        <v>1991</v>
      </c>
      <c r="V153" s="7" t="s">
        <v>1990</v>
      </c>
      <c r="W153" s="9">
        <v>-164</v>
      </c>
      <c r="X153" s="7" t="s">
        <v>124</v>
      </c>
      <c r="Y153" s="7"/>
      <c r="Z153" s="7" t="s">
        <v>14</v>
      </c>
      <c r="AA153" s="36" t="s">
        <v>22</v>
      </c>
      <c r="AB153" s="4" t="s">
        <v>2835</v>
      </c>
      <c r="AC153" s="22">
        <f t="shared" si="5"/>
        <v>1146.5767372549021</v>
      </c>
      <c r="AD153" s="23">
        <v>0</v>
      </c>
    </row>
    <row r="154" spans="1:30" hidden="1" x14ac:dyDescent="0.35">
      <c r="A154" s="7">
        <v>177</v>
      </c>
      <c r="B154" s="6">
        <v>45806</v>
      </c>
      <c r="C154" s="6">
        <v>45806</v>
      </c>
      <c r="D154" s="7" t="s">
        <v>1773</v>
      </c>
      <c r="E154" s="7" t="s">
        <v>61</v>
      </c>
      <c r="F154" s="7" t="s">
        <v>1772</v>
      </c>
      <c r="G154" s="7" t="s">
        <v>1772</v>
      </c>
      <c r="H154" s="7"/>
      <c r="I154" s="7"/>
      <c r="J154" s="7" t="s">
        <v>59</v>
      </c>
      <c r="K154" s="7" t="s">
        <v>58</v>
      </c>
      <c r="L154" s="7" t="s">
        <v>325</v>
      </c>
      <c r="M154" s="7" t="s">
        <v>1764</v>
      </c>
      <c r="N154" s="7" t="s">
        <v>1699</v>
      </c>
      <c r="O154" s="7" t="s">
        <v>1771</v>
      </c>
      <c r="P154" s="7" t="s">
        <v>1770</v>
      </c>
      <c r="Q154" s="11">
        <v>627118.65</v>
      </c>
      <c r="R154" s="11">
        <v>0</v>
      </c>
      <c r="S154" s="9">
        <f t="shared" si="6"/>
        <v>627118.65</v>
      </c>
      <c r="T154" s="4" t="s">
        <v>53</v>
      </c>
      <c r="U154" s="7" t="s">
        <v>1767</v>
      </c>
      <c r="V154" s="4"/>
      <c r="W154" s="9">
        <v>-2</v>
      </c>
      <c r="X154" s="7" t="s">
        <v>94</v>
      </c>
      <c r="Y154" s="7"/>
      <c r="Z154" s="7" t="s">
        <v>5</v>
      </c>
      <c r="AA154" s="37" t="s">
        <v>6</v>
      </c>
      <c r="AB154" s="16"/>
      <c r="AC154" s="22">
        <f t="shared" si="5"/>
        <v>245.92888235294117</v>
      </c>
      <c r="AD154" s="23">
        <v>0</v>
      </c>
    </row>
    <row r="155" spans="1:30" hidden="1" x14ac:dyDescent="0.35">
      <c r="A155" s="7">
        <v>178</v>
      </c>
      <c r="B155" s="6">
        <v>45806</v>
      </c>
      <c r="C155" s="6">
        <v>45806</v>
      </c>
      <c r="D155" s="7" t="s">
        <v>1769</v>
      </c>
      <c r="E155" s="7" t="s">
        <v>61</v>
      </c>
      <c r="F155" s="7" t="s">
        <v>1768</v>
      </c>
      <c r="G155" s="7" t="s">
        <v>1768</v>
      </c>
      <c r="H155" s="7"/>
      <c r="I155" s="7"/>
      <c r="J155" s="7" t="s">
        <v>59</v>
      </c>
      <c r="K155" s="7" t="s">
        <v>58</v>
      </c>
      <c r="L155" s="7" t="s">
        <v>325</v>
      </c>
      <c r="M155" s="7" t="s">
        <v>1764</v>
      </c>
      <c r="N155" s="7" t="s">
        <v>1699</v>
      </c>
      <c r="O155" s="7" t="s">
        <v>1560</v>
      </c>
      <c r="P155" s="7" t="s">
        <v>1560</v>
      </c>
      <c r="Q155" s="11">
        <v>1881355.97</v>
      </c>
      <c r="R155" s="11">
        <v>0</v>
      </c>
      <c r="S155" s="9">
        <f t="shared" si="6"/>
        <v>1881355.97</v>
      </c>
      <c r="T155" s="4" t="s">
        <v>53</v>
      </c>
      <c r="U155" s="7" t="s">
        <v>1767</v>
      </c>
      <c r="V155" s="4"/>
      <c r="W155" s="9">
        <v>-6</v>
      </c>
      <c r="X155" s="7" t="s">
        <v>94</v>
      </c>
      <c r="Y155" s="7"/>
      <c r="Z155" s="7" t="s">
        <v>5</v>
      </c>
      <c r="AA155" s="37" t="s">
        <v>6</v>
      </c>
      <c r="AB155" s="16"/>
      <c r="AC155" s="22">
        <f t="shared" si="5"/>
        <v>737.78665490196079</v>
      </c>
      <c r="AD155" s="23">
        <v>0</v>
      </c>
    </row>
    <row r="156" spans="1:30" x14ac:dyDescent="0.35">
      <c r="A156" s="7">
        <v>179</v>
      </c>
      <c r="B156" s="6">
        <v>45806</v>
      </c>
      <c r="C156" s="6">
        <v>45806</v>
      </c>
      <c r="D156" s="7" t="s">
        <v>93</v>
      </c>
      <c r="E156" s="7" t="s">
        <v>61</v>
      </c>
      <c r="F156" s="7" t="s">
        <v>92</v>
      </c>
      <c r="G156" s="7" t="s">
        <v>92</v>
      </c>
      <c r="H156" s="7"/>
      <c r="I156" s="7"/>
      <c r="J156" s="7" t="s">
        <v>59</v>
      </c>
      <c r="K156" s="7" t="s">
        <v>58</v>
      </c>
      <c r="L156" s="7" t="s">
        <v>70</v>
      </c>
      <c r="M156" s="7" t="s">
        <v>35</v>
      </c>
      <c r="N156" s="7" t="s">
        <v>87</v>
      </c>
      <c r="O156" s="7" t="s">
        <v>68</v>
      </c>
      <c r="P156" s="7" t="s">
        <v>54</v>
      </c>
      <c r="Q156" s="18">
        <v>108447.76</v>
      </c>
      <c r="R156" s="18">
        <v>0</v>
      </c>
      <c r="S156" s="9">
        <f t="shared" si="6"/>
        <v>108447.76</v>
      </c>
      <c r="T156" s="4" t="s">
        <v>53</v>
      </c>
      <c r="U156" s="7" t="s">
        <v>67</v>
      </c>
      <c r="V156" s="4"/>
      <c r="W156" s="14">
        <v>-40</v>
      </c>
      <c r="X156" s="8" t="s">
        <v>51</v>
      </c>
      <c r="Y156" s="8"/>
      <c r="Z156" s="7" t="s">
        <v>14</v>
      </c>
      <c r="AA156" s="36" t="s">
        <v>22</v>
      </c>
      <c r="AB156" s="4" t="s">
        <v>2835</v>
      </c>
      <c r="AC156" s="22">
        <f t="shared" si="5"/>
        <v>42.528533333333328</v>
      </c>
      <c r="AD156" s="23">
        <v>0</v>
      </c>
    </row>
    <row r="157" spans="1:30" hidden="1" x14ac:dyDescent="0.35">
      <c r="A157" s="7">
        <v>180</v>
      </c>
      <c r="B157" s="6">
        <v>45807</v>
      </c>
      <c r="C157" s="6">
        <v>45807</v>
      </c>
      <c r="D157" s="7" t="s">
        <v>1766</v>
      </c>
      <c r="E157" s="7" t="s">
        <v>61</v>
      </c>
      <c r="F157" s="7" t="s">
        <v>1765</v>
      </c>
      <c r="G157" s="7" t="s">
        <v>1765</v>
      </c>
      <c r="H157" s="7"/>
      <c r="I157" s="7"/>
      <c r="J157" s="7" t="s">
        <v>59</v>
      </c>
      <c r="K157" s="7" t="s">
        <v>58</v>
      </c>
      <c r="L157" s="7" t="s">
        <v>325</v>
      </c>
      <c r="M157" s="7" t="s">
        <v>1764</v>
      </c>
      <c r="N157" s="7" t="s">
        <v>1699</v>
      </c>
      <c r="O157" s="7" t="s">
        <v>1703</v>
      </c>
      <c r="P157" s="7" t="s">
        <v>1743</v>
      </c>
      <c r="Q157" s="11">
        <v>299000</v>
      </c>
      <c r="R157" s="11">
        <v>0</v>
      </c>
      <c r="S157" s="9">
        <f t="shared" si="6"/>
        <v>299000</v>
      </c>
      <c r="T157" s="4" t="s">
        <v>53</v>
      </c>
      <c r="U157" s="7" t="s">
        <v>1718</v>
      </c>
      <c r="V157" s="4"/>
      <c r="W157" s="9">
        <v>-1</v>
      </c>
      <c r="X157" s="7" t="s">
        <v>94</v>
      </c>
      <c r="Y157" s="7"/>
      <c r="Z157" s="7" t="s">
        <v>7</v>
      </c>
      <c r="AA157" s="37" t="s">
        <v>8</v>
      </c>
      <c r="AB157" s="16"/>
      <c r="AC157" s="22">
        <f t="shared" si="5"/>
        <v>117.25490196078431</v>
      </c>
      <c r="AD157" s="23">
        <v>0</v>
      </c>
    </row>
    <row r="158" spans="1:30" x14ac:dyDescent="0.35">
      <c r="A158" s="7">
        <v>181</v>
      </c>
      <c r="B158" s="6">
        <v>45807</v>
      </c>
      <c r="C158" s="6">
        <v>45807</v>
      </c>
      <c r="D158" s="7" t="s">
        <v>86</v>
      </c>
      <c r="E158" s="7" t="s">
        <v>61</v>
      </c>
      <c r="F158" s="7" t="s">
        <v>85</v>
      </c>
      <c r="G158" s="7" t="s">
        <v>85</v>
      </c>
      <c r="H158" s="7"/>
      <c r="I158" s="7"/>
      <c r="J158" s="7" t="s">
        <v>59</v>
      </c>
      <c r="K158" s="7" t="s">
        <v>58</v>
      </c>
      <c r="L158" s="7" t="s">
        <v>70</v>
      </c>
      <c r="M158" s="7" t="s">
        <v>35</v>
      </c>
      <c r="N158" s="7" t="s">
        <v>80</v>
      </c>
      <c r="O158" s="7" t="s">
        <v>68</v>
      </c>
      <c r="P158" s="7" t="s">
        <v>54</v>
      </c>
      <c r="Q158" s="18">
        <v>54512.4</v>
      </c>
      <c r="R158" s="18">
        <v>0</v>
      </c>
      <c r="S158" s="9">
        <f t="shared" si="6"/>
        <v>54512.4</v>
      </c>
      <c r="T158" s="4" t="s">
        <v>53</v>
      </c>
      <c r="U158" s="7" t="s">
        <v>67</v>
      </c>
      <c r="V158" s="4"/>
      <c r="W158" s="14">
        <v>-20</v>
      </c>
      <c r="X158" s="8" t="s">
        <v>51</v>
      </c>
      <c r="Y158" s="8"/>
      <c r="Z158" s="7" t="s">
        <v>14</v>
      </c>
      <c r="AA158" s="36" t="s">
        <v>22</v>
      </c>
      <c r="AB158" s="4" t="s">
        <v>2835</v>
      </c>
      <c r="AC158" s="22">
        <f t="shared" si="5"/>
        <v>21.377411764705883</v>
      </c>
      <c r="AD158" s="23">
        <v>0</v>
      </c>
    </row>
    <row r="159" spans="1:30" x14ac:dyDescent="0.35">
      <c r="A159" s="7">
        <v>182</v>
      </c>
      <c r="B159" s="6">
        <v>45807</v>
      </c>
      <c r="C159" s="6">
        <v>45807</v>
      </c>
      <c r="D159" s="7" t="s">
        <v>79</v>
      </c>
      <c r="E159" s="7" t="s">
        <v>61</v>
      </c>
      <c r="F159" s="7" t="s">
        <v>78</v>
      </c>
      <c r="G159" s="7" t="s">
        <v>78</v>
      </c>
      <c r="H159" s="7"/>
      <c r="I159" s="7"/>
      <c r="J159" s="7" t="s">
        <v>59</v>
      </c>
      <c r="K159" s="7" t="s">
        <v>58</v>
      </c>
      <c r="L159" s="7" t="s">
        <v>70</v>
      </c>
      <c r="M159" s="7" t="s">
        <v>35</v>
      </c>
      <c r="N159" s="7" t="s">
        <v>73</v>
      </c>
      <c r="O159" s="7" t="s">
        <v>68</v>
      </c>
      <c r="P159" s="7" t="s">
        <v>54</v>
      </c>
      <c r="Q159" s="18">
        <v>54512.4</v>
      </c>
      <c r="R159" s="18">
        <v>0</v>
      </c>
      <c r="S159" s="9">
        <f t="shared" si="6"/>
        <v>54512.4</v>
      </c>
      <c r="T159" s="4" t="s">
        <v>53</v>
      </c>
      <c r="U159" s="7" t="s">
        <v>67</v>
      </c>
      <c r="V159" s="4"/>
      <c r="W159" s="14">
        <v>-20</v>
      </c>
      <c r="X159" s="8" t="s">
        <v>51</v>
      </c>
      <c r="Y159" s="8"/>
      <c r="Z159" s="7" t="s">
        <v>14</v>
      </c>
      <c r="AA159" s="36" t="s">
        <v>22</v>
      </c>
      <c r="AB159" s="4" t="s">
        <v>2835</v>
      </c>
      <c r="AC159" s="22">
        <f t="shared" si="5"/>
        <v>21.377411764705883</v>
      </c>
      <c r="AD159" s="23">
        <v>0</v>
      </c>
    </row>
    <row r="160" spans="1:30" x14ac:dyDescent="0.35">
      <c r="A160" s="7">
        <v>183</v>
      </c>
      <c r="B160" s="6">
        <v>45808</v>
      </c>
      <c r="C160" s="6">
        <v>45808</v>
      </c>
      <c r="D160" s="7" t="s">
        <v>1645</v>
      </c>
      <c r="E160" s="7" t="s">
        <v>61</v>
      </c>
      <c r="F160" s="7" t="s">
        <v>1644</v>
      </c>
      <c r="G160" s="7" t="s">
        <v>1644</v>
      </c>
      <c r="H160" s="7"/>
      <c r="I160" s="7"/>
      <c r="J160" s="7" t="s">
        <v>59</v>
      </c>
      <c r="K160" s="7" t="s">
        <v>58</v>
      </c>
      <c r="L160" s="7" t="s">
        <v>57</v>
      </c>
      <c r="M160" s="7" t="s">
        <v>1071</v>
      </c>
      <c r="N160" s="7" t="s">
        <v>317</v>
      </c>
      <c r="O160" s="7" t="s">
        <v>68</v>
      </c>
      <c r="P160" s="7" t="s">
        <v>54</v>
      </c>
      <c r="Q160" s="15">
        <v>5700</v>
      </c>
      <c r="R160" s="15">
        <v>0</v>
      </c>
      <c r="S160" s="9">
        <f t="shared" si="6"/>
        <v>5700</v>
      </c>
      <c r="T160" s="4" t="s">
        <v>53</v>
      </c>
      <c r="U160" s="7" t="s">
        <v>151</v>
      </c>
      <c r="V160" s="4"/>
      <c r="W160" s="14">
        <v>-1</v>
      </c>
      <c r="X160" s="8" t="s">
        <v>124</v>
      </c>
      <c r="Y160" s="8"/>
      <c r="Z160" s="7" t="s">
        <v>14</v>
      </c>
      <c r="AA160" s="36" t="s">
        <v>23</v>
      </c>
      <c r="AB160" s="4" t="s">
        <v>2607</v>
      </c>
      <c r="AC160" s="22">
        <f t="shared" si="5"/>
        <v>2.2352941176470589</v>
      </c>
      <c r="AD160" s="23">
        <v>0</v>
      </c>
    </row>
    <row r="161" spans="1:30" x14ac:dyDescent="0.35">
      <c r="A161" s="7">
        <v>184</v>
      </c>
      <c r="B161" s="6">
        <v>45808</v>
      </c>
      <c r="C161" s="6">
        <v>45808</v>
      </c>
      <c r="D161" s="7" t="s">
        <v>1643</v>
      </c>
      <c r="E161" s="7" t="s">
        <v>61</v>
      </c>
      <c r="F161" s="7" t="s">
        <v>1642</v>
      </c>
      <c r="G161" s="7" t="s">
        <v>1642</v>
      </c>
      <c r="H161" s="7"/>
      <c r="I161" s="7"/>
      <c r="J161" s="7" t="s">
        <v>59</v>
      </c>
      <c r="K161" s="7" t="s">
        <v>58</v>
      </c>
      <c r="L161" s="7" t="s">
        <v>57</v>
      </c>
      <c r="M161" s="7" t="s">
        <v>1071</v>
      </c>
      <c r="N161" s="7" t="s">
        <v>317</v>
      </c>
      <c r="O161" s="7" t="s">
        <v>68</v>
      </c>
      <c r="P161" s="7" t="s">
        <v>54</v>
      </c>
      <c r="Q161" s="15">
        <v>75000</v>
      </c>
      <c r="R161" s="15">
        <v>0</v>
      </c>
      <c r="S161" s="9">
        <f t="shared" si="6"/>
        <v>75000</v>
      </c>
      <c r="T161" s="4" t="s">
        <v>53</v>
      </c>
      <c r="U161" s="7" t="s">
        <v>121</v>
      </c>
      <c r="V161" s="4"/>
      <c r="W161" s="14">
        <v>-5</v>
      </c>
      <c r="X161" s="8" t="s">
        <v>94</v>
      </c>
      <c r="Y161" s="8"/>
      <c r="Z161" s="7" t="s">
        <v>14</v>
      </c>
      <c r="AA161" s="36" t="s">
        <v>23</v>
      </c>
      <c r="AB161" s="4" t="s">
        <v>2607</v>
      </c>
      <c r="AC161" s="22">
        <f t="shared" si="5"/>
        <v>29.411764705882351</v>
      </c>
      <c r="AD161" s="23">
        <v>0</v>
      </c>
    </row>
    <row r="162" spans="1:30" x14ac:dyDescent="0.35">
      <c r="A162" s="7">
        <v>185</v>
      </c>
      <c r="B162" s="6">
        <v>45808</v>
      </c>
      <c r="C162" s="6">
        <v>45808</v>
      </c>
      <c r="D162" s="7" t="s">
        <v>1641</v>
      </c>
      <c r="E162" s="7" t="s">
        <v>61</v>
      </c>
      <c r="F162" s="7" t="s">
        <v>1640</v>
      </c>
      <c r="G162" s="7" t="s">
        <v>1640</v>
      </c>
      <c r="H162" s="7"/>
      <c r="I162" s="7"/>
      <c r="J162" s="7" t="s">
        <v>59</v>
      </c>
      <c r="K162" s="7" t="s">
        <v>58</v>
      </c>
      <c r="L162" s="7" t="s">
        <v>57</v>
      </c>
      <c r="M162" s="7" t="s">
        <v>1071</v>
      </c>
      <c r="N162" s="7" t="s">
        <v>317</v>
      </c>
      <c r="O162" s="7" t="s">
        <v>68</v>
      </c>
      <c r="P162" s="7" t="s">
        <v>54</v>
      </c>
      <c r="Q162" s="15">
        <v>99998.37</v>
      </c>
      <c r="R162" s="15">
        <v>0</v>
      </c>
      <c r="S162" s="9">
        <f t="shared" si="6"/>
        <v>99998.37</v>
      </c>
      <c r="T162" s="4" t="s">
        <v>53</v>
      </c>
      <c r="U162" s="7" t="s">
        <v>307</v>
      </c>
      <c r="V162" s="4"/>
      <c r="W162" s="14">
        <v>-1</v>
      </c>
      <c r="X162" s="8" t="s">
        <v>94</v>
      </c>
      <c r="Y162" s="8"/>
      <c r="Z162" s="7" t="s">
        <v>14</v>
      </c>
      <c r="AA162" s="36" t="s">
        <v>23</v>
      </c>
      <c r="AB162" s="4" t="s">
        <v>2607</v>
      </c>
      <c r="AC162" s="22">
        <f t="shared" si="5"/>
        <v>39.215047058823529</v>
      </c>
      <c r="AD162" s="23">
        <v>0</v>
      </c>
    </row>
    <row r="163" spans="1:30" x14ac:dyDescent="0.35">
      <c r="A163" s="7">
        <v>186</v>
      </c>
      <c r="B163" s="6">
        <v>45808</v>
      </c>
      <c r="C163" s="6">
        <v>45808</v>
      </c>
      <c r="D163" s="7" t="s">
        <v>1639</v>
      </c>
      <c r="E163" s="7" t="s">
        <v>61</v>
      </c>
      <c r="F163" s="7" t="s">
        <v>1638</v>
      </c>
      <c r="G163" s="7" t="s">
        <v>1638</v>
      </c>
      <c r="H163" s="7"/>
      <c r="I163" s="7"/>
      <c r="J163" s="7" t="s">
        <v>59</v>
      </c>
      <c r="K163" s="7" t="s">
        <v>58</v>
      </c>
      <c r="L163" s="7" t="s">
        <v>57</v>
      </c>
      <c r="M163" s="7" t="s">
        <v>1071</v>
      </c>
      <c r="N163" s="7" t="s">
        <v>317</v>
      </c>
      <c r="O163" s="7" t="s">
        <v>68</v>
      </c>
      <c r="P163" s="7" t="s">
        <v>54</v>
      </c>
      <c r="Q163" s="15">
        <v>16313.55</v>
      </c>
      <c r="R163" s="15">
        <v>0</v>
      </c>
      <c r="S163" s="9">
        <f t="shared" si="6"/>
        <v>16313.55</v>
      </c>
      <c r="T163" s="4" t="s">
        <v>53</v>
      </c>
      <c r="U163" s="7" t="s">
        <v>117</v>
      </c>
      <c r="V163" s="4"/>
      <c r="W163" s="14">
        <v>-5</v>
      </c>
      <c r="X163" s="8" t="s">
        <v>94</v>
      </c>
      <c r="Y163" s="8"/>
      <c r="Z163" s="7" t="s">
        <v>14</v>
      </c>
      <c r="AA163" s="36" t="s">
        <v>23</v>
      </c>
      <c r="AB163" s="4" t="s">
        <v>2607</v>
      </c>
      <c r="AC163" s="22">
        <f t="shared" si="5"/>
        <v>6.3974705882352936</v>
      </c>
      <c r="AD163" s="23">
        <v>0</v>
      </c>
    </row>
    <row r="164" spans="1:30" x14ac:dyDescent="0.35">
      <c r="A164" s="7">
        <v>187</v>
      </c>
      <c r="B164" s="6">
        <v>45808</v>
      </c>
      <c r="C164" s="6">
        <v>45808</v>
      </c>
      <c r="D164" s="7" t="s">
        <v>1637</v>
      </c>
      <c r="E164" s="7" t="s">
        <v>61</v>
      </c>
      <c r="F164" s="7" t="s">
        <v>1636</v>
      </c>
      <c r="G164" s="7" t="s">
        <v>1636</v>
      </c>
      <c r="H164" s="7"/>
      <c r="I164" s="7"/>
      <c r="J164" s="7" t="s">
        <v>59</v>
      </c>
      <c r="K164" s="7" t="s">
        <v>58</v>
      </c>
      <c r="L164" s="7" t="s">
        <v>57</v>
      </c>
      <c r="M164" s="7" t="s">
        <v>1071</v>
      </c>
      <c r="N164" s="7" t="s">
        <v>317</v>
      </c>
      <c r="O164" s="7" t="s">
        <v>68</v>
      </c>
      <c r="P164" s="7" t="s">
        <v>54</v>
      </c>
      <c r="Q164" s="15">
        <v>9951.27</v>
      </c>
      <c r="R164" s="15">
        <v>0</v>
      </c>
      <c r="S164" s="9">
        <f t="shared" si="6"/>
        <v>9951.27</v>
      </c>
      <c r="T164" s="4" t="s">
        <v>53</v>
      </c>
      <c r="U164" s="7" t="s">
        <v>739</v>
      </c>
      <c r="V164" s="4"/>
      <c r="W164" s="14">
        <v>-1</v>
      </c>
      <c r="X164" s="8" t="s">
        <v>124</v>
      </c>
      <c r="Y164" s="8"/>
      <c r="Z164" s="7" t="s">
        <v>14</v>
      </c>
      <c r="AA164" s="36" t="s">
        <v>23</v>
      </c>
      <c r="AB164" s="4" t="s">
        <v>2607</v>
      </c>
      <c r="AC164" s="22">
        <f t="shared" si="5"/>
        <v>3.902458823529412</v>
      </c>
      <c r="AD164" s="23">
        <v>0</v>
      </c>
    </row>
    <row r="165" spans="1:30" x14ac:dyDescent="0.35">
      <c r="A165" s="7">
        <v>188</v>
      </c>
      <c r="B165" s="6">
        <v>45808</v>
      </c>
      <c r="C165" s="6">
        <v>45808</v>
      </c>
      <c r="D165" s="7" t="s">
        <v>1610</v>
      </c>
      <c r="E165" s="7" t="s">
        <v>61</v>
      </c>
      <c r="F165" s="7" t="s">
        <v>1609</v>
      </c>
      <c r="G165" s="7" t="s">
        <v>1609</v>
      </c>
      <c r="H165" s="7"/>
      <c r="I165" s="7"/>
      <c r="J165" s="7" t="s">
        <v>59</v>
      </c>
      <c r="K165" s="7" t="s">
        <v>58</v>
      </c>
      <c r="L165" s="7" t="s">
        <v>57</v>
      </c>
      <c r="M165" s="7" t="s">
        <v>1071</v>
      </c>
      <c r="N165" s="7" t="s">
        <v>266</v>
      </c>
      <c r="O165" s="7" t="s">
        <v>68</v>
      </c>
      <c r="P165" s="7" t="s">
        <v>54</v>
      </c>
      <c r="Q165" s="15">
        <v>90000</v>
      </c>
      <c r="R165" s="15">
        <v>0</v>
      </c>
      <c r="S165" s="9">
        <f t="shared" si="6"/>
        <v>90000</v>
      </c>
      <c r="T165" s="4" t="s">
        <v>53</v>
      </c>
      <c r="U165" s="7" t="s">
        <v>121</v>
      </c>
      <c r="V165" s="4"/>
      <c r="W165" s="14">
        <v>-6</v>
      </c>
      <c r="X165" s="8" t="s">
        <v>94</v>
      </c>
      <c r="Y165" s="8"/>
      <c r="Z165" s="7" t="s">
        <v>14</v>
      </c>
      <c r="AA165" s="36" t="s">
        <v>22</v>
      </c>
      <c r="AB165" s="4" t="s">
        <v>2835</v>
      </c>
      <c r="AC165" s="22">
        <f t="shared" si="5"/>
        <v>35.294117647058826</v>
      </c>
      <c r="AD165" s="23">
        <v>0</v>
      </c>
    </row>
    <row r="166" spans="1:30" x14ac:dyDescent="0.35">
      <c r="A166" s="7">
        <v>189</v>
      </c>
      <c r="B166" s="6">
        <v>45808</v>
      </c>
      <c r="C166" s="6">
        <v>45808</v>
      </c>
      <c r="D166" s="7" t="s">
        <v>1608</v>
      </c>
      <c r="E166" s="7" t="s">
        <v>61</v>
      </c>
      <c r="F166" s="7" t="s">
        <v>1607</v>
      </c>
      <c r="G166" s="7" t="s">
        <v>1607</v>
      </c>
      <c r="H166" s="7"/>
      <c r="I166" s="7"/>
      <c r="J166" s="7" t="s">
        <v>59</v>
      </c>
      <c r="K166" s="7" t="s">
        <v>58</v>
      </c>
      <c r="L166" s="7" t="s">
        <v>57</v>
      </c>
      <c r="M166" s="7" t="s">
        <v>1071</v>
      </c>
      <c r="N166" s="7" t="s">
        <v>266</v>
      </c>
      <c r="O166" s="7" t="s">
        <v>68</v>
      </c>
      <c r="P166" s="7" t="s">
        <v>54</v>
      </c>
      <c r="Q166" s="15">
        <v>61462.64</v>
      </c>
      <c r="R166" s="15">
        <v>0</v>
      </c>
      <c r="S166" s="9">
        <f t="shared" si="6"/>
        <v>61462.64</v>
      </c>
      <c r="T166" s="4" t="s">
        <v>53</v>
      </c>
      <c r="U166" s="7" t="s">
        <v>271</v>
      </c>
      <c r="V166" s="4"/>
      <c r="W166" s="14">
        <v>-15</v>
      </c>
      <c r="X166" s="8" t="s">
        <v>124</v>
      </c>
      <c r="Y166" s="8"/>
      <c r="Z166" s="7" t="s">
        <v>14</v>
      </c>
      <c r="AA166" s="36" t="s">
        <v>22</v>
      </c>
      <c r="AB166" s="4" t="s">
        <v>2835</v>
      </c>
      <c r="AC166" s="22">
        <f t="shared" si="5"/>
        <v>24.102996078431371</v>
      </c>
      <c r="AD166" s="23">
        <v>0</v>
      </c>
    </row>
    <row r="167" spans="1:30" x14ac:dyDescent="0.35">
      <c r="A167" s="7">
        <v>190</v>
      </c>
      <c r="B167" s="6">
        <v>45811</v>
      </c>
      <c r="C167" s="6">
        <v>45811</v>
      </c>
      <c r="D167" s="4" t="s">
        <v>1542</v>
      </c>
      <c r="E167" s="4" t="s">
        <v>61</v>
      </c>
      <c r="F167" s="4" t="s">
        <v>1541</v>
      </c>
      <c r="G167" s="4" t="s">
        <v>1541</v>
      </c>
      <c r="H167" s="4"/>
      <c r="I167" s="4"/>
      <c r="J167" s="4" t="s">
        <v>59</v>
      </c>
      <c r="K167" s="4" t="s">
        <v>58</v>
      </c>
      <c r="L167" s="4" t="s">
        <v>57</v>
      </c>
      <c r="M167" s="4" t="s">
        <v>32</v>
      </c>
      <c r="N167" s="4" t="s">
        <v>317</v>
      </c>
      <c r="O167" s="4" t="s">
        <v>68</v>
      </c>
      <c r="P167" s="4" t="s">
        <v>54</v>
      </c>
      <c r="Q167" s="5">
        <v>48383.26</v>
      </c>
      <c r="R167" s="10">
        <v>0</v>
      </c>
      <c r="S167" s="9">
        <f t="shared" si="6"/>
        <v>48383.26</v>
      </c>
      <c r="T167" s="4" t="s">
        <v>53</v>
      </c>
      <c r="U167" s="4" t="s">
        <v>282</v>
      </c>
      <c r="V167" s="4"/>
      <c r="W167" s="4">
        <v>-1</v>
      </c>
      <c r="X167" s="4" t="s">
        <v>94</v>
      </c>
      <c r="Y167" s="4"/>
      <c r="Z167" s="7" t="s">
        <v>14</v>
      </c>
      <c r="AA167" s="36" t="s">
        <v>23</v>
      </c>
      <c r="AB167" s="4" t="s">
        <v>2607</v>
      </c>
      <c r="AC167" s="22">
        <f t="shared" si="5"/>
        <v>18.973827450980394</v>
      </c>
      <c r="AD167" s="23">
        <v>0</v>
      </c>
    </row>
    <row r="168" spans="1:30" x14ac:dyDescent="0.35">
      <c r="A168" s="7">
        <v>191</v>
      </c>
      <c r="B168" s="6">
        <v>45811</v>
      </c>
      <c r="C168" s="6">
        <v>45811</v>
      </c>
      <c r="D168" s="4" t="s">
        <v>1540</v>
      </c>
      <c r="E168" s="4" t="s">
        <v>61</v>
      </c>
      <c r="F168" s="4" t="s">
        <v>1539</v>
      </c>
      <c r="G168" s="4" t="s">
        <v>1539</v>
      </c>
      <c r="H168" s="4"/>
      <c r="I168" s="4"/>
      <c r="J168" s="4" t="s">
        <v>59</v>
      </c>
      <c r="K168" s="4" t="s">
        <v>58</v>
      </c>
      <c r="L168" s="4" t="s">
        <v>57</v>
      </c>
      <c r="M168" s="4" t="s">
        <v>32</v>
      </c>
      <c r="N168" s="4" t="s">
        <v>317</v>
      </c>
      <c r="O168" s="4" t="s">
        <v>68</v>
      </c>
      <c r="P168" s="4" t="s">
        <v>54</v>
      </c>
      <c r="Q168" s="5">
        <v>75000</v>
      </c>
      <c r="R168" s="10">
        <v>0</v>
      </c>
      <c r="S168" s="9">
        <f t="shared" si="6"/>
        <v>75000</v>
      </c>
      <c r="T168" s="4" t="s">
        <v>53</v>
      </c>
      <c r="U168" s="4" t="s">
        <v>121</v>
      </c>
      <c r="V168" s="4"/>
      <c r="W168" s="4">
        <v>-5</v>
      </c>
      <c r="X168" s="4" t="s">
        <v>94</v>
      </c>
      <c r="Y168" s="4"/>
      <c r="Z168" s="7" t="s">
        <v>14</v>
      </c>
      <c r="AA168" s="36" t="s">
        <v>23</v>
      </c>
      <c r="AB168" s="4" t="s">
        <v>2607</v>
      </c>
      <c r="AC168" s="22">
        <f t="shared" si="5"/>
        <v>29.411764705882351</v>
      </c>
      <c r="AD168" s="23">
        <v>0</v>
      </c>
    </row>
    <row r="169" spans="1:30" x14ac:dyDescent="0.35">
      <c r="A169" s="7">
        <v>192</v>
      </c>
      <c r="B169" s="6">
        <v>45811</v>
      </c>
      <c r="C169" s="6">
        <v>45811</v>
      </c>
      <c r="D169" s="4" t="s">
        <v>1538</v>
      </c>
      <c r="E169" s="4" t="s">
        <v>61</v>
      </c>
      <c r="F169" s="4" t="s">
        <v>1537</v>
      </c>
      <c r="G169" s="4" t="s">
        <v>1537</v>
      </c>
      <c r="H169" s="4"/>
      <c r="I169" s="4"/>
      <c r="J169" s="4" t="s">
        <v>59</v>
      </c>
      <c r="K169" s="4" t="s">
        <v>58</v>
      </c>
      <c r="L169" s="4" t="s">
        <v>57</v>
      </c>
      <c r="M169" s="4" t="s">
        <v>32</v>
      </c>
      <c r="N169" s="4" t="s">
        <v>266</v>
      </c>
      <c r="O169" s="4" t="s">
        <v>55</v>
      </c>
      <c r="P169" s="4" t="s">
        <v>54</v>
      </c>
      <c r="Q169" s="5">
        <v>19902.54</v>
      </c>
      <c r="R169" s="10">
        <v>0</v>
      </c>
      <c r="S169" s="9">
        <f t="shared" si="6"/>
        <v>19902.54</v>
      </c>
      <c r="T169" s="4" t="s">
        <v>53</v>
      </c>
      <c r="U169" s="4" t="s">
        <v>739</v>
      </c>
      <c r="V169" s="4"/>
      <c r="W169" s="4">
        <v>-2</v>
      </c>
      <c r="X169" s="4" t="s">
        <v>124</v>
      </c>
      <c r="Y169" s="4"/>
      <c r="Z169" s="7" t="s">
        <v>14</v>
      </c>
      <c r="AA169" s="36" t="s">
        <v>22</v>
      </c>
      <c r="AB169" s="4" t="s">
        <v>2835</v>
      </c>
      <c r="AC169" s="22">
        <f t="shared" si="5"/>
        <v>7.804917647058824</v>
      </c>
      <c r="AD169" s="23">
        <v>0</v>
      </c>
    </row>
    <row r="170" spans="1:30" x14ac:dyDescent="0.35">
      <c r="A170" s="7">
        <v>193</v>
      </c>
      <c r="B170" s="6">
        <v>45812</v>
      </c>
      <c r="C170" s="6">
        <v>45812</v>
      </c>
      <c r="D170" s="4" t="s">
        <v>1536</v>
      </c>
      <c r="E170" s="4" t="s">
        <v>61</v>
      </c>
      <c r="F170" s="4" t="s">
        <v>1535</v>
      </c>
      <c r="G170" s="4" t="s">
        <v>1535</v>
      </c>
      <c r="H170" s="4"/>
      <c r="I170" s="4"/>
      <c r="J170" s="4" t="s">
        <v>59</v>
      </c>
      <c r="K170" s="4" t="s">
        <v>58</v>
      </c>
      <c r="L170" s="4" t="s">
        <v>57</v>
      </c>
      <c r="M170" s="4" t="s">
        <v>32</v>
      </c>
      <c r="N170" s="4" t="s">
        <v>266</v>
      </c>
      <c r="O170" s="4" t="s">
        <v>55</v>
      </c>
      <c r="P170" s="4" t="s">
        <v>54</v>
      </c>
      <c r="Q170" s="5">
        <v>102437.74</v>
      </c>
      <c r="R170" s="10">
        <v>0</v>
      </c>
      <c r="S170" s="9">
        <f t="shared" si="6"/>
        <v>102437.74</v>
      </c>
      <c r="T170" s="4" t="s">
        <v>53</v>
      </c>
      <c r="U170" s="4" t="s">
        <v>271</v>
      </c>
      <c r="V170" s="4"/>
      <c r="W170" s="4">
        <v>-25</v>
      </c>
      <c r="X170" s="4" t="s">
        <v>124</v>
      </c>
      <c r="Y170" s="4"/>
      <c r="Z170" s="7" t="s">
        <v>14</v>
      </c>
      <c r="AA170" s="36" t="s">
        <v>22</v>
      </c>
      <c r="AB170" s="4" t="s">
        <v>2835</v>
      </c>
      <c r="AC170" s="22">
        <f t="shared" si="5"/>
        <v>40.17166274509804</v>
      </c>
      <c r="AD170" s="23">
        <v>0</v>
      </c>
    </row>
    <row r="171" spans="1:30" x14ac:dyDescent="0.35">
      <c r="A171" s="7">
        <v>194</v>
      </c>
      <c r="B171" s="6">
        <v>45812</v>
      </c>
      <c r="C171" s="6">
        <v>45812</v>
      </c>
      <c r="D171" s="4" t="s">
        <v>1534</v>
      </c>
      <c r="E171" s="4" t="s">
        <v>61</v>
      </c>
      <c r="F171" s="4" t="s">
        <v>1533</v>
      </c>
      <c r="G171" s="4" t="s">
        <v>1533</v>
      </c>
      <c r="H171" s="4"/>
      <c r="I171" s="4"/>
      <c r="J171" s="4" t="s">
        <v>59</v>
      </c>
      <c r="K171" s="4" t="s">
        <v>58</v>
      </c>
      <c r="L171" s="4" t="s">
        <v>57</v>
      </c>
      <c r="M171" s="4" t="s">
        <v>32</v>
      </c>
      <c r="N171" s="4" t="s">
        <v>266</v>
      </c>
      <c r="O171" s="4" t="s">
        <v>55</v>
      </c>
      <c r="P171" s="4" t="s">
        <v>54</v>
      </c>
      <c r="Q171" s="5">
        <v>16313.55</v>
      </c>
      <c r="R171" s="10">
        <v>0</v>
      </c>
      <c r="S171" s="9">
        <f t="shared" si="6"/>
        <v>16313.55</v>
      </c>
      <c r="T171" s="4" t="s">
        <v>53</v>
      </c>
      <c r="U171" s="4" t="s">
        <v>117</v>
      </c>
      <c r="V171" s="4"/>
      <c r="W171" s="4">
        <v>-5</v>
      </c>
      <c r="X171" s="4" t="s">
        <v>94</v>
      </c>
      <c r="Y171" s="4"/>
      <c r="Z171" s="7" t="s">
        <v>14</v>
      </c>
      <c r="AA171" s="36" t="s">
        <v>22</v>
      </c>
      <c r="AB171" s="4" t="s">
        <v>2835</v>
      </c>
      <c r="AC171" s="22">
        <f t="shared" ref="AC171:AC234" si="7">+S171/$AC$1</f>
        <v>6.3974705882352936</v>
      </c>
      <c r="AD171" s="23">
        <v>0</v>
      </c>
    </row>
    <row r="172" spans="1:30" x14ac:dyDescent="0.35">
      <c r="A172" s="7">
        <v>195</v>
      </c>
      <c r="B172" s="6">
        <v>45812</v>
      </c>
      <c r="C172" s="6">
        <v>45812</v>
      </c>
      <c r="D172" s="4" t="s">
        <v>1532</v>
      </c>
      <c r="E172" s="4" t="s">
        <v>61</v>
      </c>
      <c r="F172" s="4" t="s">
        <v>1531</v>
      </c>
      <c r="G172" s="4" t="s">
        <v>1531</v>
      </c>
      <c r="H172" s="4"/>
      <c r="I172" s="4"/>
      <c r="J172" s="4" t="s">
        <v>59</v>
      </c>
      <c r="K172" s="4" t="s">
        <v>58</v>
      </c>
      <c r="L172" s="4" t="s">
        <v>57</v>
      </c>
      <c r="M172" s="4" t="s">
        <v>32</v>
      </c>
      <c r="N172" s="4" t="s">
        <v>266</v>
      </c>
      <c r="O172" s="4" t="s">
        <v>55</v>
      </c>
      <c r="P172" s="4" t="s">
        <v>54</v>
      </c>
      <c r="Q172" s="5">
        <v>75000</v>
      </c>
      <c r="R172" s="10">
        <v>0</v>
      </c>
      <c r="S172" s="9">
        <f t="shared" si="6"/>
        <v>75000</v>
      </c>
      <c r="T172" s="4" t="s">
        <v>53</v>
      </c>
      <c r="U172" s="4" t="s">
        <v>121</v>
      </c>
      <c r="V172" s="4"/>
      <c r="W172" s="4">
        <v>-5</v>
      </c>
      <c r="X172" s="4" t="s">
        <v>94</v>
      </c>
      <c r="Y172" s="4"/>
      <c r="Z172" s="7" t="s">
        <v>14</v>
      </c>
      <c r="AA172" s="36" t="s">
        <v>22</v>
      </c>
      <c r="AB172" s="4" t="s">
        <v>2835</v>
      </c>
      <c r="AC172" s="22">
        <f t="shared" si="7"/>
        <v>29.411764705882351</v>
      </c>
      <c r="AD172" s="23">
        <v>0</v>
      </c>
    </row>
    <row r="173" spans="1:30" hidden="1" x14ac:dyDescent="0.35">
      <c r="A173" s="7">
        <v>196</v>
      </c>
      <c r="B173" s="6">
        <v>45813</v>
      </c>
      <c r="C173" s="6">
        <v>45813</v>
      </c>
      <c r="D173" s="7" t="s">
        <v>1763</v>
      </c>
      <c r="E173" s="7" t="s">
        <v>61</v>
      </c>
      <c r="F173" s="7" t="s">
        <v>1762</v>
      </c>
      <c r="G173" s="7" t="s">
        <v>1762</v>
      </c>
      <c r="H173" s="7"/>
      <c r="I173" s="7"/>
      <c r="J173" s="7" t="s">
        <v>59</v>
      </c>
      <c r="K173" s="7" t="s">
        <v>58</v>
      </c>
      <c r="L173" s="7" t="s">
        <v>57</v>
      </c>
      <c r="M173" s="7" t="s">
        <v>32</v>
      </c>
      <c r="N173" s="17" t="s">
        <v>1699</v>
      </c>
      <c r="O173" s="7" t="s">
        <v>1703</v>
      </c>
      <c r="P173" s="7" t="s">
        <v>1503</v>
      </c>
      <c r="Q173" s="9">
        <v>266949.15000000002</v>
      </c>
      <c r="R173" s="9">
        <v>0</v>
      </c>
      <c r="S173" s="9">
        <f t="shared" si="6"/>
        <v>266949.15000000002</v>
      </c>
      <c r="T173" s="4" t="s">
        <v>53</v>
      </c>
      <c r="U173" s="7" t="s">
        <v>1761</v>
      </c>
      <c r="V173" s="4"/>
      <c r="W173" s="9">
        <v>-1</v>
      </c>
      <c r="X173" s="7" t="s">
        <v>94</v>
      </c>
      <c r="Y173" s="7"/>
      <c r="Z173" s="7" t="s">
        <v>7</v>
      </c>
      <c r="AA173" s="36" t="s">
        <v>11</v>
      </c>
      <c r="AB173" s="4">
        <v>0</v>
      </c>
      <c r="AC173" s="22">
        <f t="shared" si="7"/>
        <v>104.68594117647059</v>
      </c>
      <c r="AD173" s="23">
        <v>0</v>
      </c>
    </row>
    <row r="174" spans="1:30" x14ac:dyDescent="0.35">
      <c r="A174" s="7">
        <v>197</v>
      </c>
      <c r="B174" s="6">
        <v>45813</v>
      </c>
      <c r="C174" s="6">
        <v>45813</v>
      </c>
      <c r="D174" s="4" t="s">
        <v>1530</v>
      </c>
      <c r="E174" s="4" t="s">
        <v>61</v>
      </c>
      <c r="F174" s="4" t="s">
        <v>1529</v>
      </c>
      <c r="G174" s="4" t="s">
        <v>1529</v>
      </c>
      <c r="H174" s="4"/>
      <c r="I174" s="4"/>
      <c r="J174" s="4" t="s">
        <v>59</v>
      </c>
      <c r="K174" s="4" t="s">
        <v>58</v>
      </c>
      <c r="L174" s="4" t="s">
        <v>57</v>
      </c>
      <c r="M174" s="4" t="s">
        <v>32</v>
      </c>
      <c r="N174" s="4" t="s">
        <v>266</v>
      </c>
      <c r="O174" s="4" t="s">
        <v>55</v>
      </c>
      <c r="P174" s="4" t="s">
        <v>54</v>
      </c>
      <c r="Q174" s="5">
        <v>61462.64</v>
      </c>
      <c r="R174" s="10">
        <v>0</v>
      </c>
      <c r="S174" s="9">
        <f t="shared" si="6"/>
        <v>61462.64</v>
      </c>
      <c r="T174" s="4" t="s">
        <v>53</v>
      </c>
      <c r="U174" s="4" t="s">
        <v>271</v>
      </c>
      <c r="V174" s="4"/>
      <c r="W174" s="4">
        <v>-15</v>
      </c>
      <c r="X174" s="4" t="s">
        <v>124</v>
      </c>
      <c r="Y174" s="4"/>
      <c r="Z174" s="7" t="s">
        <v>14</v>
      </c>
      <c r="AA174" s="36" t="s">
        <v>22</v>
      </c>
      <c r="AB174" s="4" t="s">
        <v>2835</v>
      </c>
      <c r="AC174" s="22">
        <f t="shared" si="7"/>
        <v>24.102996078431371</v>
      </c>
      <c r="AD174" s="23">
        <v>0</v>
      </c>
    </row>
    <row r="175" spans="1:30" x14ac:dyDescent="0.35">
      <c r="A175" s="7">
        <v>198</v>
      </c>
      <c r="B175" s="6">
        <v>45813</v>
      </c>
      <c r="C175" s="6">
        <v>45813</v>
      </c>
      <c r="D175" s="4" t="s">
        <v>1528</v>
      </c>
      <c r="E175" s="4" t="s">
        <v>61</v>
      </c>
      <c r="F175" s="4" t="s">
        <v>1527</v>
      </c>
      <c r="G175" s="4" t="s">
        <v>1527</v>
      </c>
      <c r="H175" s="4"/>
      <c r="I175" s="4"/>
      <c r="J175" s="4" t="s">
        <v>59</v>
      </c>
      <c r="K175" s="4" t="s">
        <v>58</v>
      </c>
      <c r="L175" s="4" t="s">
        <v>57</v>
      </c>
      <c r="M175" s="4" t="s">
        <v>32</v>
      </c>
      <c r="N175" s="4" t="s">
        <v>266</v>
      </c>
      <c r="O175" s="4" t="s">
        <v>55</v>
      </c>
      <c r="P175" s="4" t="s">
        <v>54</v>
      </c>
      <c r="Q175" s="5">
        <v>90000</v>
      </c>
      <c r="R175" s="10">
        <v>0</v>
      </c>
      <c r="S175" s="9">
        <f t="shared" si="6"/>
        <v>90000</v>
      </c>
      <c r="T175" s="4" t="s">
        <v>53</v>
      </c>
      <c r="U175" s="4" t="s">
        <v>121</v>
      </c>
      <c r="V175" s="4"/>
      <c r="W175" s="4">
        <v>-6</v>
      </c>
      <c r="X175" s="4" t="s">
        <v>94</v>
      </c>
      <c r="Y175" s="4"/>
      <c r="Z175" s="7" t="s">
        <v>14</v>
      </c>
      <c r="AA175" s="36" t="s">
        <v>22</v>
      </c>
      <c r="AB175" s="4" t="s">
        <v>2835</v>
      </c>
      <c r="AC175" s="22">
        <f t="shared" si="7"/>
        <v>35.294117647058826</v>
      </c>
      <c r="AD175" s="23">
        <v>0</v>
      </c>
    </row>
    <row r="176" spans="1:30" x14ac:dyDescent="0.35">
      <c r="A176" s="7">
        <v>199</v>
      </c>
      <c r="B176" s="6">
        <v>45814</v>
      </c>
      <c r="C176" s="6">
        <v>45814</v>
      </c>
      <c r="D176" s="4" t="s">
        <v>1526</v>
      </c>
      <c r="E176" s="4" t="s">
        <v>61</v>
      </c>
      <c r="F176" s="4" t="s">
        <v>1525</v>
      </c>
      <c r="G176" s="4" t="s">
        <v>1525</v>
      </c>
      <c r="H176" s="4"/>
      <c r="I176" s="4"/>
      <c r="J176" s="4" t="s">
        <v>59</v>
      </c>
      <c r="K176" s="4" t="s">
        <v>58</v>
      </c>
      <c r="L176" s="4" t="s">
        <v>97</v>
      </c>
      <c r="M176" s="4" t="s">
        <v>34</v>
      </c>
      <c r="N176" s="4" t="s">
        <v>197</v>
      </c>
      <c r="O176" s="4" t="s">
        <v>1065</v>
      </c>
      <c r="P176" s="4" t="s">
        <v>1064</v>
      </c>
      <c r="Q176" s="5">
        <v>12600.84</v>
      </c>
      <c r="R176" s="10">
        <v>0</v>
      </c>
      <c r="S176" s="9">
        <f t="shared" si="6"/>
        <v>12600.84</v>
      </c>
      <c r="T176" s="4" t="s">
        <v>53</v>
      </c>
      <c r="U176" s="4" t="s">
        <v>111</v>
      </c>
      <c r="V176" s="4"/>
      <c r="W176" s="4">
        <v>-30</v>
      </c>
      <c r="X176" s="4" t="s">
        <v>94</v>
      </c>
      <c r="Y176" s="4"/>
      <c r="Z176" s="7" t="s">
        <v>14</v>
      </c>
      <c r="AA176" s="36" t="s">
        <v>29</v>
      </c>
      <c r="AB176" s="4" t="s">
        <v>2607</v>
      </c>
      <c r="AC176" s="22">
        <f t="shared" si="7"/>
        <v>4.9415058823529412</v>
      </c>
      <c r="AD176" s="23">
        <v>0</v>
      </c>
    </row>
    <row r="177" spans="1:30" x14ac:dyDescent="0.35">
      <c r="A177" s="7">
        <v>200</v>
      </c>
      <c r="B177" s="6">
        <v>45814</v>
      </c>
      <c r="C177" s="6">
        <v>45814</v>
      </c>
      <c r="D177" s="4" t="s">
        <v>1524</v>
      </c>
      <c r="E177" s="4" t="s">
        <v>61</v>
      </c>
      <c r="F177" s="4" t="s">
        <v>1523</v>
      </c>
      <c r="G177" s="4" t="s">
        <v>1523</v>
      </c>
      <c r="H177" s="4"/>
      <c r="I177" s="4"/>
      <c r="J177" s="4" t="s">
        <v>59</v>
      </c>
      <c r="K177" s="4" t="s">
        <v>58</v>
      </c>
      <c r="L177" s="4" t="s">
        <v>57</v>
      </c>
      <c r="M177" s="4" t="s">
        <v>32</v>
      </c>
      <c r="N177" s="4" t="s">
        <v>266</v>
      </c>
      <c r="O177" s="4" t="s">
        <v>55</v>
      </c>
      <c r="P177" s="4" t="s">
        <v>54</v>
      </c>
      <c r="Q177" s="5">
        <v>245850.56</v>
      </c>
      <c r="R177" s="10">
        <v>0</v>
      </c>
      <c r="S177" s="9">
        <f t="shared" si="6"/>
        <v>245850.56</v>
      </c>
      <c r="T177" s="4" t="s">
        <v>53</v>
      </c>
      <c r="U177" s="4" t="s">
        <v>271</v>
      </c>
      <c r="V177" s="4"/>
      <c r="W177" s="4">
        <v>-60</v>
      </c>
      <c r="X177" s="4" t="s">
        <v>124</v>
      </c>
      <c r="Y177" s="4"/>
      <c r="Z177" s="7" t="s">
        <v>14</v>
      </c>
      <c r="AA177" s="36" t="s">
        <v>22</v>
      </c>
      <c r="AB177" s="4" t="s">
        <v>2835</v>
      </c>
      <c r="AC177" s="22">
        <f t="shared" si="7"/>
        <v>96.411984313725483</v>
      </c>
      <c r="AD177" s="23">
        <v>0</v>
      </c>
    </row>
    <row r="178" spans="1:30" x14ac:dyDescent="0.35">
      <c r="A178" s="7">
        <v>201</v>
      </c>
      <c r="B178" s="6">
        <v>45817.572326388887</v>
      </c>
      <c r="C178" s="6">
        <v>45817</v>
      </c>
      <c r="D178" s="7" t="s">
        <v>2389</v>
      </c>
      <c r="E178" s="7" t="s">
        <v>1331</v>
      </c>
      <c r="F178" s="7" t="s">
        <v>1499</v>
      </c>
      <c r="G178" s="7" t="s">
        <v>2388</v>
      </c>
      <c r="H178" s="7" t="s">
        <v>1497</v>
      </c>
      <c r="I178" s="7" t="s">
        <v>1496</v>
      </c>
      <c r="J178" s="7" t="s">
        <v>1816</v>
      </c>
      <c r="K178" s="7" t="s">
        <v>1815</v>
      </c>
      <c r="L178" s="7" t="s">
        <v>1915</v>
      </c>
      <c r="M178" s="7" t="s">
        <v>20</v>
      </c>
      <c r="N178" s="7" t="s">
        <v>1324</v>
      </c>
      <c r="O178" s="7" t="s">
        <v>68</v>
      </c>
      <c r="P178" s="7" t="s">
        <v>68</v>
      </c>
      <c r="Q178" s="9">
        <v>793860</v>
      </c>
      <c r="R178" s="9">
        <v>0</v>
      </c>
      <c r="S178" s="9">
        <f t="shared" si="6"/>
        <v>793860</v>
      </c>
      <c r="T178" s="4" t="s">
        <v>53</v>
      </c>
      <c r="U178" s="7"/>
      <c r="V178" s="7"/>
      <c r="W178" s="9">
        <v>1</v>
      </c>
      <c r="X178" s="7"/>
      <c r="Y178" s="7"/>
      <c r="Z178" s="7" t="s">
        <v>14</v>
      </c>
      <c r="AA178" s="36" t="s">
        <v>20</v>
      </c>
      <c r="AB178" s="4" t="s">
        <v>2602</v>
      </c>
      <c r="AC178" s="22">
        <f t="shared" si="7"/>
        <v>311.31764705882352</v>
      </c>
      <c r="AD178" s="23">
        <v>0</v>
      </c>
    </row>
    <row r="179" spans="1:30" x14ac:dyDescent="0.35">
      <c r="A179" s="7">
        <v>202</v>
      </c>
      <c r="B179" s="6">
        <v>45817.564988425926</v>
      </c>
      <c r="C179" s="6">
        <v>45817</v>
      </c>
      <c r="D179" s="7" t="s">
        <v>2387</v>
      </c>
      <c r="E179" s="7" t="s">
        <v>1331</v>
      </c>
      <c r="F179" s="7" t="s">
        <v>1499</v>
      </c>
      <c r="G179" s="7" t="s">
        <v>2386</v>
      </c>
      <c r="H179" s="7" t="s">
        <v>1497</v>
      </c>
      <c r="I179" s="7" t="s">
        <v>1496</v>
      </c>
      <c r="J179" s="7" t="s">
        <v>1816</v>
      </c>
      <c r="K179" s="7" t="s">
        <v>1815</v>
      </c>
      <c r="L179" s="7" t="s">
        <v>1915</v>
      </c>
      <c r="M179" s="7" t="s">
        <v>20</v>
      </c>
      <c r="N179" s="7" t="s">
        <v>1324</v>
      </c>
      <c r="O179" s="7" t="s">
        <v>68</v>
      </c>
      <c r="P179" s="7" t="s">
        <v>68</v>
      </c>
      <c r="Q179" s="9">
        <v>110040</v>
      </c>
      <c r="R179" s="9">
        <v>0</v>
      </c>
      <c r="S179" s="9">
        <f t="shared" si="6"/>
        <v>110040</v>
      </c>
      <c r="T179" s="4" t="s">
        <v>53</v>
      </c>
      <c r="U179" s="7"/>
      <c r="V179" s="7"/>
      <c r="W179" s="9">
        <v>1</v>
      </c>
      <c r="X179" s="7"/>
      <c r="Y179" s="7"/>
      <c r="Z179" s="7" t="s">
        <v>14</v>
      </c>
      <c r="AA179" s="36" t="s">
        <v>20</v>
      </c>
      <c r="AB179" s="4" t="s">
        <v>2602</v>
      </c>
      <c r="AC179" s="22">
        <f t="shared" si="7"/>
        <v>43.152941176470591</v>
      </c>
      <c r="AD179" s="23">
        <v>0</v>
      </c>
    </row>
    <row r="180" spans="1:30" x14ac:dyDescent="0.35">
      <c r="A180" s="7">
        <v>203</v>
      </c>
      <c r="B180" s="6">
        <v>45817.573738425926</v>
      </c>
      <c r="C180" s="6">
        <v>45817</v>
      </c>
      <c r="D180" s="7" t="s">
        <v>2385</v>
      </c>
      <c r="E180" s="7" t="s">
        <v>1981</v>
      </c>
      <c r="F180" s="7" t="s">
        <v>1499</v>
      </c>
      <c r="G180" s="7" t="s">
        <v>2384</v>
      </c>
      <c r="H180" s="7"/>
      <c r="I180" s="7"/>
      <c r="J180" s="7" t="s">
        <v>1816</v>
      </c>
      <c r="K180" s="7" t="s">
        <v>1815</v>
      </c>
      <c r="L180" s="7" t="s">
        <v>1915</v>
      </c>
      <c r="M180" s="7" t="s">
        <v>20</v>
      </c>
      <c r="N180" s="7" t="s">
        <v>1324</v>
      </c>
      <c r="O180" s="7" t="s">
        <v>68</v>
      </c>
      <c r="P180" s="7" t="s">
        <v>68</v>
      </c>
      <c r="Q180" s="9">
        <v>0</v>
      </c>
      <c r="R180" s="9">
        <v>793860</v>
      </c>
      <c r="S180" s="9">
        <f t="shared" si="6"/>
        <v>-793860</v>
      </c>
      <c r="T180" s="4" t="s">
        <v>53</v>
      </c>
      <c r="U180" s="7"/>
      <c r="V180" s="7"/>
      <c r="W180" s="9">
        <v>1</v>
      </c>
      <c r="X180" s="7"/>
      <c r="Y180" s="7"/>
      <c r="Z180" s="7" t="s">
        <v>14</v>
      </c>
      <c r="AA180" s="36" t="s">
        <v>20</v>
      </c>
      <c r="AB180" s="4" t="s">
        <v>2602</v>
      </c>
      <c r="AC180" s="22">
        <f t="shared" si="7"/>
        <v>-311.31764705882352</v>
      </c>
      <c r="AD180" s="23">
        <v>0</v>
      </c>
    </row>
    <row r="181" spans="1:30" x14ac:dyDescent="0.35">
      <c r="A181" s="7">
        <v>204</v>
      </c>
      <c r="B181" s="6">
        <v>45817.569432870368</v>
      </c>
      <c r="C181" s="6">
        <v>45817</v>
      </c>
      <c r="D181" s="7" t="s">
        <v>2383</v>
      </c>
      <c r="E181" s="7" t="s">
        <v>1981</v>
      </c>
      <c r="F181" s="7" t="s">
        <v>1499</v>
      </c>
      <c r="G181" s="7" t="s">
        <v>2382</v>
      </c>
      <c r="H181" s="7"/>
      <c r="I181" s="7"/>
      <c r="J181" s="7" t="s">
        <v>1816</v>
      </c>
      <c r="K181" s="7" t="s">
        <v>1815</v>
      </c>
      <c r="L181" s="7" t="s">
        <v>1915</v>
      </c>
      <c r="M181" s="7" t="s">
        <v>20</v>
      </c>
      <c r="N181" s="7" t="s">
        <v>1324</v>
      </c>
      <c r="O181" s="7" t="s">
        <v>68</v>
      </c>
      <c r="P181" s="7" t="s">
        <v>68</v>
      </c>
      <c r="Q181" s="9">
        <v>0</v>
      </c>
      <c r="R181" s="9">
        <v>110040</v>
      </c>
      <c r="S181" s="9">
        <f t="shared" si="6"/>
        <v>-110040</v>
      </c>
      <c r="T181" s="4" t="s">
        <v>53</v>
      </c>
      <c r="U181" s="7"/>
      <c r="V181" s="7"/>
      <c r="W181" s="9">
        <v>1</v>
      </c>
      <c r="X181" s="7"/>
      <c r="Y181" s="7"/>
      <c r="Z181" s="7" t="s">
        <v>14</v>
      </c>
      <c r="AA181" s="36" t="s">
        <v>20</v>
      </c>
      <c r="AB181" s="4" t="s">
        <v>2602</v>
      </c>
      <c r="AC181" s="22">
        <f t="shared" si="7"/>
        <v>-43.152941176470591</v>
      </c>
      <c r="AD181" s="23">
        <v>0</v>
      </c>
    </row>
    <row r="182" spans="1:30" x14ac:dyDescent="0.35">
      <c r="A182" s="7">
        <v>205</v>
      </c>
      <c r="B182" s="6">
        <v>45817</v>
      </c>
      <c r="C182" s="6">
        <v>45817</v>
      </c>
      <c r="D182" s="4" t="s">
        <v>1522</v>
      </c>
      <c r="E182" s="4" t="s">
        <v>61</v>
      </c>
      <c r="F182" s="4" t="s">
        <v>1521</v>
      </c>
      <c r="G182" s="4" t="s">
        <v>1521</v>
      </c>
      <c r="H182" s="4"/>
      <c r="I182" s="4"/>
      <c r="J182" s="4" t="s">
        <v>59</v>
      </c>
      <c r="K182" s="4" t="s">
        <v>58</v>
      </c>
      <c r="L182" s="4" t="s">
        <v>57</v>
      </c>
      <c r="M182" s="4" t="s">
        <v>32</v>
      </c>
      <c r="N182" s="4" t="s">
        <v>266</v>
      </c>
      <c r="O182" s="4" t="s">
        <v>55</v>
      </c>
      <c r="P182" s="4" t="s">
        <v>54</v>
      </c>
      <c r="Q182" s="5">
        <v>122925.28</v>
      </c>
      <c r="R182" s="10">
        <v>0</v>
      </c>
      <c r="S182" s="9">
        <f t="shared" si="6"/>
        <v>122925.28</v>
      </c>
      <c r="T182" s="4" t="s">
        <v>53</v>
      </c>
      <c r="U182" s="4" t="s">
        <v>271</v>
      </c>
      <c r="V182" s="4"/>
      <c r="W182" s="4">
        <v>-30</v>
      </c>
      <c r="X182" s="4" t="s">
        <v>124</v>
      </c>
      <c r="Y182" s="4"/>
      <c r="Z182" s="7" t="s">
        <v>14</v>
      </c>
      <c r="AA182" s="36" t="s">
        <v>22</v>
      </c>
      <c r="AB182" s="4" t="s">
        <v>2835</v>
      </c>
      <c r="AC182" s="22">
        <f t="shared" si="7"/>
        <v>48.205992156862742</v>
      </c>
      <c r="AD182" s="23">
        <v>0</v>
      </c>
    </row>
    <row r="183" spans="1:30" x14ac:dyDescent="0.35">
      <c r="A183" s="7">
        <v>206</v>
      </c>
      <c r="B183" s="6">
        <v>45817</v>
      </c>
      <c r="C183" s="6">
        <v>45817</v>
      </c>
      <c r="D183" s="4" t="s">
        <v>1520</v>
      </c>
      <c r="E183" s="4" t="s">
        <v>61</v>
      </c>
      <c r="F183" s="4" t="s">
        <v>1519</v>
      </c>
      <c r="G183" s="4" t="s">
        <v>1519</v>
      </c>
      <c r="H183" s="4"/>
      <c r="I183" s="4"/>
      <c r="J183" s="4" t="s">
        <v>59</v>
      </c>
      <c r="K183" s="4" t="s">
        <v>58</v>
      </c>
      <c r="L183" s="4" t="s">
        <v>57</v>
      </c>
      <c r="M183" s="4" t="s">
        <v>32</v>
      </c>
      <c r="N183" s="4" t="s">
        <v>266</v>
      </c>
      <c r="O183" s="4" t="s">
        <v>55</v>
      </c>
      <c r="P183" s="4" t="s">
        <v>54</v>
      </c>
      <c r="Q183" s="5">
        <v>199996.73</v>
      </c>
      <c r="R183" s="10">
        <v>0</v>
      </c>
      <c r="S183" s="9">
        <f t="shared" si="6"/>
        <v>199996.73</v>
      </c>
      <c r="T183" s="4" t="s">
        <v>53</v>
      </c>
      <c r="U183" s="4" t="s">
        <v>307</v>
      </c>
      <c r="V183" s="4"/>
      <c r="W183" s="4">
        <v>-2</v>
      </c>
      <c r="X183" s="4" t="s">
        <v>94</v>
      </c>
      <c r="Y183" s="4"/>
      <c r="Z183" s="7" t="s">
        <v>14</v>
      </c>
      <c r="AA183" s="36" t="s">
        <v>22</v>
      </c>
      <c r="AB183" s="4" t="s">
        <v>2835</v>
      </c>
      <c r="AC183" s="22">
        <f t="shared" si="7"/>
        <v>78.430090196078439</v>
      </c>
      <c r="AD183" s="23">
        <v>0</v>
      </c>
    </row>
    <row r="184" spans="1:30" x14ac:dyDescent="0.35">
      <c r="A184" s="7">
        <v>207</v>
      </c>
      <c r="B184" s="6">
        <v>45817</v>
      </c>
      <c r="C184" s="6">
        <v>45817</v>
      </c>
      <c r="D184" s="4" t="s">
        <v>1518</v>
      </c>
      <c r="E184" s="4" t="s">
        <v>61</v>
      </c>
      <c r="F184" s="4" t="s">
        <v>1517</v>
      </c>
      <c r="G184" s="4" t="s">
        <v>1517</v>
      </c>
      <c r="H184" s="4"/>
      <c r="I184" s="4"/>
      <c r="J184" s="4" t="s">
        <v>59</v>
      </c>
      <c r="K184" s="4" t="s">
        <v>58</v>
      </c>
      <c r="L184" s="4" t="s">
        <v>57</v>
      </c>
      <c r="M184" s="4" t="s">
        <v>32</v>
      </c>
      <c r="N184" s="4" t="s">
        <v>266</v>
      </c>
      <c r="O184" s="4" t="s">
        <v>55</v>
      </c>
      <c r="P184" s="4" t="s">
        <v>54</v>
      </c>
      <c r="Q184" s="5">
        <v>96766.52</v>
      </c>
      <c r="R184" s="10">
        <v>0</v>
      </c>
      <c r="S184" s="9">
        <f t="shared" si="6"/>
        <v>96766.52</v>
      </c>
      <c r="T184" s="4" t="s">
        <v>53</v>
      </c>
      <c r="U184" s="4" t="s">
        <v>282</v>
      </c>
      <c r="V184" s="4"/>
      <c r="W184" s="4">
        <v>-2</v>
      </c>
      <c r="X184" s="4" t="s">
        <v>94</v>
      </c>
      <c r="Y184" s="4"/>
      <c r="Z184" s="7" t="s">
        <v>14</v>
      </c>
      <c r="AA184" s="36" t="s">
        <v>22</v>
      </c>
      <c r="AB184" s="4" t="s">
        <v>2835</v>
      </c>
      <c r="AC184" s="22">
        <f t="shared" si="7"/>
        <v>37.947654901960789</v>
      </c>
      <c r="AD184" s="23">
        <v>0</v>
      </c>
    </row>
    <row r="185" spans="1:30" x14ac:dyDescent="0.35">
      <c r="A185" s="7">
        <v>208</v>
      </c>
      <c r="B185" s="6">
        <v>45817</v>
      </c>
      <c r="C185" s="6">
        <v>45817</v>
      </c>
      <c r="D185" s="4" t="s">
        <v>1516</v>
      </c>
      <c r="E185" s="4" t="s">
        <v>61</v>
      </c>
      <c r="F185" s="4" t="s">
        <v>1515</v>
      </c>
      <c r="G185" s="4" t="s">
        <v>1515</v>
      </c>
      <c r="H185" s="4"/>
      <c r="I185" s="4"/>
      <c r="J185" s="4" t="s">
        <v>59</v>
      </c>
      <c r="K185" s="4" t="s">
        <v>58</v>
      </c>
      <c r="L185" s="4" t="s">
        <v>57</v>
      </c>
      <c r="M185" s="4" t="s">
        <v>32</v>
      </c>
      <c r="N185" s="4" t="s">
        <v>266</v>
      </c>
      <c r="O185" s="4" t="s">
        <v>55</v>
      </c>
      <c r="P185" s="4" t="s">
        <v>54</v>
      </c>
      <c r="Q185" s="5">
        <v>150000</v>
      </c>
      <c r="R185" s="10">
        <v>0</v>
      </c>
      <c r="S185" s="9">
        <f t="shared" si="6"/>
        <v>150000</v>
      </c>
      <c r="T185" s="4" t="s">
        <v>53</v>
      </c>
      <c r="U185" s="4" t="s">
        <v>121</v>
      </c>
      <c r="V185" s="4"/>
      <c r="W185" s="4">
        <v>-10</v>
      </c>
      <c r="X185" s="4" t="s">
        <v>94</v>
      </c>
      <c r="Y185" s="4"/>
      <c r="Z185" s="7" t="s">
        <v>14</v>
      </c>
      <c r="AA185" s="36" t="s">
        <v>22</v>
      </c>
      <c r="AB185" s="4" t="s">
        <v>2835</v>
      </c>
      <c r="AC185" s="22">
        <f t="shared" si="7"/>
        <v>58.823529411764703</v>
      </c>
      <c r="AD185" s="23">
        <v>0</v>
      </c>
    </row>
    <row r="186" spans="1:30" x14ac:dyDescent="0.35">
      <c r="A186" s="7">
        <v>209</v>
      </c>
      <c r="B186" s="6">
        <v>45818.356712962966</v>
      </c>
      <c r="C186" s="6">
        <v>45818</v>
      </c>
      <c r="D186" s="7" t="s">
        <v>2381</v>
      </c>
      <c r="E186" s="7" t="s">
        <v>1331</v>
      </c>
      <c r="F186" s="7" t="s">
        <v>2380</v>
      </c>
      <c r="G186" s="7" t="s">
        <v>2379</v>
      </c>
      <c r="H186" s="7" t="s">
        <v>2012</v>
      </c>
      <c r="I186" s="7" t="s">
        <v>2011</v>
      </c>
      <c r="J186" s="7" t="s">
        <v>1816</v>
      </c>
      <c r="K186" s="7" t="s">
        <v>1815</v>
      </c>
      <c r="L186" s="7" t="s">
        <v>2126</v>
      </c>
      <c r="M186" s="7" t="s">
        <v>19</v>
      </c>
      <c r="N186" s="7" t="s">
        <v>2125</v>
      </c>
      <c r="O186" s="7" t="s">
        <v>68</v>
      </c>
      <c r="P186" s="7" t="s">
        <v>54</v>
      </c>
      <c r="Q186" s="9">
        <v>1800000</v>
      </c>
      <c r="R186" s="9">
        <v>0</v>
      </c>
      <c r="S186" s="9">
        <f t="shared" si="6"/>
        <v>1800000</v>
      </c>
      <c r="T186" s="4" t="s">
        <v>53</v>
      </c>
      <c r="U186" s="7" t="s">
        <v>1904</v>
      </c>
      <c r="V186" s="7" t="s">
        <v>1823</v>
      </c>
      <c r="W186" s="9">
        <v>30</v>
      </c>
      <c r="X186" s="7" t="s">
        <v>1903</v>
      </c>
      <c r="Y186" s="7"/>
      <c r="Z186" s="7" t="s">
        <v>14</v>
      </c>
      <c r="AA186" s="36" t="s">
        <v>19</v>
      </c>
      <c r="AB186" s="4" t="s">
        <v>2602</v>
      </c>
      <c r="AC186" s="22">
        <f t="shared" si="7"/>
        <v>705.88235294117646</v>
      </c>
      <c r="AD186" s="23">
        <v>0</v>
      </c>
    </row>
    <row r="187" spans="1:30" x14ac:dyDescent="0.35">
      <c r="A187" s="7">
        <v>210</v>
      </c>
      <c r="B187" s="6">
        <v>45818.356377314813</v>
      </c>
      <c r="C187" s="6">
        <v>45818</v>
      </c>
      <c r="D187" s="7" t="s">
        <v>2374</v>
      </c>
      <c r="E187" s="7" t="s">
        <v>1331</v>
      </c>
      <c r="F187" s="7" t="s">
        <v>2378</v>
      </c>
      <c r="G187" s="7" t="s">
        <v>2372</v>
      </c>
      <c r="H187" s="7" t="s">
        <v>2012</v>
      </c>
      <c r="I187" s="7" t="s">
        <v>2011</v>
      </c>
      <c r="J187" s="7" t="s">
        <v>1816</v>
      </c>
      <c r="K187" s="7" t="s">
        <v>1815</v>
      </c>
      <c r="L187" s="7" t="s">
        <v>1915</v>
      </c>
      <c r="M187" s="7" t="s">
        <v>20</v>
      </c>
      <c r="N187" s="7" t="s">
        <v>1324</v>
      </c>
      <c r="O187" s="7" t="s">
        <v>68</v>
      </c>
      <c r="P187" s="7" t="s">
        <v>54</v>
      </c>
      <c r="Q187" s="9">
        <v>1800000</v>
      </c>
      <c r="R187" s="9">
        <v>0</v>
      </c>
      <c r="S187" s="9">
        <f t="shared" si="6"/>
        <v>1800000</v>
      </c>
      <c r="T187" s="4" t="s">
        <v>53</v>
      </c>
      <c r="U187" s="7" t="s">
        <v>1904</v>
      </c>
      <c r="V187" s="7" t="s">
        <v>1823</v>
      </c>
      <c r="W187" s="9">
        <v>30</v>
      </c>
      <c r="X187" s="7" t="s">
        <v>1903</v>
      </c>
      <c r="Y187" s="7"/>
      <c r="Z187" s="7" t="s">
        <v>14</v>
      </c>
      <c r="AA187" s="36" t="s">
        <v>20</v>
      </c>
      <c r="AB187" s="4" t="s">
        <v>2602</v>
      </c>
      <c r="AC187" s="22">
        <f t="shared" si="7"/>
        <v>705.88235294117646</v>
      </c>
      <c r="AD187" s="23">
        <v>0</v>
      </c>
    </row>
    <row r="188" spans="1:30" x14ac:dyDescent="0.35">
      <c r="A188" s="7">
        <v>211</v>
      </c>
      <c r="B188" s="6">
        <v>45818.356377314813</v>
      </c>
      <c r="C188" s="6">
        <v>45818</v>
      </c>
      <c r="D188" s="7" t="s">
        <v>2374</v>
      </c>
      <c r="E188" s="7" t="s">
        <v>1331</v>
      </c>
      <c r="F188" s="7" t="s">
        <v>2377</v>
      </c>
      <c r="G188" s="7" t="s">
        <v>2372</v>
      </c>
      <c r="H188" s="7" t="s">
        <v>2012</v>
      </c>
      <c r="I188" s="7" t="s">
        <v>2011</v>
      </c>
      <c r="J188" s="7" t="s">
        <v>1816</v>
      </c>
      <c r="K188" s="7" t="s">
        <v>1815</v>
      </c>
      <c r="L188" s="7" t="s">
        <v>1915</v>
      </c>
      <c r="M188" s="7" t="s">
        <v>20</v>
      </c>
      <c r="N188" s="7" t="s">
        <v>1324</v>
      </c>
      <c r="O188" s="7" t="s">
        <v>68</v>
      </c>
      <c r="P188" s="7" t="s">
        <v>54</v>
      </c>
      <c r="Q188" s="9">
        <v>2400000</v>
      </c>
      <c r="R188" s="9">
        <v>0</v>
      </c>
      <c r="S188" s="9">
        <f t="shared" si="6"/>
        <v>2400000</v>
      </c>
      <c r="T188" s="4" t="s">
        <v>53</v>
      </c>
      <c r="U188" s="7" t="s">
        <v>1904</v>
      </c>
      <c r="V188" s="7" t="s">
        <v>1823</v>
      </c>
      <c r="W188" s="9">
        <v>60</v>
      </c>
      <c r="X188" s="7" t="s">
        <v>1903</v>
      </c>
      <c r="Y188" s="7"/>
      <c r="Z188" s="7" t="s">
        <v>14</v>
      </c>
      <c r="AA188" s="36" t="s">
        <v>20</v>
      </c>
      <c r="AB188" s="4" t="s">
        <v>2602</v>
      </c>
      <c r="AC188" s="22">
        <f t="shared" si="7"/>
        <v>941.17647058823525</v>
      </c>
      <c r="AD188" s="23">
        <v>0</v>
      </c>
    </row>
    <row r="189" spans="1:30" x14ac:dyDescent="0.35">
      <c r="A189" s="7">
        <v>212</v>
      </c>
      <c r="B189" s="6">
        <v>45818.356377314813</v>
      </c>
      <c r="C189" s="6">
        <v>45818</v>
      </c>
      <c r="D189" s="7" t="s">
        <v>2374</v>
      </c>
      <c r="E189" s="7" t="s">
        <v>1331</v>
      </c>
      <c r="F189" s="7" t="s">
        <v>2375</v>
      </c>
      <c r="G189" s="7" t="s">
        <v>2372</v>
      </c>
      <c r="H189" s="7" t="s">
        <v>2012</v>
      </c>
      <c r="I189" s="7" t="s">
        <v>2011</v>
      </c>
      <c r="J189" s="7" t="s">
        <v>1816</v>
      </c>
      <c r="K189" s="7" t="s">
        <v>1815</v>
      </c>
      <c r="L189" s="7" t="s">
        <v>1915</v>
      </c>
      <c r="M189" s="7" t="s">
        <v>20</v>
      </c>
      <c r="N189" s="7" t="s">
        <v>1324</v>
      </c>
      <c r="O189" s="7" t="s">
        <v>68</v>
      </c>
      <c r="P189" s="7" t="s">
        <v>54</v>
      </c>
      <c r="Q189" s="9">
        <v>780000</v>
      </c>
      <c r="R189" s="9">
        <v>0</v>
      </c>
      <c r="S189" s="9">
        <f t="shared" si="6"/>
        <v>780000</v>
      </c>
      <c r="T189" s="4" t="s">
        <v>53</v>
      </c>
      <c r="U189" s="7" t="s">
        <v>1904</v>
      </c>
      <c r="V189" s="7" t="s">
        <v>1823</v>
      </c>
      <c r="W189" s="9">
        <v>13</v>
      </c>
      <c r="X189" s="7" t="s">
        <v>1903</v>
      </c>
      <c r="Y189" s="7"/>
      <c r="Z189" s="7" t="s">
        <v>14</v>
      </c>
      <c r="AA189" s="36" t="s">
        <v>20</v>
      </c>
      <c r="AB189" s="4" t="s">
        <v>2602</v>
      </c>
      <c r="AC189" s="22">
        <f t="shared" si="7"/>
        <v>305.88235294117646</v>
      </c>
      <c r="AD189" s="23">
        <v>0</v>
      </c>
    </row>
    <row r="190" spans="1:30" x14ac:dyDescent="0.35">
      <c r="A190" s="7">
        <v>213</v>
      </c>
      <c r="B190" s="6">
        <v>45818.356377314813</v>
      </c>
      <c r="C190" s="6">
        <v>45818</v>
      </c>
      <c r="D190" s="7" t="s">
        <v>2374</v>
      </c>
      <c r="E190" s="7" t="s">
        <v>1331</v>
      </c>
      <c r="F190" s="7" t="s">
        <v>2376</v>
      </c>
      <c r="G190" s="7" t="s">
        <v>2372</v>
      </c>
      <c r="H190" s="7" t="s">
        <v>2012</v>
      </c>
      <c r="I190" s="7" t="s">
        <v>2011</v>
      </c>
      <c r="J190" s="7" t="s">
        <v>1816</v>
      </c>
      <c r="K190" s="7" t="s">
        <v>1815</v>
      </c>
      <c r="L190" s="7" t="s">
        <v>1915</v>
      </c>
      <c r="M190" s="7" t="s">
        <v>20</v>
      </c>
      <c r="N190" s="7" t="s">
        <v>1324</v>
      </c>
      <c r="O190" s="7" t="s">
        <v>68</v>
      </c>
      <c r="P190" s="7" t="s">
        <v>54</v>
      </c>
      <c r="Q190" s="9">
        <v>1200000</v>
      </c>
      <c r="R190" s="9">
        <v>0</v>
      </c>
      <c r="S190" s="9">
        <f t="shared" si="6"/>
        <v>1200000</v>
      </c>
      <c r="T190" s="4" t="s">
        <v>53</v>
      </c>
      <c r="U190" s="7" t="s">
        <v>1904</v>
      </c>
      <c r="V190" s="7" t="s">
        <v>1823</v>
      </c>
      <c r="W190" s="9">
        <v>30</v>
      </c>
      <c r="X190" s="7" t="s">
        <v>1903</v>
      </c>
      <c r="Y190" s="7"/>
      <c r="Z190" s="7" t="s">
        <v>14</v>
      </c>
      <c r="AA190" s="36" t="s">
        <v>20</v>
      </c>
      <c r="AB190" s="4" t="s">
        <v>2602</v>
      </c>
      <c r="AC190" s="22">
        <f t="shared" si="7"/>
        <v>470.58823529411762</v>
      </c>
      <c r="AD190" s="23">
        <v>0</v>
      </c>
    </row>
    <row r="191" spans="1:30" x14ac:dyDescent="0.35">
      <c r="A191" s="7">
        <v>214</v>
      </c>
      <c r="B191" s="6">
        <v>45818.356377314813</v>
      </c>
      <c r="C191" s="6">
        <v>45818</v>
      </c>
      <c r="D191" s="7" t="s">
        <v>2374</v>
      </c>
      <c r="E191" s="7" t="s">
        <v>1331</v>
      </c>
      <c r="F191" s="7" t="s">
        <v>2375</v>
      </c>
      <c r="G191" s="7" t="s">
        <v>2372</v>
      </c>
      <c r="H191" s="7" t="s">
        <v>2012</v>
      </c>
      <c r="I191" s="7" t="s">
        <v>2011</v>
      </c>
      <c r="J191" s="7" t="s">
        <v>1816</v>
      </c>
      <c r="K191" s="7" t="s">
        <v>1815</v>
      </c>
      <c r="L191" s="7" t="s">
        <v>1915</v>
      </c>
      <c r="M191" s="7" t="s">
        <v>20</v>
      </c>
      <c r="N191" s="7" t="s">
        <v>1324</v>
      </c>
      <c r="O191" s="7" t="s">
        <v>68</v>
      </c>
      <c r="P191" s="7" t="s">
        <v>54</v>
      </c>
      <c r="Q191" s="9">
        <v>780000</v>
      </c>
      <c r="R191" s="9">
        <v>0</v>
      </c>
      <c r="S191" s="9">
        <f t="shared" si="6"/>
        <v>780000</v>
      </c>
      <c r="T191" s="4" t="s">
        <v>53</v>
      </c>
      <c r="U191" s="7" t="s">
        <v>1904</v>
      </c>
      <c r="V191" s="7" t="s">
        <v>1823</v>
      </c>
      <c r="W191" s="9">
        <v>13</v>
      </c>
      <c r="X191" s="7" t="s">
        <v>1903</v>
      </c>
      <c r="Y191" s="7"/>
      <c r="Z191" s="7" t="s">
        <v>14</v>
      </c>
      <c r="AA191" s="36" t="s">
        <v>20</v>
      </c>
      <c r="AB191" s="4" t="s">
        <v>2602</v>
      </c>
      <c r="AC191" s="22">
        <f t="shared" si="7"/>
        <v>305.88235294117646</v>
      </c>
      <c r="AD191" s="23">
        <v>0</v>
      </c>
    </row>
    <row r="192" spans="1:30" x14ac:dyDescent="0.35">
      <c r="A192" s="7">
        <v>215</v>
      </c>
      <c r="B192" s="6">
        <v>45818.356377314813</v>
      </c>
      <c r="C192" s="6">
        <v>45818</v>
      </c>
      <c r="D192" s="7" t="s">
        <v>2374</v>
      </c>
      <c r="E192" s="7" t="s">
        <v>1331</v>
      </c>
      <c r="F192" s="7" t="s">
        <v>2373</v>
      </c>
      <c r="G192" s="7" t="s">
        <v>2372</v>
      </c>
      <c r="H192" s="7" t="s">
        <v>2012</v>
      </c>
      <c r="I192" s="7" t="s">
        <v>2011</v>
      </c>
      <c r="J192" s="7" t="s">
        <v>1816</v>
      </c>
      <c r="K192" s="7" t="s">
        <v>1815</v>
      </c>
      <c r="L192" s="7" t="s">
        <v>1915</v>
      </c>
      <c r="M192" s="7" t="s">
        <v>20</v>
      </c>
      <c r="N192" s="7" t="s">
        <v>1324</v>
      </c>
      <c r="O192" s="7" t="s">
        <v>68</v>
      </c>
      <c r="P192" s="7" t="s">
        <v>54</v>
      </c>
      <c r="Q192" s="9">
        <v>1200000</v>
      </c>
      <c r="R192" s="9">
        <v>0</v>
      </c>
      <c r="S192" s="9">
        <f t="shared" si="6"/>
        <v>1200000</v>
      </c>
      <c r="T192" s="4" t="s">
        <v>53</v>
      </c>
      <c r="U192" s="7" t="s">
        <v>1904</v>
      </c>
      <c r="V192" s="7" t="s">
        <v>1823</v>
      </c>
      <c r="W192" s="9">
        <v>30</v>
      </c>
      <c r="X192" s="7" t="s">
        <v>1903</v>
      </c>
      <c r="Y192" s="7"/>
      <c r="Z192" s="7" t="s">
        <v>14</v>
      </c>
      <c r="AA192" s="36" t="s">
        <v>20</v>
      </c>
      <c r="AB192" s="4" t="s">
        <v>2602</v>
      </c>
      <c r="AC192" s="22">
        <f t="shared" si="7"/>
        <v>470.58823529411762</v>
      </c>
      <c r="AD192" s="23">
        <v>0</v>
      </c>
    </row>
    <row r="193" spans="1:30" x14ac:dyDescent="0.35">
      <c r="A193" s="7">
        <v>216</v>
      </c>
      <c r="B193" s="6">
        <v>45818.259027777778</v>
      </c>
      <c r="C193" s="6">
        <v>45818</v>
      </c>
      <c r="D193" s="7" t="s">
        <v>2371</v>
      </c>
      <c r="E193" s="7" t="s">
        <v>1331</v>
      </c>
      <c r="F193" s="7" t="s">
        <v>1499</v>
      </c>
      <c r="G193" s="7" t="s">
        <v>2370</v>
      </c>
      <c r="H193" s="7" t="s">
        <v>1497</v>
      </c>
      <c r="I193" s="7" t="s">
        <v>1496</v>
      </c>
      <c r="J193" s="7" t="s">
        <v>1816</v>
      </c>
      <c r="K193" s="7" t="s">
        <v>1815</v>
      </c>
      <c r="L193" s="7" t="s">
        <v>1915</v>
      </c>
      <c r="M193" s="7" t="s">
        <v>20</v>
      </c>
      <c r="N193" s="7" t="s">
        <v>1324</v>
      </c>
      <c r="O193" s="7" t="s">
        <v>68</v>
      </c>
      <c r="P193" s="7" t="s">
        <v>68</v>
      </c>
      <c r="Q193" s="9">
        <v>1127124</v>
      </c>
      <c r="R193" s="9">
        <v>0</v>
      </c>
      <c r="S193" s="9">
        <f t="shared" si="6"/>
        <v>1127124</v>
      </c>
      <c r="T193" s="4" t="s">
        <v>53</v>
      </c>
      <c r="U193" s="7"/>
      <c r="V193" s="7"/>
      <c r="W193" s="9">
        <v>1</v>
      </c>
      <c r="X193" s="7"/>
      <c r="Y193" s="7"/>
      <c r="Z193" s="7" t="s">
        <v>14</v>
      </c>
      <c r="AA193" s="36" t="s">
        <v>20</v>
      </c>
      <c r="AB193" s="4" t="s">
        <v>2602</v>
      </c>
      <c r="AC193" s="22">
        <f t="shared" si="7"/>
        <v>442.00941176470587</v>
      </c>
      <c r="AD193" s="23">
        <v>0</v>
      </c>
    </row>
    <row r="194" spans="1:30" x14ac:dyDescent="0.35">
      <c r="A194" s="7">
        <v>217</v>
      </c>
      <c r="B194" s="6">
        <v>45818</v>
      </c>
      <c r="C194" s="6">
        <v>45818</v>
      </c>
      <c r="D194" s="4" t="s">
        <v>1514</v>
      </c>
      <c r="E194" s="4" t="s">
        <v>61</v>
      </c>
      <c r="F194" s="4" t="s">
        <v>1513</v>
      </c>
      <c r="G194" s="4" t="s">
        <v>1513</v>
      </c>
      <c r="H194" s="4"/>
      <c r="I194" s="4"/>
      <c r="J194" s="4" t="s">
        <v>59</v>
      </c>
      <c r="K194" s="4" t="s">
        <v>58</v>
      </c>
      <c r="L194" s="4" t="s">
        <v>57</v>
      </c>
      <c r="M194" s="4" t="s">
        <v>32</v>
      </c>
      <c r="N194" s="4" t="s">
        <v>266</v>
      </c>
      <c r="O194" s="4" t="s">
        <v>55</v>
      </c>
      <c r="P194" s="4" t="s">
        <v>54</v>
      </c>
      <c r="Q194" s="5">
        <v>81950.179999999993</v>
      </c>
      <c r="R194" s="10">
        <v>0</v>
      </c>
      <c r="S194" s="9">
        <f t="shared" si="6"/>
        <v>81950.179999999993</v>
      </c>
      <c r="T194" s="4" t="s">
        <v>53</v>
      </c>
      <c r="U194" s="4" t="s">
        <v>271</v>
      </c>
      <c r="V194" s="4"/>
      <c r="W194" s="4">
        <v>-20</v>
      </c>
      <c r="X194" s="4" t="s">
        <v>124</v>
      </c>
      <c r="Y194" s="4"/>
      <c r="Z194" s="7" t="s">
        <v>14</v>
      </c>
      <c r="AA194" s="36" t="s">
        <v>22</v>
      </c>
      <c r="AB194" s="4" t="s">
        <v>2835</v>
      </c>
      <c r="AC194" s="22">
        <f t="shared" si="7"/>
        <v>32.137325490196076</v>
      </c>
      <c r="AD194" s="23">
        <v>0</v>
      </c>
    </row>
    <row r="195" spans="1:30" x14ac:dyDescent="0.35">
      <c r="A195" s="7">
        <v>218</v>
      </c>
      <c r="B195" s="6">
        <v>45818</v>
      </c>
      <c r="C195" s="6">
        <v>45818</v>
      </c>
      <c r="D195" s="4" t="s">
        <v>1512</v>
      </c>
      <c r="E195" s="4" t="s">
        <v>61</v>
      </c>
      <c r="F195" s="4" t="s">
        <v>1511</v>
      </c>
      <c r="G195" s="4" t="s">
        <v>1511</v>
      </c>
      <c r="H195" s="4"/>
      <c r="I195" s="4"/>
      <c r="J195" s="4" t="s">
        <v>59</v>
      </c>
      <c r="K195" s="4" t="s">
        <v>58</v>
      </c>
      <c r="L195" s="4" t="s">
        <v>57</v>
      </c>
      <c r="M195" s="4" t="s">
        <v>32</v>
      </c>
      <c r="N195" s="4" t="s">
        <v>266</v>
      </c>
      <c r="O195" s="4" t="s">
        <v>55</v>
      </c>
      <c r="P195" s="4" t="s">
        <v>54</v>
      </c>
      <c r="Q195" s="5">
        <v>16313.55</v>
      </c>
      <c r="R195" s="10">
        <v>0</v>
      </c>
      <c r="S195" s="9">
        <f t="shared" ref="S195:S258" si="8">+Q195-R195</f>
        <v>16313.55</v>
      </c>
      <c r="T195" s="4" t="s">
        <v>53</v>
      </c>
      <c r="U195" s="4" t="s">
        <v>117</v>
      </c>
      <c r="V195" s="4"/>
      <c r="W195" s="4">
        <v>-5</v>
      </c>
      <c r="X195" s="4" t="s">
        <v>94</v>
      </c>
      <c r="Y195" s="4"/>
      <c r="Z195" s="7" t="s">
        <v>14</v>
      </c>
      <c r="AA195" s="36" t="s">
        <v>22</v>
      </c>
      <c r="AB195" s="4" t="s">
        <v>2835</v>
      </c>
      <c r="AC195" s="22">
        <f t="shared" si="7"/>
        <v>6.3974705882352936</v>
      </c>
      <c r="AD195" s="23">
        <v>0</v>
      </c>
    </row>
    <row r="196" spans="1:30" x14ac:dyDescent="0.35">
      <c r="A196" s="7">
        <v>219</v>
      </c>
      <c r="B196" s="6">
        <v>45818</v>
      </c>
      <c r="C196" s="6">
        <v>45818</v>
      </c>
      <c r="D196" s="4" t="s">
        <v>1510</v>
      </c>
      <c r="E196" s="4" t="s">
        <v>61</v>
      </c>
      <c r="F196" s="4" t="s">
        <v>1509</v>
      </c>
      <c r="G196" s="4" t="s">
        <v>1509</v>
      </c>
      <c r="H196" s="4"/>
      <c r="I196" s="4"/>
      <c r="J196" s="4" t="s">
        <v>59</v>
      </c>
      <c r="K196" s="4" t="s">
        <v>58</v>
      </c>
      <c r="L196" s="4" t="s">
        <v>57</v>
      </c>
      <c r="M196" s="4" t="s">
        <v>32</v>
      </c>
      <c r="N196" s="4" t="s">
        <v>266</v>
      </c>
      <c r="O196" s="4" t="s">
        <v>55</v>
      </c>
      <c r="P196" s="4" t="s">
        <v>54</v>
      </c>
      <c r="Q196" s="5">
        <v>199996.73</v>
      </c>
      <c r="R196" s="10">
        <v>0</v>
      </c>
      <c r="S196" s="9">
        <f t="shared" si="8"/>
        <v>199996.73</v>
      </c>
      <c r="T196" s="4" t="s">
        <v>53</v>
      </c>
      <c r="U196" s="4" t="s">
        <v>307</v>
      </c>
      <c r="V196" s="4"/>
      <c r="W196" s="4">
        <v>-2</v>
      </c>
      <c r="X196" s="4" t="s">
        <v>94</v>
      </c>
      <c r="Y196" s="4"/>
      <c r="Z196" s="7" t="s">
        <v>14</v>
      </c>
      <c r="AA196" s="36" t="s">
        <v>22</v>
      </c>
      <c r="AB196" s="4" t="s">
        <v>2835</v>
      </c>
      <c r="AC196" s="22">
        <f t="shared" si="7"/>
        <v>78.430090196078439</v>
      </c>
      <c r="AD196" s="23">
        <v>0</v>
      </c>
    </row>
    <row r="197" spans="1:30" x14ac:dyDescent="0.35">
      <c r="A197" s="7">
        <v>220</v>
      </c>
      <c r="B197" s="6">
        <v>45818</v>
      </c>
      <c r="C197" s="6">
        <v>45818</v>
      </c>
      <c r="D197" s="4" t="s">
        <v>1508</v>
      </c>
      <c r="E197" s="4" t="s">
        <v>61</v>
      </c>
      <c r="F197" s="4" t="s">
        <v>1507</v>
      </c>
      <c r="G197" s="4" t="s">
        <v>1507</v>
      </c>
      <c r="H197" s="4"/>
      <c r="I197" s="4"/>
      <c r="J197" s="4" t="s">
        <v>59</v>
      </c>
      <c r="K197" s="4" t="s">
        <v>58</v>
      </c>
      <c r="L197" s="4" t="s">
        <v>57</v>
      </c>
      <c r="M197" s="4" t="s">
        <v>32</v>
      </c>
      <c r="N197" s="4" t="s">
        <v>266</v>
      </c>
      <c r="O197" s="4" t="s">
        <v>55</v>
      </c>
      <c r="P197" s="4" t="s">
        <v>54</v>
      </c>
      <c r="Q197" s="5">
        <v>90000</v>
      </c>
      <c r="R197" s="10">
        <v>0</v>
      </c>
      <c r="S197" s="9">
        <f t="shared" si="8"/>
        <v>90000</v>
      </c>
      <c r="T197" s="4" t="s">
        <v>53</v>
      </c>
      <c r="U197" s="4" t="s">
        <v>121</v>
      </c>
      <c r="V197" s="4"/>
      <c r="W197" s="4">
        <v>-6</v>
      </c>
      <c r="X197" s="4" t="s">
        <v>94</v>
      </c>
      <c r="Y197" s="4"/>
      <c r="Z197" s="7" t="s">
        <v>14</v>
      </c>
      <c r="AA197" s="36" t="s">
        <v>22</v>
      </c>
      <c r="AB197" s="4" t="s">
        <v>2835</v>
      </c>
      <c r="AC197" s="22">
        <f t="shared" si="7"/>
        <v>35.294117647058826</v>
      </c>
      <c r="AD197" s="23">
        <v>0</v>
      </c>
    </row>
    <row r="198" spans="1:30" x14ac:dyDescent="0.35">
      <c r="A198" s="7">
        <v>221</v>
      </c>
      <c r="B198" s="6">
        <v>45818</v>
      </c>
      <c r="C198" s="6">
        <v>45818</v>
      </c>
      <c r="D198" s="4" t="s">
        <v>1506</v>
      </c>
      <c r="E198" s="4" t="s">
        <v>61</v>
      </c>
      <c r="F198" s="4" t="s">
        <v>1505</v>
      </c>
      <c r="G198" s="4" t="s">
        <v>1505</v>
      </c>
      <c r="H198" s="4"/>
      <c r="I198" s="4"/>
      <c r="J198" s="4" t="s">
        <v>59</v>
      </c>
      <c r="K198" s="4" t="s">
        <v>58</v>
      </c>
      <c r="L198" s="4" t="s">
        <v>57</v>
      </c>
      <c r="M198" s="4" t="s">
        <v>32</v>
      </c>
      <c r="N198" s="4" t="s">
        <v>1504</v>
      </c>
      <c r="O198" s="4" t="s">
        <v>68</v>
      </c>
      <c r="P198" s="4" t="s">
        <v>1503</v>
      </c>
      <c r="Q198" s="5">
        <v>129266312.81</v>
      </c>
      <c r="R198" s="10">
        <v>0</v>
      </c>
      <c r="S198" s="9">
        <f t="shared" si="8"/>
        <v>129266312.81</v>
      </c>
      <c r="T198" s="4" t="s">
        <v>53</v>
      </c>
      <c r="U198" s="4" t="s">
        <v>1502</v>
      </c>
      <c r="V198" s="4"/>
      <c r="W198" s="4">
        <v>-20.149999999999999</v>
      </c>
      <c r="X198" s="4" t="s">
        <v>1501</v>
      </c>
      <c r="Y198" s="4"/>
      <c r="Z198" s="7" t="s">
        <v>14</v>
      </c>
      <c r="AA198" s="36" t="s">
        <v>17</v>
      </c>
      <c r="AB198" s="4" t="s">
        <v>2602</v>
      </c>
      <c r="AC198" s="22">
        <f t="shared" si="7"/>
        <v>50692.671690196083</v>
      </c>
      <c r="AD198" s="23">
        <v>0</v>
      </c>
    </row>
    <row r="199" spans="1:30" x14ac:dyDescent="0.35">
      <c r="A199" s="7">
        <v>222</v>
      </c>
      <c r="B199" s="6">
        <v>45818</v>
      </c>
      <c r="C199" s="6">
        <v>45818</v>
      </c>
      <c r="D199" s="4" t="s">
        <v>1500</v>
      </c>
      <c r="E199" s="4" t="s">
        <v>1331</v>
      </c>
      <c r="F199" s="4" t="s">
        <v>1499</v>
      </c>
      <c r="G199" s="4" t="s">
        <v>1498</v>
      </c>
      <c r="H199" s="4" t="s">
        <v>1497</v>
      </c>
      <c r="I199" s="4" t="s">
        <v>1496</v>
      </c>
      <c r="J199" s="4" t="s">
        <v>1326</v>
      </c>
      <c r="K199" s="4" t="s">
        <v>58</v>
      </c>
      <c r="L199" s="4" t="s">
        <v>1495</v>
      </c>
      <c r="M199" s="4" t="s">
        <v>37</v>
      </c>
      <c r="N199" s="4" t="s">
        <v>1324</v>
      </c>
      <c r="O199" s="4" t="s">
        <v>68</v>
      </c>
      <c r="P199" s="4" t="s">
        <v>68</v>
      </c>
      <c r="Q199" s="5">
        <v>2053032</v>
      </c>
      <c r="R199" s="10">
        <v>0</v>
      </c>
      <c r="S199" s="9">
        <f t="shared" si="8"/>
        <v>2053032</v>
      </c>
      <c r="T199" s="4" t="s">
        <v>53</v>
      </c>
      <c r="U199" s="4"/>
      <c r="V199" s="4"/>
      <c r="W199" s="4">
        <v>1</v>
      </c>
      <c r="X199" s="4"/>
      <c r="Y199" s="4"/>
      <c r="Z199" s="7" t="s">
        <v>14</v>
      </c>
      <c r="AA199" s="36" t="s">
        <v>20</v>
      </c>
      <c r="AB199" s="4" t="s">
        <v>2602</v>
      </c>
      <c r="AC199" s="22">
        <f t="shared" si="7"/>
        <v>805.11058823529413</v>
      </c>
      <c r="AD199" s="23">
        <v>0</v>
      </c>
    </row>
    <row r="200" spans="1:30" x14ac:dyDescent="0.35">
      <c r="A200" s="7">
        <v>223</v>
      </c>
      <c r="B200" s="6">
        <v>45819.523877314816</v>
      </c>
      <c r="C200" s="6">
        <v>45819</v>
      </c>
      <c r="D200" s="7" t="s">
        <v>2369</v>
      </c>
      <c r="E200" s="7" t="s">
        <v>61</v>
      </c>
      <c r="F200" s="7" t="s">
        <v>2368</v>
      </c>
      <c r="G200" s="7" t="s">
        <v>2368</v>
      </c>
      <c r="H200" s="7"/>
      <c r="I200" s="7"/>
      <c r="J200" s="7" t="s">
        <v>1816</v>
      </c>
      <c r="K200" s="7" t="s">
        <v>1815</v>
      </c>
      <c r="L200" s="7" t="s">
        <v>1992</v>
      </c>
      <c r="M200" s="7" t="s">
        <v>18</v>
      </c>
      <c r="N200" s="7" t="s">
        <v>2125</v>
      </c>
      <c r="O200" s="7" t="s">
        <v>68</v>
      </c>
      <c r="P200" s="7" t="s">
        <v>54</v>
      </c>
      <c r="Q200" s="9">
        <v>2852459.2</v>
      </c>
      <c r="R200" s="9">
        <v>0</v>
      </c>
      <c r="S200" s="9">
        <f t="shared" si="8"/>
        <v>2852459.2</v>
      </c>
      <c r="T200" s="4" t="s">
        <v>53</v>
      </c>
      <c r="U200" s="7" t="s">
        <v>1991</v>
      </c>
      <c r="V200" s="7" t="s">
        <v>1990</v>
      </c>
      <c r="W200" s="9">
        <v>-160</v>
      </c>
      <c r="X200" s="7" t="s">
        <v>124</v>
      </c>
      <c r="Y200" s="7"/>
      <c r="Z200" s="7" t="s">
        <v>14</v>
      </c>
      <c r="AA200" s="36" t="s">
        <v>22</v>
      </c>
      <c r="AB200" s="4" t="s">
        <v>2835</v>
      </c>
      <c r="AC200" s="22">
        <f t="shared" si="7"/>
        <v>1118.6114509803922</v>
      </c>
      <c r="AD200" s="23">
        <v>0</v>
      </c>
    </row>
    <row r="201" spans="1:30" x14ac:dyDescent="0.35">
      <c r="A201" s="7">
        <v>224</v>
      </c>
      <c r="B201" s="6">
        <v>45819</v>
      </c>
      <c r="C201" s="6">
        <v>45819</v>
      </c>
      <c r="D201" s="4" t="s">
        <v>1494</v>
      </c>
      <c r="E201" s="4" t="s">
        <v>61</v>
      </c>
      <c r="F201" s="4" t="s">
        <v>1493</v>
      </c>
      <c r="G201" s="4" t="s">
        <v>1493</v>
      </c>
      <c r="H201" s="4"/>
      <c r="I201" s="4"/>
      <c r="J201" s="4" t="s">
        <v>59</v>
      </c>
      <c r="K201" s="4" t="s">
        <v>58</v>
      </c>
      <c r="L201" s="4" t="s">
        <v>57</v>
      </c>
      <c r="M201" s="4" t="s">
        <v>32</v>
      </c>
      <c r="N201" s="4" t="s">
        <v>317</v>
      </c>
      <c r="O201" s="4" t="s">
        <v>68</v>
      </c>
      <c r="P201" s="4" t="s">
        <v>54</v>
      </c>
      <c r="Q201" s="5">
        <v>32977.769999999997</v>
      </c>
      <c r="R201" s="10">
        <v>0</v>
      </c>
      <c r="S201" s="9">
        <f t="shared" si="8"/>
        <v>32977.769999999997</v>
      </c>
      <c r="T201" s="4" t="s">
        <v>53</v>
      </c>
      <c r="U201" s="4" t="s">
        <v>320</v>
      </c>
      <c r="V201" s="4"/>
      <c r="W201" s="4">
        <v>-60</v>
      </c>
      <c r="X201" s="4" t="s">
        <v>94</v>
      </c>
      <c r="Y201" s="4"/>
      <c r="Z201" s="7" t="s">
        <v>14</v>
      </c>
      <c r="AA201" s="36" t="s">
        <v>23</v>
      </c>
      <c r="AB201" s="4" t="s">
        <v>2607</v>
      </c>
      <c r="AC201" s="22">
        <f t="shared" si="7"/>
        <v>12.93245882352941</v>
      </c>
      <c r="AD201" s="23">
        <v>0</v>
      </c>
    </row>
    <row r="202" spans="1:30" x14ac:dyDescent="0.35">
      <c r="A202" s="7">
        <v>225</v>
      </c>
      <c r="B202" s="6">
        <v>45819</v>
      </c>
      <c r="C202" s="6">
        <v>45819</v>
      </c>
      <c r="D202" s="4" t="s">
        <v>1492</v>
      </c>
      <c r="E202" s="4" t="s">
        <v>61</v>
      </c>
      <c r="F202" s="4" t="s">
        <v>1491</v>
      </c>
      <c r="G202" s="4" t="s">
        <v>1491</v>
      </c>
      <c r="H202" s="4"/>
      <c r="I202" s="4"/>
      <c r="J202" s="4" t="s">
        <v>59</v>
      </c>
      <c r="K202" s="4" t="s">
        <v>58</v>
      </c>
      <c r="L202" s="4" t="s">
        <v>57</v>
      </c>
      <c r="M202" s="4" t="s">
        <v>32</v>
      </c>
      <c r="N202" s="4" t="s">
        <v>266</v>
      </c>
      <c r="O202" s="4" t="s">
        <v>68</v>
      </c>
      <c r="P202" s="4" t="s">
        <v>54</v>
      </c>
      <c r="Q202" s="5">
        <v>122925.28</v>
      </c>
      <c r="R202" s="10">
        <v>0</v>
      </c>
      <c r="S202" s="9">
        <f t="shared" si="8"/>
        <v>122925.28</v>
      </c>
      <c r="T202" s="4" t="s">
        <v>53</v>
      </c>
      <c r="U202" s="4" t="s">
        <v>271</v>
      </c>
      <c r="V202" s="4"/>
      <c r="W202" s="4">
        <v>-30</v>
      </c>
      <c r="X202" s="4" t="s">
        <v>124</v>
      </c>
      <c r="Y202" s="4"/>
      <c r="Z202" s="7" t="s">
        <v>14</v>
      </c>
      <c r="AA202" s="36" t="s">
        <v>22</v>
      </c>
      <c r="AB202" s="4" t="s">
        <v>2835</v>
      </c>
      <c r="AC202" s="22">
        <f t="shared" si="7"/>
        <v>48.205992156862742</v>
      </c>
      <c r="AD202" s="23">
        <v>0</v>
      </c>
    </row>
    <row r="203" spans="1:30" x14ac:dyDescent="0.35">
      <c r="A203" s="7">
        <v>226</v>
      </c>
      <c r="B203" s="6">
        <v>45819</v>
      </c>
      <c r="C203" s="6">
        <v>45819</v>
      </c>
      <c r="D203" s="4" t="s">
        <v>1490</v>
      </c>
      <c r="E203" s="4" t="s">
        <v>61</v>
      </c>
      <c r="F203" s="4" t="s">
        <v>1489</v>
      </c>
      <c r="G203" s="4" t="s">
        <v>1489</v>
      </c>
      <c r="H203" s="4"/>
      <c r="I203" s="4"/>
      <c r="J203" s="4" t="s">
        <v>59</v>
      </c>
      <c r="K203" s="4" t="s">
        <v>58</v>
      </c>
      <c r="L203" s="4" t="s">
        <v>57</v>
      </c>
      <c r="M203" s="4" t="s">
        <v>32</v>
      </c>
      <c r="N203" s="4" t="s">
        <v>266</v>
      </c>
      <c r="O203" s="4" t="s">
        <v>68</v>
      </c>
      <c r="P203" s="4" t="s">
        <v>54</v>
      </c>
      <c r="Q203" s="5">
        <v>16313.55</v>
      </c>
      <c r="R203" s="10">
        <v>0</v>
      </c>
      <c r="S203" s="9">
        <f t="shared" si="8"/>
        <v>16313.55</v>
      </c>
      <c r="T203" s="4" t="s">
        <v>53</v>
      </c>
      <c r="U203" s="4" t="s">
        <v>117</v>
      </c>
      <c r="V203" s="4"/>
      <c r="W203" s="4">
        <v>-5</v>
      </c>
      <c r="X203" s="4" t="s">
        <v>94</v>
      </c>
      <c r="Y203" s="4"/>
      <c r="Z203" s="7" t="s">
        <v>14</v>
      </c>
      <c r="AA203" s="36" t="s">
        <v>22</v>
      </c>
      <c r="AB203" s="4" t="s">
        <v>2835</v>
      </c>
      <c r="AC203" s="22">
        <f t="shared" si="7"/>
        <v>6.3974705882352936</v>
      </c>
      <c r="AD203" s="23">
        <v>0</v>
      </c>
    </row>
    <row r="204" spans="1:30" x14ac:dyDescent="0.35">
      <c r="A204" s="7">
        <v>227</v>
      </c>
      <c r="B204" s="6">
        <v>45820</v>
      </c>
      <c r="C204" s="6">
        <v>45820</v>
      </c>
      <c r="D204" s="4" t="s">
        <v>1488</v>
      </c>
      <c r="E204" s="4" t="s">
        <v>61</v>
      </c>
      <c r="F204" s="4" t="s">
        <v>1487</v>
      </c>
      <c r="G204" s="4" t="s">
        <v>1487</v>
      </c>
      <c r="H204" s="4"/>
      <c r="I204" s="4"/>
      <c r="J204" s="4" t="s">
        <v>59</v>
      </c>
      <c r="K204" s="4" t="s">
        <v>58</v>
      </c>
      <c r="L204" s="4" t="s">
        <v>57</v>
      </c>
      <c r="M204" s="4" t="s">
        <v>32</v>
      </c>
      <c r="N204" s="4" t="s">
        <v>266</v>
      </c>
      <c r="O204" s="4" t="s">
        <v>55</v>
      </c>
      <c r="P204" s="4" t="s">
        <v>54</v>
      </c>
      <c r="Q204" s="5">
        <v>122925.29</v>
      </c>
      <c r="R204" s="10">
        <v>0</v>
      </c>
      <c r="S204" s="9">
        <f t="shared" si="8"/>
        <v>122925.29</v>
      </c>
      <c r="T204" s="4" t="s">
        <v>53</v>
      </c>
      <c r="U204" s="4" t="s">
        <v>271</v>
      </c>
      <c r="V204" s="4"/>
      <c r="W204" s="4">
        <v>-30</v>
      </c>
      <c r="X204" s="4" t="s">
        <v>124</v>
      </c>
      <c r="Y204" s="4"/>
      <c r="Z204" s="7" t="s">
        <v>14</v>
      </c>
      <c r="AA204" s="36" t="s">
        <v>22</v>
      </c>
      <c r="AB204" s="4" t="s">
        <v>2835</v>
      </c>
      <c r="AC204" s="22">
        <f t="shared" si="7"/>
        <v>48.205996078431369</v>
      </c>
      <c r="AD204" s="23">
        <v>0</v>
      </c>
    </row>
    <row r="205" spans="1:30" x14ac:dyDescent="0.35">
      <c r="A205" s="7">
        <v>228</v>
      </c>
      <c r="B205" s="6">
        <v>45820</v>
      </c>
      <c r="C205" s="6">
        <v>45820</v>
      </c>
      <c r="D205" s="4" t="s">
        <v>1486</v>
      </c>
      <c r="E205" s="4" t="s">
        <v>61</v>
      </c>
      <c r="F205" s="4" t="s">
        <v>1485</v>
      </c>
      <c r="G205" s="4" t="s">
        <v>1485</v>
      </c>
      <c r="H205" s="4"/>
      <c r="I205" s="4"/>
      <c r="J205" s="4" t="s">
        <v>59</v>
      </c>
      <c r="K205" s="4" t="s">
        <v>58</v>
      </c>
      <c r="L205" s="4" t="s">
        <v>57</v>
      </c>
      <c r="M205" s="4" t="s">
        <v>32</v>
      </c>
      <c r="N205" s="4" t="s">
        <v>266</v>
      </c>
      <c r="O205" s="4" t="s">
        <v>55</v>
      </c>
      <c r="P205" s="4" t="s">
        <v>54</v>
      </c>
      <c r="Q205" s="5">
        <v>96766.52</v>
      </c>
      <c r="R205" s="10">
        <v>0</v>
      </c>
      <c r="S205" s="9">
        <f t="shared" si="8"/>
        <v>96766.52</v>
      </c>
      <c r="T205" s="4" t="s">
        <v>53</v>
      </c>
      <c r="U205" s="4" t="s">
        <v>282</v>
      </c>
      <c r="V205" s="4"/>
      <c r="W205" s="4">
        <v>-2</v>
      </c>
      <c r="X205" s="4" t="s">
        <v>94</v>
      </c>
      <c r="Y205" s="4"/>
      <c r="Z205" s="7" t="s">
        <v>14</v>
      </c>
      <c r="AA205" s="36" t="s">
        <v>22</v>
      </c>
      <c r="AB205" s="4" t="s">
        <v>2835</v>
      </c>
      <c r="AC205" s="22">
        <f t="shared" si="7"/>
        <v>37.947654901960789</v>
      </c>
      <c r="AD205" s="23">
        <v>0</v>
      </c>
    </row>
    <row r="206" spans="1:30" x14ac:dyDescent="0.35">
      <c r="A206" s="7">
        <v>229</v>
      </c>
      <c r="B206" s="6">
        <v>45820</v>
      </c>
      <c r="C206" s="6">
        <v>45820</v>
      </c>
      <c r="D206" s="4" t="s">
        <v>1484</v>
      </c>
      <c r="E206" s="4" t="s">
        <v>61</v>
      </c>
      <c r="F206" s="4" t="s">
        <v>1483</v>
      </c>
      <c r="G206" s="4" t="s">
        <v>1483</v>
      </c>
      <c r="H206" s="4"/>
      <c r="I206" s="4"/>
      <c r="J206" s="4" t="s">
        <v>59</v>
      </c>
      <c r="K206" s="4" t="s">
        <v>58</v>
      </c>
      <c r="L206" s="4" t="s">
        <v>57</v>
      </c>
      <c r="M206" s="4" t="s">
        <v>32</v>
      </c>
      <c r="N206" s="4" t="s">
        <v>266</v>
      </c>
      <c r="O206" s="4" t="s">
        <v>55</v>
      </c>
      <c r="P206" s="4" t="s">
        <v>54</v>
      </c>
      <c r="Q206" s="5">
        <v>90000</v>
      </c>
      <c r="R206" s="10">
        <v>0</v>
      </c>
      <c r="S206" s="9">
        <f t="shared" si="8"/>
        <v>90000</v>
      </c>
      <c r="T206" s="4" t="s">
        <v>53</v>
      </c>
      <c r="U206" s="4" t="s">
        <v>121</v>
      </c>
      <c r="V206" s="4"/>
      <c r="W206" s="4">
        <v>-6</v>
      </c>
      <c r="X206" s="4" t="s">
        <v>94</v>
      </c>
      <c r="Y206" s="4"/>
      <c r="Z206" s="7" t="s">
        <v>14</v>
      </c>
      <c r="AA206" s="36" t="s">
        <v>22</v>
      </c>
      <c r="AB206" s="4" t="s">
        <v>2835</v>
      </c>
      <c r="AC206" s="22">
        <f t="shared" si="7"/>
        <v>35.294117647058826</v>
      </c>
      <c r="AD206" s="23">
        <v>0</v>
      </c>
    </row>
    <row r="207" spans="1:30" x14ac:dyDescent="0.35">
      <c r="A207" s="7">
        <v>230</v>
      </c>
      <c r="B207" s="6">
        <v>45820</v>
      </c>
      <c r="C207" s="6">
        <v>45820</v>
      </c>
      <c r="D207" s="4" t="s">
        <v>1482</v>
      </c>
      <c r="E207" s="4" t="s">
        <v>61</v>
      </c>
      <c r="F207" s="4" t="s">
        <v>1481</v>
      </c>
      <c r="G207" s="4" t="s">
        <v>1481</v>
      </c>
      <c r="H207" s="4"/>
      <c r="I207" s="4"/>
      <c r="J207" s="4" t="s">
        <v>59</v>
      </c>
      <c r="K207" s="4" t="s">
        <v>58</v>
      </c>
      <c r="L207" s="4" t="s">
        <v>57</v>
      </c>
      <c r="M207" s="4" t="s">
        <v>32</v>
      </c>
      <c r="N207" s="4" t="s">
        <v>266</v>
      </c>
      <c r="O207" s="4" t="s">
        <v>68</v>
      </c>
      <c r="P207" s="4" t="s">
        <v>54</v>
      </c>
      <c r="Q207" s="5">
        <v>11850000</v>
      </c>
      <c r="R207" s="10">
        <v>0</v>
      </c>
      <c r="S207" s="9">
        <f t="shared" si="8"/>
        <v>11850000</v>
      </c>
      <c r="T207" s="4" t="s">
        <v>53</v>
      </c>
      <c r="U207" s="4" t="s">
        <v>1480</v>
      </c>
      <c r="V207" s="4"/>
      <c r="W207" s="4">
        <v>-75</v>
      </c>
      <c r="X207" s="4" t="s">
        <v>94</v>
      </c>
      <c r="Y207" s="4"/>
      <c r="Z207" s="7" t="s">
        <v>14</v>
      </c>
      <c r="AA207" s="36" t="s">
        <v>22</v>
      </c>
      <c r="AB207" s="4" t="s">
        <v>2835</v>
      </c>
      <c r="AC207" s="22">
        <f t="shared" si="7"/>
        <v>4647.0588235294117</v>
      </c>
      <c r="AD207" s="23">
        <v>0</v>
      </c>
    </row>
    <row r="208" spans="1:30" x14ac:dyDescent="0.35">
      <c r="A208" s="7">
        <v>231</v>
      </c>
      <c r="B208" s="6">
        <v>45820</v>
      </c>
      <c r="C208" s="6">
        <v>45820</v>
      </c>
      <c r="D208" s="4" t="s">
        <v>1479</v>
      </c>
      <c r="E208" s="4" t="s">
        <v>61</v>
      </c>
      <c r="F208" s="4" t="s">
        <v>1478</v>
      </c>
      <c r="G208" s="4" t="s">
        <v>1478</v>
      </c>
      <c r="H208" s="4"/>
      <c r="I208" s="4"/>
      <c r="J208" s="4" t="s">
        <v>59</v>
      </c>
      <c r="K208" s="4" t="s">
        <v>58</v>
      </c>
      <c r="L208" s="4" t="s">
        <v>57</v>
      </c>
      <c r="M208" s="4" t="s">
        <v>32</v>
      </c>
      <c r="N208" s="4" t="s">
        <v>266</v>
      </c>
      <c r="O208" s="4" t="s">
        <v>68</v>
      </c>
      <c r="P208" s="4" t="s">
        <v>54</v>
      </c>
      <c r="Q208" s="5">
        <v>1680000</v>
      </c>
      <c r="R208" s="10">
        <v>0</v>
      </c>
      <c r="S208" s="9">
        <f t="shared" si="8"/>
        <v>1680000</v>
      </c>
      <c r="T208" s="4" t="s">
        <v>53</v>
      </c>
      <c r="U208" s="4" t="s">
        <v>1477</v>
      </c>
      <c r="V208" s="4"/>
      <c r="W208" s="4">
        <v>-6</v>
      </c>
      <c r="X208" s="4" t="s">
        <v>94</v>
      </c>
      <c r="Y208" s="4"/>
      <c r="Z208" s="7" t="s">
        <v>14</v>
      </c>
      <c r="AA208" s="36" t="s">
        <v>22</v>
      </c>
      <c r="AB208" s="4" t="s">
        <v>2835</v>
      </c>
      <c r="AC208" s="22">
        <f t="shared" si="7"/>
        <v>658.82352941176475</v>
      </c>
      <c r="AD208" s="23">
        <v>0</v>
      </c>
    </row>
    <row r="209" spans="1:30" x14ac:dyDescent="0.35">
      <c r="A209" s="7">
        <v>232</v>
      </c>
      <c r="B209" s="6">
        <v>45820</v>
      </c>
      <c r="C209" s="6">
        <v>45820</v>
      </c>
      <c r="D209" s="4" t="s">
        <v>1476</v>
      </c>
      <c r="E209" s="4" t="s">
        <v>61</v>
      </c>
      <c r="F209" s="4" t="s">
        <v>1475</v>
      </c>
      <c r="G209" s="4" t="s">
        <v>1475</v>
      </c>
      <c r="H209" s="4"/>
      <c r="I209" s="4"/>
      <c r="J209" s="4" t="s">
        <v>59</v>
      </c>
      <c r="K209" s="4" t="s">
        <v>58</v>
      </c>
      <c r="L209" s="4" t="s">
        <v>57</v>
      </c>
      <c r="M209" s="4" t="s">
        <v>32</v>
      </c>
      <c r="N209" s="4" t="s">
        <v>266</v>
      </c>
      <c r="O209" s="4" t="s">
        <v>68</v>
      </c>
      <c r="P209" s="4" t="s">
        <v>54</v>
      </c>
      <c r="Q209" s="5">
        <v>1840000</v>
      </c>
      <c r="R209" s="10">
        <v>0</v>
      </c>
      <c r="S209" s="9">
        <f t="shared" si="8"/>
        <v>1840000</v>
      </c>
      <c r="T209" s="4" t="s">
        <v>53</v>
      </c>
      <c r="U209" s="4" t="s">
        <v>1474</v>
      </c>
      <c r="V209" s="4"/>
      <c r="W209" s="4">
        <v>-20</v>
      </c>
      <c r="X209" s="4" t="s">
        <v>94</v>
      </c>
      <c r="Y209" s="4"/>
      <c r="Z209" s="7" t="s">
        <v>14</v>
      </c>
      <c r="AA209" s="36" t="s">
        <v>22</v>
      </c>
      <c r="AB209" s="4" t="s">
        <v>2835</v>
      </c>
      <c r="AC209" s="22">
        <f t="shared" si="7"/>
        <v>721.56862745098044</v>
      </c>
      <c r="AD209" s="23">
        <v>0</v>
      </c>
    </row>
    <row r="210" spans="1:30" x14ac:dyDescent="0.35">
      <c r="A210" s="7">
        <v>233</v>
      </c>
      <c r="B210" s="6">
        <v>45820</v>
      </c>
      <c r="C210" s="6">
        <v>45820</v>
      </c>
      <c r="D210" s="4" t="s">
        <v>1473</v>
      </c>
      <c r="E210" s="4" t="s">
        <v>61</v>
      </c>
      <c r="F210" s="4" t="s">
        <v>1472</v>
      </c>
      <c r="G210" s="4" t="s">
        <v>1472</v>
      </c>
      <c r="H210" s="4"/>
      <c r="I210" s="4"/>
      <c r="J210" s="4" t="s">
        <v>59</v>
      </c>
      <c r="K210" s="4" t="s">
        <v>58</v>
      </c>
      <c r="L210" s="4" t="s">
        <v>57</v>
      </c>
      <c r="M210" s="4" t="s">
        <v>32</v>
      </c>
      <c r="N210" s="4" t="s">
        <v>266</v>
      </c>
      <c r="O210" s="4" t="s">
        <v>68</v>
      </c>
      <c r="P210" s="4" t="s">
        <v>54</v>
      </c>
      <c r="Q210" s="5">
        <v>9360000</v>
      </c>
      <c r="R210" s="10">
        <v>0</v>
      </c>
      <c r="S210" s="9">
        <f t="shared" si="8"/>
        <v>9360000</v>
      </c>
      <c r="T210" s="4" t="s">
        <v>53</v>
      </c>
      <c r="U210" s="4" t="s">
        <v>1471</v>
      </c>
      <c r="V210" s="4"/>
      <c r="W210" s="4">
        <v>-30</v>
      </c>
      <c r="X210" s="4" t="s">
        <v>94</v>
      </c>
      <c r="Y210" s="4"/>
      <c r="Z210" s="7" t="s">
        <v>14</v>
      </c>
      <c r="AA210" s="36" t="s">
        <v>22</v>
      </c>
      <c r="AB210" s="4" t="s">
        <v>2835</v>
      </c>
      <c r="AC210" s="22">
        <f t="shared" si="7"/>
        <v>3670.5882352941176</v>
      </c>
      <c r="AD210" s="23">
        <v>0</v>
      </c>
    </row>
    <row r="211" spans="1:30" x14ac:dyDescent="0.35">
      <c r="A211" s="7">
        <v>234</v>
      </c>
      <c r="B211" s="6">
        <v>45821</v>
      </c>
      <c r="C211" s="6">
        <v>45821</v>
      </c>
      <c r="D211" s="4" t="s">
        <v>1470</v>
      </c>
      <c r="E211" s="4" t="s">
        <v>61</v>
      </c>
      <c r="F211" s="4" t="s">
        <v>1469</v>
      </c>
      <c r="G211" s="4" t="s">
        <v>1469</v>
      </c>
      <c r="H211" s="4"/>
      <c r="I211" s="4"/>
      <c r="J211" s="4" t="s">
        <v>59</v>
      </c>
      <c r="K211" s="4" t="s">
        <v>58</v>
      </c>
      <c r="L211" s="4" t="s">
        <v>57</v>
      </c>
      <c r="M211" s="4" t="s">
        <v>32</v>
      </c>
      <c r="N211" s="4" t="s">
        <v>266</v>
      </c>
      <c r="O211" s="4" t="s">
        <v>55</v>
      </c>
      <c r="P211" s="4" t="s">
        <v>54</v>
      </c>
      <c r="Q211" s="5">
        <v>15000000</v>
      </c>
      <c r="R211" s="10">
        <v>0</v>
      </c>
      <c r="S211" s="9">
        <f t="shared" si="8"/>
        <v>15000000</v>
      </c>
      <c r="T211" s="4" t="s">
        <v>53</v>
      </c>
      <c r="U211" s="4" t="s">
        <v>1468</v>
      </c>
      <c r="V211" s="4"/>
      <c r="W211" s="4">
        <v>-60</v>
      </c>
      <c r="X211" s="4" t="s">
        <v>94</v>
      </c>
      <c r="Y211" s="4"/>
      <c r="Z211" s="7" t="s">
        <v>14</v>
      </c>
      <c r="AA211" s="36" t="s">
        <v>22</v>
      </c>
      <c r="AB211" s="4" t="s">
        <v>2835</v>
      </c>
      <c r="AC211" s="22">
        <f t="shared" si="7"/>
        <v>5882.3529411764703</v>
      </c>
      <c r="AD211" s="23">
        <v>0</v>
      </c>
    </row>
    <row r="212" spans="1:30" x14ac:dyDescent="0.35">
      <c r="A212" s="7">
        <v>235</v>
      </c>
      <c r="B212" s="6">
        <v>45821</v>
      </c>
      <c r="C212" s="6">
        <v>45821</v>
      </c>
      <c r="D212" s="4" t="s">
        <v>1467</v>
      </c>
      <c r="E212" s="4" t="s">
        <v>61</v>
      </c>
      <c r="F212" s="4" t="s">
        <v>1466</v>
      </c>
      <c r="G212" s="4" t="s">
        <v>1466</v>
      </c>
      <c r="H212" s="4"/>
      <c r="I212" s="4"/>
      <c r="J212" s="4" t="s">
        <v>59</v>
      </c>
      <c r="K212" s="4" t="s">
        <v>58</v>
      </c>
      <c r="L212" s="4" t="s">
        <v>57</v>
      </c>
      <c r="M212" s="4" t="s">
        <v>32</v>
      </c>
      <c r="N212" s="4" t="s">
        <v>266</v>
      </c>
      <c r="O212" s="4" t="s">
        <v>55</v>
      </c>
      <c r="P212" s="4" t="s">
        <v>54</v>
      </c>
      <c r="Q212" s="5">
        <v>3444000</v>
      </c>
      <c r="R212" s="10">
        <v>0</v>
      </c>
      <c r="S212" s="9">
        <f t="shared" si="8"/>
        <v>3444000</v>
      </c>
      <c r="T212" s="4" t="s">
        <v>53</v>
      </c>
      <c r="U212" s="4" t="s">
        <v>1465</v>
      </c>
      <c r="V212" s="4"/>
      <c r="W212" s="4">
        <v>-6</v>
      </c>
      <c r="X212" s="4" t="s">
        <v>94</v>
      </c>
      <c r="Y212" s="4"/>
      <c r="Z212" s="7" t="s">
        <v>14</v>
      </c>
      <c r="AA212" s="36" t="s">
        <v>22</v>
      </c>
      <c r="AB212" s="4" t="s">
        <v>2835</v>
      </c>
      <c r="AC212" s="22">
        <f t="shared" si="7"/>
        <v>1350.5882352941176</v>
      </c>
      <c r="AD212" s="23">
        <v>0</v>
      </c>
    </row>
    <row r="213" spans="1:30" x14ac:dyDescent="0.35">
      <c r="A213" s="7">
        <v>236</v>
      </c>
      <c r="B213" s="6">
        <v>45821</v>
      </c>
      <c r="C213" s="6">
        <v>45821</v>
      </c>
      <c r="D213" s="4" t="s">
        <v>1464</v>
      </c>
      <c r="E213" s="4" t="s">
        <v>61</v>
      </c>
      <c r="F213" s="4" t="s">
        <v>1463</v>
      </c>
      <c r="G213" s="4" t="s">
        <v>1463</v>
      </c>
      <c r="H213" s="4"/>
      <c r="I213" s="4"/>
      <c r="J213" s="4" t="s">
        <v>59</v>
      </c>
      <c r="K213" s="4" t="s">
        <v>58</v>
      </c>
      <c r="L213" s="4" t="s">
        <v>57</v>
      </c>
      <c r="M213" s="4" t="s">
        <v>32</v>
      </c>
      <c r="N213" s="4" t="s">
        <v>266</v>
      </c>
      <c r="O213" s="4" t="s">
        <v>55</v>
      </c>
      <c r="P213" s="4" t="s">
        <v>54</v>
      </c>
      <c r="Q213" s="5">
        <v>5000000</v>
      </c>
      <c r="R213" s="10">
        <v>0</v>
      </c>
      <c r="S213" s="9">
        <f t="shared" si="8"/>
        <v>5000000</v>
      </c>
      <c r="T213" s="4" t="s">
        <v>53</v>
      </c>
      <c r="U213" s="4" t="s">
        <v>1462</v>
      </c>
      <c r="V213" s="4"/>
      <c r="W213" s="4">
        <v>-50</v>
      </c>
      <c r="X213" s="4" t="s">
        <v>94</v>
      </c>
      <c r="Y213" s="4"/>
      <c r="Z213" s="7" t="s">
        <v>14</v>
      </c>
      <c r="AA213" s="36" t="s">
        <v>22</v>
      </c>
      <c r="AB213" s="4" t="s">
        <v>2835</v>
      </c>
      <c r="AC213" s="22">
        <f t="shared" si="7"/>
        <v>1960.7843137254902</v>
      </c>
      <c r="AD213" s="23">
        <v>0</v>
      </c>
    </row>
    <row r="214" spans="1:30" x14ac:dyDescent="0.35">
      <c r="A214" s="7">
        <v>237</v>
      </c>
      <c r="B214" s="6">
        <v>45821</v>
      </c>
      <c r="C214" s="6">
        <v>45821</v>
      </c>
      <c r="D214" s="4" t="s">
        <v>1461</v>
      </c>
      <c r="E214" s="4" t="s">
        <v>61</v>
      </c>
      <c r="F214" s="4" t="s">
        <v>1460</v>
      </c>
      <c r="G214" s="4" t="s">
        <v>1460</v>
      </c>
      <c r="H214" s="4"/>
      <c r="I214" s="4"/>
      <c r="J214" s="4" t="s">
        <v>59</v>
      </c>
      <c r="K214" s="4" t="s">
        <v>58</v>
      </c>
      <c r="L214" s="4" t="s">
        <v>57</v>
      </c>
      <c r="M214" s="4" t="s">
        <v>32</v>
      </c>
      <c r="N214" s="4" t="s">
        <v>266</v>
      </c>
      <c r="O214" s="4" t="s">
        <v>55</v>
      </c>
      <c r="P214" s="4" t="s">
        <v>54</v>
      </c>
      <c r="Q214" s="5">
        <v>129162.94</v>
      </c>
      <c r="R214" s="10">
        <v>0</v>
      </c>
      <c r="S214" s="9">
        <f t="shared" si="8"/>
        <v>129162.94</v>
      </c>
      <c r="T214" s="4" t="s">
        <v>53</v>
      </c>
      <c r="U214" s="4" t="s">
        <v>320</v>
      </c>
      <c r="V214" s="4"/>
      <c r="W214" s="4">
        <v>-235</v>
      </c>
      <c r="X214" s="4" t="s">
        <v>94</v>
      </c>
      <c r="Y214" s="4"/>
      <c r="Z214" s="7" t="s">
        <v>14</v>
      </c>
      <c r="AA214" s="36" t="s">
        <v>22</v>
      </c>
      <c r="AB214" s="4" t="s">
        <v>2835</v>
      </c>
      <c r="AC214" s="22">
        <f t="shared" si="7"/>
        <v>50.652133333333332</v>
      </c>
      <c r="AD214" s="23">
        <v>0</v>
      </c>
    </row>
    <row r="215" spans="1:30" x14ac:dyDescent="0.35">
      <c r="A215" s="7">
        <v>238</v>
      </c>
      <c r="B215" s="6">
        <v>45821</v>
      </c>
      <c r="C215" s="6">
        <v>45821</v>
      </c>
      <c r="D215" s="4" t="s">
        <v>1459</v>
      </c>
      <c r="E215" s="4" t="s">
        <v>61</v>
      </c>
      <c r="F215" s="4" t="s">
        <v>1458</v>
      </c>
      <c r="G215" s="4" t="s">
        <v>1458</v>
      </c>
      <c r="H215" s="4"/>
      <c r="I215" s="4"/>
      <c r="J215" s="4" t="s">
        <v>59</v>
      </c>
      <c r="K215" s="4" t="s">
        <v>58</v>
      </c>
      <c r="L215" s="4" t="s">
        <v>57</v>
      </c>
      <c r="M215" s="4" t="s">
        <v>32</v>
      </c>
      <c r="N215" s="4" t="s">
        <v>266</v>
      </c>
      <c r="O215" s="4" t="s">
        <v>55</v>
      </c>
      <c r="P215" s="4" t="s">
        <v>54</v>
      </c>
      <c r="Q215" s="5">
        <v>81950.19</v>
      </c>
      <c r="R215" s="10">
        <v>0</v>
      </c>
      <c r="S215" s="9">
        <f t="shared" si="8"/>
        <v>81950.19</v>
      </c>
      <c r="T215" s="4" t="s">
        <v>53</v>
      </c>
      <c r="U215" s="4" t="s">
        <v>271</v>
      </c>
      <c r="V215" s="4"/>
      <c r="W215" s="4">
        <v>-20</v>
      </c>
      <c r="X215" s="4" t="s">
        <v>124</v>
      </c>
      <c r="Y215" s="4"/>
      <c r="Z215" s="7" t="s">
        <v>14</v>
      </c>
      <c r="AA215" s="36" t="s">
        <v>22</v>
      </c>
      <c r="AB215" s="4" t="s">
        <v>2835</v>
      </c>
      <c r="AC215" s="22">
        <f t="shared" si="7"/>
        <v>32.137329411764703</v>
      </c>
      <c r="AD215" s="23">
        <v>0</v>
      </c>
    </row>
    <row r="216" spans="1:30" x14ac:dyDescent="0.35">
      <c r="A216" s="7">
        <v>239</v>
      </c>
      <c r="B216" s="6">
        <v>45821</v>
      </c>
      <c r="C216" s="6">
        <v>45821</v>
      </c>
      <c r="D216" s="4" t="s">
        <v>1457</v>
      </c>
      <c r="E216" s="4" t="s">
        <v>61</v>
      </c>
      <c r="F216" s="4" t="s">
        <v>1456</v>
      </c>
      <c r="G216" s="4" t="s">
        <v>1456</v>
      </c>
      <c r="H216" s="4"/>
      <c r="I216" s="4"/>
      <c r="J216" s="4" t="s">
        <v>59</v>
      </c>
      <c r="K216" s="4" t="s">
        <v>58</v>
      </c>
      <c r="L216" s="4" t="s">
        <v>57</v>
      </c>
      <c r="M216" s="4" t="s">
        <v>32</v>
      </c>
      <c r="N216" s="4" t="s">
        <v>266</v>
      </c>
      <c r="O216" s="4" t="s">
        <v>55</v>
      </c>
      <c r="P216" s="4" t="s">
        <v>54</v>
      </c>
      <c r="Q216" s="5">
        <v>90000</v>
      </c>
      <c r="R216" s="10">
        <v>0</v>
      </c>
      <c r="S216" s="9">
        <f t="shared" si="8"/>
        <v>90000</v>
      </c>
      <c r="T216" s="4" t="s">
        <v>53</v>
      </c>
      <c r="U216" s="4" t="s">
        <v>121</v>
      </c>
      <c r="V216" s="4"/>
      <c r="W216" s="4">
        <v>-6</v>
      </c>
      <c r="X216" s="4" t="s">
        <v>94</v>
      </c>
      <c r="Y216" s="4"/>
      <c r="Z216" s="7" t="s">
        <v>14</v>
      </c>
      <c r="AA216" s="36" t="s">
        <v>22</v>
      </c>
      <c r="AB216" s="4" t="s">
        <v>2835</v>
      </c>
      <c r="AC216" s="22">
        <f t="shared" si="7"/>
        <v>35.294117647058826</v>
      </c>
      <c r="AD216" s="23">
        <v>0</v>
      </c>
    </row>
    <row r="217" spans="1:30" x14ac:dyDescent="0.35">
      <c r="A217" s="7">
        <v>240</v>
      </c>
      <c r="B217" s="6">
        <v>45822</v>
      </c>
      <c r="C217" s="6">
        <v>45822</v>
      </c>
      <c r="D217" s="4" t="s">
        <v>1455</v>
      </c>
      <c r="E217" s="4" t="s">
        <v>61</v>
      </c>
      <c r="F217" s="4" t="s">
        <v>1454</v>
      </c>
      <c r="G217" s="4" t="s">
        <v>1454</v>
      </c>
      <c r="H217" s="4"/>
      <c r="I217" s="4"/>
      <c r="J217" s="4" t="s">
        <v>59</v>
      </c>
      <c r="K217" s="4" t="s">
        <v>58</v>
      </c>
      <c r="L217" s="4" t="s">
        <v>57</v>
      </c>
      <c r="M217" s="4" t="s">
        <v>32</v>
      </c>
      <c r="N217" s="4" t="s">
        <v>266</v>
      </c>
      <c r="O217" s="4" t="s">
        <v>55</v>
      </c>
      <c r="P217" s="4" t="s">
        <v>54</v>
      </c>
      <c r="Q217" s="5">
        <v>9960417.5800000001</v>
      </c>
      <c r="R217" s="10">
        <v>0</v>
      </c>
      <c r="S217" s="9">
        <f t="shared" si="8"/>
        <v>9960417.5800000001</v>
      </c>
      <c r="T217" s="4" t="s">
        <v>53</v>
      </c>
      <c r="U217" s="4" t="s">
        <v>1204</v>
      </c>
      <c r="V217" s="4"/>
      <c r="W217" s="4">
        <v>-220</v>
      </c>
      <c r="X217" s="4" t="s">
        <v>94</v>
      </c>
      <c r="Y217" s="4"/>
      <c r="Z217" s="7" t="s">
        <v>14</v>
      </c>
      <c r="AA217" s="36" t="s">
        <v>22</v>
      </c>
      <c r="AB217" s="4" t="s">
        <v>2835</v>
      </c>
      <c r="AC217" s="22">
        <f t="shared" si="7"/>
        <v>3906.0461098039218</v>
      </c>
      <c r="AD217" s="23">
        <v>0</v>
      </c>
    </row>
    <row r="218" spans="1:30" x14ac:dyDescent="0.35">
      <c r="A218" s="7">
        <v>241</v>
      </c>
      <c r="B218" s="6">
        <v>45822</v>
      </c>
      <c r="C218" s="6">
        <v>45822</v>
      </c>
      <c r="D218" s="4" t="s">
        <v>1453</v>
      </c>
      <c r="E218" s="4" t="s">
        <v>61</v>
      </c>
      <c r="F218" s="4" t="s">
        <v>1452</v>
      </c>
      <c r="G218" s="4" t="s">
        <v>1452</v>
      </c>
      <c r="H218" s="4"/>
      <c r="I218" s="4"/>
      <c r="J218" s="4" t="s">
        <v>59</v>
      </c>
      <c r="K218" s="4" t="s">
        <v>58</v>
      </c>
      <c r="L218" s="4" t="s">
        <v>57</v>
      </c>
      <c r="M218" s="4" t="s">
        <v>32</v>
      </c>
      <c r="N218" s="4" t="s">
        <v>266</v>
      </c>
      <c r="O218" s="4" t="s">
        <v>55</v>
      </c>
      <c r="P218" s="4" t="s">
        <v>54</v>
      </c>
      <c r="Q218" s="5">
        <v>21985.19</v>
      </c>
      <c r="R218" s="10">
        <v>0</v>
      </c>
      <c r="S218" s="9">
        <f t="shared" si="8"/>
        <v>21985.19</v>
      </c>
      <c r="T218" s="4" t="s">
        <v>53</v>
      </c>
      <c r="U218" s="4" t="s">
        <v>320</v>
      </c>
      <c r="V218" s="4"/>
      <c r="W218" s="4">
        <v>-40</v>
      </c>
      <c r="X218" s="4" t="s">
        <v>94</v>
      </c>
      <c r="Y218" s="4"/>
      <c r="Z218" s="7" t="s">
        <v>14</v>
      </c>
      <c r="AA218" s="36" t="s">
        <v>22</v>
      </c>
      <c r="AB218" s="4" t="s">
        <v>2835</v>
      </c>
      <c r="AC218" s="22">
        <f t="shared" si="7"/>
        <v>8.6216431372549014</v>
      </c>
      <c r="AD218" s="23">
        <v>0</v>
      </c>
    </row>
    <row r="219" spans="1:30" x14ac:dyDescent="0.35">
      <c r="A219" s="7">
        <v>242</v>
      </c>
      <c r="B219" s="6">
        <v>45822</v>
      </c>
      <c r="C219" s="6">
        <v>45822</v>
      </c>
      <c r="D219" s="4" t="s">
        <v>1451</v>
      </c>
      <c r="E219" s="4" t="s">
        <v>61</v>
      </c>
      <c r="F219" s="4" t="s">
        <v>1450</v>
      </c>
      <c r="G219" s="4" t="s">
        <v>1450</v>
      </c>
      <c r="H219" s="4"/>
      <c r="I219" s="4"/>
      <c r="J219" s="4" t="s">
        <v>59</v>
      </c>
      <c r="K219" s="4" t="s">
        <v>58</v>
      </c>
      <c r="L219" s="4" t="s">
        <v>57</v>
      </c>
      <c r="M219" s="4" t="s">
        <v>32</v>
      </c>
      <c r="N219" s="4" t="s">
        <v>266</v>
      </c>
      <c r="O219" s="4" t="s">
        <v>55</v>
      </c>
      <c r="P219" s="4" t="s">
        <v>54</v>
      </c>
      <c r="Q219" s="5">
        <v>122925.28</v>
      </c>
      <c r="R219" s="10">
        <v>0</v>
      </c>
      <c r="S219" s="9">
        <f t="shared" si="8"/>
        <v>122925.28</v>
      </c>
      <c r="T219" s="4" t="s">
        <v>53</v>
      </c>
      <c r="U219" s="4" t="s">
        <v>271</v>
      </c>
      <c r="V219" s="4"/>
      <c r="W219" s="4">
        <v>-30</v>
      </c>
      <c r="X219" s="4" t="s">
        <v>124</v>
      </c>
      <c r="Y219" s="4"/>
      <c r="Z219" s="7" t="s">
        <v>14</v>
      </c>
      <c r="AA219" s="36" t="s">
        <v>22</v>
      </c>
      <c r="AB219" s="4" t="s">
        <v>2835</v>
      </c>
      <c r="AC219" s="22">
        <f t="shared" si="7"/>
        <v>48.205992156862742</v>
      </c>
      <c r="AD219" s="23">
        <v>0</v>
      </c>
    </row>
    <row r="220" spans="1:30" x14ac:dyDescent="0.35">
      <c r="A220" s="7">
        <v>243</v>
      </c>
      <c r="B220" s="6">
        <v>45822</v>
      </c>
      <c r="C220" s="6">
        <v>45822</v>
      </c>
      <c r="D220" s="4" t="s">
        <v>1449</v>
      </c>
      <c r="E220" s="4" t="s">
        <v>61</v>
      </c>
      <c r="F220" s="4" t="s">
        <v>1448</v>
      </c>
      <c r="G220" s="4" t="s">
        <v>1448</v>
      </c>
      <c r="H220" s="4"/>
      <c r="I220" s="4"/>
      <c r="J220" s="4" t="s">
        <v>59</v>
      </c>
      <c r="K220" s="4" t="s">
        <v>58</v>
      </c>
      <c r="L220" s="4" t="s">
        <v>57</v>
      </c>
      <c r="M220" s="4" t="s">
        <v>32</v>
      </c>
      <c r="N220" s="4" t="s">
        <v>266</v>
      </c>
      <c r="O220" s="4" t="s">
        <v>55</v>
      </c>
      <c r="P220" s="4" t="s">
        <v>54</v>
      </c>
      <c r="Q220" s="5">
        <v>60000</v>
      </c>
      <c r="R220" s="10">
        <v>0</v>
      </c>
      <c r="S220" s="9">
        <f t="shared" si="8"/>
        <v>60000</v>
      </c>
      <c r="T220" s="4" t="s">
        <v>53</v>
      </c>
      <c r="U220" s="4" t="s">
        <v>121</v>
      </c>
      <c r="V220" s="4"/>
      <c r="W220" s="4">
        <v>-4</v>
      </c>
      <c r="X220" s="4" t="s">
        <v>94</v>
      </c>
      <c r="Y220" s="4"/>
      <c r="Z220" s="7" t="s">
        <v>14</v>
      </c>
      <c r="AA220" s="36" t="s">
        <v>22</v>
      </c>
      <c r="AB220" s="4" t="s">
        <v>2835</v>
      </c>
      <c r="AC220" s="22">
        <f t="shared" si="7"/>
        <v>23.529411764705884</v>
      </c>
      <c r="AD220" s="23">
        <v>0</v>
      </c>
    </row>
    <row r="221" spans="1:30" x14ac:dyDescent="0.35">
      <c r="A221" s="7">
        <v>244</v>
      </c>
      <c r="B221" s="6">
        <v>45822</v>
      </c>
      <c r="C221" s="6">
        <v>45822</v>
      </c>
      <c r="D221" s="4" t="s">
        <v>1447</v>
      </c>
      <c r="E221" s="4" t="s">
        <v>61</v>
      </c>
      <c r="F221" s="4" t="s">
        <v>1446</v>
      </c>
      <c r="G221" s="4" t="s">
        <v>1446</v>
      </c>
      <c r="H221" s="4"/>
      <c r="I221" s="4"/>
      <c r="J221" s="4" t="s">
        <v>59</v>
      </c>
      <c r="K221" s="4" t="s">
        <v>58</v>
      </c>
      <c r="L221" s="4" t="s">
        <v>57</v>
      </c>
      <c r="M221" s="4" t="s">
        <v>32</v>
      </c>
      <c r="N221" s="4" t="s">
        <v>266</v>
      </c>
      <c r="O221" s="4" t="s">
        <v>55</v>
      </c>
      <c r="P221" s="4" t="s">
        <v>54</v>
      </c>
      <c r="Q221" s="5">
        <v>150000</v>
      </c>
      <c r="R221" s="10">
        <v>0</v>
      </c>
      <c r="S221" s="9">
        <f t="shared" si="8"/>
        <v>150000</v>
      </c>
      <c r="T221" s="4" t="s">
        <v>53</v>
      </c>
      <c r="U221" s="4" t="s">
        <v>121</v>
      </c>
      <c r="V221" s="4"/>
      <c r="W221" s="4">
        <v>-10</v>
      </c>
      <c r="X221" s="4" t="s">
        <v>94</v>
      </c>
      <c r="Y221" s="4"/>
      <c r="Z221" s="7" t="s">
        <v>14</v>
      </c>
      <c r="AA221" s="36" t="s">
        <v>22</v>
      </c>
      <c r="AB221" s="4" t="s">
        <v>2835</v>
      </c>
      <c r="AC221" s="22">
        <f t="shared" si="7"/>
        <v>58.823529411764703</v>
      </c>
      <c r="AD221" s="23">
        <v>0</v>
      </c>
    </row>
    <row r="222" spans="1:30" x14ac:dyDescent="0.35">
      <c r="A222" s="7">
        <v>245</v>
      </c>
      <c r="B222" s="6">
        <v>45822</v>
      </c>
      <c r="C222" s="6">
        <v>45822</v>
      </c>
      <c r="D222" s="4" t="s">
        <v>1445</v>
      </c>
      <c r="E222" s="4" t="s">
        <v>61</v>
      </c>
      <c r="F222" s="4" t="s">
        <v>1444</v>
      </c>
      <c r="G222" s="4" t="s">
        <v>1444</v>
      </c>
      <c r="H222" s="4"/>
      <c r="I222" s="4"/>
      <c r="J222" s="4" t="s">
        <v>59</v>
      </c>
      <c r="K222" s="4" t="s">
        <v>58</v>
      </c>
      <c r="L222" s="4" t="s">
        <v>57</v>
      </c>
      <c r="M222" s="4" t="s">
        <v>32</v>
      </c>
      <c r="N222" s="4" t="s">
        <v>266</v>
      </c>
      <c r="O222" s="4" t="s">
        <v>68</v>
      </c>
      <c r="P222" s="4" t="s">
        <v>54</v>
      </c>
      <c r="Q222" s="5">
        <v>22838.97</v>
      </c>
      <c r="R222" s="10">
        <v>0</v>
      </c>
      <c r="S222" s="9">
        <f t="shared" si="8"/>
        <v>22838.97</v>
      </c>
      <c r="T222" s="4" t="s">
        <v>53</v>
      </c>
      <c r="U222" s="4" t="s">
        <v>117</v>
      </c>
      <c r="V222" s="4"/>
      <c r="W222" s="4">
        <v>-7</v>
      </c>
      <c r="X222" s="4" t="s">
        <v>94</v>
      </c>
      <c r="Y222" s="4"/>
      <c r="Z222" s="7" t="s">
        <v>14</v>
      </c>
      <c r="AA222" s="36" t="s">
        <v>22</v>
      </c>
      <c r="AB222" s="4" t="s">
        <v>2835</v>
      </c>
      <c r="AC222" s="22">
        <f t="shared" si="7"/>
        <v>8.9564588235294114</v>
      </c>
      <c r="AD222" s="23">
        <v>0</v>
      </c>
    </row>
    <row r="223" spans="1:30" x14ac:dyDescent="0.35">
      <c r="A223" s="7">
        <v>246</v>
      </c>
      <c r="B223" s="6">
        <v>45824.387372685182</v>
      </c>
      <c r="C223" s="6">
        <v>45824</v>
      </c>
      <c r="D223" s="7" t="s">
        <v>2367</v>
      </c>
      <c r="E223" s="7" t="s">
        <v>1331</v>
      </c>
      <c r="F223" s="7" t="s">
        <v>2366</v>
      </c>
      <c r="G223" s="7" t="s">
        <v>2365</v>
      </c>
      <c r="H223" s="7" t="s">
        <v>2364</v>
      </c>
      <c r="I223" s="7" t="s">
        <v>2363</v>
      </c>
      <c r="J223" s="7" t="s">
        <v>1816</v>
      </c>
      <c r="K223" s="7" t="s">
        <v>1815</v>
      </c>
      <c r="L223" s="7" t="s">
        <v>1905</v>
      </c>
      <c r="M223" s="7" t="s">
        <v>22</v>
      </c>
      <c r="N223" s="7" t="s">
        <v>266</v>
      </c>
      <c r="O223" s="7" t="s">
        <v>68</v>
      </c>
      <c r="P223" s="7" t="s">
        <v>68</v>
      </c>
      <c r="Q223" s="9">
        <v>600000</v>
      </c>
      <c r="R223" s="9">
        <v>0</v>
      </c>
      <c r="S223" s="9">
        <f t="shared" si="8"/>
        <v>600000</v>
      </c>
      <c r="T223" s="4" t="s">
        <v>53</v>
      </c>
      <c r="U223" s="7" t="s">
        <v>2357</v>
      </c>
      <c r="V223" s="7" t="s">
        <v>2356</v>
      </c>
      <c r="W223" s="9">
        <v>1</v>
      </c>
      <c r="X223" s="7" t="s">
        <v>94</v>
      </c>
      <c r="Y223" s="7"/>
      <c r="Z223" s="7" t="s">
        <v>14</v>
      </c>
      <c r="AA223" s="36" t="s">
        <v>22</v>
      </c>
      <c r="AB223" s="4" t="s">
        <v>2835</v>
      </c>
      <c r="AC223" s="22">
        <f t="shared" si="7"/>
        <v>235.29411764705881</v>
      </c>
      <c r="AD223" s="23">
        <v>0</v>
      </c>
    </row>
    <row r="224" spans="1:30" x14ac:dyDescent="0.35">
      <c r="A224" s="7">
        <v>247</v>
      </c>
      <c r="B224" s="6">
        <v>45824.350949074076</v>
      </c>
      <c r="C224" s="6">
        <v>45824</v>
      </c>
      <c r="D224" s="7" t="s">
        <v>2362</v>
      </c>
      <c r="E224" s="7" t="s">
        <v>1331</v>
      </c>
      <c r="F224" s="7" t="s">
        <v>2361</v>
      </c>
      <c r="G224" s="7" t="s">
        <v>2360</v>
      </c>
      <c r="H224" s="7" t="s">
        <v>2359</v>
      </c>
      <c r="I224" s="7" t="s">
        <v>2358</v>
      </c>
      <c r="J224" s="7" t="s">
        <v>1816</v>
      </c>
      <c r="K224" s="7" t="s">
        <v>1815</v>
      </c>
      <c r="L224" s="7" t="s">
        <v>1905</v>
      </c>
      <c r="M224" s="7" t="s">
        <v>22</v>
      </c>
      <c r="N224" s="7" t="s">
        <v>266</v>
      </c>
      <c r="O224" s="7" t="s">
        <v>68</v>
      </c>
      <c r="P224" s="7" t="s">
        <v>68</v>
      </c>
      <c r="Q224" s="9">
        <v>400000</v>
      </c>
      <c r="R224" s="9">
        <v>0</v>
      </c>
      <c r="S224" s="9">
        <f t="shared" si="8"/>
        <v>400000</v>
      </c>
      <c r="T224" s="4" t="s">
        <v>53</v>
      </c>
      <c r="U224" s="7" t="s">
        <v>2357</v>
      </c>
      <c r="V224" s="7" t="s">
        <v>2356</v>
      </c>
      <c r="W224" s="9">
        <v>1</v>
      </c>
      <c r="X224" s="7" t="s">
        <v>94</v>
      </c>
      <c r="Y224" s="7"/>
      <c r="Z224" s="7" t="s">
        <v>14</v>
      </c>
      <c r="AA224" s="36" t="s">
        <v>22</v>
      </c>
      <c r="AB224" s="4" t="s">
        <v>2835</v>
      </c>
      <c r="AC224" s="22">
        <f t="shared" si="7"/>
        <v>156.86274509803923</v>
      </c>
      <c r="AD224" s="23">
        <v>0</v>
      </c>
    </row>
    <row r="225" spans="1:30" x14ac:dyDescent="0.35">
      <c r="A225" s="7">
        <v>248</v>
      </c>
      <c r="B225" s="6">
        <v>45824.279872685183</v>
      </c>
      <c r="C225" s="6">
        <v>45824</v>
      </c>
      <c r="D225" s="7" t="s">
        <v>2355</v>
      </c>
      <c r="E225" s="7" t="s">
        <v>1331</v>
      </c>
      <c r="F225" s="7" t="s">
        <v>2354</v>
      </c>
      <c r="G225" s="7" t="s">
        <v>2353</v>
      </c>
      <c r="H225" s="7" t="s">
        <v>2352</v>
      </c>
      <c r="I225" s="7" t="s">
        <v>2351</v>
      </c>
      <c r="J225" s="7" t="s">
        <v>1816</v>
      </c>
      <c r="K225" s="7" t="s">
        <v>1815</v>
      </c>
      <c r="L225" s="7" t="s">
        <v>1883</v>
      </c>
      <c r="M225" s="7" t="s">
        <v>17</v>
      </c>
      <c r="N225" s="7" t="s">
        <v>1504</v>
      </c>
      <c r="O225" s="7" t="s">
        <v>68</v>
      </c>
      <c r="P225" s="7" t="s">
        <v>68</v>
      </c>
      <c r="Q225" s="9">
        <v>159706471.5</v>
      </c>
      <c r="R225" s="9">
        <v>0</v>
      </c>
      <c r="S225" s="9">
        <f t="shared" si="8"/>
        <v>159706471.5</v>
      </c>
      <c r="T225" s="4" t="s">
        <v>53</v>
      </c>
      <c r="U225" s="7" t="s">
        <v>1890</v>
      </c>
      <c r="V225" s="7" t="s">
        <v>1823</v>
      </c>
      <c r="W225" s="9">
        <v>1</v>
      </c>
      <c r="X225" s="7" t="s">
        <v>1889</v>
      </c>
      <c r="Y225" s="7"/>
      <c r="Z225" s="7" t="s">
        <v>14</v>
      </c>
      <c r="AA225" s="36" t="s">
        <v>17</v>
      </c>
      <c r="AB225" s="4" t="s">
        <v>2602</v>
      </c>
      <c r="AC225" s="22">
        <f t="shared" si="7"/>
        <v>62629.988823529413</v>
      </c>
      <c r="AD225" s="23">
        <v>0</v>
      </c>
    </row>
    <row r="226" spans="1:30" x14ac:dyDescent="0.35">
      <c r="A226" s="7">
        <v>249</v>
      </c>
      <c r="B226" s="6">
        <v>45824.278287037036</v>
      </c>
      <c r="C226" s="6">
        <v>45824</v>
      </c>
      <c r="D226" s="7" t="s">
        <v>2350</v>
      </c>
      <c r="E226" s="7" t="s">
        <v>1331</v>
      </c>
      <c r="F226" s="7" t="s">
        <v>2349</v>
      </c>
      <c r="G226" s="7" t="s">
        <v>2348</v>
      </c>
      <c r="H226" s="7" t="s">
        <v>2347</v>
      </c>
      <c r="I226" s="7" t="s">
        <v>2346</v>
      </c>
      <c r="J226" s="7" t="s">
        <v>1816</v>
      </c>
      <c r="K226" s="7" t="s">
        <v>1815</v>
      </c>
      <c r="L226" s="7" t="s">
        <v>1905</v>
      </c>
      <c r="M226" s="7" t="s">
        <v>22</v>
      </c>
      <c r="N226" s="7" t="s">
        <v>266</v>
      </c>
      <c r="O226" s="7" t="s">
        <v>1065</v>
      </c>
      <c r="P226" s="7" t="s">
        <v>54</v>
      </c>
      <c r="Q226" s="9">
        <v>35449524</v>
      </c>
      <c r="R226" s="9">
        <v>0</v>
      </c>
      <c r="S226" s="9">
        <f t="shared" si="8"/>
        <v>35449524</v>
      </c>
      <c r="T226" s="4" t="s">
        <v>53</v>
      </c>
      <c r="U226" s="7" t="s">
        <v>1890</v>
      </c>
      <c r="V226" s="7" t="s">
        <v>1823</v>
      </c>
      <c r="W226" s="9">
        <v>1</v>
      </c>
      <c r="X226" s="7" t="s">
        <v>1889</v>
      </c>
      <c r="Y226" s="7"/>
      <c r="Z226" s="7" t="s">
        <v>14</v>
      </c>
      <c r="AA226" s="36" t="s">
        <v>22</v>
      </c>
      <c r="AB226" s="4" t="s">
        <v>2835</v>
      </c>
      <c r="AC226" s="22">
        <f t="shared" si="7"/>
        <v>13901.774117647059</v>
      </c>
      <c r="AD226" s="23">
        <v>0</v>
      </c>
    </row>
    <row r="227" spans="1:30" x14ac:dyDescent="0.35">
      <c r="A227" s="7">
        <v>250</v>
      </c>
      <c r="B227" s="6">
        <v>45824</v>
      </c>
      <c r="C227" s="6">
        <v>45824</v>
      </c>
      <c r="D227" s="4" t="s">
        <v>1443</v>
      </c>
      <c r="E227" s="4" t="s">
        <v>61</v>
      </c>
      <c r="F227" s="4" t="s">
        <v>1442</v>
      </c>
      <c r="G227" s="4" t="s">
        <v>1442</v>
      </c>
      <c r="H227" s="4"/>
      <c r="I227" s="4"/>
      <c r="J227" s="4" t="s">
        <v>59</v>
      </c>
      <c r="K227" s="4" t="s">
        <v>58</v>
      </c>
      <c r="L227" s="4" t="s">
        <v>57</v>
      </c>
      <c r="M227" s="4" t="s">
        <v>32</v>
      </c>
      <c r="N227" s="4" t="s">
        <v>266</v>
      </c>
      <c r="O227" s="4" t="s">
        <v>55</v>
      </c>
      <c r="P227" s="4" t="s">
        <v>54</v>
      </c>
      <c r="Q227" s="5">
        <v>122925.28</v>
      </c>
      <c r="R227" s="10">
        <v>0</v>
      </c>
      <c r="S227" s="9">
        <f t="shared" si="8"/>
        <v>122925.28</v>
      </c>
      <c r="T227" s="4" t="s">
        <v>53</v>
      </c>
      <c r="U227" s="4" t="s">
        <v>271</v>
      </c>
      <c r="V227" s="4"/>
      <c r="W227" s="4">
        <v>-30</v>
      </c>
      <c r="X227" s="4" t="s">
        <v>124</v>
      </c>
      <c r="Y227" s="4"/>
      <c r="Z227" s="7" t="s">
        <v>14</v>
      </c>
      <c r="AA227" s="36" t="s">
        <v>22</v>
      </c>
      <c r="AB227" s="4" t="s">
        <v>2835</v>
      </c>
      <c r="AC227" s="22">
        <f t="shared" si="7"/>
        <v>48.205992156862742</v>
      </c>
      <c r="AD227" s="23">
        <v>0</v>
      </c>
    </row>
    <row r="228" spans="1:30" x14ac:dyDescent="0.35">
      <c r="A228" s="7">
        <v>251</v>
      </c>
      <c r="B228" s="6">
        <v>45824</v>
      </c>
      <c r="C228" s="6">
        <v>45824</v>
      </c>
      <c r="D228" s="4" t="s">
        <v>1441</v>
      </c>
      <c r="E228" s="4" t="s">
        <v>61</v>
      </c>
      <c r="F228" s="4" t="s">
        <v>1440</v>
      </c>
      <c r="G228" s="4" t="s">
        <v>1440</v>
      </c>
      <c r="H228" s="4"/>
      <c r="I228" s="4"/>
      <c r="J228" s="4" t="s">
        <v>59</v>
      </c>
      <c r="K228" s="4" t="s">
        <v>58</v>
      </c>
      <c r="L228" s="4" t="s">
        <v>57</v>
      </c>
      <c r="M228" s="4" t="s">
        <v>32</v>
      </c>
      <c r="N228" s="4" t="s">
        <v>266</v>
      </c>
      <c r="O228" s="4" t="s">
        <v>55</v>
      </c>
      <c r="P228" s="4" t="s">
        <v>54</v>
      </c>
      <c r="Q228" s="5">
        <v>16313.55</v>
      </c>
      <c r="R228" s="10">
        <v>0</v>
      </c>
      <c r="S228" s="9">
        <f t="shared" si="8"/>
        <v>16313.55</v>
      </c>
      <c r="T228" s="4" t="s">
        <v>53</v>
      </c>
      <c r="U228" s="4" t="s">
        <v>117</v>
      </c>
      <c r="V228" s="4"/>
      <c r="W228" s="4">
        <v>-5</v>
      </c>
      <c r="X228" s="4" t="s">
        <v>94</v>
      </c>
      <c r="Y228" s="4"/>
      <c r="Z228" s="7" t="s">
        <v>14</v>
      </c>
      <c r="AA228" s="36" t="s">
        <v>22</v>
      </c>
      <c r="AB228" s="4" t="s">
        <v>2835</v>
      </c>
      <c r="AC228" s="22">
        <f t="shared" si="7"/>
        <v>6.3974705882352936</v>
      </c>
      <c r="AD228" s="23">
        <v>0</v>
      </c>
    </row>
    <row r="229" spans="1:30" x14ac:dyDescent="0.35">
      <c r="A229" s="7">
        <v>252</v>
      </c>
      <c r="B229" s="6">
        <v>45824</v>
      </c>
      <c r="C229" s="6">
        <v>45824</v>
      </c>
      <c r="D229" s="4" t="s">
        <v>1439</v>
      </c>
      <c r="E229" s="4" t="s">
        <v>61</v>
      </c>
      <c r="F229" s="4" t="s">
        <v>1438</v>
      </c>
      <c r="G229" s="4" t="s">
        <v>1438</v>
      </c>
      <c r="H229" s="4"/>
      <c r="I229" s="4"/>
      <c r="J229" s="4" t="s">
        <v>59</v>
      </c>
      <c r="K229" s="4" t="s">
        <v>58</v>
      </c>
      <c r="L229" s="4" t="s">
        <v>57</v>
      </c>
      <c r="M229" s="4" t="s">
        <v>32</v>
      </c>
      <c r="N229" s="4" t="s">
        <v>266</v>
      </c>
      <c r="O229" s="4" t="s">
        <v>55</v>
      </c>
      <c r="P229" s="4" t="s">
        <v>54</v>
      </c>
      <c r="Q229" s="5">
        <v>120000</v>
      </c>
      <c r="R229" s="10">
        <v>0</v>
      </c>
      <c r="S229" s="9">
        <f t="shared" si="8"/>
        <v>120000</v>
      </c>
      <c r="T229" s="4" t="s">
        <v>53</v>
      </c>
      <c r="U229" s="4" t="s">
        <v>121</v>
      </c>
      <c r="V229" s="4"/>
      <c r="W229" s="4">
        <v>-8</v>
      </c>
      <c r="X229" s="4" t="s">
        <v>94</v>
      </c>
      <c r="Y229" s="4"/>
      <c r="Z229" s="7" t="s">
        <v>14</v>
      </c>
      <c r="AA229" s="36" t="s">
        <v>22</v>
      </c>
      <c r="AB229" s="4" t="s">
        <v>2835</v>
      </c>
      <c r="AC229" s="22">
        <f t="shared" si="7"/>
        <v>47.058823529411768</v>
      </c>
      <c r="AD229" s="23">
        <v>0</v>
      </c>
    </row>
    <row r="230" spans="1:30" hidden="1" x14ac:dyDescent="0.35">
      <c r="A230" s="7">
        <v>253</v>
      </c>
      <c r="B230" s="6">
        <v>45824</v>
      </c>
      <c r="C230" s="6">
        <v>45824</v>
      </c>
      <c r="D230" s="4" t="s">
        <v>1437</v>
      </c>
      <c r="E230" s="4" t="s">
        <v>1050</v>
      </c>
      <c r="F230" s="4"/>
      <c r="G230" s="4" t="s">
        <v>1436</v>
      </c>
      <c r="H230" s="4"/>
      <c r="I230" s="4"/>
      <c r="J230" s="4" t="s">
        <v>1048</v>
      </c>
      <c r="K230" s="4" t="s">
        <v>58</v>
      </c>
      <c r="L230" s="4" t="s">
        <v>1059</v>
      </c>
      <c r="M230" s="4" t="s">
        <v>39</v>
      </c>
      <c r="N230" s="4" t="s">
        <v>211</v>
      </c>
      <c r="O230" s="4" t="s">
        <v>210</v>
      </c>
      <c r="P230" s="4" t="s">
        <v>210</v>
      </c>
      <c r="Q230" s="5">
        <v>350000</v>
      </c>
      <c r="R230" s="10">
        <v>0</v>
      </c>
      <c r="S230" s="9">
        <f t="shared" si="8"/>
        <v>350000</v>
      </c>
      <c r="T230" s="4" t="s">
        <v>53</v>
      </c>
      <c r="U230" s="4"/>
      <c r="V230" s="4"/>
      <c r="W230" s="4">
        <v>1</v>
      </c>
      <c r="X230" s="4"/>
      <c r="Y230" s="4"/>
      <c r="Z230" s="7" t="s">
        <v>14</v>
      </c>
      <c r="AA230" s="36" t="s">
        <v>30</v>
      </c>
      <c r="AB230" s="4"/>
      <c r="AC230" s="22">
        <f t="shared" si="7"/>
        <v>137.25490196078431</v>
      </c>
      <c r="AD230" s="23">
        <v>0</v>
      </c>
    </row>
    <row r="231" spans="1:30" x14ac:dyDescent="0.35">
      <c r="A231" s="7">
        <v>254</v>
      </c>
      <c r="B231" s="6">
        <v>45825</v>
      </c>
      <c r="C231" s="6">
        <v>45825</v>
      </c>
      <c r="D231" s="4" t="s">
        <v>1435</v>
      </c>
      <c r="E231" s="4" t="s">
        <v>61</v>
      </c>
      <c r="F231" s="4" t="s">
        <v>1434</v>
      </c>
      <c r="G231" s="4" t="s">
        <v>1434</v>
      </c>
      <c r="H231" s="4"/>
      <c r="I231" s="4"/>
      <c r="J231" s="4" t="s">
        <v>59</v>
      </c>
      <c r="K231" s="4" t="s">
        <v>58</v>
      </c>
      <c r="L231" s="4" t="s">
        <v>57</v>
      </c>
      <c r="M231" s="4" t="s">
        <v>32</v>
      </c>
      <c r="N231" s="4" t="s">
        <v>266</v>
      </c>
      <c r="O231" s="4" t="s">
        <v>55</v>
      </c>
      <c r="P231" s="4" t="s">
        <v>54</v>
      </c>
      <c r="Q231" s="5">
        <v>122925.28</v>
      </c>
      <c r="R231" s="10">
        <v>0</v>
      </c>
      <c r="S231" s="9">
        <f t="shared" si="8"/>
        <v>122925.28</v>
      </c>
      <c r="T231" s="4" t="s">
        <v>53</v>
      </c>
      <c r="U231" s="4" t="s">
        <v>271</v>
      </c>
      <c r="V231" s="4"/>
      <c r="W231" s="4">
        <v>-30</v>
      </c>
      <c r="X231" s="4" t="s">
        <v>124</v>
      </c>
      <c r="Y231" s="4"/>
      <c r="Z231" s="7" t="s">
        <v>14</v>
      </c>
      <c r="AA231" s="36" t="s">
        <v>22</v>
      </c>
      <c r="AB231" s="4" t="s">
        <v>2835</v>
      </c>
      <c r="AC231" s="22">
        <f t="shared" si="7"/>
        <v>48.205992156862742</v>
      </c>
      <c r="AD231" s="23">
        <v>0</v>
      </c>
    </row>
    <row r="232" spans="1:30" x14ac:dyDescent="0.35">
      <c r="A232" s="7">
        <v>255</v>
      </c>
      <c r="B232" s="6">
        <v>45825</v>
      </c>
      <c r="C232" s="6">
        <v>45825</v>
      </c>
      <c r="D232" s="4" t="s">
        <v>1433</v>
      </c>
      <c r="E232" s="4" t="s">
        <v>61</v>
      </c>
      <c r="F232" s="4" t="s">
        <v>1432</v>
      </c>
      <c r="G232" s="4" t="s">
        <v>1432</v>
      </c>
      <c r="H232" s="4"/>
      <c r="I232" s="4"/>
      <c r="J232" s="4" t="s">
        <v>59</v>
      </c>
      <c r="K232" s="4" t="s">
        <v>58</v>
      </c>
      <c r="L232" s="4" t="s">
        <v>57</v>
      </c>
      <c r="M232" s="4" t="s">
        <v>32</v>
      </c>
      <c r="N232" s="4" t="s">
        <v>266</v>
      </c>
      <c r="O232" s="4" t="s">
        <v>55</v>
      </c>
      <c r="P232" s="4" t="s">
        <v>54</v>
      </c>
      <c r="Q232" s="5">
        <v>16313.55</v>
      </c>
      <c r="R232" s="10">
        <v>0</v>
      </c>
      <c r="S232" s="9">
        <f t="shared" si="8"/>
        <v>16313.55</v>
      </c>
      <c r="T232" s="4" t="s">
        <v>53</v>
      </c>
      <c r="U232" s="4" t="s">
        <v>117</v>
      </c>
      <c r="V232" s="4"/>
      <c r="W232" s="4">
        <v>-5</v>
      </c>
      <c r="X232" s="4" t="s">
        <v>94</v>
      </c>
      <c r="Y232" s="4"/>
      <c r="Z232" s="7" t="s">
        <v>14</v>
      </c>
      <c r="AA232" s="36" t="s">
        <v>22</v>
      </c>
      <c r="AB232" s="4" t="s">
        <v>2835</v>
      </c>
      <c r="AC232" s="22">
        <f t="shared" si="7"/>
        <v>6.3974705882352936</v>
      </c>
      <c r="AD232" s="23">
        <v>0</v>
      </c>
    </row>
    <row r="233" spans="1:30" x14ac:dyDescent="0.35">
      <c r="A233" s="7">
        <v>256</v>
      </c>
      <c r="B233" s="6">
        <v>45825</v>
      </c>
      <c r="C233" s="6">
        <v>45825</v>
      </c>
      <c r="D233" s="4" t="s">
        <v>1431</v>
      </c>
      <c r="E233" s="4" t="s">
        <v>61</v>
      </c>
      <c r="F233" s="4" t="s">
        <v>1430</v>
      </c>
      <c r="G233" s="4" t="s">
        <v>1430</v>
      </c>
      <c r="H233" s="4"/>
      <c r="I233" s="4"/>
      <c r="J233" s="4" t="s">
        <v>59</v>
      </c>
      <c r="K233" s="4" t="s">
        <v>58</v>
      </c>
      <c r="L233" s="4" t="s">
        <v>57</v>
      </c>
      <c r="M233" s="4" t="s">
        <v>32</v>
      </c>
      <c r="N233" s="4" t="s">
        <v>266</v>
      </c>
      <c r="O233" s="4" t="s">
        <v>55</v>
      </c>
      <c r="P233" s="4" t="s">
        <v>54</v>
      </c>
      <c r="Q233" s="5">
        <v>90000</v>
      </c>
      <c r="R233" s="10">
        <v>0</v>
      </c>
      <c r="S233" s="9">
        <f t="shared" si="8"/>
        <v>90000</v>
      </c>
      <c r="T233" s="4" t="s">
        <v>53</v>
      </c>
      <c r="U233" s="4" t="s">
        <v>121</v>
      </c>
      <c r="V233" s="4"/>
      <c r="W233" s="4">
        <v>-6</v>
      </c>
      <c r="X233" s="4" t="s">
        <v>94</v>
      </c>
      <c r="Y233" s="4"/>
      <c r="Z233" s="7" t="s">
        <v>14</v>
      </c>
      <c r="AA233" s="36" t="s">
        <v>22</v>
      </c>
      <c r="AB233" s="4" t="s">
        <v>2835</v>
      </c>
      <c r="AC233" s="22">
        <f t="shared" si="7"/>
        <v>35.294117647058826</v>
      </c>
      <c r="AD233" s="23">
        <v>0</v>
      </c>
    </row>
    <row r="234" spans="1:30" x14ac:dyDescent="0.35">
      <c r="A234" s="7">
        <v>257</v>
      </c>
      <c r="B234" s="6">
        <v>45825</v>
      </c>
      <c r="C234" s="6">
        <v>45825</v>
      </c>
      <c r="D234" s="4" t="s">
        <v>1429</v>
      </c>
      <c r="E234" s="4" t="s">
        <v>61</v>
      </c>
      <c r="F234" s="4" t="s">
        <v>1428</v>
      </c>
      <c r="G234" s="4" t="s">
        <v>1428</v>
      </c>
      <c r="H234" s="4"/>
      <c r="I234" s="4"/>
      <c r="J234" s="4" t="s">
        <v>59</v>
      </c>
      <c r="K234" s="4" t="s">
        <v>58</v>
      </c>
      <c r="L234" s="4" t="s">
        <v>57</v>
      </c>
      <c r="M234" s="4" t="s">
        <v>32</v>
      </c>
      <c r="N234" s="4" t="s">
        <v>317</v>
      </c>
      <c r="O234" s="4" t="s">
        <v>68</v>
      </c>
      <c r="P234" s="4" t="s">
        <v>54</v>
      </c>
      <c r="Q234" s="5">
        <v>48383.26</v>
      </c>
      <c r="R234" s="10">
        <v>0</v>
      </c>
      <c r="S234" s="9">
        <f t="shared" si="8"/>
        <v>48383.26</v>
      </c>
      <c r="T234" s="4" t="s">
        <v>53</v>
      </c>
      <c r="U234" s="4" t="s">
        <v>282</v>
      </c>
      <c r="V234" s="4"/>
      <c r="W234" s="4">
        <v>-1</v>
      </c>
      <c r="X234" s="4" t="s">
        <v>94</v>
      </c>
      <c r="Y234" s="4"/>
      <c r="Z234" s="7" t="s">
        <v>14</v>
      </c>
      <c r="AA234" s="36" t="s">
        <v>23</v>
      </c>
      <c r="AB234" s="4" t="s">
        <v>2607</v>
      </c>
      <c r="AC234" s="22">
        <f t="shared" si="7"/>
        <v>18.973827450980394</v>
      </c>
      <c r="AD234" s="23">
        <v>0</v>
      </c>
    </row>
    <row r="235" spans="1:30" x14ac:dyDescent="0.35">
      <c r="A235" s="7">
        <v>258</v>
      </c>
      <c r="B235" s="6">
        <v>45825</v>
      </c>
      <c r="C235" s="6">
        <v>45825</v>
      </c>
      <c r="D235" s="4" t="s">
        <v>1427</v>
      </c>
      <c r="E235" s="4" t="s">
        <v>61</v>
      </c>
      <c r="F235" s="4" t="s">
        <v>1426</v>
      </c>
      <c r="G235" s="4" t="s">
        <v>1426</v>
      </c>
      <c r="H235" s="4"/>
      <c r="I235" s="4"/>
      <c r="J235" s="4" t="s">
        <v>59</v>
      </c>
      <c r="K235" s="4" t="s">
        <v>58</v>
      </c>
      <c r="L235" s="4" t="s">
        <v>57</v>
      </c>
      <c r="M235" s="4" t="s">
        <v>32</v>
      </c>
      <c r="N235" s="4" t="s">
        <v>317</v>
      </c>
      <c r="O235" s="4" t="s">
        <v>68</v>
      </c>
      <c r="P235" s="4" t="s">
        <v>54</v>
      </c>
      <c r="Q235" s="5">
        <v>60000</v>
      </c>
      <c r="R235" s="10">
        <v>0</v>
      </c>
      <c r="S235" s="9">
        <f t="shared" si="8"/>
        <v>60000</v>
      </c>
      <c r="T235" s="4" t="s">
        <v>53</v>
      </c>
      <c r="U235" s="4" t="s">
        <v>121</v>
      </c>
      <c r="V235" s="4"/>
      <c r="W235" s="4">
        <v>-4</v>
      </c>
      <c r="X235" s="4" t="s">
        <v>94</v>
      </c>
      <c r="Y235" s="4"/>
      <c r="Z235" s="7" t="s">
        <v>14</v>
      </c>
      <c r="AA235" s="36" t="s">
        <v>23</v>
      </c>
      <c r="AB235" s="4" t="s">
        <v>2607</v>
      </c>
      <c r="AC235" s="22">
        <f t="shared" ref="AC235:AC298" si="9">+S235/$AC$1</f>
        <v>23.529411764705884</v>
      </c>
      <c r="AD235" s="23">
        <v>0</v>
      </c>
    </row>
    <row r="236" spans="1:30" x14ac:dyDescent="0.35">
      <c r="A236" s="7">
        <v>259</v>
      </c>
      <c r="B236" s="6">
        <v>45826</v>
      </c>
      <c r="C236" s="6">
        <v>45826</v>
      </c>
      <c r="D236" s="4" t="s">
        <v>1425</v>
      </c>
      <c r="E236" s="4" t="s">
        <v>61</v>
      </c>
      <c r="F236" s="4" t="s">
        <v>1424</v>
      </c>
      <c r="G236" s="4" t="s">
        <v>1424</v>
      </c>
      <c r="H236" s="4"/>
      <c r="I236" s="4"/>
      <c r="J236" s="4" t="s">
        <v>59</v>
      </c>
      <c r="K236" s="4" t="s">
        <v>58</v>
      </c>
      <c r="L236" s="4" t="s">
        <v>57</v>
      </c>
      <c r="M236" s="4" t="s">
        <v>32</v>
      </c>
      <c r="N236" s="4" t="s">
        <v>317</v>
      </c>
      <c r="O236" s="4" t="s">
        <v>68</v>
      </c>
      <c r="P236" s="4" t="s">
        <v>54</v>
      </c>
      <c r="Q236" s="5">
        <v>37700</v>
      </c>
      <c r="R236" s="10">
        <v>0</v>
      </c>
      <c r="S236" s="9">
        <f t="shared" si="8"/>
        <v>37700</v>
      </c>
      <c r="T236" s="4" t="s">
        <v>53</v>
      </c>
      <c r="U236" s="4" t="s">
        <v>545</v>
      </c>
      <c r="V236" s="4"/>
      <c r="W236" s="4">
        <v>-130</v>
      </c>
      <c r="X236" s="4" t="s">
        <v>94</v>
      </c>
      <c r="Y236" s="4"/>
      <c r="Z236" s="7" t="s">
        <v>14</v>
      </c>
      <c r="AA236" s="36" t="s">
        <v>23</v>
      </c>
      <c r="AB236" s="4" t="s">
        <v>2607</v>
      </c>
      <c r="AC236" s="22">
        <f t="shared" si="9"/>
        <v>14.784313725490197</v>
      </c>
      <c r="AD236" s="23">
        <v>0</v>
      </c>
    </row>
    <row r="237" spans="1:30" x14ac:dyDescent="0.35">
      <c r="A237" s="7">
        <v>260</v>
      </c>
      <c r="B237" s="6">
        <v>45826</v>
      </c>
      <c r="C237" s="6">
        <v>45826</v>
      </c>
      <c r="D237" s="4" t="s">
        <v>1423</v>
      </c>
      <c r="E237" s="4" t="s">
        <v>61</v>
      </c>
      <c r="F237" s="4" t="s">
        <v>1422</v>
      </c>
      <c r="G237" s="4" t="s">
        <v>1422</v>
      </c>
      <c r="H237" s="4"/>
      <c r="I237" s="4"/>
      <c r="J237" s="4" t="s">
        <v>59</v>
      </c>
      <c r="K237" s="4" t="s">
        <v>58</v>
      </c>
      <c r="L237" s="4" t="s">
        <v>57</v>
      </c>
      <c r="M237" s="4" t="s">
        <v>32</v>
      </c>
      <c r="N237" s="4" t="s">
        <v>317</v>
      </c>
      <c r="O237" s="4" t="s">
        <v>68</v>
      </c>
      <c r="P237" s="4" t="s">
        <v>54</v>
      </c>
      <c r="Q237" s="5">
        <v>90000</v>
      </c>
      <c r="R237" s="10">
        <v>0</v>
      </c>
      <c r="S237" s="9">
        <f t="shared" si="8"/>
        <v>90000</v>
      </c>
      <c r="T237" s="4" t="s">
        <v>53</v>
      </c>
      <c r="U237" s="4" t="s">
        <v>121</v>
      </c>
      <c r="V237" s="4"/>
      <c r="W237" s="4">
        <v>-6</v>
      </c>
      <c r="X237" s="4" t="s">
        <v>94</v>
      </c>
      <c r="Y237" s="4"/>
      <c r="Z237" s="7" t="s">
        <v>14</v>
      </c>
      <c r="AA237" s="36" t="s">
        <v>23</v>
      </c>
      <c r="AB237" s="4" t="s">
        <v>2607</v>
      </c>
      <c r="AC237" s="22">
        <f t="shared" si="9"/>
        <v>35.294117647058826</v>
      </c>
      <c r="AD237" s="23">
        <v>0</v>
      </c>
    </row>
    <row r="238" spans="1:30" x14ac:dyDescent="0.35">
      <c r="A238" s="7">
        <v>261</v>
      </c>
      <c r="B238" s="6">
        <v>45826</v>
      </c>
      <c r="C238" s="6">
        <v>45826</v>
      </c>
      <c r="D238" s="4" t="s">
        <v>1421</v>
      </c>
      <c r="E238" s="4" t="s">
        <v>61</v>
      </c>
      <c r="F238" s="4" t="s">
        <v>1420</v>
      </c>
      <c r="G238" s="4" t="s">
        <v>1420</v>
      </c>
      <c r="H238" s="4"/>
      <c r="I238" s="4"/>
      <c r="J238" s="4" t="s">
        <v>59</v>
      </c>
      <c r="K238" s="4" t="s">
        <v>58</v>
      </c>
      <c r="L238" s="4" t="s">
        <v>57</v>
      </c>
      <c r="M238" s="4" t="s">
        <v>32</v>
      </c>
      <c r="N238" s="4" t="s">
        <v>266</v>
      </c>
      <c r="O238" s="4" t="s">
        <v>55</v>
      </c>
      <c r="P238" s="4" t="s">
        <v>54</v>
      </c>
      <c r="Q238" s="5">
        <v>122925.28</v>
      </c>
      <c r="R238" s="10">
        <v>0</v>
      </c>
      <c r="S238" s="9">
        <f t="shared" si="8"/>
        <v>122925.28</v>
      </c>
      <c r="T238" s="4" t="s">
        <v>53</v>
      </c>
      <c r="U238" s="4" t="s">
        <v>271</v>
      </c>
      <c r="V238" s="4"/>
      <c r="W238" s="4">
        <v>-30</v>
      </c>
      <c r="X238" s="4" t="s">
        <v>124</v>
      </c>
      <c r="Y238" s="4"/>
      <c r="Z238" s="7" t="s">
        <v>14</v>
      </c>
      <c r="AA238" s="36" t="s">
        <v>22</v>
      </c>
      <c r="AB238" s="4" t="s">
        <v>2835</v>
      </c>
      <c r="AC238" s="22">
        <f t="shared" si="9"/>
        <v>48.205992156862742</v>
      </c>
      <c r="AD238" s="23">
        <v>0</v>
      </c>
    </row>
    <row r="239" spans="1:30" x14ac:dyDescent="0.35">
      <c r="A239" s="7">
        <v>262</v>
      </c>
      <c r="B239" s="6">
        <v>45826</v>
      </c>
      <c r="C239" s="6">
        <v>45826</v>
      </c>
      <c r="D239" s="4" t="s">
        <v>1419</v>
      </c>
      <c r="E239" s="4" t="s">
        <v>61</v>
      </c>
      <c r="F239" s="4" t="s">
        <v>1418</v>
      </c>
      <c r="G239" s="4" t="s">
        <v>1418</v>
      </c>
      <c r="H239" s="4"/>
      <c r="I239" s="4"/>
      <c r="J239" s="4" t="s">
        <v>59</v>
      </c>
      <c r="K239" s="4" t="s">
        <v>58</v>
      </c>
      <c r="L239" s="4" t="s">
        <v>57</v>
      </c>
      <c r="M239" s="4" t="s">
        <v>32</v>
      </c>
      <c r="N239" s="4" t="s">
        <v>266</v>
      </c>
      <c r="O239" s="4" t="s">
        <v>55</v>
      </c>
      <c r="P239" s="4" t="s">
        <v>54</v>
      </c>
      <c r="Q239" s="5">
        <v>16313.55</v>
      </c>
      <c r="R239" s="10">
        <v>0</v>
      </c>
      <c r="S239" s="9">
        <f t="shared" si="8"/>
        <v>16313.55</v>
      </c>
      <c r="T239" s="4" t="s">
        <v>53</v>
      </c>
      <c r="U239" s="4" t="s">
        <v>117</v>
      </c>
      <c r="V239" s="4"/>
      <c r="W239" s="4">
        <v>-5</v>
      </c>
      <c r="X239" s="4" t="s">
        <v>94</v>
      </c>
      <c r="Y239" s="4"/>
      <c r="Z239" s="7" t="s">
        <v>14</v>
      </c>
      <c r="AA239" s="36" t="s">
        <v>22</v>
      </c>
      <c r="AB239" s="4" t="s">
        <v>2835</v>
      </c>
      <c r="AC239" s="22">
        <f t="shared" si="9"/>
        <v>6.3974705882352936</v>
      </c>
      <c r="AD239" s="23">
        <v>0</v>
      </c>
    </row>
    <row r="240" spans="1:30" x14ac:dyDescent="0.35">
      <c r="A240" s="7">
        <v>263</v>
      </c>
      <c r="B240" s="6">
        <v>45826</v>
      </c>
      <c r="C240" s="6">
        <v>45826</v>
      </c>
      <c r="D240" s="4" t="s">
        <v>1417</v>
      </c>
      <c r="E240" s="4" t="s">
        <v>61</v>
      </c>
      <c r="F240" s="4" t="s">
        <v>1416</v>
      </c>
      <c r="G240" s="4" t="s">
        <v>1416</v>
      </c>
      <c r="H240" s="4"/>
      <c r="I240" s="4"/>
      <c r="J240" s="4" t="s">
        <v>59</v>
      </c>
      <c r="K240" s="4" t="s">
        <v>58</v>
      </c>
      <c r="L240" s="4" t="s">
        <v>57</v>
      </c>
      <c r="M240" s="4" t="s">
        <v>32</v>
      </c>
      <c r="N240" s="4" t="s">
        <v>266</v>
      </c>
      <c r="O240" s="4" t="s">
        <v>55</v>
      </c>
      <c r="P240" s="4" t="s">
        <v>54</v>
      </c>
      <c r="Q240" s="5">
        <v>120000</v>
      </c>
      <c r="R240" s="10">
        <v>0</v>
      </c>
      <c r="S240" s="9">
        <f t="shared" si="8"/>
        <v>120000</v>
      </c>
      <c r="T240" s="4" t="s">
        <v>53</v>
      </c>
      <c r="U240" s="4" t="s">
        <v>121</v>
      </c>
      <c r="V240" s="4"/>
      <c r="W240" s="4">
        <v>-8</v>
      </c>
      <c r="X240" s="4" t="s">
        <v>94</v>
      </c>
      <c r="Y240" s="4"/>
      <c r="Z240" s="7" t="s">
        <v>14</v>
      </c>
      <c r="AA240" s="36" t="s">
        <v>22</v>
      </c>
      <c r="AB240" s="4" t="s">
        <v>2835</v>
      </c>
      <c r="AC240" s="22">
        <f t="shared" si="9"/>
        <v>47.058823529411768</v>
      </c>
      <c r="AD240" s="23">
        <v>0</v>
      </c>
    </row>
    <row r="241" spans="1:30" x14ac:dyDescent="0.35">
      <c r="A241" s="7">
        <v>264</v>
      </c>
      <c r="B241" s="6">
        <v>45827</v>
      </c>
      <c r="C241" s="6">
        <v>45827</v>
      </c>
      <c r="D241" s="4" t="s">
        <v>1415</v>
      </c>
      <c r="E241" s="4" t="s">
        <v>61</v>
      </c>
      <c r="F241" s="4" t="s">
        <v>1414</v>
      </c>
      <c r="G241" s="4" t="s">
        <v>1414</v>
      </c>
      <c r="H241" s="4"/>
      <c r="I241" s="4"/>
      <c r="J241" s="4" t="s">
        <v>59</v>
      </c>
      <c r="K241" s="4" t="s">
        <v>58</v>
      </c>
      <c r="L241" s="4" t="s">
        <v>57</v>
      </c>
      <c r="M241" s="4" t="s">
        <v>32</v>
      </c>
      <c r="N241" s="4" t="s">
        <v>266</v>
      </c>
      <c r="O241" s="4" t="s">
        <v>55</v>
      </c>
      <c r="P241" s="4" t="s">
        <v>54</v>
      </c>
      <c r="Q241" s="5">
        <v>15614.69</v>
      </c>
      <c r="R241" s="10">
        <v>0</v>
      </c>
      <c r="S241" s="9">
        <f t="shared" si="8"/>
        <v>15614.69</v>
      </c>
      <c r="T241" s="4" t="s">
        <v>53</v>
      </c>
      <c r="U241" s="4" t="s">
        <v>409</v>
      </c>
      <c r="V241" s="4"/>
      <c r="W241" s="4">
        <v>-16</v>
      </c>
      <c r="X241" s="4" t="s">
        <v>94</v>
      </c>
      <c r="Y241" s="4"/>
      <c r="Z241" s="7" t="s">
        <v>14</v>
      </c>
      <c r="AA241" s="36" t="s">
        <v>22</v>
      </c>
      <c r="AB241" s="4" t="s">
        <v>2835</v>
      </c>
      <c r="AC241" s="22">
        <f t="shared" si="9"/>
        <v>6.1234078431372554</v>
      </c>
      <c r="AD241" s="23">
        <v>0</v>
      </c>
    </row>
    <row r="242" spans="1:30" x14ac:dyDescent="0.35">
      <c r="A242" s="7">
        <v>265</v>
      </c>
      <c r="B242" s="6">
        <v>45827</v>
      </c>
      <c r="C242" s="6">
        <v>45827</v>
      </c>
      <c r="D242" s="4" t="s">
        <v>1413</v>
      </c>
      <c r="E242" s="4" t="s">
        <v>61</v>
      </c>
      <c r="F242" s="4" t="s">
        <v>1412</v>
      </c>
      <c r="G242" s="4" t="s">
        <v>1412</v>
      </c>
      <c r="H242" s="4"/>
      <c r="I242" s="4"/>
      <c r="J242" s="4" t="s">
        <v>59</v>
      </c>
      <c r="K242" s="4" t="s">
        <v>58</v>
      </c>
      <c r="L242" s="4" t="s">
        <v>57</v>
      </c>
      <c r="M242" s="4" t="s">
        <v>32</v>
      </c>
      <c r="N242" s="4" t="s">
        <v>266</v>
      </c>
      <c r="O242" s="4" t="s">
        <v>55</v>
      </c>
      <c r="P242" s="4" t="s">
        <v>54</v>
      </c>
      <c r="Q242" s="5">
        <v>102437.75</v>
      </c>
      <c r="R242" s="10">
        <v>0</v>
      </c>
      <c r="S242" s="9">
        <f t="shared" si="8"/>
        <v>102437.75</v>
      </c>
      <c r="T242" s="4" t="s">
        <v>53</v>
      </c>
      <c r="U242" s="4" t="s">
        <v>271</v>
      </c>
      <c r="V242" s="4"/>
      <c r="W242" s="4">
        <v>-25</v>
      </c>
      <c r="X242" s="4" t="s">
        <v>124</v>
      </c>
      <c r="Y242" s="4"/>
      <c r="Z242" s="7" t="s">
        <v>14</v>
      </c>
      <c r="AA242" s="36" t="s">
        <v>22</v>
      </c>
      <c r="AB242" s="4" t="s">
        <v>2835</v>
      </c>
      <c r="AC242" s="22">
        <f t="shared" si="9"/>
        <v>40.171666666666667</v>
      </c>
      <c r="AD242" s="23">
        <v>0</v>
      </c>
    </row>
    <row r="243" spans="1:30" hidden="1" x14ac:dyDescent="0.35">
      <c r="A243" s="7">
        <v>266</v>
      </c>
      <c r="B243" s="6">
        <v>45828</v>
      </c>
      <c r="C243" s="6">
        <v>45828</v>
      </c>
      <c r="D243" s="7" t="s">
        <v>1760</v>
      </c>
      <c r="E243" s="7" t="s">
        <v>61</v>
      </c>
      <c r="F243" s="7" t="s">
        <v>1759</v>
      </c>
      <c r="G243" s="7" t="s">
        <v>1759</v>
      </c>
      <c r="H243" s="7"/>
      <c r="I243" s="7"/>
      <c r="J243" s="7" t="s">
        <v>59</v>
      </c>
      <c r="K243" s="7" t="s">
        <v>58</v>
      </c>
      <c r="L243" s="7" t="s">
        <v>325</v>
      </c>
      <c r="M243" s="7" t="s">
        <v>33</v>
      </c>
      <c r="N243" s="17" t="s">
        <v>118</v>
      </c>
      <c r="O243" s="7" t="s">
        <v>1065</v>
      </c>
      <c r="P243" s="7" t="s">
        <v>126</v>
      </c>
      <c r="Q243" s="9">
        <v>73880.86</v>
      </c>
      <c r="R243" s="9">
        <v>0</v>
      </c>
      <c r="S243" s="9">
        <f t="shared" si="8"/>
        <v>73880.86</v>
      </c>
      <c r="T243" s="4" t="s">
        <v>53</v>
      </c>
      <c r="U243" s="7" t="s">
        <v>1758</v>
      </c>
      <c r="V243" s="4"/>
      <c r="W243" s="9">
        <v>-1</v>
      </c>
      <c r="X243" s="7" t="s">
        <v>94</v>
      </c>
      <c r="Y243" s="7"/>
      <c r="Z243" s="7" t="s">
        <v>7</v>
      </c>
      <c r="AA243" s="37" t="s">
        <v>10</v>
      </c>
      <c r="AB243" s="16">
        <v>0</v>
      </c>
      <c r="AC243" s="22">
        <f t="shared" si="9"/>
        <v>28.972886274509804</v>
      </c>
      <c r="AD243" s="23">
        <v>0</v>
      </c>
    </row>
    <row r="244" spans="1:30" x14ac:dyDescent="0.35">
      <c r="A244" s="7">
        <v>267</v>
      </c>
      <c r="B244" s="6">
        <v>45829</v>
      </c>
      <c r="C244" s="6">
        <v>45829</v>
      </c>
      <c r="D244" s="4" t="s">
        <v>1411</v>
      </c>
      <c r="E244" s="4" t="s">
        <v>61</v>
      </c>
      <c r="F244" s="4" t="s">
        <v>1410</v>
      </c>
      <c r="G244" s="4" t="s">
        <v>1410</v>
      </c>
      <c r="H244" s="4"/>
      <c r="I244" s="4"/>
      <c r="J244" s="4" t="s">
        <v>59</v>
      </c>
      <c r="K244" s="4" t="s">
        <v>58</v>
      </c>
      <c r="L244" s="4" t="s">
        <v>57</v>
      </c>
      <c r="M244" s="4" t="s">
        <v>32</v>
      </c>
      <c r="N244" s="4" t="s">
        <v>266</v>
      </c>
      <c r="O244" s="4" t="s">
        <v>68</v>
      </c>
      <c r="P244" s="4" t="s">
        <v>54</v>
      </c>
      <c r="Q244" s="5">
        <v>1000000</v>
      </c>
      <c r="R244" s="10">
        <v>0</v>
      </c>
      <c r="S244" s="9">
        <f t="shared" si="8"/>
        <v>1000000</v>
      </c>
      <c r="T244" s="4" t="s">
        <v>53</v>
      </c>
      <c r="U244" s="4" t="s">
        <v>610</v>
      </c>
      <c r="V244" s="4"/>
      <c r="W244" s="4">
        <v>-4</v>
      </c>
      <c r="X244" s="4" t="s">
        <v>94</v>
      </c>
      <c r="Y244" s="4"/>
      <c r="Z244" s="7" t="s">
        <v>14</v>
      </c>
      <c r="AA244" s="36" t="s">
        <v>22</v>
      </c>
      <c r="AB244" s="4" t="s">
        <v>2835</v>
      </c>
      <c r="AC244" s="22">
        <f t="shared" si="9"/>
        <v>392.15686274509807</v>
      </c>
      <c r="AD244" s="23">
        <v>0</v>
      </c>
    </row>
    <row r="245" spans="1:30" x14ac:dyDescent="0.35">
      <c r="A245" s="7">
        <v>268</v>
      </c>
      <c r="B245" s="6">
        <v>45829</v>
      </c>
      <c r="C245" s="6">
        <v>45829</v>
      </c>
      <c r="D245" s="4" t="s">
        <v>1409</v>
      </c>
      <c r="E245" s="4" t="s">
        <v>61</v>
      </c>
      <c r="F245" s="4" t="s">
        <v>1408</v>
      </c>
      <c r="G245" s="4" t="s">
        <v>1408</v>
      </c>
      <c r="H245" s="4"/>
      <c r="I245" s="4"/>
      <c r="J245" s="4" t="s">
        <v>59</v>
      </c>
      <c r="K245" s="4" t="s">
        <v>58</v>
      </c>
      <c r="L245" s="4" t="s">
        <v>57</v>
      </c>
      <c r="M245" s="4" t="s">
        <v>32</v>
      </c>
      <c r="N245" s="4" t="s">
        <v>266</v>
      </c>
      <c r="O245" s="4" t="s">
        <v>68</v>
      </c>
      <c r="P245" s="4" t="s">
        <v>54</v>
      </c>
      <c r="Q245" s="5">
        <v>163900.38</v>
      </c>
      <c r="R245" s="10">
        <v>0</v>
      </c>
      <c r="S245" s="9">
        <f t="shared" si="8"/>
        <v>163900.38</v>
      </c>
      <c r="T245" s="4" t="s">
        <v>53</v>
      </c>
      <c r="U245" s="4" t="s">
        <v>271</v>
      </c>
      <c r="V245" s="4"/>
      <c r="W245" s="4">
        <v>-40</v>
      </c>
      <c r="X245" s="4" t="s">
        <v>124</v>
      </c>
      <c r="Y245" s="4"/>
      <c r="Z245" s="7" t="s">
        <v>14</v>
      </c>
      <c r="AA245" s="36" t="s">
        <v>22</v>
      </c>
      <c r="AB245" s="4" t="s">
        <v>2835</v>
      </c>
      <c r="AC245" s="22">
        <f t="shared" si="9"/>
        <v>64.274658823529407</v>
      </c>
      <c r="AD245" s="23">
        <v>0</v>
      </c>
    </row>
    <row r="246" spans="1:30" x14ac:dyDescent="0.35">
      <c r="A246" s="7">
        <v>269</v>
      </c>
      <c r="B246" s="6">
        <v>45829</v>
      </c>
      <c r="C246" s="6">
        <v>45829</v>
      </c>
      <c r="D246" s="4" t="s">
        <v>1407</v>
      </c>
      <c r="E246" s="4" t="s">
        <v>61</v>
      </c>
      <c r="F246" s="4" t="s">
        <v>1406</v>
      </c>
      <c r="G246" s="4" t="s">
        <v>1406</v>
      </c>
      <c r="H246" s="4"/>
      <c r="I246" s="4"/>
      <c r="J246" s="4" t="s">
        <v>59</v>
      </c>
      <c r="K246" s="4" t="s">
        <v>58</v>
      </c>
      <c r="L246" s="4" t="s">
        <v>57</v>
      </c>
      <c r="M246" s="4" t="s">
        <v>32</v>
      </c>
      <c r="N246" s="4" t="s">
        <v>266</v>
      </c>
      <c r="O246" s="4" t="s">
        <v>68</v>
      </c>
      <c r="P246" s="4" t="s">
        <v>54</v>
      </c>
      <c r="Q246" s="5">
        <v>16313.55</v>
      </c>
      <c r="R246" s="10">
        <v>0</v>
      </c>
      <c r="S246" s="9">
        <f t="shared" si="8"/>
        <v>16313.55</v>
      </c>
      <c r="T246" s="4" t="s">
        <v>53</v>
      </c>
      <c r="U246" s="4" t="s">
        <v>117</v>
      </c>
      <c r="V246" s="4"/>
      <c r="W246" s="4">
        <v>-5</v>
      </c>
      <c r="X246" s="4" t="s">
        <v>94</v>
      </c>
      <c r="Y246" s="4"/>
      <c r="Z246" s="7" t="s">
        <v>14</v>
      </c>
      <c r="AA246" s="36" t="s">
        <v>22</v>
      </c>
      <c r="AB246" s="4" t="s">
        <v>2835</v>
      </c>
      <c r="AC246" s="22">
        <f t="shared" si="9"/>
        <v>6.3974705882352936</v>
      </c>
      <c r="AD246" s="23">
        <v>0</v>
      </c>
    </row>
    <row r="247" spans="1:30" x14ac:dyDescent="0.35">
      <c r="A247" s="7">
        <v>270</v>
      </c>
      <c r="B247" s="6">
        <v>45829</v>
      </c>
      <c r="C247" s="6">
        <v>45829</v>
      </c>
      <c r="D247" s="4" t="s">
        <v>1405</v>
      </c>
      <c r="E247" s="4" t="s">
        <v>61</v>
      </c>
      <c r="F247" s="4" t="s">
        <v>1404</v>
      </c>
      <c r="G247" s="4" t="s">
        <v>1404</v>
      </c>
      <c r="H247" s="4"/>
      <c r="I247" s="4"/>
      <c r="J247" s="4" t="s">
        <v>59</v>
      </c>
      <c r="K247" s="4" t="s">
        <v>58</v>
      </c>
      <c r="L247" s="4" t="s">
        <v>57</v>
      </c>
      <c r="M247" s="4" t="s">
        <v>32</v>
      </c>
      <c r="N247" s="4" t="s">
        <v>266</v>
      </c>
      <c r="O247" s="4" t="s">
        <v>68</v>
      </c>
      <c r="P247" s="4" t="s">
        <v>54</v>
      </c>
      <c r="Q247" s="5">
        <v>95999.99</v>
      </c>
      <c r="R247" s="10">
        <v>0</v>
      </c>
      <c r="S247" s="9">
        <f t="shared" si="8"/>
        <v>95999.99</v>
      </c>
      <c r="T247" s="4" t="s">
        <v>53</v>
      </c>
      <c r="U247" s="4" t="s">
        <v>282</v>
      </c>
      <c r="V247" s="4"/>
      <c r="W247" s="4">
        <v>-2</v>
      </c>
      <c r="X247" s="4" t="s">
        <v>94</v>
      </c>
      <c r="Y247" s="4"/>
      <c r="Z247" s="7" t="s">
        <v>14</v>
      </c>
      <c r="AA247" s="36" t="s">
        <v>22</v>
      </c>
      <c r="AB247" s="4" t="s">
        <v>2835</v>
      </c>
      <c r="AC247" s="22">
        <f t="shared" si="9"/>
        <v>37.647054901960786</v>
      </c>
      <c r="AD247" s="23">
        <v>0</v>
      </c>
    </row>
    <row r="248" spans="1:30" x14ac:dyDescent="0.35">
      <c r="A248" s="7">
        <v>271</v>
      </c>
      <c r="B248" s="6">
        <v>45829</v>
      </c>
      <c r="C248" s="6">
        <v>45829</v>
      </c>
      <c r="D248" s="4" t="s">
        <v>1403</v>
      </c>
      <c r="E248" s="4" t="s">
        <v>61</v>
      </c>
      <c r="F248" s="4" t="s">
        <v>1402</v>
      </c>
      <c r="G248" s="4" t="s">
        <v>1402</v>
      </c>
      <c r="H248" s="4"/>
      <c r="I248" s="4"/>
      <c r="J248" s="4" t="s">
        <v>59</v>
      </c>
      <c r="K248" s="4" t="s">
        <v>58</v>
      </c>
      <c r="L248" s="4" t="s">
        <v>57</v>
      </c>
      <c r="M248" s="4" t="s">
        <v>32</v>
      </c>
      <c r="N248" s="4" t="s">
        <v>266</v>
      </c>
      <c r="O248" s="4" t="s">
        <v>68</v>
      </c>
      <c r="P248" s="4" t="s">
        <v>54</v>
      </c>
      <c r="Q248" s="5">
        <v>150000</v>
      </c>
      <c r="R248" s="10">
        <v>0</v>
      </c>
      <c r="S248" s="9">
        <f t="shared" si="8"/>
        <v>150000</v>
      </c>
      <c r="T248" s="4" t="s">
        <v>53</v>
      </c>
      <c r="U248" s="4" t="s">
        <v>121</v>
      </c>
      <c r="V248" s="4"/>
      <c r="W248" s="4">
        <v>-10</v>
      </c>
      <c r="X248" s="4" t="s">
        <v>94</v>
      </c>
      <c r="Y248" s="4"/>
      <c r="Z248" s="7" t="s">
        <v>14</v>
      </c>
      <c r="AA248" s="36" t="s">
        <v>22</v>
      </c>
      <c r="AB248" s="4" t="s">
        <v>2835</v>
      </c>
      <c r="AC248" s="22">
        <f t="shared" si="9"/>
        <v>58.823529411764703</v>
      </c>
      <c r="AD248" s="23">
        <v>0</v>
      </c>
    </row>
    <row r="249" spans="1:30" x14ac:dyDescent="0.35">
      <c r="A249" s="7">
        <v>272</v>
      </c>
      <c r="B249" s="6">
        <v>45829</v>
      </c>
      <c r="C249" s="6">
        <v>45829</v>
      </c>
      <c r="D249" s="4" t="s">
        <v>1401</v>
      </c>
      <c r="E249" s="4" t="s">
        <v>61</v>
      </c>
      <c r="F249" s="4" t="s">
        <v>1400</v>
      </c>
      <c r="G249" s="4" t="s">
        <v>1400</v>
      </c>
      <c r="H249" s="4"/>
      <c r="I249" s="4"/>
      <c r="J249" s="4" t="s">
        <v>59</v>
      </c>
      <c r="K249" s="4" t="s">
        <v>58</v>
      </c>
      <c r="L249" s="4" t="s">
        <v>57</v>
      </c>
      <c r="M249" s="4" t="s">
        <v>32</v>
      </c>
      <c r="N249" s="4" t="s">
        <v>266</v>
      </c>
      <c r="O249" s="4" t="s">
        <v>68</v>
      </c>
      <c r="P249" s="4" t="s">
        <v>54</v>
      </c>
      <c r="Q249" s="5">
        <v>500000</v>
      </c>
      <c r="R249" s="10">
        <v>0</v>
      </c>
      <c r="S249" s="9">
        <f t="shared" si="8"/>
        <v>500000</v>
      </c>
      <c r="T249" s="4" t="s">
        <v>53</v>
      </c>
      <c r="U249" s="4" t="s">
        <v>610</v>
      </c>
      <c r="V249" s="4"/>
      <c r="W249" s="4">
        <v>-2</v>
      </c>
      <c r="X249" s="4" t="s">
        <v>94</v>
      </c>
      <c r="Y249" s="4"/>
      <c r="Z249" s="7" t="s">
        <v>14</v>
      </c>
      <c r="AA249" s="36" t="s">
        <v>22</v>
      </c>
      <c r="AB249" s="4" t="s">
        <v>2835</v>
      </c>
      <c r="AC249" s="22">
        <f t="shared" si="9"/>
        <v>196.07843137254903</v>
      </c>
      <c r="AD249" s="23">
        <v>0</v>
      </c>
    </row>
    <row r="250" spans="1:30" x14ac:dyDescent="0.35">
      <c r="A250" s="7">
        <v>273</v>
      </c>
      <c r="B250" s="6">
        <v>45829</v>
      </c>
      <c r="C250" s="6">
        <v>45829</v>
      </c>
      <c r="D250" s="4" t="s">
        <v>1399</v>
      </c>
      <c r="E250" s="4" t="s">
        <v>61</v>
      </c>
      <c r="F250" s="4" t="s">
        <v>1398</v>
      </c>
      <c r="G250" s="4" t="s">
        <v>1398</v>
      </c>
      <c r="H250" s="4"/>
      <c r="I250" s="4"/>
      <c r="J250" s="4" t="s">
        <v>59</v>
      </c>
      <c r="K250" s="4" t="s">
        <v>58</v>
      </c>
      <c r="L250" s="4" t="s">
        <v>57</v>
      </c>
      <c r="M250" s="4" t="s">
        <v>32</v>
      </c>
      <c r="N250" s="4" t="s">
        <v>266</v>
      </c>
      <c r="O250" s="4" t="s">
        <v>68</v>
      </c>
      <c r="P250" s="4" t="s">
        <v>54</v>
      </c>
      <c r="Q250" s="5">
        <v>69283.960000000006</v>
      </c>
      <c r="R250" s="10">
        <v>0</v>
      </c>
      <c r="S250" s="9">
        <f t="shared" si="8"/>
        <v>69283.960000000006</v>
      </c>
      <c r="T250" s="4" t="s">
        <v>53</v>
      </c>
      <c r="U250" s="4" t="s">
        <v>1333</v>
      </c>
      <c r="V250" s="4"/>
      <c r="W250" s="4">
        <v>-30</v>
      </c>
      <c r="X250" s="4" t="s">
        <v>94</v>
      </c>
      <c r="Y250" s="4"/>
      <c r="Z250" s="7" t="s">
        <v>14</v>
      </c>
      <c r="AA250" s="36" t="s">
        <v>22</v>
      </c>
      <c r="AB250" s="4" t="s">
        <v>2835</v>
      </c>
      <c r="AC250" s="22">
        <f t="shared" si="9"/>
        <v>27.170180392156865</v>
      </c>
      <c r="AD250" s="23">
        <v>0</v>
      </c>
    </row>
    <row r="251" spans="1:30" x14ac:dyDescent="0.35">
      <c r="A251" s="7">
        <v>274</v>
      </c>
      <c r="B251" s="6">
        <v>45829</v>
      </c>
      <c r="C251" s="6">
        <v>45829</v>
      </c>
      <c r="D251" s="4" t="s">
        <v>1397</v>
      </c>
      <c r="E251" s="4" t="s">
        <v>61</v>
      </c>
      <c r="F251" s="4" t="s">
        <v>1396</v>
      </c>
      <c r="G251" s="4" t="s">
        <v>1396</v>
      </c>
      <c r="H251" s="4"/>
      <c r="I251" s="4"/>
      <c r="J251" s="4" t="s">
        <v>59</v>
      </c>
      <c r="K251" s="4" t="s">
        <v>58</v>
      </c>
      <c r="L251" s="4" t="s">
        <v>57</v>
      </c>
      <c r="M251" s="4" t="s">
        <v>32</v>
      </c>
      <c r="N251" s="4" t="s">
        <v>266</v>
      </c>
      <c r="O251" s="4" t="s">
        <v>68</v>
      </c>
      <c r="P251" s="4" t="s">
        <v>54</v>
      </c>
      <c r="Q251" s="5">
        <v>7970.28</v>
      </c>
      <c r="R251" s="10">
        <v>0</v>
      </c>
      <c r="S251" s="9">
        <f t="shared" si="8"/>
        <v>7970.28</v>
      </c>
      <c r="T251" s="4" t="s">
        <v>53</v>
      </c>
      <c r="U251" s="4" t="s">
        <v>815</v>
      </c>
      <c r="V251" s="4"/>
      <c r="W251" s="4">
        <v>-20</v>
      </c>
      <c r="X251" s="4" t="s">
        <v>94</v>
      </c>
      <c r="Y251" s="4"/>
      <c r="Z251" s="7" t="s">
        <v>14</v>
      </c>
      <c r="AA251" s="36" t="s">
        <v>22</v>
      </c>
      <c r="AB251" s="4" t="s">
        <v>2835</v>
      </c>
      <c r="AC251" s="22">
        <f t="shared" si="9"/>
        <v>3.1255999999999999</v>
      </c>
      <c r="AD251" s="23">
        <v>0</v>
      </c>
    </row>
    <row r="252" spans="1:30" x14ac:dyDescent="0.35">
      <c r="A252" s="7">
        <v>275</v>
      </c>
      <c r="B252" s="6">
        <v>45829</v>
      </c>
      <c r="C252" s="6">
        <v>45829</v>
      </c>
      <c r="D252" s="4" t="s">
        <v>1395</v>
      </c>
      <c r="E252" s="4" t="s">
        <v>61</v>
      </c>
      <c r="F252" s="4" t="s">
        <v>1394</v>
      </c>
      <c r="G252" s="4" t="s">
        <v>1394</v>
      </c>
      <c r="H252" s="4"/>
      <c r="I252" s="4"/>
      <c r="J252" s="4" t="s">
        <v>59</v>
      </c>
      <c r="K252" s="4" t="s">
        <v>58</v>
      </c>
      <c r="L252" s="4" t="s">
        <v>57</v>
      </c>
      <c r="M252" s="4" t="s">
        <v>32</v>
      </c>
      <c r="N252" s="4" t="s">
        <v>266</v>
      </c>
      <c r="O252" s="4" t="s">
        <v>68</v>
      </c>
      <c r="P252" s="4" t="s">
        <v>54</v>
      </c>
      <c r="Q252" s="5">
        <v>122925.27</v>
      </c>
      <c r="R252" s="10">
        <v>0</v>
      </c>
      <c r="S252" s="9">
        <f t="shared" si="8"/>
        <v>122925.27</v>
      </c>
      <c r="T252" s="4" t="s">
        <v>53</v>
      </c>
      <c r="U252" s="4" t="s">
        <v>271</v>
      </c>
      <c r="V252" s="4"/>
      <c r="W252" s="4">
        <v>-30</v>
      </c>
      <c r="X252" s="4" t="s">
        <v>124</v>
      </c>
      <c r="Y252" s="4"/>
      <c r="Z252" s="7" t="s">
        <v>14</v>
      </c>
      <c r="AA252" s="36" t="s">
        <v>22</v>
      </c>
      <c r="AB252" s="4" t="s">
        <v>2835</v>
      </c>
      <c r="AC252" s="22">
        <f t="shared" si="9"/>
        <v>48.205988235294122</v>
      </c>
      <c r="AD252" s="23">
        <v>0</v>
      </c>
    </row>
    <row r="253" spans="1:30" x14ac:dyDescent="0.35">
      <c r="A253" s="7">
        <v>276</v>
      </c>
      <c r="B253" s="6">
        <v>45829</v>
      </c>
      <c r="C253" s="6">
        <v>45829</v>
      </c>
      <c r="D253" s="4" t="s">
        <v>1393</v>
      </c>
      <c r="E253" s="4" t="s">
        <v>61</v>
      </c>
      <c r="F253" s="4" t="s">
        <v>1392</v>
      </c>
      <c r="G253" s="4" t="s">
        <v>1392</v>
      </c>
      <c r="H253" s="4"/>
      <c r="I253" s="4"/>
      <c r="J253" s="4" t="s">
        <v>59</v>
      </c>
      <c r="K253" s="4" t="s">
        <v>58</v>
      </c>
      <c r="L253" s="4" t="s">
        <v>57</v>
      </c>
      <c r="M253" s="4" t="s">
        <v>32</v>
      </c>
      <c r="N253" s="4" t="s">
        <v>266</v>
      </c>
      <c r="O253" s="4" t="s">
        <v>68</v>
      </c>
      <c r="P253" s="4" t="s">
        <v>54</v>
      </c>
      <c r="Q253" s="5">
        <v>16313.55</v>
      </c>
      <c r="R253" s="10">
        <v>0</v>
      </c>
      <c r="S253" s="9">
        <f t="shared" si="8"/>
        <v>16313.55</v>
      </c>
      <c r="T253" s="4" t="s">
        <v>53</v>
      </c>
      <c r="U253" s="4" t="s">
        <v>117</v>
      </c>
      <c r="V253" s="4"/>
      <c r="W253" s="4">
        <v>-5</v>
      </c>
      <c r="X253" s="4" t="s">
        <v>94</v>
      </c>
      <c r="Y253" s="4"/>
      <c r="Z253" s="7" t="s">
        <v>14</v>
      </c>
      <c r="AA253" s="36" t="s">
        <v>22</v>
      </c>
      <c r="AB253" s="4" t="s">
        <v>2835</v>
      </c>
      <c r="AC253" s="22">
        <f t="shared" si="9"/>
        <v>6.3974705882352936</v>
      </c>
      <c r="AD253" s="23">
        <v>0</v>
      </c>
    </row>
    <row r="254" spans="1:30" x14ac:dyDescent="0.35">
      <c r="A254" s="7">
        <v>277</v>
      </c>
      <c r="B254" s="6">
        <v>45829</v>
      </c>
      <c r="C254" s="6">
        <v>45829</v>
      </c>
      <c r="D254" s="4" t="s">
        <v>1391</v>
      </c>
      <c r="E254" s="4" t="s">
        <v>61</v>
      </c>
      <c r="F254" s="4" t="s">
        <v>1390</v>
      </c>
      <c r="G254" s="4" t="s">
        <v>1390</v>
      </c>
      <c r="H254" s="4"/>
      <c r="I254" s="4"/>
      <c r="J254" s="4" t="s">
        <v>59</v>
      </c>
      <c r="K254" s="4" t="s">
        <v>58</v>
      </c>
      <c r="L254" s="4" t="s">
        <v>57</v>
      </c>
      <c r="M254" s="4" t="s">
        <v>32</v>
      </c>
      <c r="N254" s="4" t="s">
        <v>266</v>
      </c>
      <c r="O254" s="4" t="s">
        <v>68</v>
      </c>
      <c r="P254" s="4" t="s">
        <v>54</v>
      </c>
      <c r="Q254" s="5">
        <v>120000</v>
      </c>
      <c r="R254" s="10">
        <v>0</v>
      </c>
      <c r="S254" s="9">
        <f t="shared" si="8"/>
        <v>120000</v>
      </c>
      <c r="T254" s="4" t="s">
        <v>53</v>
      </c>
      <c r="U254" s="4" t="s">
        <v>121</v>
      </c>
      <c r="V254" s="4"/>
      <c r="W254" s="4">
        <v>-8</v>
      </c>
      <c r="X254" s="4" t="s">
        <v>94</v>
      </c>
      <c r="Y254" s="4"/>
      <c r="Z254" s="7" t="s">
        <v>14</v>
      </c>
      <c r="AA254" s="36" t="s">
        <v>22</v>
      </c>
      <c r="AB254" s="4" t="s">
        <v>2835</v>
      </c>
      <c r="AC254" s="22">
        <f t="shared" si="9"/>
        <v>47.058823529411768</v>
      </c>
      <c r="AD254" s="23">
        <v>0</v>
      </c>
    </row>
    <row r="255" spans="1:30" hidden="1" x14ac:dyDescent="0.35">
      <c r="A255" s="7">
        <v>278</v>
      </c>
      <c r="B255" s="6">
        <v>45829</v>
      </c>
      <c r="C255" s="6">
        <v>45829</v>
      </c>
      <c r="D255" s="4" t="s">
        <v>1389</v>
      </c>
      <c r="E255" s="4" t="s">
        <v>1050</v>
      </c>
      <c r="F255" s="4"/>
      <c r="G255" s="4" t="s">
        <v>1388</v>
      </c>
      <c r="H255" s="4"/>
      <c r="I255" s="4"/>
      <c r="J255" s="4" t="s">
        <v>1048</v>
      </c>
      <c r="K255" s="4" t="s">
        <v>58</v>
      </c>
      <c r="L255" s="4" t="s">
        <v>1059</v>
      </c>
      <c r="M255" s="4" t="s">
        <v>39</v>
      </c>
      <c r="N255" s="4" t="s">
        <v>211</v>
      </c>
      <c r="O255" s="4" t="s">
        <v>210</v>
      </c>
      <c r="P255" s="4" t="s">
        <v>210</v>
      </c>
      <c r="Q255" s="5">
        <v>600000</v>
      </c>
      <c r="R255" s="10">
        <v>0</v>
      </c>
      <c r="S255" s="9">
        <f t="shared" si="8"/>
        <v>600000</v>
      </c>
      <c r="T255" s="4" t="s">
        <v>53</v>
      </c>
      <c r="U255" s="4"/>
      <c r="V255" s="4"/>
      <c r="W255" s="4">
        <v>1</v>
      </c>
      <c r="X255" s="4"/>
      <c r="Y255" s="4"/>
      <c r="Z255" s="7" t="s">
        <v>14</v>
      </c>
      <c r="AA255" s="36" t="s">
        <v>30</v>
      </c>
      <c r="AB255" s="4"/>
      <c r="AC255" s="22">
        <f t="shared" si="9"/>
        <v>235.29411764705881</v>
      </c>
      <c r="AD255" s="23">
        <v>0</v>
      </c>
    </row>
    <row r="256" spans="1:30" x14ac:dyDescent="0.35">
      <c r="A256" s="7">
        <v>279</v>
      </c>
      <c r="B256" s="6">
        <v>45831.342685185184</v>
      </c>
      <c r="C256" s="6">
        <v>45831</v>
      </c>
      <c r="D256" s="7" t="s">
        <v>2344</v>
      </c>
      <c r="E256" s="7" t="s">
        <v>1331</v>
      </c>
      <c r="F256" s="7" t="s">
        <v>2345</v>
      </c>
      <c r="G256" s="7" t="s">
        <v>2342</v>
      </c>
      <c r="H256" s="7" t="s">
        <v>2327</v>
      </c>
      <c r="I256" s="7" t="s">
        <v>2326</v>
      </c>
      <c r="J256" s="7" t="s">
        <v>1816</v>
      </c>
      <c r="K256" s="7" t="s">
        <v>1815</v>
      </c>
      <c r="L256" s="7" t="s">
        <v>1883</v>
      </c>
      <c r="M256" s="7" t="s">
        <v>17</v>
      </c>
      <c r="N256" s="7" t="s">
        <v>1504</v>
      </c>
      <c r="O256" s="7" t="s">
        <v>68</v>
      </c>
      <c r="P256" s="7" t="s">
        <v>68</v>
      </c>
      <c r="Q256" s="9">
        <v>4779937.5</v>
      </c>
      <c r="R256" s="9">
        <v>0</v>
      </c>
      <c r="S256" s="9">
        <f t="shared" si="8"/>
        <v>4779937.5</v>
      </c>
      <c r="T256" s="4" t="s">
        <v>53</v>
      </c>
      <c r="U256" s="7" t="s">
        <v>1890</v>
      </c>
      <c r="V256" s="7" t="s">
        <v>1823</v>
      </c>
      <c r="W256" s="9">
        <v>1</v>
      </c>
      <c r="X256" s="7" t="s">
        <v>1889</v>
      </c>
      <c r="Y256" s="7"/>
      <c r="Z256" s="7" t="s">
        <v>14</v>
      </c>
      <c r="AA256" s="36" t="s">
        <v>17</v>
      </c>
      <c r="AB256" s="4" t="s">
        <v>2602</v>
      </c>
      <c r="AC256" s="22">
        <f t="shared" si="9"/>
        <v>1874.4852941176471</v>
      </c>
      <c r="AD256" s="23">
        <v>0</v>
      </c>
    </row>
    <row r="257" spans="1:30" x14ac:dyDescent="0.35">
      <c r="A257" s="7">
        <v>280</v>
      </c>
      <c r="B257" s="6">
        <v>45831.342685185184</v>
      </c>
      <c r="C257" s="6">
        <v>45831</v>
      </c>
      <c r="D257" s="7" t="s">
        <v>2344</v>
      </c>
      <c r="E257" s="7" t="s">
        <v>1331</v>
      </c>
      <c r="F257" s="7" t="s">
        <v>2343</v>
      </c>
      <c r="G257" s="7" t="s">
        <v>2342</v>
      </c>
      <c r="H257" s="7" t="s">
        <v>2327</v>
      </c>
      <c r="I257" s="7" t="s">
        <v>2326</v>
      </c>
      <c r="J257" s="7" t="s">
        <v>1816</v>
      </c>
      <c r="K257" s="7" t="s">
        <v>1815</v>
      </c>
      <c r="L257" s="7" t="s">
        <v>1883</v>
      </c>
      <c r="M257" s="7" t="s">
        <v>17</v>
      </c>
      <c r="N257" s="7" t="s">
        <v>1504</v>
      </c>
      <c r="O257" s="7" t="s">
        <v>68</v>
      </c>
      <c r="P257" s="7" t="s">
        <v>68</v>
      </c>
      <c r="Q257" s="9">
        <v>7985510</v>
      </c>
      <c r="R257" s="9">
        <v>0</v>
      </c>
      <c r="S257" s="9">
        <f t="shared" si="8"/>
        <v>7985510</v>
      </c>
      <c r="T257" s="4" t="s">
        <v>53</v>
      </c>
      <c r="U257" s="7" t="s">
        <v>1890</v>
      </c>
      <c r="V257" s="7" t="s">
        <v>1823</v>
      </c>
      <c r="W257" s="9">
        <v>1</v>
      </c>
      <c r="X257" s="7" t="s">
        <v>1889</v>
      </c>
      <c r="Y257" s="7"/>
      <c r="Z257" s="7" t="s">
        <v>14</v>
      </c>
      <c r="AA257" s="36" t="s">
        <v>17</v>
      </c>
      <c r="AB257" s="4" t="s">
        <v>2602</v>
      </c>
      <c r="AC257" s="22">
        <f t="shared" si="9"/>
        <v>3131.5725490196078</v>
      </c>
      <c r="AD257" s="23">
        <v>0</v>
      </c>
    </row>
    <row r="258" spans="1:30" x14ac:dyDescent="0.35">
      <c r="A258" s="7">
        <v>281</v>
      </c>
      <c r="B258" s="6">
        <v>45831.342210648145</v>
      </c>
      <c r="C258" s="6">
        <v>45831</v>
      </c>
      <c r="D258" s="7" t="s">
        <v>2340</v>
      </c>
      <c r="E258" s="7" t="s">
        <v>1331</v>
      </c>
      <c r="F258" s="7" t="s">
        <v>2341</v>
      </c>
      <c r="G258" s="7" t="s">
        <v>2338</v>
      </c>
      <c r="H258" s="7" t="s">
        <v>2327</v>
      </c>
      <c r="I258" s="7" t="s">
        <v>2326</v>
      </c>
      <c r="J258" s="7" t="s">
        <v>1816</v>
      </c>
      <c r="K258" s="7" t="s">
        <v>1815</v>
      </c>
      <c r="L258" s="7" t="s">
        <v>1883</v>
      </c>
      <c r="M258" s="7" t="s">
        <v>17</v>
      </c>
      <c r="N258" s="7" t="s">
        <v>1504</v>
      </c>
      <c r="O258" s="7" t="s">
        <v>68</v>
      </c>
      <c r="P258" s="7" t="s">
        <v>68</v>
      </c>
      <c r="Q258" s="9">
        <v>7309137.5</v>
      </c>
      <c r="R258" s="9">
        <v>0</v>
      </c>
      <c r="S258" s="9">
        <f t="shared" si="8"/>
        <v>7309137.5</v>
      </c>
      <c r="T258" s="4" t="s">
        <v>53</v>
      </c>
      <c r="U258" s="7" t="s">
        <v>1890</v>
      </c>
      <c r="V258" s="7" t="s">
        <v>1823</v>
      </c>
      <c r="W258" s="9">
        <v>1</v>
      </c>
      <c r="X258" s="7" t="s">
        <v>1889</v>
      </c>
      <c r="Y258" s="7"/>
      <c r="Z258" s="7" t="s">
        <v>14</v>
      </c>
      <c r="AA258" s="36" t="s">
        <v>17</v>
      </c>
      <c r="AB258" s="4" t="s">
        <v>2602</v>
      </c>
      <c r="AC258" s="22">
        <f t="shared" si="9"/>
        <v>2866.3284313725489</v>
      </c>
      <c r="AD258" s="23">
        <v>0</v>
      </c>
    </row>
    <row r="259" spans="1:30" x14ac:dyDescent="0.35">
      <c r="A259" s="7">
        <v>282</v>
      </c>
      <c r="B259" s="6">
        <v>45831.342210648145</v>
      </c>
      <c r="C259" s="6">
        <v>45831</v>
      </c>
      <c r="D259" s="7" t="s">
        <v>2340</v>
      </c>
      <c r="E259" s="7" t="s">
        <v>1331</v>
      </c>
      <c r="F259" s="7" t="s">
        <v>2339</v>
      </c>
      <c r="G259" s="7" t="s">
        <v>2338</v>
      </c>
      <c r="H259" s="7" t="s">
        <v>2327</v>
      </c>
      <c r="I259" s="7" t="s">
        <v>2326</v>
      </c>
      <c r="J259" s="7" t="s">
        <v>1816</v>
      </c>
      <c r="K259" s="7" t="s">
        <v>1815</v>
      </c>
      <c r="L259" s="7" t="s">
        <v>1883</v>
      </c>
      <c r="M259" s="7" t="s">
        <v>17</v>
      </c>
      <c r="N259" s="7" t="s">
        <v>1504</v>
      </c>
      <c r="O259" s="7" t="s">
        <v>68</v>
      </c>
      <c r="P259" s="7" t="s">
        <v>68</v>
      </c>
      <c r="Q259" s="9">
        <v>4644656.25</v>
      </c>
      <c r="R259" s="9">
        <v>0</v>
      </c>
      <c r="S259" s="9">
        <f t="shared" ref="S259:S322" si="10">+Q259-R259</f>
        <v>4644656.25</v>
      </c>
      <c r="T259" s="4" t="s">
        <v>53</v>
      </c>
      <c r="U259" s="7" t="s">
        <v>1890</v>
      </c>
      <c r="V259" s="7" t="s">
        <v>1823</v>
      </c>
      <c r="W259" s="9">
        <v>1</v>
      </c>
      <c r="X259" s="7" t="s">
        <v>1889</v>
      </c>
      <c r="Y259" s="7"/>
      <c r="Z259" s="7" t="s">
        <v>14</v>
      </c>
      <c r="AA259" s="36" t="s">
        <v>17</v>
      </c>
      <c r="AB259" s="4" t="s">
        <v>2602</v>
      </c>
      <c r="AC259" s="22">
        <f t="shared" si="9"/>
        <v>1821.4338235294117</v>
      </c>
      <c r="AD259" s="23">
        <v>0</v>
      </c>
    </row>
    <row r="260" spans="1:30" x14ac:dyDescent="0.35">
      <c r="A260" s="7">
        <v>283</v>
      </c>
      <c r="B260" s="6">
        <v>45831.314918981479</v>
      </c>
      <c r="C260" s="6">
        <v>45831</v>
      </c>
      <c r="D260" s="7" t="s">
        <v>2337</v>
      </c>
      <c r="E260" s="7" t="s">
        <v>1331</v>
      </c>
      <c r="F260" s="7" t="s">
        <v>2336</v>
      </c>
      <c r="G260" s="7" t="s">
        <v>2335</v>
      </c>
      <c r="H260" s="7" t="s">
        <v>2012</v>
      </c>
      <c r="I260" s="7" t="s">
        <v>2011</v>
      </c>
      <c r="J260" s="7" t="s">
        <v>1816</v>
      </c>
      <c r="K260" s="7" t="s">
        <v>1815</v>
      </c>
      <c r="L260" s="7" t="s">
        <v>1883</v>
      </c>
      <c r="M260" s="7" t="s">
        <v>17</v>
      </c>
      <c r="N260" s="7" t="s">
        <v>1504</v>
      </c>
      <c r="O260" s="7" t="s">
        <v>68</v>
      </c>
      <c r="P260" s="7" t="s">
        <v>68</v>
      </c>
      <c r="Q260" s="9">
        <v>5000000</v>
      </c>
      <c r="R260" s="9">
        <v>0</v>
      </c>
      <c r="S260" s="9">
        <f t="shared" si="10"/>
        <v>5000000</v>
      </c>
      <c r="T260" s="4" t="s">
        <v>53</v>
      </c>
      <c r="U260" s="7" t="s">
        <v>1824</v>
      </c>
      <c r="V260" s="7" t="s">
        <v>1823</v>
      </c>
      <c r="W260" s="9">
        <v>900</v>
      </c>
      <c r="X260" s="7" t="s">
        <v>94</v>
      </c>
      <c r="Y260" s="7"/>
      <c r="Z260" s="7" t="s">
        <v>14</v>
      </c>
      <c r="AA260" s="36" t="s">
        <v>17</v>
      </c>
      <c r="AB260" s="4" t="s">
        <v>2602</v>
      </c>
      <c r="AC260" s="22">
        <f t="shared" si="9"/>
        <v>1960.7843137254902</v>
      </c>
      <c r="AD260" s="23">
        <v>0</v>
      </c>
    </row>
    <row r="261" spans="1:30" x14ac:dyDescent="0.35">
      <c r="A261" s="7">
        <v>284</v>
      </c>
      <c r="B261" s="6">
        <v>45831.312685185185</v>
      </c>
      <c r="C261" s="6">
        <v>45831</v>
      </c>
      <c r="D261" s="7" t="s">
        <v>2333</v>
      </c>
      <c r="E261" s="7" t="s">
        <v>1331</v>
      </c>
      <c r="F261" s="7" t="s">
        <v>2332</v>
      </c>
      <c r="G261" s="7" t="s">
        <v>2331</v>
      </c>
      <c r="H261" s="7" t="s">
        <v>2012</v>
      </c>
      <c r="I261" s="7" t="s">
        <v>2011</v>
      </c>
      <c r="J261" s="7" t="s">
        <v>1816</v>
      </c>
      <c r="K261" s="7" t="s">
        <v>1815</v>
      </c>
      <c r="L261" s="7" t="s">
        <v>2330</v>
      </c>
      <c r="M261" s="7" t="s">
        <v>29</v>
      </c>
      <c r="N261" s="7" t="s">
        <v>197</v>
      </c>
      <c r="O261" s="7" t="s">
        <v>105</v>
      </c>
      <c r="P261" s="7" t="s">
        <v>196</v>
      </c>
      <c r="Q261" s="9">
        <v>2800000</v>
      </c>
      <c r="R261" s="9">
        <v>0</v>
      </c>
      <c r="S261" s="9">
        <f t="shared" si="10"/>
        <v>2800000</v>
      </c>
      <c r="T261" s="4" t="s">
        <v>53</v>
      </c>
      <c r="U261" s="7" t="s">
        <v>1904</v>
      </c>
      <c r="V261" s="7" t="s">
        <v>1823</v>
      </c>
      <c r="W261" s="9">
        <v>40</v>
      </c>
      <c r="X261" s="7" t="s">
        <v>1903</v>
      </c>
      <c r="Y261" s="7"/>
      <c r="Z261" s="7" t="s">
        <v>14</v>
      </c>
      <c r="AA261" s="36" t="s">
        <v>29</v>
      </c>
      <c r="AB261" s="4" t="s">
        <v>2607</v>
      </c>
      <c r="AC261" s="22">
        <f t="shared" si="9"/>
        <v>1098.0392156862745</v>
      </c>
      <c r="AD261" s="23">
        <v>0</v>
      </c>
    </row>
    <row r="262" spans="1:30" x14ac:dyDescent="0.35">
      <c r="A262" s="7">
        <v>285</v>
      </c>
      <c r="B262" s="6">
        <v>45831.312685185185</v>
      </c>
      <c r="C262" s="6">
        <v>45831</v>
      </c>
      <c r="D262" s="7" t="s">
        <v>2333</v>
      </c>
      <c r="E262" s="7" t="s">
        <v>1331</v>
      </c>
      <c r="F262" s="7" t="s">
        <v>2334</v>
      </c>
      <c r="G262" s="7" t="s">
        <v>2331</v>
      </c>
      <c r="H262" s="7" t="s">
        <v>2012</v>
      </c>
      <c r="I262" s="7" t="s">
        <v>2011</v>
      </c>
      <c r="J262" s="7" t="s">
        <v>1816</v>
      </c>
      <c r="K262" s="7" t="s">
        <v>1815</v>
      </c>
      <c r="L262" s="7" t="s">
        <v>2330</v>
      </c>
      <c r="M262" s="7" t="s">
        <v>29</v>
      </c>
      <c r="N262" s="7" t="s">
        <v>197</v>
      </c>
      <c r="O262" s="7" t="s">
        <v>105</v>
      </c>
      <c r="P262" s="7" t="s">
        <v>196</v>
      </c>
      <c r="Q262" s="9">
        <v>2353000</v>
      </c>
      <c r="R262" s="9">
        <v>0</v>
      </c>
      <c r="S262" s="9">
        <f t="shared" si="10"/>
        <v>2353000</v>
      </c>
      <c r="T262" s="4" t="s">
        <v>53</v>
      </c>
      <c r="U262" s="7" t="s">
        <v>1904</v>
      </c>
      <c r="V262" s="7" t="s">
        <v>1823</v>
      </c>
      <c r="W262" s="9">
        <v>181</v>
      </c>
      <c r="X262" s="7" t="s">
        <v>1903</v>
      </c>
      <c r="Y262" s="7"/>
      <c r="Z262" s="7" t="s">
        <v>14</v>
      </c>
      <c r="AA262" s="36" t="s">
        <v>29</v>
      </c>
      <c r="AB262" s="4" t="s">
        <v>2607</v>
      </c>
      <c r="AC262" s="22">
        <f t="shared" si="9"/>
        <v>922.74509803921569</v>
      </c>
      <c r="AD262" s="23">
        <v>0</v>
      </c>
    </row>
    <row r="263" spans="1:30" x14ac:dyDescent="0.35">
      <c r="A263" s="7">
        <v>286</v>
      </c>
      <c r="B263" s="6">
        <v>45831.312685185185</v>
      </c>
      <c r="C263" s="6">
        <v>45831</v>
      </c>
      <c r="D263" s="7" t="s">
        <v>2333</v>
      </c>
      <c r="E263" s="7" t="s">
        <v>1331</v>
      </c>
      <c r="F263" s="7" t="s">
        <v>2332</v>
      </c>
      <c r="G263" s="7" t="s">
        <v>2331</v>
      </c>
      <c r="H263" s="7" t="s">
        <v>2012</v>
      </c>
      <c r="I263" s="7" t="s">
        <v>2011</v>
      </c>
      <c r="J263" s="7" t="s">
        <v>1816</v>
      </c>
      <c r="K263" s="7" t="s">
        <v>1815</v>
      </c>
      <c r="L263" s="7" t="s">
        <v>2330</v>
      </c>
      <c r="M263" s="7" t="s">
        <v>29</v>
      </c>
      <c r="N263" s="7" t="s">
        <v>197</v>
      </c>
      <c r="O263" s="7" t="s">
        <v>105</v>
      </c>
      <c r="P263" s="7" t="s">
        <v>196</v>
      </c>
      <c r="Q263" s="9">
        <v>1400000</v>
      </c>
      <c r="R263" s="9">
        <v>0</v>
      </c>
      <c r="S263" s="9">
        <f t="shared" si="10"/>
        <v>1400000</v>
      </c>
      <c r="T263" s="4" t="s">
        <v>53</v>
      </c>
      <c r="U263" s="7" t="s">
        <v>1904</v>
      </c>
      <c r="V263" s="7" t="s">
        <v>1823</v>
      </c>
      <c r="W263" s="9">
        <v>20</v>
      </c>
      <c r="X263" s="7" t="s">
        <v>1903</v>
      </c>
      <c r="Y263" s="7"/>
      <c r="Z263" s="7" t="s">
        <v>14</v>
      </c>
      <c r="AA263" s="36" t="s">
        <v>29</v>
      </c>
      <c r="AB263" s="4" t="s">
        <v>2607</v>
      </c>
      <c r="AC263" s="22">
        <f t="shared" si="9"/>
        <v>549.01960784313724</v>
      </c>
      <c r="AD263" s="23">
        <v>0</v>
      </c>
    </row>
    <row r="264" spans="1:30" x14ac:dyDescent="0.35">
      <c r="A264" s="7">
        <v>287</v>
      </c>
      <c r="B264" s="6">
        <v>45831.527349537035</v>
      </c>
      <c r="C264" s="6">
        <v>45831</v>
      </c>
      <c r="D264" s="7" t="s">
        <v>2329</v>
      </c>
      <c r="E264" s="7" t="s">
        <v>1331</v>
      </c>
      <c r="F264" s="7"/>
      <c r="G264" s="7" t="s">
        <v>2328</v>
      </c>
      <c r="H264" s="7" t="s">
        <v>2327</v>
      </c>
      <c r="I264" s="7" t="s">
        <v>2326</v>
      </c>
      <c r="J264" s="7" t="s">
        <v>1816</v>
      </c>
      <c r="K264" s="7" t="s">
        <v>1815</v>
      </c>
      <c r="L264" s="7" t="s">
        <v>1883</v>
      </c>
      <c r="M264" s="7" t="s">
        <v>17</v>
      </c>
      <c r="N264" s="7" t="s">
        <v>1504</v>
      </c>
      <c r="O264" s="7" t="s">
        <v>68</v>
      </c>
      <c r="P264" s="7" t="s">
        <v>68</v>
      </c>
      <c r="Q264" s="9">
        <v>0</v>
      </c>
      <c r="R264" s="9">
        <v>5114717.22</v>
      </c>
      <c r="S264" s="9">
        <f t="shared" si="10"/>
        <v>-5114717.22</v>
      </c>
      <c r="T264" s="4" t="s">
        <v>53</v>
      </c>
      <c r="U264" s="7"/>
      <c r="V264" s="7"/>
      <c r="W264" s="9">
        <v>1</v>
      </c>
      <c r="X264" s="7"/>
      <c r="Y264" s="7"/>
      <c r="Z264" s="7" t="s">
        <v>14</v>
      </c>
      <c r="AA264" s="36" t="s">
        <v>17</v>
      </c>
      <c r="AB264" s="4" t="s">
        <v>2602</v>
      </c>
      <c r="AC264" s="22">
        <f t="shared" si="9"/>
        <v>-2005.7714588235292</v>
      </c>
      <c r="AD264" s="23">
        <v>0</v>
      </c>
    </row>
    <row r="265" spans="1:30" x14ac:dyDescent="0.35">
      <c r="A265" s="7">
        <v>288</v>
      </c>
      <c r="B265" s="6">
        <v>45831</v>
      </c>
      <c r="C265" s="6">
        <v>45831</v>
      </c>
      <c r="D265" s="4" t="s">
        <v>1387</v>
      </c>
      <c r="E265" s="4" t="s">
        <v>61</v>
      </c>
      <c r="F265" s="4" t="s">
        <v>1386</v>
      </c>
      <c r="G265" s="4" t="s">
        <v>1386</v>
      </c>
      <c r="H265" s="4"/>
      <c r="I265" s="4"/>
      <c r="J265" s="4" t="s">
        <v>59</v>
      </c>
      <c r="K265" s="4" t="s">
        <v>58</v>
      </c>
      <c r="L265" s="4" t="s">
        <v>57</v>
      </c>
      <c r="M265" s="4" t="s">
        <v>32</v>
      </c>
      <c r="N265" s="4" t="s">
        <v>197</v>
      </c>
      <c r="O265" s="4" t="s">
        <v>105</v>
      </c>
      <c r="P265" s="4" t="s">
        <v>54</v>
      </c>
      <c r="Q265" s="5">
        <v>20487.55</v>
      </c>
      <c r="R265" s="10">
        <v>0</v>
      </c>
      <c r="S265" s="9">
        <f t="shared" si="10"/>
        <v>20487.55</v>
      </c>
      <c r="T265" s="4" t="s">
        <v>53</v>
      </c>
      <c r="U265" s="4" t="s">
        <v>271</v>
      </c>
      <c r="V265" s="4"/>
      <c r="W265" s="4">
        <v>-5</v>
      </c>
      <c r="X265" s="4" t="s">
        <v>124</v>
      </c>
      <c r="Y265" s="4"/>
      <c r="Z265" s="7" t="s">
        <v>14</v>
      </c>
      <c r="AA265" s="36" t="s">
        <v>29</v>
      </c>
      <c r="AB265" s="4" t="s">
        <v>2607</v>
      </c>
      <c r="AC265" s="22">
        <f t="shared" si="9"/>
        <v>8.0343333333333327</v>
      </c>
      <c r="AD265" s="23">
        <v>0</v>
      </c>
    </row>
    <row r="266" spans="1:30" x14ac:dyDescent="0.35">
      <c r="A266" s="7">
        <v>289</v>
      </c>
      <c r="B266" s="6">
        <v>45831</v>
      </c>
      <c r="C266" s="6">
        <v>45831</v>
      </c>
      <c r="D266" s="4" t="s">
        <v>1385</v>
      </c>
      <c r="E266" s="4" t="s">
        <v>61</v>
      </c>
      <c r="F266" s="4" t="s">
        <v>1384</v>
      </c>
      <c r="G266" s="4" t="s">
        <v>1384</v>
      </c>
      <c r="H266" s="4"/>
      <c r="I266" s="4"/>
      <c r="J266" s="4" t="s">
        <v>59</v>
      </c>
      <c r="K266" s="4" t="s">
        <v>58</v>
      </c>
      <c r="L266" s="4" t="s">
        <v>57</v>
      </c>
      <c r="M266" s="4" t="s">
        <v>32</v>
      </c>
      <c r="N266" s="4" t="s">
        <v>197</v>
      </c>
      <c r="O266" s="4" t="s">
        <v>105</v>
      </c>
      <c r="P266" s="4" t="s">
        <v>54</v>
      </c>
      <c r="Q266" s="5">
        <v>164927.35999999999</v>
      </c>
      <c r="R266" s="10">
        <v>0</v>
      </c>
      <c r="S266" s="9">
        <f t="shared" si="10"/>
        <v>164927.35999999999</v>
      </c>
      <c r="T266" s="4" t="s">
        <v>53</v>
      </c>
      <c r="U266" s="4" t="s">
        <v>175</v>
      </c>
      <c r="V266" s="4"/>
      <c r="W266" s="4">
        <v>-8</v>
      </c>
      <c r="X266" s="4" t="s">
        <v>129</v>
      </c>
      <c r="Y266" s="4"/>
      <c r="Z266" s="7" t="s">
        <v>14</v>
      </c>
      <c r="AA266" s="36" t="s">
        <v>29</v>
      </c>
      <c r="AB266" s="4" t="s">
        <v>2607</v>
      </c>
      <c r="AC266" s="22">
        <f t="shared" si="9"/>
        <v>64.677396078431372</v>
      </c>
      <c r="AD266" s="23">
        <v>0</v>
      </c>
    </row>
    <row r="267" spans="1:30" x14ac:dyDescent="0.35">
      <c r="A267" s="7">
        <v>290</v>
      </c>
      <c r="B267" s="6">
        <v>45831</v>
      </c>
      <c r="C267" s="6">
        <v>45831</v>
      </c>
      <c r="D267" s="4" t="s">
        <v>1383</v>
      </c>
      <c r="E267" s="4" t="s">
        <v>61</v>
      </c>
      <c r="F267" s="4" t="s">
        <v>1382</v>
      </c>
      <c r="G267" s="4" t="s">
        <v>1382</v>
      </c>
      <c r="H267" s="4"/>
      <c r="I267" s="4"/>
      <c r="J267" s="4" t="s">
        <v>59</v>
      </c>
      <c r="K267" s="4" t="s">
        <v>58</v>
      </c>
      <c r="L267" s="4" t="s">
        <v>57</v>
      </c>
      <c r="M267" s="4" t="s">
        <v>32</v>
      </c>
      <c r="N267" s="4" t="s">
        <v>197</v>
      </c>
      <c r="O267" s="4" t="s">
        <v>105</v>
      </c>
      <c r="P267" s="4" t="s">
        <v>54</v>
      </c>
      <c r="Q267" s="5">
        <v>19902.54</v>
      </c>
      <c r="R267" s="10">
        <v>0</v>
      </c>
      <c r="S267" s="9">
        <f t="shared" si="10"/>
        <v>19902.54</v>
      </c>
      <c r="T267" s="4" t="s">
        <v>53</v>
      </c>
      <c r="U267" s="4" t="s">
        <v>739</v>
      </c>
      <c r="V267" s="4"/>
      <c r="W267" s="4">
        <v>-2</v>
      </c>
      <c r="X267" s="4" t="s">
        <v>124</v>
      </c>
      <c r="Y267" s="4"/>
      <c r="Z267" s="7" t="s">
        <v>14</v>
      </c>
      <c r="AA267" s="36" t="s">
        <v>29</v>
      </c>
      <c r="AB267" s="4" t="s">
        <v>2607</v>
      </c>
      <c r="AC267" s="22">
        <f t="shared" si="9"/>
        <v>7.804917647058824</v>
      </c>
      <c r="AD267" s="23">
        <v>0</v>
      </c>
    </row>
    <row r="268" spans="1:30" x14ac:dyDescent="0.35">
      <c r="A268" s="7">
        <v>291</v>
      </c>
      <c r="B268" s="6">
        <v>45831</v>
      </c>
      <c r="C268" s="6">
        <v>45831</v>
      </c>
      <c r="D268" s="4" t="s">
        <v>1381</v>
      </c>
      <c r="E268" s="4" t="s">
        <v>61</v>
      </c>
      <c r="F268" s="4" t="s">
        <v>1380</v>
      </c>
      <c r="G268" s="4" t="s">
        <v>1380</v>
      </c>
      <c r="H268" s="4"/>
      <c r="I268" s="4"/>
      <c r="J268" s="4" t="s">
        <v>59</v>
      </c>
      <c r="K268" s="4" t="s">
        <v>58</v>
      </c>
      <c r="L268" s="4" t="s">
        <v>57</v>
      </c>
      <c r="M268" s="4" t="s">
        <v>32</v>
      </c>
      <c r="N268" s="4" t="s">
        <v>197</v>
      </c>
      <c r="O268" s="4" t="s">
        <v>105</v>
      </c>
      <c r="P268" s="4" t="s">
        <v>54</v>
      </c>
      <c r="Q268" s="5">
        <v>22800</v>
      </c>
      <c r="R268" s="10">
        <v>0</v>
      </c>
      <c r="S268" s="9">
        <f t="shared" si="10"/>
        <v>22800</v>
      </c>
      <c r="T268" s="4" t="s">
        <v>53</v>
      </c>
      <c r="U268" s="4" t="s">
        <v>151</v>
      </c>
      <c r="V268" s="4"/>
      <c r="W268" s="4">
        <v>-4</v>
      </c>
      <c r="X268" s="4" t="s">
        <v>124</v>
      </c>
      <c r="Y268" s="4"/>
      <c r="Z268" s="7" t="s">
        <v>14</v>
      </c>
      <c r="AA268" s="36" t="s">
        <v>29</v>
      </c>
      <c r="AB268" s="4" t="s">
        <v>2607</v>
      </c>
      <c r="AC268" s="22">
        <f t="shared" si="9"/>
        <v>8.9411764705882355</v>
      </c>
      <c r="AD268" s="23">
        <v>0</v>
      </c>
    </row>
    <row r="269" spans="1:30" x14ac:dyDescent="0.35">
      <c r="A269" s="7">
        <v>292</v>
      </c>
      <c r="B269" s="6">
        <v>45831</v>
      </c>
      <c r="C269" s="6">
        <v>45831</v>
      </c>
      <c r="D269" s="4" t="s">
        <v>1379</v>
      </c>
      <c r="E269" s="4" t="s">
        <v>61</v>
      </c>
      <c r="F269" s="4" t="s">
        <v>1378</v>
      </c>
      <c r="G269" s="4" t="s">
        <v>1378</v>
      </c>
      <c r="H269" s="4"/>
      <c r="I269" s="4"/>
      <c r="J269" s="4" t="s">
        <v>59</v>
      </c>
      <c r="K269" s="4" t="s">
        <v>58</v>
      </c>
      <c r="L269" s="4" t="s">
        <v>57</v>
      </c>
      <c r="M269" s="4" t="s">
        <v>32</v>
      </c>
      <c r="N269" s="4" t="s">
        <v>197</v>
      </c>
      <c r="O269" s="4" t="s">
        <v>105</v>
      </c>
      <c r="P269" s="4" t="s">
        <v>54</v>
      </c>
      <c r="Q269" s="5">
        <v>22800</v>
      </c>
      <c r="R269" s="10">
        <v>0</v>
      </c>
      <c r="S269" s="9">
        <f t="shared" si="10"/>
        <v>22800</v>
      </c>
      <c r="T269" s="4" t="s">
        <v>53</v>
      </c>
      <c r="U269" s="4" t="s">
        <v>154</v>
      </c>
      <c r="V269" s="4"/>
      <c r="W269" s="4">
        <v>-4</v>
      </c>
      <c r="X269" s="4" t="s">
        <v>124</v>
      </c>
      <c r="Y269" s="4"/>
      <c r="Z269" s="7" t="s">
        <v>14</v>
      </c>
      <c r="AA269" s="36" t="s">
        <v>29</v>
      </c>
      <c r="AB269" s="4" t="s">
        <v>2607</v>
      </c>
      <c r="AC269" s="22">
        <f t="shared" si="9"/>
        <v>8.9411764705882355</v>
      </c>
      <c r="AD269" s="23">
        <v>0</v>
      </c>
    </row>
    <row r="270" spans="1:30" x14ac:dyDescent="0.35">
      <c r="A270" s="7">
        <v>293</v>
      </c>
      <c r="B270" s="6">
        <v>45831</v>
      </c>
      <c r="C270" s="6">
        <v>45831</v>
      </c>
      <c r="D270" s="4" t="s">
        <v>1377</v>
      </c>
      <c r="E270" s="4" t="s">
        <v>61</v>
      </c>
      <c r="F270" s="4" t="s">
        <v>1376</v>
      </c>
      <c r="G270" s="4" t="s">
        <v>1376</v>
      </c>
      <c r="H270" s="4"/>
      <c r="I270" s="4"/>
      <c r="J270" s="4" t="s">
        <v>59</v>
      </c>
      <c r="K270" s="4" t="s">
        <v>58</v>
      </c>
      <c r="L270" s="4" t="s">
        <v>57</v>
      </c>
      <c r="M270" s="4" t="s">
        <v>32</v>
      </c>
      <c r="N270" s="4" t="s">
        <v>266</v>
      </c>
      <c r="O270" s="4" t="s">
        <v>55</v>
      </c>
      <c r="P270" s="4" t="s">
        <v>54</v>
      </c>
      <c r="Q270" s="5">
        <v>81950.2</v>
      </c>
      <c r="R270" s="10">
        <v>0</v>
      </c>
      <c r="S270" s="9">
        <f t="shared" si="10"/>
        <v>81950.2</v>
      </c>
      <c r="T270" s="4" t="s">
        <v>53</v>
      </c>
      <c r="U270" s="4" t="s">
        <v>271</v>
      </c>
      <c r="V270" s="4"/>
      <c r="W270" s="4">
        <v>-20</v>
      </c>
      <c r="X270" s="4" t="s">
        <v>124</v>
      </c>
      <c r="Y270" s="4"/>
      <c r="Z270" s="7" t="s">
        <v>14</v>
      </c>
      <c r="AA270" s="36" t="s">
        <v>22</v>
      </c>
      <c r="AB270" s="4" t="s">
        <v>2835</v>
      </c>
      <c r="AC270" s="22">
        <f t="shared" si="9"/>
        <v>32.137333333333331</v>
      </c>
      <c r="AD270" s="23">
        <v>0</v>
      </c>
    </row>
    <row r="271" spans="1:30" x14ac:dyDescent="0.35">
      <c r="A271" s="7">
        <v>294</v>
      </c>
      <c r="B271" s="6">
        <v>45831</v>
      </c>
      <c r="C271" s="6">
        <v>45831</v>
      </c>
      <c r="D271" s="4" t="s">
        <v>1375</v>
      </c>
      <c r="E271" s="4" t="s">
        <v>61</v>
      </c>
      <c r="F271" s="4" t="s">
        <v>1374</v>
      </c>
      <c r="G271" s="4" t="s">
        <v>1374</v>
      </c>
      <c r="H271" s="4"/>
      <c r="I271" s="4"/>
      <c r="J271" s="4" t="s">
        <v>59</v>
      </c>
      <c r="K271" s="4" t="s">
        <v>58</v>
      </c>
      <c r="L271" s="4" t="s">
        <v>57</v>
      </c>
      <c r="M271" s="4" t="s">
        <v>32</v>
      </c>
      <c r="N271" s="4" t="s">
        <v>266</v>
      </c>
      <c r="O271" s="4" t="s">
        <v>55</v>
      </c>
      <c r="P271" s="4" t="s">
        <v>54</v>
      </c>
      <c r="Q271" s="5">
        <v>96000</v>
      </c>
      <c r="R271" s="10">
        <v>0</v>
      </c>
      <c r="S271" s="9">
        <f t="shared" si="10"/>
        <v>96000</v>
      </c>
      <c r="T271" s="4" t="s">
        <v>53</v>
      </c>
      <c r="U271" s="4" t="s">
        <v>282</v>
      </c>
      <c r="V271" s="4"/>
      <c r="W271" s="4">
        <v>-2</v>
      </c>
      <c r="X271" s="4" t="s">
        <v>94</v>
      </c>
      <c r="Y271" s="4"/>
      <c r="Z271" s="7" t="s">
        <v>14</v>
      </c>
      <c r="AA271" s="36" t="s">
        <v>22</v>
      </c>
      <c r="AB271" s="4" t="s">
        <v>2835</v>
      </c>
      <c r="AC271" s="22">
        <f t="shared" si="9"/>
        <v>37.647058823529413</v>
      </c>
      <c r="AD271" s="23">
        <v>0</v>
      </c>
    </row>
    <row r="272" spans="1:30" x14ac:dyDescent="0.35">
      <c r="A272" s="7">
        <v>295</v>
      </c>
      <c r="B272" s="6">
        <v>45831</v>
      </c>
      <c r="C272" s="6">
        <v>45831</v>
      </c>
      <c r="D272" s="4" t="s">
        <v>1373</v>
      </c>
      <c r="E272" s="4" t="s">
        <v>61</v>
      </c>
      <c r="F272" s="4" t="s">
        <v>1372</v>
      </c>
      <c r="G272" s="4" t="s">
        <v>1372</v>
      </c>
      <c r="H272" s="4"/>
      <c r="I272" s="4"/>
      <c r="J272" s="4" t="s">
        <v>59</v>
      </c>
      <c r="K272" s="4" t="s">
        <v>58</v>
      </c>
      <c r="L272" s="4" t="s">
        <v>57</v>
      </c>
      <c r="M272" s="4" t="s">
        <v>32</v>
      </c>
      <c r="N272" s="4" t="s">
        <v>266</v>
      </c>
      <c r="O272" s="4" t="s">
        <v>55</v>
      </c>
      <c r="P272" s="4" t="s">
        <v>54</v>
      </c>
      <c r="Q272" s="5">
        <v>45000</v>
      </c>
      <c r="R272" s="10">
        <v>0</v>
      </c>
      <c r="S272" s="9">
        <f t="shared" si="10"/>
        <v>45000</v>
      </c>
      <c r="T272" s="4" t="s">
        <v>53</v>
      </c>
      <c r="U272" s="4" t="s">
        <v>121</v>
      </c>
      <c r="V272" s="4"/>
      <c r="W272" s="4">
        <v>-3</v>
      </c>
      <c r="X272" s="4" t="s">
        <v>94</v>
      </c>
      <c r="Y272" s="4"/>
      <c r="Z272" s="7" t="s">
        <v>14</v>
      </c>
      <c r="AA272" s="36" t="s">
        <v>22</v>
      </c>
      <c r="AB272" s="4" t="s">
        <v>2835</v>
      </c>
      <c r="AC272" s="22">
        <f t="shared" si="9"/>
        <v>17.647058823529413</v>
      </c>
      <c r="AD272" s="23">
        <v>0</v>
      </c>
    </row>
    <row r="273" spans="1:30" x14ac:dyDescent="0.35">
      <c r="A273" s="7">
        <v>296</v>
      </c>
      <c r="B273" s="6">
        <v>45831</v>
      </c>
      <c r="C273" s="6">
        <v>45831</v>
      </c>
      <c r="D273" s="4" t="s">
        <v>1371</v>
      </c>
      <c r="E273" s="4" t="s">
        <v>61</v>
      </c>
      <c r="F273" s="4" t="s">
        <v>1370</v>
      </c>
      <c r="G273" s="4" t="s">
        <v>1370</v>
      </c>
      <c r="H273" s="4"/>
      <c r="I273" s="4"/>
      <c r="J273" s="4" t="s">
        <v>59</v>
      </c>
      <c r="K273" s="4" t="s">
        <v>58</v>
      </c>
      <c r="L273" s="4" t="s">
        <v>57</v>
      </c>
      <c r="M273" s="4" t="s">
        <v>32</v>
      </c>
      <c r="N273" s="4" t="s">
        <v>266</v>
      </c>
      <c r="O273" s="4" t="s">
        <v>55</v>
      </c>
      <c r="P273" s="4" t="s">
        <v>54</v>
      </c>
      <c r="Q273" s="5">
        <v>219098.69</v>
      </c>
      <c r="R273" s="10">
        <v>0</v>
      </c>
      <c r="S273" s="9">
        <f t="shared" si="10"/>
        <v>219098.69</v>
      </c>
      <c r="T273" s="4" t="s">
        <v>53</v>
      </c>
      <c r="U273" s="4" t="s">
        <v>1010</v>
      </c>
      <c r="V273" s="4"/>
      <c r="W273" s="4">
        <v>-250</v>
      </c>
      <c r="X273" s="4" t="s">
        <v>94</v>
      </c>
      <c r="Y273" s="4"/>
      <c r="Z273" s="7" t="s">
        <v>14</v>
      </c>
      <c r="AA273" s="36" t="s">
        <v>22</v>
      </c>
      <c r="AB273" s="4" t="s">
        <v>2835</v>
      </c>
      <c r="AC273" s="22">
        <f t="shared" si="9"/>
        <v>85.921054901960787</v>
      </c>
      <c r="AD273" s="23">
        <v>0</v>
      </c>
    </row>
    <row r="274" spans="1:30" x14ac:dyDescent="0.35">
      <c r="A274" s="7">
        <v>297</v>
      </c>
      <c r="B274" s="6">
        <v>45831</v>
      </c>
      <c r="C274" s="6">
        <v>45831</v>
      </c>
      <c r="D274" s="4" t="s">
        <v>1369</v>
      </c>
      <c r="E274" s="4" t="s">
        <v>61</v>
      </c>
      <c r="F274" s="4" t="s">
        <v>1368</v>
      </c>
      <c r="G274" s="4" t="s">
        <v>1368</v>
      </c>
      <c r="H274" s="4"/>
      <c r="I274" s="4"/>
      <c r="J274" s="4" t="s">
        <v>59</v>
      </c>
      <c r="K274" s="4" t="s">
        <v>58</v>
      </c>
      <c r="L274" s="4" t="s">
        <v>57</v>
      </c>
      <c r="M274" s="4" t="s">
        <v>32</v>
      </c>
      <c r="N274" s="4" t="s">
        <v>266</v>
      </c>
      <c r="O274" s="4" t="s">
        <v>55</v>
      </c>
      <c r="P274" s="4" t="s">
        <v>54</v>
      </c>
      <c r="Q274" s="5">
        <v>52764.44</v>
      </c>
      <c r="R274" s="10">
        <v>0</v>
      </c>
      <c r="S274" s="9">
        <f t="shared" si="10"/>
        <v>52764.44</v>
      </c>
      <c r="T274" s="4" t="s">
        <v>53</v>
      </c>
      <c r="U274" s="4" t="s">
        <v>320</v>
      </c>
      <c r="V274" s="4"/>
      <c r="W274" s="4">
        <v>-96</v>
      </c>
      <c r="X274" s="4" t="s">
        <v>94</v>
      </c>
      <c r="Y274" s="4"/>
      <c r="Z274" s="7" t="s">
        <v>14</v>
      </c>
      <c r="AA274" s="36" t="s">
        <v>22</v>
      </c>
      <c r="AB274" s="4" t="s">
        <v>2835</v>
      </c>
      <c r="AC274" s="22">
        <f t="shared" si="9"/>
        <v>20.691937254901962</v>
      </c>
      <c r="AD274" s="23">
        <v>0</v>
      </c>
    </row>
    <row r="275" spans="1:30" x14ac:dyDescent="0.35">
      <c r="A275" s="7">
        <v>298</v>
      </c>
      <c r="B275" s="6">
        <v>45831</v>
      </c>
      <c r="C275" s="6">
        <v>45831</v>
      </c>
      <c r="D275" s="4" t="s">
        <v>1367</v>
      </c>
      <c r="E275" s="4" t="s">
        <v>61</v>
      </c>
      <c r="F275" s="4" t="s">
        <v>1366</v>
      </c>
      <c r="G275" s="4" t="s">
        <v>1366</v>
      </c>
      <c r="H275" s="4"/>
      <c r="I275" s="4"/>
      <c r="J275" s="4" t="s">
        <v>59</v>
      </c>
      <c r="K275" s="4" t="s">
        <v>58</v>
      </c>
      <c r="L275" s="4" t="s">
        <v>57</v>
      </c>
      <c r="M275" s="4" t="s">
        <v>32</v>
      </c>
      <c r="N275" s="4" t="s">
        <v>266</v>
      </c>
      <c r="O275" s="4" t="s">
        <v>55</v>
      </c>
      <c r="P275" s="4" t="s">
        <v>54</v>
      </c>
      <c r="Q275" s="5">
        <v>122925.28</v>
      </c>
      <c r="R275" s="10">
        <v>0</v>
      </c>
      <c r="S275" s="9">
        <f t="shared" si="10"/>
        <v>122925.28</v>
      </c>
      <c r="T275" s="4" t="s">
        <v>53</v>
      </c>
      <c r="U275" s="4" t="s">
        <v>271</v>
      </c>
      <c r="V275" s="4"/>
      <c r="W275" s="4">
        <v>-30</v>
      </c>
      <c r="X275" s="4" t="s">
        <v>124</v>
      </c>
      <c r="Y275" s="4"/>
      <c r="Z275" s="7" t="s">
        <v>14</v>
      </c>
      <c r="AA275" s="36" t="s">
        <v>22</v>
      </c>
      <c r="AB275" s="4" t="s">
        <v>2835</v>
      </c>
      <c r="AC275" s="22">
        <f t="shared" si="9"/>
        <v>48.205992156862742</v>
      </c>
      <c r="AD275" s="23">
        <v>0</v>
      </c>
    </row>
    <row r="276" spans="1:30" x14ac:dyDescent="0.35">
      <c r="A276" s="7">
        <v>299</v>
      </c>
      <c r="B276" s="6">
        <v>45831</v>
      </c>
      <c r="C276" s="6">
        <v>45831</v>
      </c>
      <c r="D276" s="4" t="s">
        <v>1365</v>
      </c>
      <c r="E276" s="4" t="s">
        <v>61</v>
      </c>
      <c r="F276" s="4" t="s">
        <v>1364</v>
      </c>
      <c r="G276" s="4" t="s">
        <v>1364</v>
      </c>
      <c r="H276" s="4"/>
      <c r="I276" s="4"/>
      <c r="J276" s="4" t="s">
        <v>59</v>
      </c>
      <c r="K276" s="4" t="s">
        <v>58</v>
      </c>
      <c r="L276" s="4" t="s">
        <v>57</v>
      </c>
      <c r="M276" s="4" t="s">
        <v>32</v>
      </c>
      <c r="N276" s="4" t="s">
        <v>266</v>
      </c>
      <c r="O276" s="4" t="s">
        <v>55</v>
      </c>
      <c r="P276" s="4" t="s">
        <v>54</v>
      </c>
      <c r="Q276" s="5">
        <v>16313.55</v>
      </c>
      <c r="R276" s="10">
        <v>0</v>
      </c>
      <c r="S276" s="9">
        <f t="shared" si="10"/>
        <v>16313.55</v>
      </c>
      <c r="T276" s="4" t="s">
        <v>53</v>
      </c>
      <c r="U276" s="4" t="s">
        <v>117</v>
      </c>
      <c r="V276" s="4"/>
      <c r="W276" s="4">
        <v>-5</v>
      </c>
      <c r="X276" s="4" t="s">
        <v>94</v>
      </c>
      <c r="Y276" s="4"/>
      <c r="Z276" s="7" t="s">
        <v>14</v>
      </c>
      <c r="AA276" s="36" t="s">
        <v>22</v>
      </c>
      <c r="AB276" s="4" t="s">
        <v>2835</v>
      </c>
      <c r="AC276" s="22">
        <f t="shared" si="9"/>
        <v>6.3974705882352936</v>
      </c>
      <c r="AD276" s="23">
        <v>0</v>
      </c>
    </row>
    <row r="277" spans="1:30" x14ac:dyDescent="0.35">
      <c r="A277" s="7">
        <v>300</v>
      </c>
      <c r="B277" s="6">
        <v>45831</v>
      </c>
      <c r="C277" s="6">
        <v>45831</v>
      </c>
      <c r="D277" s="4" t="s">
        <v>1363</v>
      </c>
      <c r="E277" s="4" t="s">
        <v>61</v>
      </c>
      <c r="F277" s="4" t="s">
        <v>1362</v>
      </c>
      <c r="G277" s="4" t="s">
        <v>1362</v>
      </c>
      <c r="H277" s="4"/>
      <c r="I277" s="4"/>
      <c r="J277" s="4" t="s">
        <v>59</v>
      </c>
      <c r="K277" s="4" t="s">
        <v>58</v>
      </c>
      <c r="L277" s="4" t="s">
        <v>57</v>
      </c>
      <c r="M277" s="4" t="s">
        <v>32</v>
      </c>
      <c r="N277" s="4" t="s">
        <v>266</v>
      </c>
      <c r="O277" s="4" t="s">
        <v>55</v>
      </c>
      <c r="P277" s="4" t="s">
        <v>54</v>
      </c>
      <c r="Q277" s="5">
        <v>120000</v>
      </c>
      <c r="R277" s="10">
        <v>0</v>
      </c>
      <c r="S277" s="9">
        <f t="shared" si="10"/>
        <v>120000</v>
      </c>
      <c r="T277" s="4" t="s">
        <v>53</v>
      </c>
      <c r="U277" s="4" t="s">
        <v>121</v>
      </c>
      <c r="V277" s="4"/>
      <c r="W277" s="4">
        <v>-8</v>
      </c>
      <c r="X277" s="4" t="s">
        <v>94</v>
      </c>
      <c r="Y277" s="4"/>
      <c r="Z277" s="7" t="s">
        <v>14</v>
      </c>
      <c r="AA277" s="36" t="s">
        <v>22</v>
      </c>
      <c r="AB277" s="4" t="s">
        <v>2835</v>
      </c>
      <c r="AC277" s="22">
        <f t="shared" si="9"/>
        <v>47.058823529411768</v>
      </c>
      <c r="AD277" s="23">
        <v>0</v>
      </c>
    </row>
    <row r="278" spans="1:30" x14ac:dyDescent="0.35">
      <c r="A278" s="7">
        <v>301</v>
      </c>
      <c r="B278" s="6">
        <v>45831</v>
      </c>
      <c r="C278" s="6">
        <v>45831</v>
      </c>
      <c r="D278" s="4" t="s">
        <v>1361</v>
      </c>
      <c r="E278" s="4" t="s">
        <v>61</v>
      </c>
      <c r="F278" s="4" t="s">
        <v>1360</v>
      </c>
      <c r="G278" s="4" t="s">
        <v>1360</v>
      </c>
      <c r="H278" s="4"/>
      <c r="I278" s="4"/>
      <c r="J278" s="4" t="s">
        <v>59</v>
      </c>
      <c r="K278" s="4" t="s">
        <v>58</v>
      </c>
      <c r="L278" s="4" t="s">
        <v>57</v>
      </c>
      <c r="M278" s="4" t="s">
        <v>32</v>
      </c>
      <c r="N278" s="4" t="s">
        <v>317</v>
      </c>
      <c r="O278" s="4" t="s">
        <v>68</v>
      </c>
      <c r="P278" s="4" t="s">
        <v>54</v>
      </c>
      <c r="Q278" s="5">
        <v>20183.86</v>
      </c>
      <c r="R278" s="10">
        <v>0</v>
      </c>
      <c r="S278" s="9">
        <f t="shared" si="10"/>
        <v>20183.86</v>
      </c>
      <c r="T278" s="4" t="s">
        <v>53</v>
      </c>
      <c r="U278" s="4" t="s">
        <v>423</v>
      </c>
      <c r="V278" s="4"/>
      <c r="W278" s="4">
        <v>-5</v>
      </c>
      <c r="X278" s="4" t="s">
        <v>51</v>
      </c>
      <c r="Y278" s="4"/>
      <c r="Z278" s="7" t="s">
        <v>14</v>
      </c>
      <c r="AA278" s="36" t="s">
        <v>23</v>
      </c>
      <c r="AB278" s="4" t="s">
        <v>2607</v>
      </c>
      <c r="AC278" s="22">
        <f t="shared" si="9"/>
        <v>7.9152392156862748</v>
      </c>
      <c r="AD278" s="23">
        <v>0</v>
      </c>
    </row>
    <row r="279" spans="1:30" x14ac:dyDescent="0.35">
      <c r="A279" s="7">
        <v>302</v>
      </c>
      <c r="B279" s="6">
        <v>45831</v>
      </c>
      <c r="C279" s="6">
        <v>45831</v>
      </c>
      <c r="D279" s="4" t="s">
        <v>1359</v>
      </c>
      <c r="E279" s="4" t="s">
        <v>61</v>
      </c>
      <c r="F279" s="4" t="s">
        <v>1358</v>
      </c>
      <c r="G279" s="4" t="s">
        <v>1358</v>
      </c>
      <c r="H279" s="4"/>
      <c r="I279" s="4"/>
      <c r="J279" s="4" t="s">
        <v>59</v>
      </c>
      <c r="K279" s="4" t="s">
        <v>58</v>
      </c>
      <c r="L279" s="4" t="s">
        <v>57</v>
      </c>
      <c r="M279" s="4" t="s">
        <v>32</v>
      </c>
      <c r="N279" s="4" t="s">
        <v>317</v>
      </c>
      <c r="O279" s="4" t="s">
        <v>68</v>
      </c>
      <c r="P279" s="4" t="s">
        <v>54</v>
      </c>
      <c r="Q279" s="5">
        <v>17690</v>
      </c>
      <c r="R279" s="10">
        <v>0</v>
      </c>
      <c r="S279" s="9">
        <f t="shared" si="10"/>
        <v>17690</v>
      </c>
      <c r="T279" s="4" t="s">
        <v>53</v>
      </c>
      <c r="U279" s="4" t="s">
        <v>214</v>
      </c>
      <c r="V279" s="4"/>
      <c r="W279" s="4">
        <v>-4</v>
      </c>
      <c r="X279" s="4" t="s">
        <v>51</v>
      </c>
      <c r="Y279" s="4"/>
      <c r="Z279" s="7" t="s">
        <v>14</v>
      </c>
      <c r="AA279" s="36" t="s">
        <v>23</v>
      </c>
      <c r="AB279" s="4" t="s">
        <v>2607</v>
      </c>
      <c r="AC279" s="22">
        <f t="shared" si="9"/>
        <v>6.9372549019607845</v>
      </c>
      <c r="AD279" s="23">
        <v>0</v>
      </c>
    </row>
    <row r="280" spans="1:30" x14ac:dyDescent="0.35">
      <c r="A280" s="7">
        <v>303</v>
      </c>
      <c r="B280" s="6">
        <v>45831</v>
      </c>
      <c r="C280" s="6">
        <v>45831</v>
      </c>
      <c r="D280" s="4" t="s">
        <v>1357</v>
      </c>
      <c r="E280" s="4" t="s">
        <v>61</v>
      </c>
      <c r="F280" s="4" t="s">
        <v>1356</v>
      </c>
      <c r="G280" s="4" t="s">
        <v>1356</v>
      </c>
      <c r="H280" s="4"/>
      <c r="I280" s="4"/>
      <c r="J280" s="4" t="s">
        <v>59</v>
      </c>
      <c r="K280" s="4" t="s">
        <v>58</v>
      </c>
      <c r="L280" s="4" t="s">
        <v>57</v>
      </c>
      <c r="M280" s="4" t="s">
        <v>32</v>
      </c>
      <c r="N280" s="4" t="s">
        <v>317</v>
      </c>
      <c r="O280" s="4" t="s">
        <v>68</v>
      </c>
      <c r="P280" s="4" t="s">
        <v>54</v>
      </c>
      <c r="Q280" s="5">
        <v>4045.85</v>
      </c>
      <c r="R280" s="10">
        <v>0</v>
      </c>
      <c r="S280" s="9">
        <f t="shared" si="10"/>
        <v>4045.85</v>
      </c>
      <c r="T280" s="4" t="s">
        <v>53</v>
      </c>
      <c r="U280" s="4" t="s">
        <v>628</v>
      </c>
      <c r="V280" s="4"/>
      <c r="W280" s="4">
        <v>-4</v>
      </c>
      <c r="X280" s="4" t="s">
        <v>94</v>
      </c>
      <c r="Y280" s="4"/>
      <c r="Z280" s="7" t="s">
        <v>14</v>
      </c>
      <c r="AA280" s="36" t="s">
        <v>23</v>
      </c>
      <c r="AB280" s="4" t="s">
        <v>2607</v>
      </c>
      <c r="AC280" s="22">
        <f t="shared" si="9"/>
        <v>1.5866078431372548</v>
      </c>
      <c r="AD280" s="23">
        <v>0</v>
      </c>
    </row>
    <row r="281" spans="1:30" x14ac:dyDescent="0.35">
      <c r="A281" s="7">
        <v>304</v>
      </c>
      <c r="B281" s="6">
        <v>45831</v>
      </c>
      <c r="C281" s="6">
        <v>45831</v>
      </c>
      <c r="D281" s="4" t="s">
        <v>1355</v>
      </c>
      <c r="E281" s="4" t="s">
        <v>61</v>
      </c>
      <c r="F281" s="4" t="s">
        <v>1354</v>
      </c>
      <c r="G281" s="4" t="s">
        <v>1354</v>
      </c>
      <c r="H281" s="4"/>
      <c r="I281" s="4"/>
      <c r="J281" s="4" t="s">
        <v>59</v>
      </c>
      <c r="K281" s="4" t="s">
        <v>58</v>
      </c>
      <c r="L281" s="4" t="s">
        <v>57</v>
      </c>
      <c r="M281" s="4" t="s">
        <v>32</v>
      </c>
      <c r="N281" s="4" t="s">
        <v>266</v>
      </c>
      <c r="O281" s="4" t="s">
        <v>55</v>
      </c>
      <c r="P281" s="4" t="s">
        <v>54</v>
      </c>
      <c r="Q281" s="5">
        <v>122925.28</v>
      </c>
      <c r="R281" s="10">
        <v>0</v>
      </c>
      <c r="S281" s="9">
        <f t="shared" si="10"/>
        <v>122925.28</v>
      </c>
      <c r="T281" s="4" t="s">
        <v>53</v>
      </c>
      <c r="U281" s="4" t="s">
        <v>271</v>
      </c>
      <c r="V281" s="4"/>
      <c r="W281" s="4">
        <v>-30</v>
      </c>
      <c r="X281" s="4" t="s">
        <v>124</v>
      </c>
      <c r="Y281" s="4"/>
      <c r="Z281" s="7" t="s">
        <v>14</v>
      </c>
      <c r="AA281" s="36" t="s">
        <v>22</v>
      </c>
      <c r="AB281" s="4" t="s">
        <v>2835</v>
      </c>
      <c r="AC281" s="22">
        <f t="shared" si="9"/>
        <v>48.205992156862742</v>
      </c>
      <c r="AD281" s="23">
        <v>0</v>
      </c>
    </row>
    <row r="282" spans="1:30" x14ac:dyDescent="0.35">
      <c r="A282" s="7">
        <v>305</v>
      </c>
      <c r="B282" s="6">
        <v>45831</v>
      </c>
      <c r="C282" s="6">
        <v>45831</v>
      </c>
      <c r="D282" s="4" t="s">
        <v>1353</v>
      </c>
      <c r="E282" s="4" t="s">
        <v>61</v>
      </c>
      <c r="F282" s="4" t="s">
        <v>1352</v>
      </c>
      <c r="G282" s="4" t="s">
        <v>1352</v>
      </c>
      <c r="H282" s="4"/>
      <c r="I282" s="4"/>
      <c r="J282" s="4" t="s">
        <v>59</v>
      </c>
      <c r="K282" s="4" t="s">
        <v>58</v>
      </c>
      <c r="L282" s="4" t="s">
        <v>57</v>
      </c>
      <c r="M282" s="4" t="s">
        <v>32</v>
      </c>
      <c r="N282" s="4" t="s">
        <v>266</v>
      </c>
      <c r="O282" s="4" t="s">
        <v>55</v>
      </c>
      <c r="P282" s="4" t="s">
        <v>54</v>
      </c>
      <c r="Q282" s="5">
        <v>81950.19</v>
      </c>
      <c r="R282" s="10">
        <v>0</v>
      </c>
      <c r="S282" s="9">
        <f t="shared" si="10"/>
        <v>81950.19</v>
      </c>
      <c r="T282" s="4" t="s">
        <v>53</v>
      </c>
      <c r="U282" s="4" t="s">
        <v>271</v>
      </c>
      <c r="V282" s="4"/>
      <c r="W282" s="4">
        <v>-20</v>
      </c>
      <c r="X282" s="4" t="s">
        <v>124</v>
      </c>
      <c r="Y282" s="4"/>
      <c r="Z282" s="7" t="s">
        <v>14</v>
      </c>
      <c r="AA282" s="36" t="s">
        <v>22</v>
      </c>
      <c r="AB282" s="4" t="s">
        <v>2835</v>
      </c>
      <c r="AC282" s="22">
        <f t="shared" si="9"/>
        <v>32.137329411764703</v>
      </c>
      <c r="AD282" s="23">
        <v>0</v>
      </c>
    </row>
    <row r="283" spans="1:30" x14ac:dyDescent="0.35">
      <c r="A283" s="7">
        <v>306</v>
      </c>
      <c r="B283" s="6">
        <v>45831</v>
      </c>
      <c r="C283" s="6">
        <v>45831</v>
      </c>
      <c r="D283" s="4" t="s">
        <v>1351</v>
      </c>
      <c r="E283" s="4" t="s">
        <v>61</v>
      </c>
      <c r="F283" s="4" t="s">
        <v>1350</v>
      </c>
      <c r="G283" s="4" t="s">
        <v>1350</v>
      </c>
      <c r="H283" s="4"/>
      <c r="I283" s="4"/>
      <c r="J283" s="4" t="s">
        <v>59</v>
      </c>
      <c r="K283" s="4" t="s">
        <v>58</v>
      </c>
      <c r="L283" s="4" t="s">
        <v>57</v>
      </c>
      <c r="M283" s="4" t="s">
        <v>32</v>
      </c>
      <c r="N283" s="4" t="s">
        <v>317</v>
      </c>
      <c r="O283" s="4" t="s">
        <v>68</v>
      </c>
      <c r="P283" s="4" t="s">
        <v>54</v>
      </c>
      <c r="Q283" s="5">
        <v>58000</v>
      </c>
      <c r="R283" s="10">
        <v>0</v>
      </c>
      <c r="S283" s="9">
        <f t="shared" si="10"/>
        <v>58000</v>
      </c>
      <c r="T283" s="4" t="s">
        <v>53</v>
      </c>
      <c r="U283" s="4" t="s">
        <v>545</v>
      </c>
      <c r="V283" s="4"/>
      <c r="W283" s="4">
        <v>-200</v>
      </c>
      <c r="X283" s="4" t="s">
        <v>94</v>
      </c>
      <c r="Y283" s="4"/>
      <c r="Z283" s="7" t="s">
        <v>14</v>
      </c>
      <c r="AA283" s="36" t="s">
        <v>23</v>
      </c>
      <c r="AB283" s="4" t="s">
        <v>2607</v>
      </c>
      <c r="AC283" s="22">
        <f t="shared" si="9"/>
        <v>22.745098039215687</v>
      </c>
      <c r="AD283" s="23">
        <v>0</v>
      </c>
    </row>
    <row r="284" spans="1:30" x14ac:dyDescent="0.35">
      <c r="A284" s="7">
        <v>307</v>
      </c>
      <c r="B284" s="6">
        <v>45831</v>
      </c>
      <c r="C284" s="6">
        <v>45831</v>
      </c>
      <c r="D284" s="4" t="s">
        <v>1349</v>
      </c>
      <c r="E284" s="4" t="s">
        <v>61</v>
      </c>
      <c r="F284" s="4" t="s">
        <v>1348</v>
      </c>
      <c r="G284" s="4" t="s">
        <v>1348</v>
      </c>
      <c r="H284" s="4"/>
      <c r="I284" s="4"/>
      <c r="J284" s="4" t="s">
        <v>59</v>
      </c>
      <c r="K284" s="4" t="s">
        <v>58</v>
      </c>
      <c r="L284" s="4" t="s">
        <v>57</v>
      </c>
      <c r="M284" s="4" t="s">
        <v>32</v>
      </c>
      <c r="N284" s="4" t="s">
        <v>317</v>
      </c>
      <c r="O284" s="4" t="s">
        <v>68</v>
      </c>
      <c r="P284" s="4" t="s">
        <v>54</v>
      </c>
      <c r="Q284" s="5">
        <v>16313.55</v>
      </c>
      <c r="R284" s="10">
        <v>0</v>
      </c>
      <c r="S284" s="9">
        <f t="shared" si="10"/>
        <v>16313.55</v>
      </c>
      <c r="T284" s="4" t="s">
        <v>53</v>
      </c>
      <c r="U284" s="4" t="s">
        <v>117</v>
      </c>
      <c r="V284" s="4"/>
      <c r="W284" s="4">
        <v>-5</v>
      </c>
      <c r="X284" s="4" t="s">
        <v>94</v>
      </c>
      <c r="Y284" s="4"/>
      <c r="Z284" s="7" t="s">
        <v>14</v>
      </c>
      <c r="AA284" s="36" t="s">
        <v>23</v>
      </c>
      <c r="AB284" s="4" t="s">
        <v>2607</v>
      </c>
      <c r="AC284" s="22">
        <f t="shared" si="9"/>
        <v>6.3974705882352936</v>
      </c>
      <c r="AD284" s="23">
        <v>0</v>
      </c>
    </row>
    <row r="285" spans="1:30" x14ac:dyDescent="0.35">
      <c r="A285" s="7">
        <v>308</v>
      </c>
      <c r="B285" s="6">
        <v>45831</v>
      </c>
      <c r="C285" s="6">
        <v>45831</v>
      </c>
      <c r="D285" s="4" t="s">
        <v>1347</v>
      </c>
      <c r="E285" s="4" t="s">
        <v>61</v>
      </c>
      <c r="F285" s="4" t="s">
        <v>1346</v>
      </c>
      <c r="G285" s="4" t="s">
        <v>1346</v>
      </c>
      <c r="H285" s="4"/>
      <c r="I285" s="4"/>
      <c r="J285" s="4" t="s">
        <v>59</v>
      </c>
      <c r="K285" s="4" t="s">
        <v>58</v>
      </c>
      <c r="L285" s="4" t="s">
        <v>57</v>
      </c>
      <c r="M285" s="4" t="s">
        <v>32</v>
      </c>
      <c r="N285" s="4" t="s">
        <v>317</v>
      </c>
      <c r="O285" s="4" t="s">
        <v>68</v>
      </c>
      <c r="P285" s="4" t="s">
        <v>54</v>
      </c>
      <c r="Q285" s="5">
        <v>60000</v>
      </c>
      <c r="R285" s="10">
        <v>0</v>
      </c>
      <c r="S285" s="9">
        <f t="shared" si="10"/>
        <v>60000</v>
      </c>
      <c r="T285" s="4" t="s">
        <v>53</v>
      </c>
      <c r="U285" s="4" t="s">
        <v>121</v>
      </c>
      <c r="V285" s="4"/>
      <c r="W285" s="4">
        <v>-4</v>
      </c>
      <c r="X285" s="4" t="s">
        <v>94</v>
      </c>
      <c r="Y285" s="4"/>
      <c r="Z285" s="7" t="s">
        <v>14</v>
      </c>
      <c r="AA285" s="36" t="s">
        <v>23</v>
      </c>
      <c r="AB285" s="4" t="s">
        <v>2607</v>
      </c>
      <c r="AC285" s="22">
        <f t="shared" si="9"/>
        <v>23.529411764705884</v>
      </c>
      <c r="AD285" s="23">
        <v>0</v>
      </c>
    </row>
    <row r="286" spans="1:30" x14ac:dyDescent="0.35">
      <c r="A286" s="7">
        <v>309</v>
      </c>
      <c r="B286" s="6">
        <v>45832.566562499997</v>
      </c>
      <c r="C286" s="6">
        <v>45832</v>
      </c>
      <c r="D286" s="7" t="s">
        <v>2325</v>
      </c>
      <c r="E286" s="7" t="s">
        <v>1331</v>
      </c>
      <c r="F286" s="7" t="s">
        <v>2324</v>
      </c>
      <c r="G286" s="7" t="s">
        <v>2323</v>
      </c>
      <c r="H286" s="7" t="s">
        <v>2012</v>
      </c>
      <c r="I286" s="7" t="s">
        <v>2011</v>
      </c>
      <c r="J286" s="7" t="s">
        <v>1816</v>
      </c>
      <c r="K286" s="7" t="s">
        <v>1815</v>
      </c>
      <c r="L286" s="7" t="s">
        <v>1883</v>
      </c>
      <c r="M286" s="7" t="s">
        <v>17</v>
      </c>
      <c r="N286" s="7" t="s">
        <v>1504</v>
      </c>
      <c r="O286" s="7" t="s">
        <v>68</v>
      </c>
      <c r="P286" s="7" t="s">
        <v>68</v>
      </c>
      <c r="Q286" s="9">
        <v>7000000</v>
      </c>
      <c r="R286" s="9">
        <v>0</v>
      </c>
      <c r="S286" s="9">
        <f t="shared" si="10"/>
        <v>7000000</v>
      </c>
      <c r="T286" s="4" t="s">
        <v>53</v>
      </c>
      <c r="U286" s="7" t="s">
        <v>2322</v>
      </c>
      <c r="V286" s="7" t="s">
        <v>1823</v>
      </c>
      <c r="W286" s="9">
        <v>15</v>
      </c>
      <c r="X286" s="7" t="s">
        <v>94</v>
      </c>
      <c r="Y286" s="7"/>
      <c r="Z286" s="7" t="s">
        <v>14</v>
      </c>
      <c r="AA286" s="36" t="s">
        <v>17</v>
      </c>
      <c r="AB286" s="4" t="s">
        <v>2602</v>
      </c>
      <c r="AC286" s="22">
        <f t="shared" si="9"/>
        <v>2745.0980392156862</v>
      </c>
      <c r="AD286" s="23">
        <v>0</v>
      </c>
    </row>
    <row r="287" spans="1:30" x14ac:dyDescent="0.35">
      <c r="A287" s="7">
        <v>310</v>
      </c>
      <c r="B287" s="6">
        <v>45832.492615740739</v>
      </c>
      <c r="C287" s="6">
        <v>45832</v>
      </c>
      <c r="D287" s="7" t="s">
        <v>2321</v>
      </c>
      <c r="E287" s="7" t="s">
        <v>1331</v>
      </c>
      <c r="F287" s="7" t="s">
        <v>2320</v>
      </c>
      <c r="G287" s="7" t="s">
        <v>2319</v>
      </c>
      <c r="H287" s="7" t="s">
        <v>2012</v>
      </c>
      <c r="I287" s="7" t="s">
        <v>2011</v>
      </c>
      <c r="J287" s="7" t="s">
        <v>1816</v>
      </c>
      <c r="K287" s="7" t="s">
        <v>1815</v>
      </c>
      <c r="L287" s="7" t="s">
        <v>1883</v>
      </c>
      <c r="M287" s="7" t="s">
        <v>17</v>
      </c>
      <c r="N287" s="7" t="s">
        <v>1504</v>
      </c>
      <c r="O287" s="7" t="s">
        <v>68</v>
      </c>
      <c r="P287" s="7" t="s">
        <v>68</v>
      </c>
      <c r="Q287" s="9">
        <v>2431000</v>
      </c>
      <c r="R287" s="9">
        <v>0</v>
      </c>
      <c r="S287" s="9">
        <f t="shared" si="10"/>
        <v>2431000</v>
      </c>
      <c r="T287" s="4" t="s">
        <v>53</v>
      </c>
      <c r="U287" s="7" t="s">
        <v>1904</v>
      </c>
      <c r="V287" s="7" t="s">
        <v>1823</v>
      </c>
      <c r="W287" s="9">
        <v>187</v>
      </c>
      <c r="X287" s="7" t="s">
        <v>1903</v>
      </c>
      <c r="Y287" s="7"/>
      <c r="Z287" s="7" t="s">
        <v>14</v>
      </c>
      <c r="AA287" s="36" t="s">
        <v>17</v>
      </c>
      <c r="AB287" s="4" t="s">
        <v>2602</v>
      </c>
      <c r="AC287" s="22">
        <f t="shared" si="9"/>
        <v>953.33333333333337</v>
      </c>
      <c r="AD287" s="23">
        <v>0</v>
      </c>
    </row>
    <row r="288" spans="1:30" x14ac:dyDescent="0.35">
      <c r="A288" s="7">
        <v>311</v>
      </c>
      <c r="B288" s="6">
        <v>45832.492071759261</v>
      </c>
      <c r="C288" s="6">
        <v>45832</v>
      </c>
      <c r="D288" s="7" t="s">
        <v>2318</v>
      </c>
      <c r="E288" s="7" t="s">
        <v>1331</v>
      </c>
      <c r="F288" s="7" t="s">
        <v>2317</v>
      </c>
      <c r="G288" s="7" t="s">
        <v>2316</v>
      </c>
      <c r="H288" s="7" t="s">
        <v>2012</v>
      </c>
      <c r="I288" s="7" t="s">
        <v>2011</v>
      </c>
      <c r="J288" s="7" t="s">
        <v>1816</v>
      </c>
      <c r="K288" s="7" t="s">
        <v>1815</v>
      </c>
      <c r="L288" s="7" t="s">
        <v>1883</v>
      </c>
      <c r="M288" s="7" t="s">
        <v>17</v>
      </c>
      <c r="N288" s="7" t="s">
        <v>1504</v>
      </c>
      <c r="O288" s="7" t="s">
        <v>68</v>
      </c>
      <c r="P288" s="7" t="s">
        <v>68</v>
      </c>
      <c r="Q288" s="9">
        <v>1391000</v>
      </c>
      <c r="R288" s="9">
        <v>0</v>
      </c>
      <c r="S288" s="9">
        <f t="shared" si="10"/>
        <v>1391000</v>
      </c>
      <c r="T288" s="4" t="s">
        <v>53</v>
      </c>
      <c r="U288" s="7" t="s">
        <v>1904</v>
      </c>
      <c r="V288" s="7" t="s">
        <v>1823</v>
      </c>
      <c r="W288" s="9">
        <v>107</v>
      </c>
      <c r="X288" s="7" t="s">
        <v>1903</v>
      </c>
      <c r="Y288" s="7"/>
      <c r="Z288" s="7" t="s">
        <v>14</v>
      </c>
      <c r="AA288" s="36" t="s">
        <v>17</v>
      </c>
      <c r="AB288" s="4" t="s">
        <v>2602</v>
      </c>
      <c r="AC288" s="22">
        <f t="shared" si="9"/>
        <v>545.49019607843138</v>
      </c>
      <c r="AD288" s="23">
        <v>0</v>
      </c>
    </row>
    <row r="289" spans="1:30" x14ac:dyDescent="0.35">
      <c r="A289" s="7">
        <v>312</v>
      </c>
      <c r="B289" s="6">
        <v>45832.47179398148</v>
      </c>
      <c r="C289" s="6">
        <v>45832</v>
      </c>
      <c r="D289" s="7" t="s">
        <v>2314</v>
      </c>
      <c r="E289" s="7" t="s">
        <v>1331</v>
      </c>
      <c r="F289" s="7" t="s">
        <v>2315</v>
      </c>
      <c r="G289" s="7" t="s">
        <v>2312</v>
      </c>
      <c r="H289" s="7" t="s">
        <v>2012</v>
      </c>
      <c r="I289" s="7" t="s">
        <v>2011</v>
      </c>
      <c r="J289" s="7" t="s">
        <v>1816</v>
      </c>
      <c r="K289" s="7" t="s">
        <v>1815</v>
      </c>
      <c r="L289" s="7" t="s">
        <v>1883</v>
      </c>
      <c r="M289" s="7" t="s">
        <v>17</v>
      </c>
      <c r="N289" s="7" t="s">
        <v>1504</v>
      </c>
      <c r="O289" s="7" t="s">
        <v>68</v>
      </c>
      <c r="P289" s="7" t="s">
        <v>54</v>
      </c>
      <c r="Q289" s="9">
        <v>1560000</v>
      </c>
      <c r="R289" s="9">
        <v>0</v>
      </c>
      <c r="S289" s="9">
        <f t="shared" si="10"/>
        <v>1560000</v>
      </c>
      <c r="T289" s="4" t="s">
        <v>53</v>
      </c>
      <c r="U289" s="7" t="s">
        <v>1904</v>
      </c>
      <c r="V289" s="7" t="s">
        <v>1823</v>
      </c>
      <c r="W289" s="9">
        <v>120</v>
      </c>
      <c r="X289" s="7" t="s">
        <v>1903</v>
      </c>
      <c r="Y289" s="7"/>
      <c r="Z289" s="7" t="s">
        <v>14</v>
      </c>
      <c r="AA289" s="36" t="s">
        <v>17</v>
      </c>
      <c r="AB289" s="4" t="s">
        <v>2602</v>
      </c>
      <c r="AC289" s="22">
        <f t="shared" si="9"/>
        <v>611.76470588235293</v>
      </c>
      <c r="AD289" s="23">
        <v>0</v>
      </c>
    </row>
    <row r="290" spans="1:30" x14ac:dyDescent="0.35">
      <c r="A290" s="7">
        <v>313</v>
      </c>
      <c r="B290" s="6">
        <v>45832.47179398148</v>
      </c>
      <c r="C290" s="6">
        <v>45832</v>
      </c>
      <c r="D290" s="7" t="s">
        <v>2314</v>
      </c>
      <c r="E290" s="7" t="s">
        <v>1331</v>
      </c>
      <c r="F290" s="7" t="s">
        <v>2313</v>
      </c>
      <c r="G290" s="7" t="s">
        <v>2312</v>
      </c>
      <c r="H290" s="7" t="s">
        <v>2012</v>
      </c>
      <c r="I290" s="7" t="s">
        <v>2011</v>
      </c>
      <c r="J290" s="7" t="s">
        <v>1816</v>
      </c>
      <c r="K290" s="7" t="s">
        <v>1815</v>
      </c>
      <c r="L290" s="7" t="s">
        <v>1883</v>
      </c>
      <c r="M290" s="7" t="s">
        <v>17</v>
      </c>
      <c r="N290" s="7" t="s">
        <v>1504</v>
      </c>
      <c r="O290" s="7" t="s">
        <v>68</v>
      </c>
      <c r="P290" s="7" t="s">
        <v>54</v>
      </c>
      <c r="Q290" s="9">
        <v>5600000</v>
      </c>
      <c r="R290" s="9">
        <v>0</v>
      </c>
      <c r="S290" s="9">
        <f t="shared" si="10"/>
        <v>5600000</v>
      </c>
      <c r="T290" s="4" t="s">
        <v>53</v>
      </c>
      <c r="U290" s="7" t="s">
        <v>1904</v>
      </c>
      <c r="V290" s="7" t="s">
        <v>1823</v>
      </c>
      <c r="W290" s="9">
        <v>80</v>
      </c>
      <c r="X290" s="7" t="s">
        <v>1903</v>
      </c>
      <c r="Y290" s="7"/>
      <c r="Z290" s="7" t="s">
        <v>14</v>
      </c>
      <c r="AA290" s="36" t="s">
        <v>17</v>
      </c>
      <c r="AB290" s="4" t="s">
        <v>2602</v>
      </c>
      <c r="AC290" s="22">
        <f t="shared" si="9"/>
        <v>2196.0784313725489</v>
      </c>
      <c r="AD290" s="23">
        <v>0</v>
      </c>
    </row>
    <row r="291" spans="1:30" x14ac:dyDescent="0.35">
      <c r="A291" s="7">
        <v>314</v>
      </c>
      <c r="B291" s="6">
        <v>45832.4684375</v>
      </c>
      <c r="C291" s="6">
        <v>45832</v>
      </c>
      <c r="D291" s="7" t="s">
        <v>2311</v>
      </c>
      <c r="E291" s="7" t="s">
        <v>1331</v>
      </c>
      <c r="F291" s="7" t="s">
        <v>2310</v>
      </c>
      <c r="G291" s="7" t="s">
        <v>2309</v>
      </c>
      <c r="H291" s="7" t="s">
        <v>2012</v>
      </c>
      <c r="I291" s="7" t="s">
        <v>2011</v>
      </c>
      <c r="J291" s="7" t="s">
        <v>1816</v>
      </c>
      <c r="K291" s="7" t="s">
        <v>1815</v>
      </c>
      <c r="L291" s="7" t="s">
        <v>1883</v>
      </c>
      <c r="M291" s="7" t="s">
        <v>17</v>
      </c>
      <c r="N291" s="7" t="s">
        <v>1504</v>
      </c>
      <c r="O291" s="7" t="s">
        <v>68</v>
      </c>
      <c r="P291" s="7" t="s">
        <v>68</v>
      </c>
      <c r="Q291" s="9">
        <v>2366000</v>
      </c>
      <c r="R291" s="9">
        <v>0</v>
      </c>
      <c r="S291" s="9">
        <f t="shared" si="10"/>
        <v>2366000</v>
      </c>
      <c r="T291" s="4" t="s">
        <v>53</v>
      </c>
      <c r="U291" s="7" t="s">
        <v>1904</v>
      </c>
      <c r="V291" s="7" t="s">
        <v>1823</v>
      </c>
      <c r="W291" s="9">
        <v>182</v>
      </c>
      <c r="X291" s="7" t="s">
        <v>1903</v>
      </c>
      <c r="Y291" s="7"/>
      <c r="Z291" s="7" t="s">
        <v>14</v>
      </c>
      <c r="AA291" s="36" t="s">
        <v>17</v>
      </c>
      <c r="AB291" s="4" t="s">
        <v>2602</v>
      </c>
      <c r="AC291" s="22">
        <f t="shared" si="9"/>
        <v>927.84313725490199</v>
      </c>
      <c r="AD291" s="23">
        <v>0</v>
      </c>
    </row>
    <row r="292" spans="1:30" x14ac:dyDescent="0.35">
      <c r="A292" s="7">
        <v>315</v>
      </c>
      <c r="B292" s="6">
        <v>45832.416724537034</v>
      </c>
      <c r="C292" s="6">
        <v>45832</v>
      </c>
      <c r="D292" s="7" t="s">
        <v>2308</v>
      </c>
      <c r="E292" s="7" t="s">
        <v>1331</v>
      </c>
      <c r="F292" s="7" t="s">
        <v>2307</v>
      </c>
      <c r="G292" s="7" t="s">
        <v>2306</v>
      </c>
      <c r="H292" s="7" t="s">
        <v>2012</v>
      </c>
      <c r="I292" s="7" t="s">
        <v>2011</v>
      </c>
      <c r="J292" s="7" t="s">
        <v>1816</v>
      </c>
      <c r="K292" s="7" t="s">
        <v>1815</v>
      </c>
      <c r="L292" s="7" t="s">
        <v>1883</v>
      </c>
      <c r="M292" s="7" t="s">
        <v>17</v>
      </c>
      <c r="N292" s="7" t="s">
        <v>1504</v>
      </c>
      <c r="O292" s="7" t="s">
        <v>68</v>
      </c>
      <c r="P292" s="7" t="s">
        <v>68</v>
      </c>
      <c r="Q292" s="9">
        <v>3120000</v>
      </c>
      <c r="R292" s="9">
        <v>0</v>
      </c>
      <c r="S292" s="9">
        <f t="shared" si="10"/>
        <v>3120000</v>
      </c>
      <c r="T292" s="4" t="s">
        <v>53</v>
      </c>
      <c r="U292" s="7" t="s">
        <v>1904</v>
      </c>
      <c r="V292" s="7" t="s">
        <v>1823</v>
      </c>
      <c r="W292" s="9">
        <v>240</v>
      </c>
      <c r="X292" s="7" t="s">
        <v>1903</v>
      </c>
      <c r="Y292" s="7"/>
      <c r="Z292" s="7" t="s">
        <v>14</v>
      </c>
      <c r="AA292" s="36" t="s">
        <v>17</v>
      </c>
      <c r="AB292" s="4" t="s">
        <v>2602</v>
      </c>
      <c r="AC292" s="22">
        <f t="shared" si="9"/>
        <v>1223.5294117647059</v>
      </c>
      <c r="AD292" s="23">
        <v>0</v>
      </c>
    </row>
    <row r="293" spans="1:30" x14ac:dyDescent="0.35">
      <c r="A293" s="7">
        <v>316</v>
      </c>
      <c r="B293" s="6">
        <v>45832</v>
      </c>
      <c r="C293" s="6">
        <v>45832</v>
      </c>
      <c r="D293" s="4" t="s">
        <v>1345</v>
      </c>
      <c r="E293" s="4" t="s">
        <v>61</v>
      </c>
      <c r="F293" s="4" t="s">
        <v>1344</v>
      </c>
      <c r="G293" s="4" t="s">
        <v>1344</v>
      </c>
      <c r="H293" s="4"/>
      <c r="I293" s="4"/>
      <c r="J293" s="4" t="s">
        <v>59</v>
      </c>
      <c r="K293" s="4" t="s">
        <v>58</v>
      </c>
      <c r="L293" s="4" t="s">
        <v>57</v>
      </c>
      <c r="M293" s="4" t="s">
        <v>32</v>
      </c>
      <c r="N293" s="4" t="s">
        <v>317</v>
      </c>
      <c r="O293" s="4" t="s">
        <v>68</v>
      </c>
      <c r="P293" s="4" t="s">
        <v>54</v>
      </c>
      <c r="Q293" s="5">
        <v>32627.1</v>
      </c>
      <c r="R293" s="10">
        <v>0</v>
      </c>
      <c r="S293" s="9">
        <f t="shared" si="10"/>
        <v>32627.1</v>
      </c>
      <c r="T293" s="4" t="s">
        <v>53</v>
      </c>
      <c r="U293" s="4" t="s">
        <v>117</v>
      </c>
      <c r="V293" s="4"/>
      <c r="W293" s="4">
        <v>-10</v>
      </c>
      <c r="X293" s="4" t="s">
        <v>94</v>
      </c>
      <c r="Y293" s="4"/>
      <c r="Z293" s="7" t="s">
        <v>14</v>
      </c>
      <c r="AA293" s="36" t="s">
        <v>23</v>
      </c>
      <c r="AB293" s="4" t="s">
        <v>2607</v>
      </c>
      <c r="AC293" s="22">
        <f t="shared" si="9"/>
        <v>12.794941176470587</v>
      </c>
      <c r="AD293" s="23">
        <v>0</v>
      </c>
    </row>
    <row r="294" spans="1:30" x14ac:dyDescent="0.35">
      <c r="A294" s="7">
        <v>317</v>
      </c>
      <c r="B294" s="6">
        <v>45832</v>
      </c>
      <c r="C294" s="6">
        <v>45832</v>
      </c>
      <c r="D294" s="4" t="s">
        <v>1343</v>
      </c>
      <c r="E294" s="4" t="s">
        <v>61</v>
      </c>
      <c r="F294" s="4" t="s">
        <v>1342</v>
      </c>
      <c r="G294" s="4" t="s">
        <v>1342</v>
      </c>
      <c r="H294" s="4"/>
      <c r="I294" s="4"/>
      <c r="J294" s="4" t="s">
        <v>59</v>
      </c>
      <c r="K294" s="4" t="s">
        <v>58</v>
      </c>
      <c r="L294" s="4" t="s">
        <v>57</v>
      </c>
      <c r="M294" s="4" t="s">
        <v>32</v>
      </c>
      <c r="N294" s="4" t="s">
        <v>266</v>
      </c>
      <c r="O294" s="4" t="s">
        <v>55</v>
      </c>
      <c r="P294" s="4" t="s">
        <v>54</v>
      </c>
      <c r="Q294" s="5">
        <v>122925.28</v>
      </c>
      <c r="R294" s="10">
        <v>0</v>
      </c>
      <c r="S294" s="9">
        <f t="shared" si="10"/>
        <v>122925.28</v>
      </c>
      <c r="T294" s="4" t="s">
        <v>53</v>
      </c>
      <c r="U294" s="4" t="s">
        <v>271</v>
      </c>
      <c r="V294" s="4"/>
      <c r="W294" s="4">
        <v>-30</v>
      </c>
      <c r="X294" s="4" t="s">
        <v>124</v>
      </c>
      <c r="Y294" s="4"/>
      <c r="Z294" s="7" t="s">
        <v>14</v>
      </c>
      <c r="AA294" s="36" t="s">
        <v>22</v>
      </c>
      <c r="AB294" s="4" t="s">
        <v>2835</v>
      </c>
      <c r="AC294" s="22">
        <f t="shared" si="9"/>
        <v>48.205992156862742</v>
      </c>
      <c r="AD294" s="23">
        <v>0</v>
      </c>
    </row>
    <row r="295" spans="1:30" x14ac:dyDescent="0.35">
      <c r="A295" s="7">
        <v>318</v>
      </c>
      <c r="B295" s="6">
        <v>45832</v>
      </c>
      <c r="C295" s="6">
        <v>45832</v>
      </c>
      <c r="D295" s="4" t="s">
        <v>1341</v>
      </c>
      <c r="E295" s="4" t="s">
        <v>61</v>
      </c>
      <c r="F295" s="4" t="s">
        <v>1340</v>
      </c>
      <c r="G295" s="4" t="s">
        <v>1340</v>
      </c>
      <c r="H295" s="4"/>
      <c r="I295" s="4"/>
      <c r="J295" s="4" t="s">
        <v>59</v>
      </c>
      <c r="K295" s="4" t="s">
        <v>58</v>
      </c>
      <c r="L295" s="4" t="s">
        <v>57</v>
      </c>
      <c r="M295" s="4" t="s">
        <v>32</v>
      </c>
      <c r="N295" s="4" t="s">
        <v>266</v>
      </c>
      <c r="O295" s="4" t="s">
        <v>55</v>
      </c>
      <c r="P295" s="4" t="s">
        <v>54</v>
      </c>
      <c r="Q295" s="5">
        <v>19576.259999999998</v>
      </c>
      <c r="R295" s="10">
        <v>0</v>
      </c>
      <c r="S295" s="9">
        <f t="shared" si="10"/>
        <v>19576.259999999998</v>
      </c>
      <c r="T295" s="4" t="s">
        <v>53</v>
      </c>
      <c r="U295" s="4" t="s">
        <v>117</v>
      </c>
      <c r="V295" s="4"/>
      <c r="W295" s="4">
        <v>-6</v>
      </c>
      <c r="X295" s="4" t="s">
        <v>94</v>
      </c>
      <c r="Y295" s="4"/>
      <c r="Z295" s="7" t="s">
        <v>14</v>
      </c>
      <c r="AA295" s="36" t="s">
        <v>22</v>
      </c>
      <c r="AB295" s="4" t="s">
        <v>2835</v>
      </c>
      <c r="AC295" s="22">
        <f t="shared" si="9"/>
        <v>7.6769647058823525</v>
      </c>
      <c r="AD295" s="23">
        <v>0</v>
      </c>
    </row>
    <row r="296" spans="1:30" x14ac:dyDescent="0.35">
      <c r="A296" s="7">
        <v>319</v>
      </c>
      <c r="B296" s="6">
        <v>45832</v>
      </c>
      <c r="C296" s="6">
        <v>45832</v>
      </c>
      <c r="D296" s="4" t="s">
        <v>1339</v>
      </c>
      <c r="E296" s="4" t="s">
        <v>61</v>
      </c>
      <c r="F296" s="4" t="s">
        <v>1338</v>
      </c>
      <c r="G296" s="4" t="s">
        <v>1338</v>
      </c>
      <c r="H296" s="4"/>
      <c r="I296" s="4"/>
      <c r="J296" s="4" t="s">
        <v>59</v>
      </c>
      <c r="K296" s="4" t="s">
        <v>58</v>
      </c>
      <c r="L296" s="4" t="s">
        <v>57</v>
      </c>
      <c r="M296" s="4" t="s">
        <v>32</v>
      </c>
      <c r="N296" s="4" t="s">
        <v>266</v>
      </c>
      <c r="O296" s="4" t="s">
        <v>55</v>
      </c>
      <c r="P296" s="4" t="s">
        <v>54</v>
      </c>
      <c r="Q296" s="5">
        <v>20183.87</v>
      </c>
      <c r="R296" s="10">
        <v>0</v>
      </c>
      <c r="S296" s="9">
        <f t="shared" si="10"/>
        <v>20183.87</v>
      </c>
      <c r="T296" s="4" t="s">
        <v>53</v>
      </c>
      <c r="U296" s="4" t="s">
        <v>423</v>
      </c>
      <c r="V296" s="4"/>
      <c r="W296" s="4">
        <v>-5</v>
      </c>
      <c r="X296" s="4" t="s">
        <v>51</v>
      </c>
      <c r="Y296" s="4"/>
      <c r="Z296" s="7" t="s">
        <v>14</v>
      </c>
      <c r="AA296" s="36" t="s">
        <v>22</v>
      </c>
      <c r="AB296" s="4" t="s">
        <v>2835</v>
      </c>
      <c r="AC296" s="22">
        <f t="shared" si="9"/>
        <v>7.9152431372549019</v>
      </c>
      <c r="AD296" s="23">
        <v>0</v>
      </c>
    </row>
    <row r="297" spans="1:30" x14ac:dyDescent="0.35">
      <c r="A297" s="7">
        <v>320</v>
      </c>
      <c r="B297" s="6">
        <v>45832</v>
      </c>
      <c r="C297" s="6">
        <v>45832</v>
      </c>
      <c r="D297" s="4" t="s">
        <v>1337</v>
      </c>
      <c r="E297" s="4" t="s">
        <v>61</v>
      </c>
      <c r="F297" s="4" t="s">
        <v>1336</v>
      </c>
      <c r="G297" s="4" t="s">
        <v>1336</v>
      </c>
      <c r="H297" s="4"/>
      <c r="I297" s="4"/>
      <c r="J297" s="4" t="s">
        <v>59</v>
      </c>
      <c r="K297" s="4" t="s">
        <v>58</v>
      </c>
      <c r="L297" s="4" t="s">
        <v>57</v>
      </c>
      <c r="M297" s="4" t="s">
        <v>32</v>
      </c>
      <c r="N297" s="4" t="s">
        <v>266</v>
      </c>
      <c r="O297" s="4" t="s">
        <v>55</v>
      </c>
      <c r="P297" s="4" t="s">
        <v>54</v>
      </c>
      <c r="Q297" s="5">
        <v>70760</v>
      </c>
      <c r="R297" s="10">
        <v>0</v>
      </c>
      <c r="S297" s="9">
        <f t="shared" si="10"/>
        <v>70760</v>
      </c>
      <c r="T297" s="4" t="s">
        <v>53</v>
      </c>
      <c r="U297" s="4" t="s">
        <v>214</v>
      </c>
      <c r="V297" s="4"/>
      <c r="W297" s="4">
        <v>-16</v>
      </c>
      <c r="X297" s="4" t="s">
        <v>51</v>
      </c>
      <c r="Y297" s="4"/>
      <c r="Z297" s="7" t="s">
        <v>14</v>
      </c>
      <c r="AA297" s="36" t="s">
        <v>22</v>
      </c>
      <c r="AB297" s="4" t="s">
        <v>2835</v>
      </c>
      <c r="AC297" s="22">
        <f t="shared" si="9"/>
        <v>27.749019607843138</v>
      </c>
      <c r="AD297" s="23">
        <v>0</v>
      </c>
    </row>
    <row r="298" spans="1:30" x14ac:dyDescent="0.35">
      <c r="A298" s="7">
        <v>321</v>
      </c>
      <c r="B298" s="6">
        <v>45832</v>
      </c>
      <c r="C298" s="6">
        <v>45832</v>
      </c>
      <c r="D298" s="4" t="s">
        <v>1335</v>
      </c>
      <c r="E298" s="4" t="s">
        <v>61</v>
      </c>
      <c r="F298" s="4" t="s">
        <v>1334</v>
      </c>
      <c r="G298" s="4" t="s">
        <v>1334</v>
      </c>
      <c r="H298" s="4"/>
      <c r="I298" s="4"/>
      <c r="J298" s="4" t="s">
        <v>59</v>
      </c>
      <c r="K298" s="4" t="s">
        <v>58</v>
      </c>
      <c r="L298" s="4" t="s">
        <v>57</v>
      </c>
      <c r="M298" s="4" t="s">
        <v>32</v>
      </c>
      <c r="N298" s="4" t="s">
        <v>266</v>
      </c>
      <c r="O298" s="4" t="s">
        <v>55</v>
      </c>
      <c r="P298" s="4" t="s">
        <v>54</v>
      </c>
      <c r="Q298" s="5">
        <v>73902.89</v>
      </c>
      <c r="R298" s="10">
        <v>0</v>
      </c>
      <c r="S298" s="9">
        <f t="shared" si="10"/>
        <v>73902.89</v>
      </c>
      <c r="T298" s="4" t="s">
        <v>53</v>
      </c>
      <c r="U298" s="4" t="s">
        <v>1333</v>
      </c>
      <c r="V298" s="4"/>
      <c r="W298" s="4">
        <v>-32</v>
      </c>
      <c r="X298" s="4" t="s">
        <v>94</v>
      </c>
      <c r="Y298" s="4"/>
      <c r="Z298" s="7" t="s">
        <v>14</v>
      </c>
      <c r="AA298" s="36" t="s">
        <v>22</v>
      </c>
      <c r="AB298" s="4" t="s">
        <v>2835</v>
      </c>
      <c r="AC298" s="22">
        <f t="shared" si="9"/>
        <v>28.981525490196077</v>
      </c>
      <c r="AD298" s="23">
        <v>0</v>
      </c>
    </row>
    <row r="299" spans="1:30" x14ac:dyDescent="0.35">
      <c r="A299" s="7">
        <v>322</v>
      </c>
      <c r="B299" s="6">
        <v>45832</v>
      </c>
      <c r="C299" s="6">
        <v>45832</v>
      </c>
      <c r="D299" s="4" t="s">
        <v>1332</v>
      </c>
      <c r="E299" s="4" t="s">
        <v>1331</v>
      </c>
      <c r="F299" s="4" t="s">
        <v>1330</v>
      </c>
      <c r="G299" s="4" t="s">
        <v>1329</v>
      </c>
      <c r="H299" s="4" t="s">
        <v>1328</v>
      </c>
      <c r="I299" s="4" t="s">
        <v>1327</v>
      </c>
      <c r="J299" s="4" t="s">
        <v>1326</v>
      </c>
      <c r="K299" s="4" t="s">
        <v>58</v>
      </c>
      <c r="L299" s="4" t="s">
        <v>1325</v>
      </c>
      <c r="M299" s="4" t="s">
        <v>36</v>
      </c>
      <c r="N299" s="4" t="s">
        <v>1324</v>
      </c>
      <c r="O299" s="4" t="s">
        <v>68</v>
      </c>
      <c r="P299" s="4" t="s">
        <v>68</v>
      </c>
      <c r="Q299" s="5">
        <v>5100000</v>
      </c>
      <c r="R299" s="10">
        <v>0</v>
      </c>
      <c r="S299" s="9">
        <f t="shared" si="10"/>
        <v>5100000</v>
      </c>
      <c r="T299" s="4" t="s">
        <v>53</v>
      </c>
      <c r="U299" s="4"/>
      <c r="V299" s="4"/>
      <c r="W299" s="4">
        <v>1</v>
      </c>
      <c r="X299" s="4"/>
      <c r="Y299" s="4"/>
      <c r="Z299" s="7" t="s">
        <v>14</v>
      </c>
      <c r="AA299" s="36" t="s">
        <v>20</v>
      </c>
      <c r="AB299" s="4" t="s">
        <v>2602</v>
      </c>
      <c r="AC299" s="22">
        <f t="shared" ref="AC299:AC362" si="11">+S299/$AC$1</f>
        <v>2000</v>
      </c>
      <c r="AD299" s="23">
        <v>0</v>
      </c>
    </row>
    <row r="300" spans="1:30" x14ac:dyDescent="0.35">
      <c r="A300" s="7">
        <v>323</v>
      </c>
      <c r="B300" s="6">
        <v>45833</v>
      </c>
      <c r="C300" s="6">
        <v>45833</v>
      </c>
      <c r="D300" s="4" t="s">
        <v>1323</v>
      </c>
      <c r="E300" s="4" t="s">
        <v>61</v>
      </c>
      <c r="F300" s="4" t="s">
        <v>1322</v>
      </c>
      <c r="G300" s="4" t="s">
        <v>1322</v>
      </c>
      <c r="H300" s="4"/>
      <c r="I300" s="4"/>
      <c r="J300" s="4" t="s">
        <v>59</v>
      </c>
      <c r="K300" s="4" t="s">
        <v>58</v>
      </c>
      <c r="L300" s="4" t="s">
        <v>57</v>
      </c>
      <c r="M300" s="4" t="s">
        <v>32</v>
      </c>
      <c r="N300" s="4" t="s">
        <v>266</v>
      </c>
      <c r="O300" s="4" t="s">
        <v>55</v>
      </c>
      <c r="P300" s="4" t="s">
        <v>54</v>
      </c>
      <c r="Q300" s="5">
        <v>122925.28</v>
      </c>
      <c r="R300" s="10">
        <v>0</v>
      </c>
      <c r="S300" s="9">
        <f t="shared" si="10"/>
        <v>122925.28</v>
      </c>
      <c r="T300" s="4" t="s">
        <v>53</v>
      </c>
      <c r="U300" s="4" t="s">
        <v>271</v>
      </c>
      <c r="V300" s="4"/>
      <c r="W300" s="4">
        <v>-30</v>
      </c>
      <c r="X300" s="4" t="s">
        <v>124</v>
      </c>
      <c r="Y300" s="4"/>
      <c r="Z300" s="7" t="s">
        <v>14</v>
      </c>
      <c r="AA300" s="36" t="s">
        <v>22</v>
      </c>
      <c r="AB300" s="4" t="s">
        <v>2835</v>
      </c>
      <c r="AC300" s="22">
        <f t="shared" si="11"/>
        <v>48.205992156862742</v>
      </c>
      <c r="AD300" s="23">
        <v>0</v>
      </c>
    </row>
    <row r="301" spans="1:30" x14ac:dyDescent="0.35">
      <c r="A301" s="7">
        <v>324</v>
      </c>
      <c r="B301" s="6">
        <v>45833</v>
      </c>
      <c r="C301" s="6">
        <v>45833</v>
      </c>
      <c r="D301" s="4" t="s">
        <v>1321</v>
      </c>
      <c r="E301" s="4" t="s">
        <v>61</v>
      </c>
      <c r="F301" s="4" t="s">
        <v>1320</v>
      </c>
      <c r="G301" s="4" t="s">
        <v>1320</v>
      </c>
      <c r="H301" s="4"/>
      <c r="I301" s="4"/>
      <c r="J301" s="4" t="s">
        <v>59</v>
      </c>
      <c r="K301" s="4" t="s">
        <v>58</v>
      </c>
      <c r="L301" s="4" t="s">
        <v>57</v>
      </c>
      <c r="M301" s="4" t="s">
        <v>32</v>
      </c>
      <c r="N301" s="4" t="s">
        <v>266</v>
      </c>
      <c r="O301" s="4" t="s">
        <v>55</v>
      </c>
      <c r="P301" s="4" t="s">
        <v>54</v>
      </c>
      <c r="Q301" s="5">
        <v>16313.55</v>
      </c>
      <c r="R301" s="10">
        <v>0</v>
      </c>
      <c r="S301" s="9">
        <f t="shared" si="10"/>
        <v>16313.55</v>
      </c>
      <c r="T301" s="4" t="s">
        <v>53</v>
      </c>
      <c r="U301" s="4" t="s">
        <v>117</v>
      </c>
      <c r="V301" s="4"/>
      <c r="W301" s="4">
        <v>-5</v>
      </c>
      <c r="X301" s="4" t="s">
        <v>94</v>
      </c>
      <c r="Y301" s="4"/>
      <c r="Z301" s="7" t="s">
        <v>14</v>
      </c>
      <c r="AA301" s="36" t="s">
        <v>22</v>
      </c>
      <c r="AB301" s="4" t="s">
        <v>2835</v>
      </c>
      <c r="AC301" s="22">
        <f t="shared" si="11"/>
        <v>6.3974705882352936</v>
      </c>
      <c r="AD301" s="23">
        <v>0</v>
      </c>
    </row>
    <row r="302" spans="1:30" x14ac:dyDescent="0.35">
      <c r="A302" s="7">
        <v>325</v>
      </c>
      <c r="B302" s="6">
        <v>45833</v>
      </c>
      <c r="C302" s="6">
        <v>45833</v>
      </c>
      <c r="D302" s="4" t="s">
        <v>1319</v>
      </c>
      <c r="E302" s="4" t="s">
        <v>61</v>
      </c>
      <c r="F302" s="4" t="s">
        <v>1318</v>
      </c>
      <c r="G302" s="4" t="s">
        <v>1318</v>
      </c>
      <c r="H302" s="4"/>
      <c r="I302" s="4"/>
      <c r="J302" s="4" t="s">
        <v>59</v>
      </c>
      <c r="K302" s="4" t="s">
        <v>58</v>
      </c>
      <c r="L302" s="4" t="s">
        <v>57</v>
      </c>
      <c r="M302" s="4" t="s">
        <v>32</v>
      </c>
      <c r="N302" s="4" t="s">
        <v>266</v>
      </c>
      <c r="O302" s="4" t="s">
        <v>55</v>
      </c>
      <c r="P302" s="4" t="s">
        <v>54</v>
      </c>
      <c r="Q302" s="5">
        <v>120000</v>
      </c>
      <c r="R302" s="10">
        <v>0</v>
      </c>
      <c r="S302" s="9">
        <f t="shared" si="10"/>
        <v>120000</v>
      </c>
      <c r="T302" s="4" t="s">
        <v>53</v>
      </c>
      <c r="U302" s="4" t="s">
        <v>121</v>
      </c>
      <c r="V302" s="4"/>
      <c r="W302" s="4">
        <v>-8</v>
      </c>
      <c r="X302" s="4" t="s">
        <v>94</v>
      </c>
      <c r="Y302" s="4"/>
      <c r="Z302" s="7" t="s">
        <v>14</v>
      </c>
      <c r="AA302" s="36" t="s">
        <v>22</v>
      </c>
      <c r="AB302" s="4" t="s">
        <v>2835</v>
      </c>
      <c r="AC302" s="22">
        <f t="shared" si="11"/>
        <v>47.058823529411768</v>
      </c>
      <c r="AD302" s="23">
        <v>0</v>
      </c>
    </row>
    <row r="303" spans="1:30" x14ac:dyDescent="0.35">
      <c r="A303" s="7">
        <v>326</v>
      </c>
      <c r="B303" s="6">
        <v>45833</v>
      </c>
      <c r="C303" s="6">
        <v>45833</v>
      </c>
      <c r="D303" s="4" t="s">
        <v>1317</v>
      </c>
      <c r="E303" s="4" t="s">
        <v>61</v>
      </c>
      <c r="F303" s="4" t="s">
        <v>1316</v>
      </c>
      <c r="G303" s="4" t="s">
        <v>1316</v>
      </c>
      <c r="H303" s="4"/>
      <c r="I303" s="4"/>
      <c r="J303" s="4" t="s">
        <v>59</v>
      </c>
      <c r="K303" s="4" t="s">
        <v>58</v>
      </c>
      <c r="L303" s="4" t="s">
        <v>57</v>
      </c>
      <c r="M303" s="4" t="s">
        <v>32</v>
      </c>
      <c r="N303" s="4" t="s">
        <v>317</v>
      </c>
      <c r="O303" s="4" t="s">
        <v>68</v>
      </c>
      <c r="P303" s="4" t="s">
        <v>54</v>
      </c>
      <c r="Q303" s="5">
        <v>81950.19</v>
      </c>
      <c r="R303" s="10">
        <v>0</v>
      </c>
      <c r="S303" s="9">
        <f t="shared" si="10"/>
        <v>81950.19</v>
      </c>
      <c r="T303" s="4" t="s">
        <v>53</v>
      </c>
      <c r="U303" s="4" t="s">
        <v>271</v>
      </c>
      <c r="V303" s="4"/>
      <c r="W303" s="4">
        <v>-20</v>
      </c>
      <c r="X303" s="4" t="s">
        <v>124</v>
      </c>
      <c r="Y303" s="4"/>
      <c r="Z303" s="7" t="s">
        <v>14</v>
      </c>
      <c r="AA303" s="36" t="s">
        <v>23</v>
      </c>
      <c r="AB303" s="4" t="s">
        <v>2607</v>
      </c>
      <c r="AC303" s="22">
        <f t="shared" si="11"/>
        <v>32.137329411764703</v>
      </c>
      <c r="AD303" s="23">
        <v>0</v>
      </c>
    </row>
    <row r="304" spans="1:30" x14ac:dyDescent="0.35">
      <c r="A304" s="7">
        <v>327</v>
      </c>
      <c r="B304" s="6">
        <v>45833</v>
      </c>
      <c r="C304" s="6">
        <v>45833</v>
      </c>
      <c r="D304" s="4" t="s">
        <v>1315</v>
      </c>
      <c r="E304" s="4" t="s">
        <v>61</v>
      </c>
      <c r="F304" s="4" t="s">
        <v>1314</v>
      </c>
      <c r="G304" s="4" t="s">
        <v>1314</v>
      </c>
      <c r="H304" s="4"/>
      <c r="I304" s="4"/>
      <c r="J304" s="4" t="s">
        <v>59</v>
      </c>
      <c r="K304" s="4" t="s">
        <v>58</v>
      </c>
      <c r="L304" s="4" t="s">
        <v>97</v>
      </c>
      <c r="M304" s="4" t="s">
        <v>34</v>
      </c>
      <c r="N304" s="4" t="s">
        <v>197</v>
      </c>
      <c r="O304" s="4" t="s">
        <v>105</v>
      </c>
      <c r="P304" s="4" t="s">
        <v>54</v>
      </c>
      <c r="Q304" s="5">
        <v>10500.48</v>
      </c>
      <c r="R304" s="10">
        <v>0</v>
      </c>
      <c r="S304" s="9">
        <f t="shared" si="10"/>
        <v>10500.48</v>
      </c>
      <c r="T304" s="4" t="s">
        <v>53</v>
      </c>
      <c r="U304" s="4" t="s">
        <v>111</v>
      </c>
      <c r="V304" s="4"/>
      <c r="W304" s="4">
        <v>-25</v>
      </c>
      <c r="X304" s="4" t="s">
        <v>94</v>
      </c>
      <c r="Y304" s="4"/>
      <c r="Z304" s="7" t="s">
        <v>14</v>
      </c>
      <c r="AA304" s="36" t="s">
        <v>29</v>
      </c>
      <c r="AB304" s="4" t="s">
        <v>2607</v>
      </c>
      <c r="AC304" s="22">
        <f t="shared" si="11"/>
        <v>4.117835294117647</v>
      </c>
      <c r="AD304" s="23">
        <v>0</v>
      </c>
    </row>
    <row r="305" spans="1:30" x14ac:dyDescent="0.35">
      <c r="A305" s="7">
        <v>328</v>
      </c>
      <c r="B305" s="6">
        <v>45834.492268518516</v>
      </c>
      <c r="C305" s="6">
        <v>45834</v>
      </c>
      <c r="D305" s="7" t="s">
        <v>2304</v>
      </c>
      <c r="E305" s="7" t="s">
        <v>1331</v>
      </c>
      <c r="F305" s="7" t="s">
        <v>2305</v>
      </c>
      <c r="G305" s="7" t="s">
        <v>2302</v>
      </c>
      <c r="H305" s="7" t="s">
        <v>2023</v>
      </c>
      <c r="I305" s="7" t="s">
        <v>2022</v>
      </c>
      <c r="J305" s="7" t="s">
        <v>1816</v>
      </c>
      <c r="K305" s="7" t="s">
        <v>1815</v>
      </c>
      <c r="L305" s="7" t="s">
        <v>1883</v>
      </c>
      <c r="M305" s="7" t="s">
        <v>17</v>
      </c>
      <c r="N305" s="7" t="s">
        <v>1504</v>
      </c>
      <c r="O305" s="7" t="s">
        <v>68</v>
      </c>
      <c r="P305" s="7" t="s">
        <v>68</v>
      </c>
      <c r="Q305" s="9">
        <v>2040000</v>
      </c>
      <c r="R305" s="9">
        <v>0</v>
      </c>
      <c r="S305" s="9">
        <f t="shared" si="10"/>
        <v>2040000</v>
      </c>
      <c r="T305" s="4" t="s">
        <v>53</v>
      </c>
      <c r="U305" s="7" t="s">
        <v>1904</v>
      </c>
      <c r="V305" s="7" t="s">
        <v>1823</v>
      </c>
      <c r="W305" s="9">
        <v>34</v>
      </c>
      <c r="X305" s="7" t="s">
        <v>1903</v>
      </c>
      <c r="Y305" s="7"/>
      <c r="Z305" s="7" t="s">
        <v>14</v>
      </c>
      <c r="AA305" s="36" t="s">
        <v>17</v>
      </c>
      <c r="AB305" s="4" t="s">
        <v>2602</v>
      </c>
      <c r="AC305" s="22">
        <f t="shared" si="11"/>
        <v>800</v>
      </c>
      <c r="AD305" s="23">
        <v>0</v>
      </c>
    </row>
    <row r="306" spans="1:30" x14ac:dyDescent="0.35">
      <c r="A306" s="7">
        <v>329</v>
      </c>
      <c r="B306" s="6">
        <v>45834.492268518516</v>
      </c>
      <c r="C306" s="6">
        <v>45834</v>
      </c>
      <c r="D306" s="7" t="s">
        <v>2304</v>
      </c>
      <c r="E306" s="7" t="s">
        <v>1331</v>
      </c>
      <c r="F306" s="7" t="s">
        <v>2303</v>
      </c>
      <c r="G306" s="7" t="s">
        <v>2302</v>
      </c>
      <c r="H306" s="7" t="s">
        <v>2023</v>
      </c>
      <c r="I306" s="7" t="s">
        <v>2022</v>
      </c>
      <c r="J306" s="7" t="s">
        <v>1816</v>
      </c>
      <c r="K306" s="7" t="s">
        <v>1815</v>
      </c>
      <c r="L306" s="7" t="s">
        <v>1883</v>
      </c>
      <c r="M306" s="7" t="s">
        <v>17</v>
      </c>
      <c r="N306" s="7" t="s">
        <v>1504</v>
      </c>
      <c r="O306" s="7" t="s">
        <v>68</v>
      </c>
      <c r="P306" s="7" t="s">
        <v>68</v>
      </c>
      <c r="Q306" s="9">
        <v>342000</v>
      </c>
      <c r="R306" s="9">
        <v>0</v>
      </c>
      <c r="S306" s="9">
        <f t="shared" si="10"/>
        <v>342000</v>
      </c>
      <c r="T306" s="4" t="s">
        <v>53</v>
      </c>
      <c r="U306" s="7" t="s">
        <v>1904</v>
      </c>
      <c r="V306" s="7" t="s">
        <v>1823</v>
      </c>
      <c r="W306" s="9">
        <v>36</v>
      </c>
      <c r="X306" s="7" t="s">
        <v>1903</v>
      </c>
      <c r="Y306" s="7"/>
      <c r="Z306" s="7" t="s">
        <v>14</v>
      </c>
      <c r="AA306" s="36" t="s">
        <v>17</v>
      </c>
      <c r="AB306" s="4" t="s">
        <v>2602</v>
      </c>
      <c r="AC306" s="22">
        <f t="shared" si="11"/>
        <v>134.11764705882354</v>
      </c>
      <c r="AD306" s="23">
        <v>0</v>
      </c>
    </row>
    <row r="307" spans="1:30" x14ac:dyDescent="0.35">
      <c r="A307" s="7">
        <v>330</v>
      </c>
      <c r="B307" s="6">
        <v>45834.491863425923</v>
      </c>
      <c r="C307" s="6">
        <v>45834</v>
      </c>
      <c r="D307" s="7" t="s">
        <v>2300</v>
      </c>
      <c r="E307" s="7" t="s">
        <v>1331</v>
      </c>
      <c r="F307" s="7" t="s">
        <v>2301</v>
      </c>
      <c r="G307" s="7" t="s">
        <v>2298</v>
      </c>
      <c r="H307" s="7" t="s">
        <v>2023</v>
      </c>
      <c r="I307" s="7" t="s">
        <v>2022</v>
      </c>
      <c r="J307" s="7" t="s">
        <v>1816</v>
      </c>
      <c r="K307" s="7" t="s">
        <v>1815</v>
      </c>
      <c r="L307" s="7" t="s">
        <v>1883</v>
      </c>
      <c r="M307" s="7" t="s">
        <v>17</v>
      </c>
      <c r="N307" s="7" t="s">
        <v>1504</v>
      </c>
      <c r="O307" s="7" t="s">
        <v>68</v>
      </c>
      <c r="P307" s="7" t="s">
        <v>68</v>
      </c>
      <c r="Q307" s="9">
        <v>1980000</v>
      </c>
      <c r="R307" s="9">
        <v>0</v>
      </c>
      <c r="S307" s="9">
        <f t="shared" si="10"/>
        <v>1980000</v>
      </c>
      <c r="T307" s="4" t="s">
        <v>53</v>
      </c>
      <c r="U307" s="7" t="s">
        <v>1904</v>
      </c>
      <c r="V307" s="7" t="s">
        <v>1823</v>
      </c>
      <c r="W307" s="9">
        <v>33</v>
      </c>
      <c r="X307" s="7" t="s">
        <v>1903</v>
      </c>
      <c r="Y307" s="7"/>
      <c r="Z307" s="7" t="s">
        <v>14</v>
      </c>
      <c r="AA307" s="36" t="s">
        <v>17</v>
      </c>
      <c r="AB307" s="4" t="s">
        <v>2602</v>
      </c>
      <c r="AC307" s="22">
        <f t="shared" si="11"/>
        <v>776.47058823529414</v>
      </c>
      <c r="AD307" s="23">
        <v>0</v>
      </c>
    </row>
    <row r="308" spans="1:30" x14ac:dyDescent="0.35">
      <c r="A308" s="7">
        <v>331</v>
      </c>
      <c r="B308" s="6">
        <v>45834.491863425923</v>
      </c>
      <c r="C308" s="6">
        <v>45834</v>
      </c>
      <c r="D308" s="7" t="s">
        <v>2300</v>
      </c>
      <c r="E308" s="7" t="s">
        <v>1331</v>
      </c>
      <c r="F308" s="7" t="s">
        <v>2299</v>
      </c>
      <c r="G308" s="7" t="s">
        <v>2298</v>
      </c>
      <c r="H308" s="7" t="s">
        <v>2023</v>
      </c>
      <c r="I308" s="7" t="s">
        <v>2022</v>
      </c>
      <c r="J308" s="7" t="s">
        <v>1816</v>
      </c>
      <c r="K308" s="7" t="s">
        <v>1815</v>
      </c>
      <c r="L308" s="7" t="s">
        <v>1883</v>
      </c>
      <c r="M308" s="7" t="s">
        <v>17</v>
      </c>
      <c r="N308" s="7" t="s">
        <v>1504</v>
      </c>
      <c r="O308" s="7" t="s">
        <v>68</v>
      </c>
      <c r="P308" s="7" t="s">
        <v>68</v>
      </c>
      <c r="Q308" s="9">
        <v>351500</v>
      </c>
      <c r="R308" s="9">
        <v>0</v>
      </c>
      <c r="S308" s="9">
        <f t="shared" si="10"/>
        <v>351500</v>
      </c>
      <c r="T308" s="4" t="s">
        <v>53</v>
      </c>
      <c r="U308" s="7" t="s">
        <v>1904</v>
      </c>
      <c r="V308" s="7" t="s">
        <v>1823</v>
      </c>
      <c r="W308" s="9">
        <v>37</v>
      </c>
      <c r="X308" s="7" t="s">
        <v>1903</v>
      </c>
      <c r="Y308" s="7"/>
      <c r="Z308" s="7" t="s">
        <v>14</v>
      </c>
      <c r="AA308" s="36" t="s">
        <v>17</v>
      </c>
      <c r="AB308" s="4" t="s">
        <v>2602</v>
      </c>
      <c r="AC308" s="22">
        <f t="shared" si="11"/>
        <v>137.84313725490196</v>
      </c>
      <c r="AD308" s="23">
        <v>0</v>
      </c>
    </row>
    <row r="309" spans="1:30" x14ac:dyDescent="0.35">
      <c r="A309" s="7">
        <v>332</v>
      </c>
      <c r="B309" s="6">
        <v>45834.491377314815</v>
      </c>
      <c r="C309" s="6">
        <v>45834</v>
      </c>
      <c r="D309" s="7" t="s">
        <v>2297</v>
      </c>
      <c r="E309" s="7" t="s">
        <v>1331</v>
      </c>
      <c r="F309" s="7" t="s">
        <v>2296</v>
      </c>
      <c r="G309" s="7" t="s">
        <v>2295</v>
      </c>
      <c r="H309" s="7" t="s">
        <v>2023</v>
      </c>
      <c r="I309" s="7" t="s">
        <v>2022</v>
      </c>
      <c r="J309" s="7" t="s">
        <v>1816</v>
      </c>
      <c r="K309" s="7" t="s">
        <v>1815</v>
      </c>
      <c r="L309" s="7" t="s">
        <v>1883</v>
      </c>
      <c r="M309" s="7" t="s">
        <v>17</v>
      </c>
      <c r="N309" s="7" t="s">
        <v>1504</v>
      </c>
      <c r="O309" s="7" t="s">
        <v>68</v>
      </c>
      <c r="P309" s="7" t="s">
        <v>68</v>
      </c>
      <c r="Q309" s="9">
        <v>1522500</v>
      </c>
      <c r="R309" s="9">
        <v>0</v>
      </c>
      <c r="S309" s="9">
        <f t="shared" si="10"/>
        <v>1522500</v>
      </c>
      <c r="T309" s="4" t="s">
        <v>53</v>
      </c>
      <c r="U309" s="7" t="s">
        <v>1904</v>
      </c>
      <c r="V309" s="7" t="s">
        <v>1823</v>
      </c>
      <c r="W309" s="9">
        <v>145</v>
      </c>
      <c r="X309" s="7" t="s">
        <v>1903</v>
      </c>
      <c r="Y309" s="7"/>
      <c r="Z309" s="7" t="s">
        <v>14</v>
      </c>
      <c r="AA309" s="36" t="s">
        <v>17</v>
      </c>
      <c r="AB309" s="4" t="s">
        <v>2602</v>
      </c>
      <c r="AC309" s="22">
        <f t="shared" si="11"/>
        <v>597.05882352941171</v>
      </c>
      <c r="AD309" s="23">
        <v>0</v>
      </c>
    </row>
    <row r="310" spans="1:30" x14ac:dyDescent="0.35">
      <c r="A310" s="7">
        <v>333</v>
      </c>
      <c r="B310" s="6">
        <v>45834.489386574074</v>
      </c>
      <c r="C310" s="6">
        <v>45834</v>
      </c>
      <c r="D310" s="7" t="s">
        <v>2293</v>
      </c>
      <c r="E310" s="7" t="s">
        <v>1331</v>
      </c>
      <c r="F310" s="7" t="s">
        <v>2294</v>
      </c>
      <c r="G310" s="7" t="s">
        <v>2291</v>
      </c>
      <c r="H310" s="7" t="s">
        <v>2023</v>
      </c>
      <c r="I310" s="7" t="s">
        <v>2022</v>
      </c>
      <c r="J310" s="7" t="s">
        <v>1816</v>
      </c>
      <c r="K310" s="7" t="s">
        <v>1815</v>
      </c>
      <c r="L310" s="7" t="s">
        <v>1883</v>
      </c>
      <c r="M310" s="7" t="s">
        <v>17</v>
      </c>
      <c r="N310" s="7" t="s">
        <v>1504</v>
      </c>
      <c r="O310" s="7" t="s">
        <v>68</v>
      </c>
      <c r="P310" s="7" t="s">
        <v>68</v>
      </c>
      <c r="Q310" s="9">
        <v>47500</v>
      </c>
      <c r="R310" s="9">
        <v>0</v>
      </c>
      <c r="S310" s="9">
        <f t="shared" si="10"/>
        <v>47500</v>
      </c>
      <c r="T310" s="4" t="s">
        <v>53</v>
      </c>
      <c r="U310" s="7" t="s">
        <v>1904</v>
      </c>
      <c r="V310" s="7" t="s">
        <v>1823</v>
      </c>
      <c r="W310" s="9">
        <v>5</v>
      </c>
      <c r="X310" s="7" t="s">
        <v>1903</v>
      </c>
      <c r="Y310" s="7"/>
      <c r="Z310" s="7" t="s">
        <v>14</v>
      </c>
      <c r="AA310" s="36" t="s">
        <v>17</v>
      </c>
      <c r="AB310" s="4" t="s">
        <v>2602</v>
      </c>
      <c r="AC310" s="22">
        <f t="shared" si="11"/>
        <v>18.627450980392158</v>
      </c>
      <c r="AD310" s="23">
        <v>0</v>
      </c>
    </row>
    <row r="311" spans="1:30" x14ac:dyDescent="0.35">
      <c r="A311" s="7">
        <v>334</v>
      </c>
      <c r="B311" s="6">
        <v>45834.489386574074</v>
      </c>
      <c r="C311" s="6">
        <v>45834</v>
      </c>
      <c r="D311" s="7" t="s">
        <v>2293</v>
      </c>
      <c r="E311" s="7" t="s">
        <v>1331</v>
      </c>
      <c r="F311" s="7" t="s">
        <v>2292</v>
      </c>
      <c r="G311" s="7" t="s">
        <v>2291</v>
      </c>
      <c r="H311" s="7" t="s">
        <v>2023</v>
      </c>
      <c r="I311" s="7" t="s">
        <v>2022</v>
      </c>
      <c r="J311" s="7" t="s">
        <v>1816</v>
      </c>
      <c r="K311" s="7" t="s">
        <v>1815</v>
      </c>
      <c r="L311" s="7" t="s">
        <v>1883</v>
      </c>
      <c r="M311" s="7" t="s">
        <v>17</v>
      </c>
      <c r="N311" s="7" t="s">
        <v>1504</v>
      </c>
      <c r="O311" s="7" t="s">
        <v>68</v>
      </c>
      <c r="P311" s="7" t="s">
        <v>68</v>
      </c>
      <c r="Q311" s="9">
        <v>360000</v>
      </c>
      <c r="R311" s="9">
        <v>0</v>
      </c>
      <c r="S311" s="9">
        <f t="shared" si="10"/>
        <v>360000</v>
      </c>
      <c r="T311" s="4" t="s">
        <v>53</v>
      </c>
      <c r="U311" s="7" t="s">
        <v>1904</v>
      </c>
      <c r="V311" s="7" t="s">
        <v>1823</v>
      </c>
      <c r="W311" s="9">
        <v>6</v>
      </c>
      <c r="X311" s="7" t="s">
        <v>1903</v>
      </c>
      <c r="Y311" s="7"/>
      <c r="Z311" s="7" t="s">
        <v>14</v>
      </c>
      <c r="AA311" s="36" t="s">
        <v>17</v>
      </c>
      <c r="AB311" s="4" t="s">
        <v>2602</v>
      </c>
      <c r="AC311" s="22">
        <f t="shared" si="11"/>
        <v>141.1764705882353</v>
      </c>
      <c r="AD311" s="23">
        <v>0</v>
      </c>
    </row>
    <row r="312" spans="1:30" x14ac:dyDescent="0.35">
      <c r="A312" s="7">
        <v>335</v>
      </c>
      <c r="B312" s="6">
        <v>45834</v>
      </c>
      <c r="C312" s="6">
        <v>45834</v>
      </c>
      <c r="D312" s="4" t="s">
        <v>1313</v>
      </c>
      <c r="E312" s="4" t="s">
        <v>61</v>
      </c>
      <c r="F312" s="4" t="s">
        <v>1312</v>
      </c>
      <c r="G312" s="4" t="s">
        <v>1312</v>
      </c>
      <c r="H312" s="4"/>
      <c r="I312" s="4"/>
      <c r="J312" s="4" t="s">
        <v>59</v>
      </c>
      <c r="K312" s="4" t="s">
        <v>58</v>
      </c>
      <c r="L312" s="4" t="s">
        <v>57</v>
      </c>
      <c r="M312" s="4" t="s">
        <v>32</v>
      </c>
      <c r="N312" s="4" t="s">
        <v>317</v>
      </c>
      <c r="O312" s="4" t="s">
        <v>68</v>
      </c>
      <c r="P312" s="4" t="s">
        <v>54</v>
      </c>
      <c r="Q312" s="5">
        <v>22838.97</v>
      </c>
      <c r="R312" s="10">
        <v>0</v>
      </c>
      <c r="S312" s="9">
        <f t="shared" si="10"/>
        <v>22838.97</v>
      </c>
      <c r="T312" s="4" t="s">
        <v>53</v>
      </c>
      <c r="U312" s="4" t="s">
        <v>117</v>
      </c>
      <c r="V312" s="4"/>
      <c r="W312" s="4">
        <v>-7</v>
      </c>
      <c r="X312" s="4" t="s">
        <v>94</v>
      </c>
      <c r="Y312" s="4"/>
      <c r="Z312" s="7" t="s">
        <v>14</v>
      </c>
      <c r="AA312" s="36" t="s">
        <v>23</v>
      </c>
      <c r="AB312" s="4" t="s">
        <v>2607</v>
      </c>
      <c r="AC312" s="22">
        <f t="shared" si="11"/>
        <v>8.9564588235294114</v>
      </c>
      <c r="AD312" s="23">
        <v>0</v>
      </c>
    </row>
    <row r="313" spans="1:30" x14ac:dyDescent="0.35">
      <c r="A313" s="7">
        <v>336</v>
      </c>
      <c r="B313" s="6">
        <v>45834</v>
      </c>
      <c r="C313" s="6">
        <v>45834</v>
      </c>
      <c r="D313" s="4" t="s">
        <v>1311</v>
      </c>
      <c r="E313" s="4" t="s">
        <v>61</v>
      </c>
      <c r="F313" s="4" t="s">
        <v>1310</v>
      </c>
      <c r="G313" s="4" t="s">
        <v>1310</v>
      </c>
      <c r="H313" s="4"/>
      <c r="I313" s="4"/>
      <c r="J313" s="4" t="s">
        <v>59</v>
      </c>
      <c r="K313" s="4" t="s">
        <v>58</v>
      </c>
      <c r="L313" s="4" t="s">
        <v>57</v>
      </c>
      <c r="M313" s="4" t="s">
        <v>32</v>
      </c>
      <c r="N313" s="4" t="s">
        <v>317</v>
      </c>
      <c r="O313" s="4" t="s">
        <v>68</v>
      </c>
      <c r="P313" s="4" t="s">
        <v>54</v>
      </c>
      <c r="Q313" s="5">
        <v>60000</v>
      </c>
      <c r="R313" s="10">
        <v>0</v>
      </c>
      <c r="S313" s="9">
        <f t="shared" si="10"/>
        <v>60000</v>
      </c>
      <c r="T313" s="4" t="s">
        <v>53</v>
      </c>
      <c r="U313" s="4" t="s">
        <v>121</v>
      </c>
      <c r="V313" s="4"/>
      <c r="W313" s="4">
        <v>-4</v>
      </c>
      <c r="X313" s="4" t="s">
        <v>94</v>
      </c>
      <c r="Y313" s="4"/>
      <c r="Z313" s="7" t="s">
        <v>14</v>
      </c>
      <c r="AA313" s="36" t="s">
        <v>23</v>
      </c>
      <c r="AB313" s="4" t="s">
        <v>2607</v>
      </c>
      <c r="AC313" s="22">
        <f t="shared" si="11"/>
        <v>23.529411764705884</v>
      </c>
      <c r="AD313" s="23">
        <v>0</v>
      </c>
    </row>
    <row r="314" spans="1:30" x14ac:dyDescent="0.35">
      <c r="A314" s="7">
        <v>337</v>
      </c>
      <c r="B314" s="6">
        <v>45834</v>
      </c>
      <c r="C314" s="6">
        <v>45834</v>
      </c>
      <c r="D314" s="4" t="s">
        <v>1309</v>
      </c>
      <c r="E314" s="4" t="s">
        <v>61</v>
      </c>
      <c r="F314" s="4" t="s">
        <v>1308</v>
      </c>
      <c r="G314" s="4" t="s">
        <v>1308</v>
      </c>
      <c r="H314" s="4"/>
      <c r="I314" s="4"/>
      <c r="J314" s="4" t="s">
        <v>59</v>
      </c>
      <c r="K314" s="4" t="s">
        <v>58</v>
      </c>
      <c r="L314" s="4" t="s">
        <v>57</v>
      </c>
      <c r="M314" s="4" t="s">
        <v>32</v>
      </c>
      <c r="N314" s="4" t="s">
        <v>266</v>
      </c>
      <c r="O314" s="4" t="s">
        <v>68</v>
      </c>
      <c r="P314" s="4" t="s">
        <v>54</v>
      </c>
      <c r="Q314" s="5">
        <v>501020.21</v>
      </c>
      <c r="R314" s="10">
        <v>0</v>
      </c>
      <c r="S314" s="9">
        <f t="shared" si="10"/>
        <v>501020.21</v>
      </c>
      <c r="T314" s="4" t="s">
        <v>53</v>
      </c>
      <c r="U314" s="4" t="s">
        <v>1307</v>
      </c>
      <c r="V314" s="4"/>
      <c r="W314" s="4">
        <v>-5</v>
      </c>
      <c r="X314" s="4" t="s">
        <v>51</v>
      </c>
      <c r="Y314" s="4"/>
      <c r="Z314" s="7" t="s">
        <v>14</v>
      </c>
      <c r="AA314" s="36" t="s">
        <v>22</v>
      </c>
      <c r="AB314" s="4" t="s">
        <v>2835</v>
      </c>
      <c r="AC314" s="22">
        <f t="shared" si="11"/>
        <v>196.47851372549022</v>
      </c>
      <c r="AD314" s="23">
        <v>0</v>
      </c>
    </row>
    <row r="315" spans="1:30" x14ac:dyDescent="0.35">
      <c r="A315" s="7">
        <v>338</v>
      </c>
      <c r="B315" s="6">
        <v>45834</v>
      </c>
      <c r="C315" s="6">
        <v>45834</v>
      </c>
      <c r="D315" s="4" t="s">
        <v>1306</v>
      </c>
      <c r="E315" s="4" t="s">
        <v>61</v>
      </c>
      <c r="F315" s="4" t="s">
        <v>1305</v>
      </c>
      <c r="G315" s="4" t="s">
        <v>1305</v>
      </c>
      <c r="H315" s="4"/>
      <c r="I315" s="4"/>
      <c r="J315" s="4" t="s">
        <v>59</v>
      </c>
      <c r="K315" s="4" t="s">
        <v>58</v>
      </c>
      <c r="L315" s="4" t="s">
        <v>57</v>
      </c>
      <c r="M315" s="4" t="s">
        <v>32</v>
      </c>
      <c r="N315" s="4" t="s">
        <v>317</v>
      </c>
      <c r="O315" s="4" t="s">
        <v>68</v>
      </c>
      <c r="P315" s="4" t="s">
        <v>54</v>
      </c>
      <c r="Q315" s="5">
        <v>16313.55</v>
      </c>
      <c r="R315" s="10">
        <v>0</v>
      </c>
      <c r="S315" s="9">
        <f t="shared" si="10"/>
        <v>16313.55</v>
      </c>
      <c r="T315" s="4" t="s">
        <v>53</v>
      </c>
      <c r="U315" s="4" t="s">
        <v>117</v>
      </c>
      <c r="V315" s="4"/>
      <c r="W315" s="4">
        <v>-5</v>
      </c>
      <c r="X315" s="4" t="s">
        <v>94</v>
      </c>
      <c r="Y315" s="4"/>
      <c r="Z315" s="7" t="s">
        <v>14</v>
      </c>
      <c r="AA315" s="36" t="s">
        <v>23</v>
      </c>
      <c r="AB315" s="4" t="s">
        <v>2607</v>
      </c>
      <c r="AC315" s="22">
        <f t="shared" si="11"/>
        <v>6.3974705882352936</v>
      </c>
      <c r="AD315" s="23">
        <v>0</v>
      </c>
    </row>
    <row r="316" spans="1:30" x14ac:dyDescent="0.35">
      <c r="A316" s="7">
        <v>339</v>
      </c>
      <c r="B316" s="6">
        <v>45834</v>
      </c>
      <c r="C316" s="6">
        <v>45834</v>
      </c>
      <c r="D316" s="4" t="s">
        <v>1304</v>
      </c>
      <c r="E316" s="4" t="s">
        <v>61</v>
      </c>
      <c r="F316" s="4" t="s">
        <v>1303</v>
      </c>
      <c r="G316" s="4" t="s">
        <v>1303</v>
      </c>
      <c r="H316" s="4"/>
      <c r="I316" s="4"/>
      <c r="J316" s="4" t="s">
        <v>59</v>
      </c>
      <c r="K316" s="4" t="s">
        <v>58</v>
      </c>
      <c r="L316" s="4" t="s">
        <v>57</v>
      </c>
      <c r="M316" s="4" t="s">
        <v>32</v>
      </c>
      <c r="N316" s="4" t="s">
        <v>317</v>
      </c>
      <c r="O316" s="4" t="s">
        <v>68</v>
      </c>
      <c r="P316" s="4" t="s">
        <v>54</v>
      </c>
      <c r="Q316" s="5">
        <v>35380</v>
      </c>
      <c r="R316" s="10">
        <v>0</v>
      </c>
      <c r="S316" s="9">
        <f t="shared" si="10"/>
        <v>35380</v>
      </c>
      <c r="T316" s="4" t="s">
        <v>53</v>
      </c>
      <c r="U316" s="4" t="s">
        <v>214</v>
      </c>
      <c r="V316" s="4"/>
      <c r="W316" s="4">
        <v>-8</v>
      </c>
      <c r="X316" s="4" t="s">
        <v>51</v>
      </c>
      <c r="Y316" s="4"/>
      <c r="Z316" s="7" t="s">
        <v>14</v>
      </c>
      <c r="AA316" s="36" t="s">
        <v>23</v>
      </c>
      <c r="AB316" s="4" t="s">
        <v>2607</v>
      </c>
      <c r="AC316" s="22">
        <f t="shared" si="11"/>
        <v>13.874509803921569</v>
      </c>
      <c r="AD316" s="23">
        <v>0</v>
      </c>
    </row>
    <row r="317" spans="1:30" x14ac:dyDescent="0.35">
      <c r="A317" s="7">
        <v>340</v>
      </c>
      <c r="B317" s="6">
        <v>45835</v>
      </c>
      <c r="C317" s="6">
        <v>45835</v>
      </c>
      <c r="D317" s="4" t="s">
        <v>1302</v>
      </c>
      <c r="E317" s="4" t="s">
        <v>61</v>
      </c>
      <c r="F317" s="4" t="s">
        <v>1301</v>
      </c>
      <c r="G317" s="4" t="s">
        <v>1301</v>
      </c>
      <c r="H317" s="4"/>
      <c r="I317" s="4"/>
      <c r="J317" s="4" t="s">
        <v>59</v>
      </c>
      <c r="K317" s="4" t="s">
        <v>58</v>
      </c>
      <c r="L317" s="4" t="s">
        <v>57</v>
      </c>
      <c r="M317" s="4" t="s">
        <v>32</v>
      </c>
      <c r="N317" s="4" t="s">
        <v>317</v>
      </c>
      <c r="O317" s="4" t="s">
        <v>68</v>
      </c>
      <c r="P317" s="4" t="s">
        <v>54</v>
      </c>
      <c r="Q317" s="5">
        <v>9489.58</v>
      </c>
      <c r="R317" s="10">
        <v>0</v>
      </c>
      <c r="S317" s="9">
        <f t="shared" si="10"/>
        <v>9489.58</v>
      </c>
      <c r="T317" s="4" t="s">
        <v>53</v>
      </c>
      <c r="U317" s="4" t="s">
        <v>1300</v>
      </c>
      <c r="V317" s="4"/>
      <c r="W317" s="4">
        <v>-5</v>
      </c>
      <c r="X317" s="4" t="s">
        <v>94</v>
      </c>
      <c r="Y317" s="4"/>
      <c r="Z317" s="7" t="s">
        <v>14</v>
      </c>
      <c r="AA317" s="36" t="s">
        <v>23</v>
      </c>
      <c r="AB317" s="4" t="s">
        <v>2607</v>
      </c>
      <c r="AC317" s="22">
        <f t="shared" si="11"/>
        <v>3.7214039215686272</v>
      </c>
      <c r="AD317" s="23">
        <v>0</v>
      </c>
    </row>
    <row r="318" spans="1:30" x14ac:dyDescent="0.35">
      <c r="A318" s="7">
        <v>341</v>
      </c>
      <c r="B318" s="6">
        <v>45835</v>
      </c>
      <c r="C318" s="6">
        <v>45835</v>
      </c>
      <c r="D318" s="4" t="s">
        <v>1299</v>
      </c>
      <c r="E318" s="4" t="s">
        <v>61</v>
      </c>
      <c r="F318" s="4" t="s">
        <v>1298</v>
      </c>
      <c r="G318" s="4" t="s">
        <v>1298</v>
      </c>
      <c r="H318" s="4"/>
      <c r="I318" s="4"/>
      <c r="J318" s="4" t="s">
        <v>59</v>
      </c>
      <c r="K318" s="4" t="s">
        <v>58</v>
      </c>
      <c r="L318" s="4" t="s">
        <v>57</v>
      </c>
      <c r="M318" s="4" t="s">
        <v>32</v>
      </c>
      <c r="N318" s="4" t="s">
        <v>317</v>
      </c>
      <c r="O318" s="4" t="s">
        <v>68</v>
      </c>
      <c r="P318" s="4" t="s">
        <v>54</v>
      </c>
      <c r="Q318" s="5">
        <v>15685.16</v>
      </c>
      <c r="R318" s="10">
        <v>0</v>
      </c>
      <c r="S318" s="9">
        <f t="shared" si="10"/>
        <v>15685.16</v>
      </c>
      <c r="T318" s="4" t="s">
        <v>53</v>
      </c>
      <c r="U318" s="4" t="s">
        <v>1020</v>
      </c>
      <c r="V318" s="4"/>
      <c r="W318" s="4">
        <v>-5</v>
      </c>
      <c r="X318" s="4" t="s">
        <v>94</v>
      </c>
      <c r="Y318" s="4"/>
      <c r="Z318" s="7" t="s">
        <v>14</v>
      </c>
      <c r="AA318" s="36" t="s">
        <v>23</v>
      </c>
      <c r="AB318" s="4" t="s">
        <v>2607</v>
      </c>
      <c r="AC318" s="22">
        <f t="shared" si="11"/>
        <v>6.1510431372549021</v>
      </c>
      <c r="AD318" s="23">
        <v>0</v>
      </c>
    </row>
    <row r="319" spans="1:30" x14ac:dyDescent="0.35">
      <c r="A319" s="7">
        <v>342</v>
      </c>
      <c r="B319" s="6">
        <v>45835</v>
      </c>
      <c r="C319" s="6">
        <v>45835</v>
      </c>
      <c r="D319" s="4" t="s">
        <v>1297</v>
      </c>
      <c r="E319" s="4" t="s">
        <v>61</v>
      </c>
      <c r="F319" s="4" t="s">
        <v>1296</v>
      </c>
      <c r="G319" s="4" t="s">
        <v>1296</v>
      </c>
      <c r="H319" s="4"/>
      <c r="I319" s="4"/>
      <c r="J319" s="4" t="s">
        <v>59</v>
      </c>
      <c r="K319" s="4" t="s">
        <v>58</v>
      </c>
      <c r="L319" s="4" t="s">
        <v>57</v>
      </c>
      <c r="M319" s="4" t="s">
        <v>32</v>
      </c>
      <c r="N319" s="4" t="s">
        <v>266</v>
      </c>
      <c r="O319" s="4" t="s">
        <v>55</v>
      </c>
      <c r="P319" s="4" t="s">
        <v>54</v>
      </c>
      <c r="Q319" s="5">
        <v>21237.75</v>
      </c>
      <c r="R319" s="10">
        <v>0</v>
      </c>
      <c r="S319" s="9">
        <f t="shared" si="10"/>
        <v>21237.75</v>
      </c>
      <c r="T319" s="4" t="s">
        <v>53</v>
      </c>
      <c r="U319" s="4" t="s">
        <v>884</v>
      </c>
      <c r="V319" s="4"/>
      <c r="W319" s="4">
        <v>-30</v>
      </c>
      <c r="X319" s="4" t="s">
        <v>94</v>
      </c>
      <c r="Y319" s="4"/>
      <c r="Z319" s="7" t="s">
        <v>14</v>
      </c>
      <c r="AA319" s="36" t="s">
        <v>22</v>
      </c>
      <c r="AB319" s="4" t="s">
        <v>2835</v>
      </c>
      <c r="AC319" s="22">
        <f t="shared" si="11"/>
        <v>8.3285294117647055</v>
      </c>
      <c r="AD319" s="23">
        <v>0</v>
      </c>
    </row>
    <row r="320" spans="1:30" x14ac:dyDescent="0.35">
      <c r="A320" s="7">
        <v>343</v>
      </c>
      <c r="B320" s="6">
        <v>45835</v>
      </c>
      <c r="C320" s="6">
        <v>45835</v>
      </c>
      <c r="D320" s="4" t="s">
        <v>1295</v>
      </c>
      <c r="E320" s="4" t="s">
        <v>61</v>
      </c>
      <c r="F320" s="4" t="s">
        <v>1294</v>
      </c>
      <c r="G320" s="4" t="s">
        <v>1294</v>
      </c>
      <c r="H320" s="4"/>
      <c r="I320" s="4"/>
      <c r="J320" s="4" t="s">
        <v>59</v>
      </c>
      <c r="K320" s="4" t="s">
        <v>58</v>
      </c>
      <c r="L320" s="4" t="s">
        <v>57</v>
      </c>
      <c r="M320" s="4" t="s">
        <v>32</v>
      </c>
      <c r="N320" s="4" t="s">
        <v>266</v>
      </c>
      <c r="O320" s="4" t="s">
        <v>55</v>
      </c>
      <c r="P320" s="4" t="s">
        <v>54</v>
      </c>
      <c r="Q320" s="5">
        <v>163900.37</v>
      </c>
      <c r="R320" s="10">
        <v>0</v>
      </c>
      <c r="S320" s="9">
        <f t="shared" si="10"/>
        <v>163900.37</v>
      </c>
      <c r="T320" s="4" t="s">
        <v>53</v>
      </c>
      <c r="U320" s="4" t="s">
        <v>271</v>
      </c>
      <c r="V320" s="4"/>
      <c r="W320" s="4">
        <v>-40</v>
      </c>
      <c r="X320" s="4" t="s">
        <v>124</v>
      </c>
      <c r="Y320" s="4"/>
      <c r="Z320" s="7" t="s">
        <v>14</v>
      </c>
      <c r="AA320" s="36" t="s">
        <v>22</v>
      </c>
      <c r="AB320" s="4" t="s">
        <v>2835</v>
      </c>
      <c r="AC320" s="22">
        <f t="shared" si="11"/>
        <v>64.274654901960787</v>
      </c>
      <c r="AD320" s="23">
        <v>0</v>
      </c>
    </row>
    <row r="321" spans="1:30" x14ac:dyDescent="0.35">
      <c r="A321" s="7">
        <v>344</v>
      </c>
      <c r="B321" s="6">
        <v>45835</v>
      </c>
      <c r="C321" s="6">
        <v>45835</v>
      </c>
      <c r="D321" s="4" t="s">
        <v>1293</v>
      </c>
      <c r="E321" s="4" t="s">
        <v>61</v>
      </c>
      <c r="F321" s="4" t="s">
        <v>1292</v>
      </c>
      <c r="G321" s="4" t="s">
        <v>1292</v>
      </c>
      <c r="H321" s="4"/>
      <c r="I321" s="4"/>
      <c r="J321" s="4" t="s">
        <v>59</v>
      </c>
      <c r="K321" s="4" t="s">
        <v>58</v>
      </c>
      <c r="L321" s="4" t="s">
        <v>57</v>
      </c>
      <c r="M321" s="4" t="s">
        <v>32</v>
      </c>
      <c r="N321" s="4" t="s">
        <v>266</v>
      </c>
      <c r="O321" s="4" t="s">
        <v>55</v>
      </c>
      <c r="P321" s="4" t="s">
        <v>54</v>
      </c>
      <c r="Q321" s="5">
        <v>32627.1</v>
      </c>
      <c r="R321" s="10">
        <v>0</v>
      </c>
      <c r="S321" s="9">
        <f t="shared" si="10"/>
        <v>32627.1</v>
      </c>
      <c r="T321" s="4" t="s">
        <v>53</v>
      </c>
      <c r="U321" s="4" t="s">
        <v>117</v>
      </c>
      <c r="V321" s="4"/>
      <c r="W321" s="4">
        <v>-10</v>
      </c>
      <c r="X321" s="4" t="s">
        <v>94</v>
      </c>
      <c r="Y321" s="4"/>
      <c r="Z321" s="7" t="s">
        <v>14</v>
      </c>
      <c r="AA321" s="36" t="s">
        <v>22</v>
      </c>
      <c r="AB321" s="4" t="s">
        <v>2835</v>
      </c>
      <c r="AC321" s="22">
        <f t="shared" si="11"/>
        <v>12.794941176470587</v>
      </c>
      <c r="AD321" s="23">
        <v>0</v>
      </c>
    </row>
    <row r="322" spans="1:30" x14ac:dyDescent="0.35">
      <c r="A322" s="7">
        <v>345</v>
      </c>
      <c r="B322" s="6">
        <v>45835</v>
      </c>
      <c r="C322" s="6">
        <v>45835</v>
      </c>
      <c r="D322" s="4" t="s">
        <v>1291</v>
      </c>
      <c r="E322" s="4" t="s">
        <v>61</v>
      </c>
      <c r="F322" s="4" t="s">
        <v>1290</v>
      </c>
      <c r="G322" s="4" t="s">
        <v>1290</v>
      </c>
      <c r="H322" s="4"/>
      <c r="I322" s="4"/>
      <c r="J322" s="4" t="s">
        <v>59</v>
      </c>
      <c r="K322" s="4" t="s">
        <v>58</v>
      </c>
      <c r="L322" s="4" t="s">
        <v>57</v>
      </c>
      <c r="M322" s="4" t="s">
        <v>32</v>
      </c>
      <c r="N322" s="4" t="s">
        <v>266</v>
      </c>
      <c r="O322" s="4" t="s">
        <v>55</v>
      </c>
      <c r="P322" s="4" t="s">
        <v>54</v>
      </c>
      <c r="Q322" s="5">
        <v>150000</v>
      </c>
      <c r="R322" s="10">
        <v>0</v>
      </c>
      <c r="S322" s="9">
        <f t="shared" si="10"/>
        <v>150000</v>
      </c>
      <c r="T322" s="4" t="s">
        <v>53</v>
      </c>
      <c r="U322" s="4" t="s">
        <v>121</v>
      </c>
      <c r="V322" s="4"/>
      <c r="W322" s="4">
        <v>-10</v>
      </c>
      <c r="X322" s="4" t="s">
        <v>94</v>
      </c>
      <c r="Y322" s="4"/>
      <c r="Z322" s="7" t="s">
        <v>14</v>
      </c>
      <c r="AA322" s="36" t="s">
        <v>22</v>
      </c>
      <c r="AB322" s="4" t="s">
        <v>2835</v>
      </c>
      <c r="AC322" s="22">
        <f t="shared" si="11"/>
        <v>58.823529411764703</v>
      </c>
      <c r="AD322" s="23">
        <v>0</v>
      </c>
    </row>
    <row r="323" spans="1:30" x14ac:dyDescent="0.35">
      <c r="A323" s="7">
        <v>346</v>
      </c>
      <c r="B323" s="6">
        <v>45835</v>
      </c>
      <c r="C323" s="6">
        <v>45835</v>
      </c>
      <c r="D323" s="4" t="s">
        <v>1289</v>
      </c>
      <c r="E323" s="4" t="s">
        <v>61</v>
      </c>
      <c r="F323" s="4" t="s">
        <v>1288</v>
      </c>
      <c r="G323" s="4" t="s">
        <v>1288</v>
      </c>
      <c r="H323" s="4"/>
      <c r="I323" s="4"/>
      <c r="J323" s="4" t="s">
        <v>59</v>
      </c>
      <c r="K323" s="4" t="s">
        <v>58</v>
      </c>
      <c r="L323" s="4" t="s">
        <v>57</v>
      </c>
      <c r="M323" s="4" t="s">
        <v>32</v>
      </c>
      <c r="N323" s="4" t="s">
        <v>197</v>
      </c>
      <c r="O323" s="4" t="s">
        <v>105</v>
      </c>
      <c r="P323" s="4" t="s">
        <v>54</v>
      </c>
      <c r="Q323" s="5">
        <v>123695.52</v>
      </c>
      <c r="R323" s="10">
        <v>0</v>
      </c>
      <c r="S323" s="9">
        <f t="shared" ref="S323:S386" si="12">+Q323-R323</f>
        <v>123695.52</v>
      </c>
      <c r="T323" s="4" t="s">
        <v>53</v>
      </c>
      <c r="U323" s="4" t="s">
        <v>175</v>
      </c>
      <c r="V323" s="4"/>
      <c r="W323" s="4">
        <v>-6</v>
      </c>
      <c r="X323" s="4" t="s">
        <v>129</v>
      </c>
      <c r="Y323" s="4"/>
      <c r="Z323" s="7" t="s">
        <v>14</v>
      </c>
      <c r="AA323" s="36" t="s">
        <v>29</v>
      </c>
      <c r="AB323" s="4" t="s">
        <v>2607</v>
      </c>
      <c r="AC323" s="22">
        <f t="shared" si="11"/>
        <v>48.508047058823529</v>
      </c>
      <c r="AD323" s="23">
        <v>0</v>
      </c>
    </row>
    <row r="324" spans="1:30" x14ac:dyDescent="0.35">
      <c r="A324" s="7">
        <v>347</v>
      </c>
      <c r="B324" s="6">
        <v>45835</v>
      </c>
      <c r="C324" s="6">
        <v>45835</v>
      </c>
      <c r="D324" s="4" t="s">
        <v>1287</v>
      </c>
      <c r="E324" s="4" t="s">
        <v>61</v>
      </c>
      <c r="F324" s="4" t="s">
        <v>1286</v>
      </c>
      <c r="G324" s="4" t="s">
        <v>1286</v>
      </c>
      <c r="H324" s="4"/>
      <c r="I324" s="4"/>
      <c r="J324" s="4" t="s">
        <v>59</v>
      </c>
      <c r="K324" s="4" t="s">
        <v>58</v>
      </c>
      <c r="L324" s="4" t="s">
        <v>57</v>
      </c>
      <c r="M324" s="4" t="s">
        <v>32</v>
      </c>
      <c r="N324" s="4" t="s">
        <v>197</v>
      </c>
      <c r="O324" s="4" t="s">
        <v>105</v>
      </c>
      <c r="P324" s="4" t="s">
        <v>54</v>
      </c>
      <c r="Q324" s="5">
        <v>9951.27</v>
      </c>
      <c r="R324" s="10">
        <v>0</v>
      </c>
      <c r="S324" s="9">
        <f t="shared" si="12"/>
        <v>9951.27</v>
      </c>
      <c r="T324" s="4" t="s">
        <v>53</v>
      </c>
      <c r="U324" s="4" t="s">
        <v>739</v>
      </c>
      <c r="V324" s="4"/>
      <c r="W324" s="4">
        <v>-1</v>
      </c>
      <c r="X324" s="4" t="s">
        <v>124</v>
      </c>
      <c r="Y324" s="4"/>
      <c r="Z324" s="7" t="s">
        <v>14</v>
      </c>
      <c r="AA324" s="36" t="s">
        <v>29</v>
      </c>
      <c r="AB324" s="4" t="s">
        <v>2607</v>
      </c>
      <c r="AC324" s="22">
        <f t="shared" si="11"/>
        <v>3.902458823529412</v>
      </c>
      <c r="AD324" s="23">
        <v>0</v>
      </c>
    </row>
    <row r="325" spans="1:30" x14ac:dyDescent="0.35">
      <c r="A325" s="7">
        <v>348</v>
      </c>
      <c r="B325" s="6">
        <v>45835</v>
      </c>
      <c r="C325" s="6">
        <v>45835</v>
      </c>
      <c r="D325" s="4" t="s">
        <v>1285</v>
      </c>
      <c r="E325" s="4" t="s">
        <v>61</v>
      </c>
      <c r="F325" s="4" t="s">
        <v>1284</v>
      </c>
      <c r="G325" s="4" t="s">
        <v>1284</v>
      </c>
      <c r="H325" s="4"/>
      <c r="I325" s="4"/>
      <c r="J325" s="4" t="s">
        <v>59</v>
      </c>
      <c r="K325" s="4" t="s">
        <v>58</v>
      </c>
      <c r="L325" s="4" t="s">
        <v>57</v>
      </c>
      <c r="M325" s="4" t="s">
        <v>32</v>
      </c>
      <c r="N325" s="4" t="s">
        <v>197</v>
      </c>
      <c r="O325" s="4" t="s">
        <v>105</v>
      </c>
      <c r="P325" s="4" t="s">
        <v>54</v>
      </c>
      <c r="Q325" s="5">
        <v>17100</v>
      </c>
      <c r="R325" s="10">
        <v>0</v>
      </c>
      <c r="S325" s="9">
        <f t="shared" si="12"/>
        <v>17100</v>
      </c>
      <c r="T325" s="4" t="s">
        <v>53</v>
      </c>
      <c r="U325" s="4" t="s">
        <v>151</v>
      </c>
      <c r="V325" s="4"/>
      <c r="W325" s="4">
        <v>-3</v>
      </c>
      <c r="X325" s="4" t="s">
        <v>124</v>
      </c>
      <c r="Y325" s="4"/>
      <c r="Z325" s="7" t="s">
        <v>14</v>
      </c>
      <c r="AA325" s="36" t="s">
        <v>29</v>
      </c>
      <c r="AB325" s="4" t="s">
        <v>2607</v>
      </c>
      <c r="AC325" s="22">
        <f t="shared" si="11"/>
        <v>6.7058823529411766</v>
      </c>
      <c r="AD325" s="23">
        <v>0</v>
      </c>
    </row>
    <row r="326" spans="1:30" x14ac:dyDescent="0.35">
      <c r="A326" s="7">
        <v>349</v>
      </c>
      <c r="B326" s="6">
        <v>45835</v>
      </c>
      <c r="C326" s="6">
        <v>45835</v>
      </c>
      <c r="D326" s="4" t="s">
        <v>1283</v>
      </c>
      <c r="E326" s="4" t="s">
        <v>61</v>
      </c>
      <c r="F326" s="4" t="s">
        <v>1282</v>
      </c>
      <c r="G326" s="4" t="s">
        <v>1282</v>
      </c>
      <c r="H326" s="4"/>
      <c r="I326" s="4"/>
      <c r="J326" s="4" t="s">
        <v>59</v>
      </c>
      <c r="K326" s="4" t="s">
        <v>58</v>
      </c>
      <c r="L326" s="4" t="s">
        <v>57</v>
      </c>
      <c r="M326" s="4" t="s">
        <v>32</v>
      </c>
      <c r="N326" s="4" t="s">
        <v>266</v>
      </c>
      <c r="O326" s="4" t="s">
        <v>55</v>
      </c>
      <c r="P326" s="4" t="s">
        <v>54</v>
      </c>
      <c r="Q326" s="5">
        <v>102437.74</v>
      </c>
      <c r="R326" s="10">
        <v>0</v>
      </c>
      <c r="S326" s="9">
        <f t="shared" si="12"/>
        <v>102437.74</v>
      </c>
      <c r="T326" s="4" t="s">
        <v>53</v>
      </c>
      <c r="U326" s="4" t="s">
        <v>271</v>
      </c>
      <c r="V326" s="4"/>
      <c r="W326" s="4">
        <v>-25</v>
      </c>
      <c r="X326" s="4" t="s">
        <v>124</v>
      </c>
      <c r="Y326" s="4"/>
      <c r="Z326" s="7" t="s">
        <v>14</v>
      </c>
      <c r="AA326" s="36" t="s">
        <v>22</v>
      </c>
      <c r="AB326" s="4" t="s">
        <v>2835</v>
      </c>
      <c r="AC326" s="22">
        <f t="shared" si="11"/>
        <v>40.17166274509804</v>
      </c>
      <c r="AD326" s="23">
        <v>0</v>
      </c>
    </row>
    <row r="327" spans="1:30" hidden="1" x14ac:dyDescent="0.35">
      <c r="A327" s="7">
        <v>350</v>
      </c>
      <c r="B327" s="6">
        <v>45835</v>
      </c>
      <c r="C327" s="6">
        <v>45835</v>
      </c>
      <c r="D327" s="4" t="s">
        <v>1281</v>
      </c>
      <c r="E327" s="4" t="s">
        <v>61</v>
      </c>
      <c r="F327" s="4" t="s">
        <v>1280</v>
      </c>
      <c r="G327" s="4" t="s">
        <v>1280</v>
      </c>
      <c r="H327" s="4"/>
      <c r="I327" s="4"/>
      <c r="J327" s="4" t="s">
        <v>59</v>
      </c>
      <c r="K327" s="4" t="s">
        <v>58</v>
      </c>
      <c r="L327" s="4" t="s">
        <v>57</v>
      </c>
      <c r="M327" s="4" t="s">
        <v>32</v>
      </c>
      <c r="N327" s="4" t="s">
        <v>211</v>
      </c>
      <c r="O327" s="4" t="s">
        <v>210</v>
      </c>
      <c r="P327" s="4" t="s">
        <v>210</v>
      </c>
      <c r="Q327" s="5">
        <v>1860000</v>
      </c>
      <c r="R327" s="10">
        <v>0</v>
      </c>
      <c r="S327" s="9">
        <f t="shared" si="12"/>
        <v>1860000</v>
      </c>
      <c r="T327" s="4" t="s">
        <v>53</v>
      </c>
      <c r="U327" s="4" t="s">
        <v>1279</v>
      </c>
      <c r="V327" s="4"/>
      <c r="W327" s="4">
        <v>-3</v>
      </c>
      <c r="X327" s="4" t="s">
        <v>94</v>
      </c>
      <c r="Y327" s="4"/>
      <c r="Z327" s="7" t="s">
        <v>14</v>
      </c>
      <c r="AA327" s="36" t="s">
        <v>30</v>
      </c>
      <c r="AB327" s="4"/>
      <c r="AC327" s="22">
        <f t="shared" si="11"/>
        <v>729.41176470588232</v>
      </c>
      <c r="AD327" s="23">
        <v>0</v>
      </c>
    </row>
    <row r="328" spans="1:30" hidden="1" x14ac:dyDescent="0.35">
      <c r="A328" s="7">
        <v>351</v>
      </c>
      <c r="B328" s="6">
        <v>45835</v>
      </c>
      <c r="C328" s="6">
        <v>45835</v>
      </c>
      <c r="D328" s="4" t="s">
        <v>1278</v>
      </c>
      <c r="E328" s="4" t="s">
        <v>1050</v>
      </c>
      <c r="F328" s="4"/>
      <c r="G328" s="4" t="s">
        <v>1277</v>
      </c>
      <c r="H328" s="4"/>
      <c r="I328" s="4"/>
      <c r="J328" s="4" t="s">
        <v>1048</v>
      </c>
      <c r="K328" s="4" t="s">
        <v>58</v>
      </c>
      <c r="L328" s="4" t="s">
        <v>1059</v>
      </c>
      <c r="M328" s="4" t="s">
        <v>39</v>
      </c>
      <c r="N328" s="4" t="s">
        <v>211</v>
      </c>
      <c r="O328" s="4" t="s">
        <v>210</v>
      </c>
      <c r="P328" s="4" t="s">
        <v>210</v>
      </c>
      <c r="Q328" s="5">
        <v>120000</v>
      </c>
      <c r="R328" s="10">
        <v>0</v>
      </c>
      <c r="S328" s="9">
        <f t="shared" si="12"/>
        <v>120000</v>
      </c>
      <c r="T328" s="4" t="s">
        <v>53</v>
      </c>
      <c r="U328" s="4"/>
      <c r="V328" s="4"/>
      <c r="W328" s="4">
        <v>1</v>
      </c>
      <c r="X328" s="4"/>
      <c r="Y328" s="4"/>
      <c r="Z328" s="7" t="s">
        <v>14</v>
      </c>
      <c r="AA328" s="36" t="s">
        <v>30</v>
      </c>
      <c r="AB328" s="4"/>
      <c r="AC328" s="22">
        <f t="shared" si="11"/>
        <v>47.058823529411768</v>
      </c>
      <c r="AD328" s="23">
        <v>0</v>
      </c>
    </row>
    <row r="329" spans="1:30" hidden="1" x14ac:dyDescent="0.35">
      <c r="A329" s="7">
        <v>352</v>
      </c>
      <c r="B329" s="6">
        <v>45835</v>
      </c>
      <c r="C329" s="6">
        <v>45835</v>
      </c>
      <c r="D329" s="4" t="s">
        <v>1276</v>
      </c>
      <c r="E329" s="4" t="s">
        <v>1050</v>
      </c>
      <c r="F329" s="4"/>
      <c r="G329" s="4" t="s">
        <v>1275</v>
      </c>
      <c r="H329" s="4"/>
      <c r="I329" s="4"/>
      <c r="J329" s="4" t="s">
        <v>1048</v>
      </c>
      <c r="K329" s="4" t="s">
        <v>58</v>
      </c>
      <c r="L329" s="4" t="s">
        <v>1059</v>
      </c>
      <c r="M329" s="4" t="s">
        <v>39</v>
      </c>
      <c r="N329" s="4" t="s">
        <v>211</v>
      </c>
      <c r="O329" s="4" t="s">
        <v>210</v>
      </c>
      <c r="P329" s="4" t="s">
        <v>210</v>
      </c>
      <c r="Q329" s="5">
        <v>150000</v>
      </c>
      <c r="R329" s="10">
        <v>0</v>
      </c>
      <c r="S329" s="9">
        <f t="shared" si="12"/>
        <v>150000</v>
      </c>
      <c r="T329" s="4" t="s">
        <v>53</v>
      </c>
      <c r="U329" s="4"/>
      <c r="V329" s="4"/>
      <c r="W329" s="4">
        <v>1</v>
      </c>
      <c r="X329" s="4"/>
      <c r="Y329" s="4"/>
      <c r="Z329" s="7" t="s">
        <v>14</v>
      </c>
      <c r="AA329" s="36" t="s">
        <v>30</v>
      </c>
      <c r="AB329" s="4"/>
      <c r="AC329" s="22">
        <f t="shared" si="11"/>
        <v>58.823529411764703</v>
      </c>
      <c r="AD329" s="23">
        <v>0</v>
      </c>
    </row>
    <row r="330" spans="1:30" hidden="1" x14ac:dyDescent="0.35">
      <c r="A330" s="7">
        <v>353</v>
      </c>
      <c r="B330" s="6">
        <v>45836.528993055559</v>
      </c>
      <c r="C330" s="6">
        <v>45836</v>
      </c>
      <c r="D330" s="7" t="s">
        <v>2290</v>
      </c>
      <c r="E330" s="7" t="s">
        <v>1050</v>
      </c>
      <c r="F330" s="7"/>
      <c r="G330" s="7" t="s">
        <v>2289</v>
      </c>
      <c r="H330" s="7"/>
      <c r="I330" s="7"/>
      <c r="J330" s="7" t="s">
        <v>1816</v>
      </c>
      <c r="K330" s="7" t="s">
        <v>1815</v>
      </c>
      <c r="L330" s="7" t="s">
        <v>1956</v>
      </c>
      <c r="M330" s="7" t="s">
        <v>30</v>
      </c>
      <c r="N330" s="7" t="s">
        <v>211</v>
      </c>
      <c r="O330" s="7" t="s">
        <v>210</v>
      </c>
      <c r="P330" s="7" t="s">
        <v>210</v>
      </c>
      <c r="Q330" s="9">
        <v>120000</v>
      </c>
      <c r="R330" s="9">
        <v>0</v>
      </c>
      <c r="S330" s="9">
        <f t="shared" si="12"/>
        <v>120000</v>
      </c>
      <c r="T330" s="4" t="s">
        <v>53</v>
      </c>
      <c r="U330" s="7"/>
      <c r="V330" s="7"/>
      <c r="W330" s="9">
        <v>1</v>
      </c>
      <c r="X330" s="7"/>
      <c r="Y330" s="7"/>
      <c r="Z330" s="7" t="s">
        <v>14</v>
      </c>
      <c r="AA330" s="36" t="s">
        <v>30</v>
      </c>
      <c r="AB330" s="4"/>
      <c r="AC330" s="22">
        <f t="shared" si="11"/>
        <v>47.058823529411768</v>
      </c>
      <c r="AD330" s="23">
        <v>0</v>
      </c>
    </row>
    <row r="331" spans="1:30" x14ac:dyDescent="0.35">
      <c r="A331" s="7">
        <v>354</v>
      </c>
      <c r="B331" s="6">
        <v>45836</v>
      </c>
      <c r="C331" s="6">
        <v>45836</v>
      </c>
      <c r="D331" s="4" t="s">
        <v>1274</v>
      </c>
      <c r="E331" s="4" t="s">
        <v>61</v>
      </c>
      <c r="F331" s="4" t="s">
        <v>1273</v>
      </c>
      <c r="G331" s="4" t="s">
        <v>1273</v>
      </c>
      <c r="H331" s="4"/>
      <c r="I331" s="4"/>
      <c r="J331" s="4" t="s">
        <v>59</v>
      </c>
      <c r="K331" s="4" t="s">
        <v>58</v>
      </c>
      <c r="L331" s="4" t="s">
        <v>57</v>
      </c>
      <c r="M331" s="4" t="s">
        <v>32</v>
      </c>
      <c r="N331" s="4" t="s">
        <v>266</v>
      </c>
      <c r="O331" s="4" t="s">
        <v>55</v>
      </c>
      <c r="P331" s="4" t="s">
        <v>54</v>
      </c>
      <c r="Q331" s="5">
        <v>19518.37</v>
      </c>
      <c r="R331" s="10">
        <v>0</v>
      </c>
      <c r="S331" s="9">
        <f t="shared" si="12"/>
        <v>19518.37</v>
      </c>
      <c r="T331" s="4" t="s">
        <v>53</v>
      </c>
      <c r="U331" s="4" t="s">
        <v>409</v>
      </c>
      <c r="V331" s="4"/>
      <c r="W331" s="4">
        <v>-20</v>
      </c>
      <c r="X331" s="4" t="s">
        <v>94</v>
      </c>
      <c r="Y331" s="4"/>
      <c r="Z331" s="7" t="s">
        <v>14</v>
      </c>
      <c r="AA331" s="36" t="s">
        <v>22</v>
      </c>
      <c r="AB331" s="4" t="s">
        <v>2835</v>
      </c>
      <c r="AC331" s="22">
        <f t="shared" si="11"/>
        <v>7.6542627450980385</v>
      </c>
      <c r="AD331" s="23">
        <v>0</v>
      </c>
    </row>
    <row r="332" spans="1:30" x14ac:dyDescent="0.35">
      <c r="A332" s="7">
        <v>355</v>
      </c>
      <c r="B332" s="6">
        <v>45836</v>
      </c>
      <c r="C332" s="6">
        <v>45836</v>
      </c>
      <c r="D332" s="4" t="s">
        <v>1272</v>
      </c>
      <c r="E332" s="4" t="s">
        <v>61</v>
      </c>
      <c r="F332" s="4" t="s">
        <v>1271</v>
      </c>
      <c r="G332" s="4" t="s">
        <v>1271</v>
      </c>
      <c r="H332" s="4"/>
      <c r="I332" s="4"/>
      <c r="J332" s="4" t="s">
        <v>59</v>
      </c>
      <c r="K332" s="4" t="s">
        <v>58</v>
      </c>
      <c r="L332" s="4" t="s">
        <v>57</v>
      </c>
      <c r="M332" s="4" t="s">
        <v>32</v>
      </c>
      <c r="N332" s="4" t="s">
        <v>266</v>
      </c>
      <c r="O332" s="4" t="s">
        <v>55</v>
      </c>
      <c r="P332" s="4" t="s">
        <v>54</v>
      </c>
      <c r="Q332" s="5">
        <v>65955.539999999994</v>
      </c>
      <c r="R332" s="10">
        <v>0</v>
      </c>
      <c r="S332" s="9">
        <f t="shared" si="12"/>
        <v>65955.539999999994</v>
      </c>
      <c r="T332" s="4" t="s">
        <v>53</v>
      </c>
      <c r="U332" s="4" t="s">
        <v>320</v>
      </c>
      <c r="V332" s="4"/>
      <c r="W332" s="4">
        <v>-120</v>
      </c>
      <c r="X332" s="4" t="s">
        <v>94</v>
      </c>
      <c r="Y332" s="4"/>
      <c r="Z332" s="7" t="s">
        <v>14</v>
      </c>
      <c r="AA332" s="36" t="s">
        <v>22</v>
      </c>
      <c r="AB332" s="4" t="s">
        <v>2835</v>
      </c>
      <c r="AC332" s="22">
        <f t="shared" si="11"/>
        <v>25.864917647058821</v>
      </c>
      <c r="AD332" s="23">
        <v>0</v>
      </c>
    </row>
    <row r="333" spans="1:30" x14ac:dyDescent="0.35">
      <c r="A333" s="7">
        <v>356</v>
      </c>
      <c r="B333" s="6">
        <v>45836</v>
      </c>
      <c r="C333" s="6">
        <v>45836</v>
      </c>
      <c r="D333" s="4" t="s">
        <v>1270</v>
      </c>
      <c r="E333" s="4" t="s">
        <v>61</v>
      </c>
      <c r="F333" s="4" t="s">
        <v>1269</v>
      </c>
      <c r="G333" s="4" t="s">
        <v>1269</v>
      </c>
      <c r="H333" s="4"/>
      <c r="I333" s="4"/>
      <c r="J333" s="4" t="s">
        <v>59</v>
      </c>
      <c r="K333" s="4" t="s">
        <v>58</v>
      </c>
      <c r="L333" s="4" t="s">
        <v>57</v>
      </c>
      <c r="M333" s="4" t="s">
        <v>32</v>
      </c>
      <c r="N333" s="4" t="s">
        <v>266</v>
      </c>
      <c r="O333" s="4" t="s">
        <v>55</v>
      </c>
      <c r="P333" s="4" t="s">
        <v>54</v>
      </c>
      <c r="Q333" s="5">
        <v>102437.74</v>
      </c>
      <c r="R333" s="10">
        <v>0</v>
      </c>
      <c r="S333" s="9">
        <f t="shared" si="12"/>
        <v>102437.74</v>
      </c>
      <c r="T333" s="4" t="s">
        <v>53</v>
      </c>
      <c r="U333" s="4" t="s">
        <v>271</v>
      </c>
      <c r="V333" s="4"/>
      <c r="W333" s="4">
        <v>-25</v>
      </c>
      <c r="X333" s="4" t="s">
        <v>124</v>
      </c>
      <c r="Y333" s="4"/>
      <c r="Z333" s="7" t="s">
        <v>14</v>
      </c>
      <c r="AA333" s="36" t="s">
        <v>22</v>
      </c>
      <c r="AB333" s="4" t="s">
        <v>2835</v>
      </c>
      <c r="AC333" s="22">
        <f t="shared" si="11"/>
        <v>40.17166274509804</v>
      </c>
      <c r="AD333" s="23">
        <v>0</v>
      </c>
    </row>
    <row r="334" spans="1:30" hidden="1" x14ac:dyDescent="0.35">
      <c r="A334" s="7">
        <v>357</v>
      </c>
      <c r="B334" s="6">
        <v>45839.463368055556</v>
      </c>
      <c r="C334" s="6">
        <v>45838</v>
      </c>
      <c r="D334" s="7" t="s">
        <v>2268</v>
      </c>
      <c r="E334" s="7" t="s">
        <v>1331</v>
      </c>
      <c r="F334" s="7" t="s">
        <v>2288</v>
      </c>
      <c r="G334" s="7" t="s">
        <v>2266</v>
      </c>
      <c r="H334" s="7" t="s">
        <v>2265</v>
      </c>
      <c r="I334" s="7" t="s">
        <v>2264</v>
      </c>
      <c r="J334" s="7" t="s">
        <v>1816</v>
      </c>
      <c r="K334" s="7" t="s">
        <v>1815</v>
      </c>
      <c r="L334" s="7" t="s">
        <v>1814</v>
      </c>
      <c r="M334" s="7" t="s">
        <v>28</v>
      </c>
      <c r="N334" s="7" t="s">
        <v>1825</v>
      </c>
      <c r="O334" s="7" t="s">
        <v>105</v>
      </c>
      <c r="P334" s="7" t="s">
        <v>1775</v>
      </c>
      <c r="Q334" s="9">
        <v>5000000</v>
      </c>
      <c r="R334" s="9">
        <v>0</v>
      </c>
      <c r="S334" s="9">
        <f t="shared" si="12"/>
        <v>5000000</v>
      </c>
      <c r="T334" s="4" t="s">
        <v>53</v>
      </c>
      <c r="U334" s="7" t="s">
        <v>1824</v>
      </c>
      <c r="V334" s="7" t="s">
        <v>1823</v>
      </c>
      <c r="W334" s="9">
        <v>1</v>
      </c>
      <c r="X334" s="7" t="s">
        <v>94</v>
      </c>
      <c r="Y334" s="7"/>
      <c r="Z334" s="7" t="s">
        <v>14</v>
      </c>
      <c r="AA334" s="36" t="s">
        <v>28</v>
      </c>
      <c r="AB334" s="4"/>
      <c r="AC334" s="22">
        <f t="shared" si="11"/>
        <v>1960.7843137254902</v>
      </c>
      <c r="AD334" s="23">
        <v>0</v>
      </c>
    </row>
    <row r="335" spans="1:30" hidden="1" x14ac:dyDescent="0.35">
      <c r="A335" s="7">
        <v>358</v>
      </c>
      <c r="B335" s="6">
        <v>45839.463368055556</v>
      </c>
      <c r="C335" s="6">
        <v>45838</v>
      </c>
      <c r="D335" s="7" t="s">
        <v>2268</v>
      </c>
      <c r="E335" s="7" t="s">
        <v>1331</v>
      </c>
      <c r="F335" s="7" t="s">
        <v>2287</v>
      </c>
      <c r="G335" s="7" t="s">
        <v>2266</v>
      </c>
      <c r="H335" s="7" t="s">
        <v>2265</v>
      </c>
      <c r="I335" s="7" t="s">
        <v>2264</v>
      </c>
      <c r="J335" s="7" t="s">
        <v>1816</v>
      </c>
      <c r="K335" s="7" t="s">
        <v>1815</v>
      </c>
      <c r="L335" s="7" t="s">
        <v>1814</v>
      </c>
      <c r="M335" s="7" t="s">
        <v>28</v>
      </c>
      <c r="N335" s="7" t="s">
        <v>1825</v>
      </c>
      <c r="O335" s="7" t="s">
        <v>105</v>
      </c>
      <c r="P335" s="7" t="s">
        <v>1775</v>
      </c>
      <c r="Q335" s="9">
        <v>800000</v>
      </c>
      <c r="R335" s="9">
        <v>0</v>
      </c>
      <c r="S335" s="9">
        <f t="shared" si="12"/>
        <v>800000</v>
      </c>
      <c r="T335" s="4" t="s">
        <v>53</v>
      </c>
      <c r="U335" s="7" t="s">
        <v>1824</v>
      </c>
      <c r="V335" s="7" t="s">
        <v>1823</v>
      </c>
      <c r="W335" s="9">
        <v>40</v>
      </c>
      <c r="X335" s="7" t="s">
        <v>94</v>
      </c>
      <c r="Y335" s="7"/>
      <c r="Z335" s="7" t="s">
        <v>14</v>
      </c>
      <c r="AA335" s="36" t="s">
        <v>28</v>
      </c>
      <c r="AB335" s="4"/>
      <c r="AC335" s="22">
        <f t="shared" si="11"/>
        <v>313.72549019607845</v>
      </c>
      <c r="AD335" s="23">
        <v>0</v>
      </c>
    </row>
    <row r="336" spans="1:30" hidden="1" x14ac:dyDescent="0.35">
      <c r="A336" s="7">
        <v>359</v>
      </c>
      <c r="B336" s="6">
        <v>45839.463368055556</v>
      </c>
      <c r="C336" s="6">
        <v>45838</v>
      </c>
      <c r="D336" s="7" t="s">
        <v>2268</v>
      </c>
      <c r="E336" s="7" t="s">
        <v>1331</v>
      </c>
      <c r="F336" s="7" t="s">
        <v>2286</v>
      </c>
      <c r="G336" s="7" t="s">
        <v>2266</v>
      </c>
      <c r="H336" s="7" t="s">
        <v>2265</v>
      </c>
      <c r="I336" s="7" t="s">
        <v>2264</v>
      </c>
      <c r="J336" s="7" t="s">
        <v>1816</v>
      </c>
      <c r="K336" s="7" t="s">
        <v>1815</v>
      </c>
      <c r="L336" s="7" t="s">
        <v>1814</v>
      </c>
      <c r="M336" s="7" t="s">
        <v>28</v>
      </c>
      <c r="N336" s="7" t="s">
        <v>1825</v>
      </c>
      <c r="O336" s="7" t="s">
        <v>105</v>
      </c>
      <c r="P336" s="7" t="s">
        <v>1775</v>
      </c>
      <c r="Q336" s="9">
        <v>1000000</v>
      </c>
      <c r="R336" s="9">
        <v>0</v>
      </c>
      <c r="S336" s="9">
        <f t="shared" si="12"/>
        <v>1000000</v>
      </c>
      <c r="T336" s="4" t="s">
        <v>53</v>
      </c>
      <c r="U336" s="7" t="s">
        <v>1824</v>
      </c>
      <c r="V336" s="7" t="s">
        <v>1823</v>
      </c>
      <c r="W336" s="9">
        <v>10</v>
      </c>
      <c r="X336" s="7" t="s">
        <v>94</v>
      </c>
      <c r="Y336" s="7"/>
      <c r="Z336" s="7" t="s">
        <v>14</v>
      </c>
      <c r="AA336" s="36" t="s">
        <v>28</v>
      </c>
      <c r="AB336" s="4"/>
      <c r="AC336" s="22">
        <f t="shared" si="11"/>
        <v>392.15686274509807</v>
      </c>
      <c r="AD336" s="23">
        <v>0</v>
      </c>
    </row>
    <row r="337" spans="1:30" hidden="1" x14ac:dyDescent="0.35">
      <c r="A337" s="7">
        <v>360</v>
      </c>
      <c r="B337" s="6">
        <v>45839.463368055556</v>
      </c>
      <c r="C337" s="6">
        <v>45838</v>
      </c>
      <c r="D337" s="7" t="s">
        <v>2268</v>
      </c>
      <c r="E337" s="7" t="s">
        <v>1331</v>
      </c>
      <c r="F337" s="7" t="s">
        <v>2285</v>
      </c>
      <c r="G337" s="7" t="s">
        <v>2266</v>
      </c>
      <c r="H337" s="7" t="s">
        <v>2265</v>
      </c>
      <c r="I337" s="7" t="s">
        <v>2264</v>
      </c>
      <c r="J337" s="7" t="s">
        <v>1816</v>
      </c>
      <c r="K337" s="7" t="s">
        <v>1815</v>
      </c>
      <c r="L337" s="7" t="s">
        <v>1814</v>
      </c>
      <c r="M337" s="7" t="s">
        <v>28</v>
      </c>
      <c r="N337" s="7" t="s">
        <v>1825</v>
      </c>
      <c r="O337" s="7" t="s">
        <v>105</v>
      </c>
      <c r="P337" s="7" t="s">
        <v>1775</v>
      </c>
      <c r="Q337" s="9">
        <v>2400000</v>
      </c>
      <c r="R337" s="9">
        <v>0</v>
      </c>
      <c r="S337" s="9">
        <f t="shared" si="12"/>
        <v>2400000</v>
      </c>
      <c r="T337" s="4" t="s">
        <v>53</v>
      </c>
      <c r="U337" s="7" t="s">
        <v>1824</v>
      </c>
      <c r="V337" s="7" t="s">
        <v>1823</v>
      </c>
      <c r="W337" s="9">
        <v>8</v>
      </c>
      <c r="X337" s="7" t="s">
        <v>94</v>
      </c>
      <c r="Y337" s="7"/>
      <c r="Z337" s="7" t="s">
        <v>14</v>
      </c>
      <c r="AA337" s="36" t="s">
        <v>28</v>
      </c>
      <c r="AB337" s="4"/>
      <c r="AC337" s="22">
        <f t="shared" si="11"/>
        <v>941.17647058823525</v>
      </c>
      <c r="AD337" s="23">
        <v>0</v>
      </c>
    </row>
    <row r="338" spans="1:30" hidden="1" x14ac:dyDescent="0.35">
      <c r="A338" s="7">
        <v>361</v>
      </c>
      <c r="B338" s="6">
        <v>45839.463368055556</v>
      </c>
      <c r="C338" s="6">
        <v>45838</v>
      </c>
      <c r="D338" s="7" t="s">
        <v>2268</v>
      </c>
      <c r="E338" s="7" t="s">
        <v>1331</v>
      </c>
      <c r="F338" s="7" t="s">
        <v>2284</v>
      </c>
      <c r="G338" s="7" t="s">
        <v>2266</v>
      </c>
      <c r="H338" s="7" t="s">
        <v>2265</v>
      </c>
      <c r="I338" s="7" t="s">
        <v>2264</v>
      </c>
      <c r="J338" s="7" t="s">
        <v>1816</v>
      </c>
      <c r="K338" s="7" t="s">
        <v>1815</v>
      </c>
      <c r="L338" s="7" t="s">
        <v>1814</v>
      </c>
      <c r="M338" s="7" t="s">
        <v>28</v>
      </c>
      <c r="N338" s="7" t="s">
        <v>1825</v>
      </c>
      <c r="O338" s="7" t="s">
        <v>105</v>
      </c>
      <c r="P338" s="7" t="s">
        <v>1775</v>
      </c>
      <c r="Q338" s="9">
        <v>35452500</v>
      </c>
      <c r="R338" s="9">
        <v>0</v>
      </c>
      <c r="S338" s="9">
        <f t="shared" si="12"/>
        <v>35452500</v>
      </c>
      <c r="T338" s="4" t="s">
        <v>53</v>
      </c>
      <c r="U338" s="7" t="s">
        <v>1824</v>
      </c>
      <c r="V338" s="7" t="s">
        <v>1823</v>
      </c>
      <c r="W338" s="9">
        <v>244.5</v>
      </c>
      <c r="X338" s="7" t="s">
        <v>94</v>
      </c>
      <c r="Y338" s="7"/>
      <c r="Z338" s="7" t="s">
        <v>14</v>
      </c>
      <c r="AA338" s="36" t="s">
        <v>28</v>
      </c>
      <c r="AB338" s="4"/>
      <c r="AC338" s="22">
        <f t="shared" si="11"/>
        <v>13902.941176470587</v>
      </c>
      <c r="AD338" s="23">
        <v>0</v>
      </c>
    </row>
    <row r="339" spans="1:30" hidden="1" x14ac:dyDescent="0.35">
      <c r="A339" s="7">
        <v>362</v>
      </c>
      <c r="B339" s="6">
        <v>45839.463368055556</v>
      </c>
      <c r="C339" s="6">
        <v>45838</v>
      </c>
      <c r="D339" s="7" t="s">
        <v>2268</v>
      </c>
      <c r="E339" s="7" t="s">
        <v>1331</v>
      </c>
      <c r="F339" s="7" t="s">
        <v>2283</v>
      </c>
      <c r="G339" s="7" t="s">
        <v>2266</v>
      </c>
      <c r="H339" s="7" t="s">
        <v>2265</v>
      </c>
      <c r="I339" s="7" t="s">
        <v>2264</v>
      </c>
      <c r="J339" s="7" t="s">
        <v>1816</v>
      </c>
      <c r="K339" s="7" t="s">
        <v>1815</v>
      </c>
      <c r="L339" s="7" t="s">
        <v>1814</v>
      </c>
      <c r="M339" s="7" t="s">
        <v>28</v>
      </c>
      <c r="N339" s="7" t="s">
        <v>1825</v>
      </c>
      <c r="O339" s="7" t="s">
        <v>105</v>
      </c>
      <c r="P339" s="7" t="s">
        <v>1775</v>
      </c>
      <c r="Q339" s="9">
        <v>4240000</v>
      </c>
      <c r="R339" s="9">
        <v>0</v>
      </c>
      <c r="S339" s="9">
        <f t="shared" si="12"/>
        <v>4240000</v>
      </c>
      <c r="T339" s="4" t="s">
        <v>53</v>
      </c>
      <c r="U339" s="7" t="s">
        <v>1824</v>
      </c>
      <c r="V339" s="7" t="s">
        <v>1823</v>
      </c>
      <c r="W339" s="9">
        <v>106</v>
      </c>
      <c r="X339" s="7" t="s">
        <v>94</v>
      </c>
      <c r="Y339" s="7"/>
      <c r="Z339" s="7" t="s">
        <v>14</v>
      </c>
      <c r="AA339" s="36" t="s">
        <v>28</v>
      </c>
      <c r="AB339" s="4"/>
      <c r="AC339" s="22">
        <f t="shared" si="11"/>
        <v>1662.7450980392157</v>
      </c>
      <c r="AD339" s="23">
        <v>0</v>
      </c>
    </row>
    <row r="340" spans="1:30" hidden="1" x14ac:dyDescent="0.35">
      <c r="A340" s="7">
        <v>363</v>
      </c>
      <c r="B340" s="6">
        <v>45839.463368055556</v>
      </c>
      <c r="C340" s="6">
        <v>45838</v>
      </c>
      <c r="D340" s="7" t="s">
        <v>2268</v>
      </c>
      <c r="E340" s="7" t="s">
        <v>1331</v>
      </c>
      <c r="F340" s="7" t="s">
        <v>2282</v>
      </c>
      <c r="G340" s="7" t="s">
        <v>2266</v>
      </c>
      <c r="H340" s="7" t="s">
        <v>2265</v>
      </c>
      <c r="I340" s="7" t="s">
        <v>2264</v>
      </c>
      <c r="J340" s="7" t="s">
        <v>1816</v>
      </c>
      <c r="K340" s="7" t="s">
        <v>1815</v>
      </c>
      <c r="L340" s="7" t="s">
        <v>1814</v>
      </c>
      <c r="M340" s="7" t="s">
        <v>28</v>
      </c>
      <c r="N340" s="7" t="s">
        <v>1825</v>
      </c>
      <c r="O340" s="7" t="s">
        <v>105</v>
      </c>
      <c r="P340" s="7" t="s">
        <v>1775</v>
      </c>
      <c r="Q340" s="9">
        <v>1200000</v>
      </c>
      <c r="R340" s="9">
        <v>0</v>
      </c>
      <c r="S340" s="9">
        <f t="shared" si="12"/>
        <v>1200000</v>
      </c>
      <c r="T340" s="4" t="s">
        <v>53</v>
      </c>
      <c r="U340" s="7" t="s">
        <v>1824</v>
      </c>
      <c r="V340" s="7" t="s">
        <v>1823</v>
      </c>
      <c r="W340" s="9">
        <v>40</v>
      </c>
      <c r="X340" s="7" t="s">
        <v>94</v>
      </c>
      <c r="Y340" s="7"/>
      <c r="Z340" s="7" t="s">
        <v>14</v>
      </c>
      <c r="AA340" s="36" t="s">
        <v>28</v>
      </c>
      <c r="AB340" s="4"/>
      <c r="AC340" s="22">
        <f t="shared" si="11"/>
        <v>470.58823529411762</v>
      </c>
      <c r="AD340" s="23">
        <v>0</v>
      </c>
    </row>
    <row r="341" spans="1:30" hidden="1" x14ac:dyDescent="0.35">
      <c r="A341" s="7">
        <v>364</v>
      </c>
      <c r="B341" s="6">
        <v>45839.463368055556</v>
      </c>
      <c r="C341" s="6">
        <v>45838</v>
      </c>
      <c r="D341" s="7" t="s">
        <v>2268</v>
      </c>
      <c r="E341" s="7" t="s">
        <v>1331</v>
      </c>
      <c r="F341" s="7" t="s">
        <v>2281</v>
      </c>
      <c r="G341" s="7" t="s">
        <v>2266</v>
      </c>
      <c r="H341" s="7" t="s">
        <v>2265</v>
      </c>
      <c r="I341" s="7" t="s">
        <v>2264</v>
      </c>
      <c r="J341" s="7" t="s">
        <v>1816</v>
      </c>
      <c r="K341" s="7" t="s">
        <v>1815</v>
      </c>
      <c r="L341" s="7" t="s">
        <v>1814</v>
      </c>
      <c r="M341" s="7" t="s">
        <v>28</v>
      </c>
      <c r="N341" s="7" t="s">
        <v>1825</v>
      </c>
      <c r="O341" s="7" t="s">
        <v>105</v>
      </c>
      <c r="P341" s="7" t="s">
        <v>1775</v>
      </c>
      <c r="Q341" s="9">
        <v>1200000</v>
      </c>
      <c r="R341" s="9">
        <v>0</v>
      </c>
      <c r="S341" s="9">
        <f t="shared" si="12"/>
        <v>1200000</v>
      </c>
      <c r="T341" s="4" t="s">
        <v>53</v>
      </c>
      <c r="U341" s="7" t="s">
        <v>1824</v>
      </c>
      <c r="V341" s="7" t="s">
        <v>1823</v>
      </c>
      <c r="W341" s="9">
        <v>20</v>
      </c>
      <c r="X341" s="7" t="s">
        <v>94</v>
      </c>
      <c r="Y341" s="7"/>
      <c r="Z341" s="7" t="s">
        <v>14</v>
      </c>
      <c r="AA341" s="36" t="s">
        <v>28</v>
      </c>
      <c r="AB341" s="4"/>
      <c r="AC341" s="22">
        <f t="shared" si="11"/>
        <v>470.58823529411762</v>
      </c>
      <c r="AD341" s="23">
        <v>0</v>
      </c>
    </row>
    <row r="342" spans="1:30" hidden="1" x14ac:dyDescent="0.35">
      <c r="A342" s="7">
        <v>365</v>
      </c>
      <c r="B342" s="6">
        <v>45839.463368055556</v>
      </c>
      <c r="C342" s="6">
        <v>45838</v>
      </c>
      <c r="D342" s="7" t="s">
        <v>2268</v>
      </c>
      <c r="E342" s="7" t="s">
        <v>1331</v>
      </c>
      <c r="F342" s="7" t="s">
        <v>2280</v>
      </c>
      <c r="G342" s="7" t="s">
        <v>2266</v>
      </c>
      <c r="H342" s="7" t="s">
        <v>2265</v>
      </c>
      <c r="I342" s="7" t="s">
        <v>2264</v>
      </c>
      <c r="J342" s="7" t="s">
        <v>1816</v>
      </c>
      <c r="K342" s="7" t="s">
        <v>1815</v>
      </c>
      <c r="L342" s="7" t="s">
        <v>1814</v>
      </c>
      <c r="M342" s="7" t="s">
        <v>28</v>
      </c>
      <c r="N342" s="7" t="s">
        <v>1825</v>
      </c>
      <c r="O342" s="7" t="s">
        <v>105</v>
      </c>
      <c r="P342" s="7" t="s">
        <v>1775</v>
      </c>
      <c r="Q342" s="9">
        <v>1600000</v>
      </c>
      <c r="R342" s="9">
        <v>0</v>
      </c>
      <c r="S342" s="9">
        <f t="shared" si="12"/>
        <v>1600000</v>
      </c>
      <c r="T342" s="4" t="s">
        <v>53</v>
      </c>
      <c r="U342" s="7" t="s">
        <v>1824</v>
      </c>
      <c r="V342" s="7" t="s">
        <v>1823</v>
      </c>
      <c r="W342" s="9">
        <v>16</v>
      </c>
      <c r="X342" s="7" t="s">
        <v>94</v>
      </c>
      <c r="Y342" s="7"/>
      <c r="Z342" s="7" t="s">
        <v>14</v>
      </c>
      <c r="AA342" s="36" t="s">
        <v>28</v>
      </c>
      <c r="AB342" s="4"/>
      <c r="AC342" s="22">
        <f t="shared" si="11"/>
        <v>627.45098039215691</v>
      </c>
      <c r="AD342" s="23">
        <v>0</v>
      </c>
    </row>
    <row r="343" spans="1:30" hidden="1" x14ac:dyDescent="0.35">
      <c r="A343" s="7">
        <v>366</v>
      </c>
      <c r="B343" s="6">
        <v>45839.463368055556</v>
      </c>
      <c r="C343" s="6">
        <v>45838</v>
      </c>
      <c r="D343" s="7" t="s">
        <v>2268</v>
      </c>
      <c r="E343" s="7" t="s">
        <v>1331</v>
      </c>
      <c r="F343" s="7" t="s">
        <v>2279</v>
      </c>
      <c r="G343" s="7" t="s">
        <v>2266</v>
      </c>
      <c r="H343" s="7" t="s">
        <v>2265</v>
      </c>
      <c r="I343" s="7" t="s">
        <v>2264</v>
      </c>
      <c r="J343" s="7" t="s">
        <v>1816</v>
      </c>
      <c r="K343" s="7" t="s">
        <v>1815</v>
      </c>
      <c r="L343" s="7" t="s">
        <v>1814</v>
      </c>
      <c r="M343" s="7" t="s">
        <v>28</v>
      </c>
      <c r="N343" s="7" t="s">
        <v>1825</v>
      </c>
      <c r="O343" s="7" t="s">
        <v>105</v>
      </c>
      <c r="P343" s="7" t="s">
        <v>1775</v>
      </c>
      <c r="Q343" s="9">
        <v>1800000</v>
      </c>
      <c r="R343" s="9">
        <v>0</v>
      </c>
      <c r="S343" s="9">
        <f t="shared" si="12"/>
        <v>1800000</v>
      </c>
      <c r="T343" s="4" t="s">
        <v>53</v>
      </c>
      <c r="U343" s="7" t="s">
        <v>1824</v>
      </c>
      <c r="V343" s="7" t="s">
        <v>1823</v>
      </c>
      <c r="W343" s="9">
        <v>60</v>
      </c>
      <c r="X343" s="7" t="s">
        <v>94</v>
      </c>
      <c r="Y343" s="7"/>
      <c r="Z343" s="7" t="s">
        <v>14</v>
      </c>
      <c r="AA343" s="36" t="s">
        <v>28</v>
      </c>
      <c r="AB343" s="4"/>
      <c r="AC343" s="22">
        <f t="shared" si="11"/>
        <v>705.88235294117646</v>
      </c>
      <c r="AD343" s="23">
        <v>0</v>
      </c>
    </row>
    <row r="344" spans="1:30" hidden="1" x14ac:dyDescent="0.35">
      <c r="A344" s="7">
        <v>367</v>
      </c>
      <c r="B344" s="6">
        <v>45839.463368055556</v>
      </c>
      <c r="C344" s="6">
        <v>45838</v>
      </c>
      <c r="D344" s="7" t="s">
        <v>2268</v>
      </c>
      <c r="E344" s="7" t="s">
        <v>1331</v>
      </c>
      <c r="F344" s="7" t="s">
        <v>2278</v>
      </c>
      <c r="G344" s="7" t="s">
        <v>2266</v>
      </c>
      <c r="H344" s="7" t="s">
        <v>2265</v>
      </c>
      <c r="I344" s="7" t="s">
        <v>2264</v>
      </c>
      <c r="J344" s="7" t="s">
        <v>1816</v>
      </c>
      <c r="K344" s="7" t="s">
        <v>1815</v>
      </c>
      <c r="L344" s="7" t="s">
        <v>1814</v>
      </c>
      <c r="M344" s="7" t="s">
        <v>28</v>
      </c>
      <c r="N344" s="7" t="s">
        <v>1825</v>
      </c>
      <c r="O344" s="7" t="s">
        <v>105</v>
      </c>
      <c r="P344" s="7" t="s">
        <v>1775</v>
      </c>
      <c r="Q344" s="9">
        <v>600000</v>
      </c>
      <c r="R344" s="9">
        <v>0</v>
      </c>
      <c r="S344" s="9">
        <f t="shared" si="12"/>
        <v>600000</v>
      </c>
      <c r="T344" s="4" t="s">
        <v>53</v>
      </c>
      <c r="U344" s="7" t="s">
        <v>1824</v>
      </c>
      <c r="V344" s="7" t="s">
        <v>1823</v>
      </c>
      <c r="W344" s="9">
        <v>40</v>
      </c>
      <c r="X344" s="7" t="s">
        <v>94</v>
      </c>
      <c r="Y344" s="7"/>
      <c r="Z344" s="7" t="s">
        <v>14</v>
      </c>
      <c r="AA344" s="36" t="s">
        <v>28</v>
      </c>
      <c r="AB344" s="4"/>
      <c r="AC344" s="22">
        <f t="shared" si="11"/>
        <v>235.29411764705881</v>
      </c>
      <c r="AD344" s="23">
        <v>0</v>
      </c>
    </row>
    <row r="345" spans="1:30" hidden="1" x14ac:dyDescent="0.35">
      <c r="A345" s="7">
        <v>368</v>
      </c>
      <c r="B345" s="6">
        <v>45839.463368055556</v>
      </c>
      <c r="C345" s="6">
        <v>45838</v>
      </c>
      <c r="D345" s="7" t="s">
        <v>2268</v>
      </c>
      <c r="E345" s="7" t="s">
        <v>1331</v>
      </c>
      <c r="F345" s="7" t="s">
        <v>2277</v>
      </c>
      <c r="G345" s="7" t="s">
        <v>2266</v>
      </c>
      <c r="H345" s="7" t="s">
        <v>2265</v>
      </c>
      <c r="I345" s="7" t="s">
        <v>2264</v>
      </c>
      <c r="J345" s="7" t="s">
        <v>1816</v>
      </c>
      <c r="K345" s="7" t="s">
        <v>1815</v>
      </c>
      <c r="L345" s="7" t="s">
        <v>1814</v>
      </c>
      <c r="M345" s="7" t="s">
        <v>28</v>
      </c>
      <c r="N345" s="7" t="s">
        <v>1825</v>
      </c>
      <c r="O345" s="7" t="s">
        <v>105</v>
      </c>
      <c r="P345" s="7" t="s">
        <v>1775</v>
      </c>
      <c r="Q345" s="9">
        <v>1800000</v>
      </c>
      <c r="R345" s="9">
        <v>0</v>
      </c>
      <c r="S345" s="9">
        <f t="shared" si="12"/>
        <v>1800000</v>
      </c>
      <c r="T345" s="4" t="s">
        <v>53</v>
      </c>
      <c r="U345" s="7" t="s">
        <v>1824</v>
      </c>
      <c r="V345" s="7" t="s">
        <v>1823</v>
      </c>
      <c r="W345" s="9">
        <v>40</v>
      </c>
      <c r="X345" s="7" t="s">
        <v>94</v>
      </c>
      <c r="Y345" s="7"/>
      <c r="Z345" s="7" t="s">
        <v>14</v>
      </c>
      <c r="AA345" s="36" t="s">
        <v>28</v>
      </c>
      <c r="AB345" s="4"/>
      <c r="AC345" s="22">
        <f t="shared" si="11"/>
        <v>705.88235294117646</v>
      </c>
      <c r="AD345" s="23">
        <v>0</v>
      </c>
    </row>
    <row r="346" spans="1:30" hidden="1" x14ac:dyDescent="0.35">
      <c r="A346" s="7">
        <v>369</v>
      </c>
      <c r="B346" s="6">
        <v>45839.463368055556</v>
      </c>
      <c r="C346" s="6">
        <v>45838</v>
      </c>
      <c r="D346" s="7" t="s">
        <v>2268</v>
      </c>
      <c r="E346" s="7" t="s">
        <v>1331</v>
      </c>
      <c r="F346" s="7" t="s">
        <v>2276</v>
      </c>
      <c r="G346" s="7" t="s">
        <v>2266</v>
      </c>
      <c r="H346" s="7" t="s">
        <v>2265</v>
      </c>
      <c r="I346" s="7" t="s">
        <v>2264</v>
      </c>
      <c r="J346" s="7" t="s">
        <v>1816</v>
      </c>
      <c r="K346" s="7" t="s">
        <v>1815</v>
      </c>
      <c r="L346" s="7" t="s">
        <v>1814</v>
      </c>
      <c r="M346" s="7" t="s">
        <v>28</v>
      </c>
      <c r="N346" s="7" t="s">
        <v>1825</v>
      </c>
      <c r="O346" s="7" t="s">
        <v>105</v>
      </c>
      <c r="P346" s="7" t="s">
        <v>1775</v>
      </c>
      <c r="Q346" s="9">
        <v>640000</v>
      </c>
      <c r="R346" s="9">
        <v>0</v>
      </c>
      <c r="S346" s="9">
        <f t="shared" si="12"/>
        <v>640000</v>
      </c>
      <c r="T346" s="4" t="s">
        <v>53</v>
      </c>
      <c r="U346" s="7" t="s">
        <v>1824</v>
      </c>
      <c r="V346" s="7" t="s">
        <v>1823</v>
      </c>
      <c r="W346" s="9">
        <v>16</v>
      </c>
      <c r="X346" s="7" t="s">
        <v>94</v>
      </c>
      <c r="Y346" s="7"/>
      <c r="Z346" s="7" t="s">
        <v>14</v>
      </c>
      <c r="AA346" s="36" t="s">
        <v>28</v>
      </c>
      <c r="AB346" s="4"/>
      <c r="AC346" s="22">
        <f t="shared" si="11"/>
        <v>250.98039215686273</v>
      </c>
      <c r="AD346" s="23">
        <v>0</v>
      </c>
    </row>
    <row r="347" spans="1:30" hidden="1" x14ac:dyDescent="0.35">
      <c r="A347" s="7">
        <v>370</v>
      </c>
      <c r="B347" s="6">
        <v>45839.463368055556</v>
      </c>
      <c r="C347" s="6">
        <v>45838</v>
      </c>
      <c r="D347" s="7" t="s">
        <v>2268</v>
      </c>
      <c r="E347" s="7" t="s">
        <v>1331</v>
      </c>
      <c r="F347" s="7" t="s">
        <v>2275</v>
      </c>
      <c r="G347" s="7" t="s">
        <v>2266</v>
      </c>
      <c r="H347" s="7" t="s">
        <v>2265</v>
      </c>
      <c r="I347" s="7" t="s">
        <v>2264</v>
      </c>
      <c r="J347" s="7" t="s">
        <v>1816</v>
      </c>
      <c r="K347" s="7" t="s">
        <v>1815</v>
      </c>
      <c r="L347" s="7" t="s">
        <v>1814</v>
      </c>
      <c r="M347" s="7" t="s">
        <v>28</v>
      </c>
      <c r="N347" s="7" t="s">
        <v>1825</v>
      </c>
      <c r="O347" s="7" t="s">
        <v>105</v>
      </c>
      <c r="P347" s="7" t="s">
        <v>1775</v>
      </c>
      <c r="Q347" s="9">
        <v>30000</v>
      </c>
      <c r="R347" s="9">
        <v>0</v>
      </c>
      <c r="S347" s="9">
        <f t="shared" si="12"/>
        <v>30000</v>
      </c>
      <c r="T347" s="4" t="s">
        <v>53</v>
      </c>
      <c r="U347" s="7" t="s">
        <v>1824</v>
      </c>
      <c r="V347" s="7" t="s">
        <v>1823</v>
      </c>
      <c r="W347" s="9">
        <v>1</v>
      </c>
      <c r="X347" s="7" t="s">
        <v>94</v>
      </c>
      <c r="Y347" s="7"/>
      <c r="Z347" s="7" t="s">
        <v>14</v>
      </c>
      <c r="AA347" s="36" t="s">
        <v>28</v>
      </c>
      <c r="AB347" s="4"/>
      <c r="AC347" s="22">
        <f t="shared" si="11"/>
        <v>11.764705882352942</v>
      </c>
      <c r="AD347" s="23">
        <v>0</v>
      </c>
    </row>
    <row r="348" spans="1:30" hidden="1" x14ac:dyDescent="0.35">
      <c r="A348" s="7">
        <v>371</v>
      </c>
      <c r="B348" s="6">
        <v>45839.463368055556</v>
      </c>
      <c r="C348" s="6">
        <v>45838</v>
      </c>
      <c r="D348" s="7" t="s">
        <v>2268</v>
      </c>
      <c r="E348" s="7" t="s">
        <v>1331</v>
      </c>
      <c r="F348" s="7" t="s">
        <v>2274</v>
      </c>
      <c r="G348" s="7" t="s">
        <v>2266</v>
      </c>
      <c r="H348" s="7" t="s">
        <v>2265</v>
      </c>
      <c r="I348" s="7" t="s">
        <v>2264</v>
      </c>
      <c r="J348" s="7" t="s">
        <v>1816</v>
      </c>
      <c r="K348" s="7" t="s">
        <v>1815</v>
      </c>
      <c r="L348" s="7" t="s">
        <v>1814</v>
      </c>
      <c r="M348" s="7" t="s">
        <v>28</v>
      </c>
      <c r="N348" s="7" t="s">
        <v>1825</v>
      </c>
      <c r="O348" s="7" t="s">
        <v>105</v>
      </c>
      <c r="P348" s="7" t="s">
        <v>1775</v>
      </c>
      <c r="Q348" s="9">
        <v>120000</v>
      </c>
      <c r="R348" s="9">
        <v>0</v>
      </c>
      <c r="S348" s="9">
        <f t="shared" si="12"/>
        <v>120000</v>
      </c>
      <c r="T348" s="4" t="s">
        <v>53</v>
      </c>
      <c r="U348" s="7" t="s">
        <v>1824</v>
      </c>
      <c r="V348" s="7" t="s">
        <v>1823</v>
      </c>
      <c r="W348" s="9">
        <v>1</v>
      </c>
      <c r="X348" s="7" t="s">
        <v>94</v>
      </c>
      <c r="Y348" s="7"/>
      <c r="Z348" s="7" t="s">
        <v>14</v>
      </c>
      <c r="AA348" s="36" t="s">
        <v>28</v>
      </c>
      <c r="AB348" s="4"/>
      <c r="AC348" s="22">
        <f t="shared" si="11"/>
        <v>47.058823529411768</v>
      </c>
      <c r="AD348" s="23">
        <v>0</v>
      </c>
    </row>
    <row r="349" spans="1:30" hidden="1" x14ac:dyDescent="0.35">
      <c r="A349" s="7">
        <v>372</v>
      </c>
      <c r="B349" s="6">
        <v>45839.463368055556</v>
      </c>
      <c r="C349" s="6">
        <v>45838</v>
      </c>
      <c r="D349" s="7" t="s">
        <v>2268</v>
      </c>
      <c r="E349" s="7" t="s">
        <v>1331</v>
      </c>
      <c r="F349" s="7" t="s">
        <v>2273</v>
      </c>
      <c r="G349" s="7" t="s">
        <v>2266</v>
      </c>
      <c r="H349" s="7" t="s">
        <v>2265</v>
      </c>
      <c r="I349" s="7" t="s">
        <v>2264</v>
      </c>
      <c r="J349" s="7" t="s">
        <v>1816</v>
      </c>
      <c r="K349" s="7" t="s">
        <v>1815</v>
      </c>
      <c r="L349" s="7" t="s">
        <v>1814</v>
      </c>
      <c r="M349" s="7" t="s">
        <v>28</v>
      </c>
      <c r="N349" s="7" t="s">
        <v>1825</v>
      </c>
      <c r="O349" s="7" t="s">
        <v>105</v>
      </c>
      <c r="P349" s="7" t="s">
        <v>1775</v>
      </c>
      <c r="Q349" s="9">
        <v>100000</v>
      </c>
      <c r="R349" s="9">
        <v>0</v>
      </c>
      <c r="S349" s="9">
        <f t="shared" si="12"/>
        <v>100000</v>
      </c>
      <c r="T349" s="4" t="s">
        <v>53</v>
      </c>
      <c r="U349" s="7" t="s">
        <v>1824</v>
      </c>
      <c r="V349" s="7" t="s">
        <v>1823</v>
      </c>
      <c r="W349" s="9">
        <v>1</v>
      </c>
      <c r="X349" s="7" t="s">
        <v>94</v>
      </c>
      <c r="Y349" s="7"/>
      <c r="Z349" s="7" t="s">
        <v>14</v>
      </c>
      <c r="AA349" s="36" t="s">
        <v>28</v>
      </c>
      <c r="AB349" s="4"/>
      <c r="AC349" s="22">
        <f t="shared" si="11"/>
        <v>39.215686274509807</v>
      </c>
      <c r="AD349" s="23">
        <v>0</v>
      </c>
    </row>
    <row r="350" spans="1:30" hidden="1" x14ac:dyDescent="0.35">
      <c r="A350" s="7">
        <v>373</v>
      </c>
      <c r="B350" s="6">
        <v>45839.463368055556</v>
      </c>
      <c r="C350" s="6">
        <v>45838</v>
      </c>
      <c r="D350" s="7" t="s">
        <v>2268</v>
      </c>
      <c r="E350" s="7" t="s">
        <v>1331</v>
      </c>
      <c r="F350" s="7" t="s">
        <v>2272</v>
      </c>
      <c r="G350" s="7" t="s">
        <v>2266</v>
      </c>
      <c r="H350" s="7" t="s">
        <v>2265</v>
      </c>
      <c r="I350" s="7" t="s">
        <v>2264</v>
      </c>
      <c r="J350" s="7" t="s">
        <v>1816</v>
      </c>
      <c r="K350" s="7" t="s">
        <v>1815</v>
      </c>
      <c r="L350" s="7" t="s">
        <v>1814</v>
      </c>
      <c r="M350" s="7" t="s">
        <v>28</v>
      </c>
      <c r="N350" s="7" t="s">
        <v>1825</v>
      </c>
      <c r="O350" s="7" t="s">
        <v>105</v>
      </c>
      <c r="P350" s="7" t="s">
        <v>1775</v>
      </c>
      <c r="Q350" s="9">
        <v>3000000</v>
      </c>
      <c r="R350" s="9">
        <v>0</v>
      </c>
      <c r="S350" s="9">
        <f t="shared" si="12"/>
        <v>3000000</v>
      </c>
      <c r="T350" s="4" t="s">
        <v>53</v>
      </c>
      <c r="U350" s="7" t="s">
        <v>1824</v>
      </c>
      <c r="V350" s="7" t="s">
        <v>1823</v>
      </c>
      <c r="W350" s="9">
        <v>1</v>
      </c>
      <c r="X350" s="7" t="s">
        <v>94</v>
      </c>
      <c r="Y350" s="7"/>
      <c r="Z350" s="7" t="s">
        <v>14</v>
      </c>
      <c r="AA350" s="36" t="s">
        <v>28</v>
      </c>
      <c r="AB350" s="4"/>
      <c r="AC350" s="22">
        <f t="shared" si="11"/>
        <v>1176.4705882352941</v>
      </c>
      <c r="AD350" s="23">
        <v>0</v>
      </c>
    </row>
    <row r="351" spans="1:30" hidden="1" x14ac:dyDescent="0.35">
      <c r="A351" s="7">
        <v>374</v>
      </c>
      <c r="B351" s="6">
        <v>45839.463368055556</v>
      </c>
      <c r="C351" s="6">
        <v>45838</v>
      </c>
      <c r="D351" s="7" t="s">
        <v>2268</v>
      </c>
      <c r="E351" s="7" t="s">
        <v>1331</v>
      </c>
      <c r="F351" s="7" t="s">
        <v>2271</v>
      </c>
      <c r="G351" s="7" t="s">
        <v>2266</v>
      </c>
      <c r="H351" s="7" t="s">
        <v>2265</v>
      </c>
      <c r="I351" s="7" t="s">
        <v>2264</v>
      </c>
      <c r="J351" s="7" t="s">
        <v>1816</v>
      </c>
      <c r="K351" s="7" t="s">
        <v>1815</v>
      </c>
      <c r="L351" s="7" t="s">
        <v>1814</v>
      </c>
      <c r="M351" s="7" t="s">
        <v>28</v>
      </c>
      <c r="N351" s="7" t="s">
        <v>1825</v>
      </c>
      <c r="O351" s="7" t="s">
        <v>105</v>
      </c>
      <c r="P351" s="7" t="s">
        <v>1775</v>
      </c>
      <c r="Q351" s="9">
        <v>2366000</v>
      </c>
      <c r="R351" s="9">
        <v>0</v>
      </c>
      <c r="S351" s="9">
        <f t="shared" si="12"/>
        <v>2366000</v>
      </c>
      <c r="T351" s="4" t="s">
        <v>53</v>
      </c>
      <c r="U351" s="7" t="s">
        <v>1824</v>
      </c>
      <c r="V351" s="7" t="s">
        <v>1823</v>
      </c>
      <c r="W351" s="9">
        <v>84.5</v>
      </c>
      <c r="X351" s="7" t="s">
        <v>94</v>
      </c>
      <c r="Y351" s="7"/>
      <c r="Z351" s="7" t="s">
        <v>14</v>
      </c>
      <c r="AA351" s="36" t="s">
        <v>28</v>
      </c>
      <c r="AB351" s="4"/>
      <c r="AC351" s="22">
        <f t="shared" si="11"/>
        <v>927.84313725490199</v>
      </c>
      <c r="AD351" s="23">
        <v>0</v>
      </c>
    </row>
    <row r="352" spans="1:30" hidden="1" x14ac:dyDescent="0.35">
      <c r="A352" s="7">
        <v>375</v>
      </c>
      <c r="B352" s="6">
        <v>45839.463368055556</v>
      </c>
      <c r="C352" s="6">
        <v>45838</v>
      </c>
      <c r="D352" s="7" t="s">
        <v>2268</v>
      </c>
      <c r="E352" s="7" t="s">
        <v>1331</v>
      </c>
      <c r="F352" s="7" t="s">
        <v>2270</v>
      </c>
      <c r="G352" s="7" t="s">
        <v>2266</v>
      </c>
      <c r="H352" s="7" t="s">
        <v>2265</v>
      </c>
      <c r="I352" s="7" t="s">
        <v>2264</v>
      </c>
      <c r="J352" s="7" t="s">
        <v>1816</v>
      </c>
      <c r="K352" s="7" t="s">
        <v>1815</v>
      </c>
      <c r="L352" s="7" t="s">
        <v>1814</v>
      </c>
      <c r="M352" s="7" t="s">
        <v>28</v>
      </c>
      <c r="N352" s="7" t="s">
        <v>1825</v>
      </c>
      <c r="O352" s="7" t="s">
        <v>105</v>
      </c>
      <c r="P352" s="7" t="s">
        <v>1775</v>
      </c>
      <c r="Q352" s="9">
        <v>700000</v>
      </c>
      <c r="R352" s="9">
        <v>0</v>
      </c>
      <c r="S352" s="9">
        <f t="shared" si="12"/>
        <v>700000</v>
      </c>
      <c r="T352" s="4" t="s">
        <v>53</v>
      </c>
      <c r="U352" s="7" t="s">
        <v>1824</v>
      </c>
      <c r="V352" s="7" t="s">
        <v>1823</v>
      </c>
      <c r="W352" s="9">
        <v>1</v>
      </c>
      <c r="X352" s="7" t="s">
        <v>94</v>
      </c>
      <c r="Y352" s="7"/>
      <c r="Z352" s="7" t="s">
        <v>14</v>
      </c>
      <c r="AA352" s="36" t="s">
        <v>28</v>
      </c>
      <c r="AB352" s="4"/>
      <c r="AC352" s="22">
        <f t="shared" si="11"/>
        <v>274.50980392156862</v>
      </c>
      <c r="AD352" s="23">
        <v>0</v>
      </c>
    </row>
    <row r="353" spans="1:30" hidden="1" x14ac:dyDescent="0.35">
      <c r="A353" s="7">
        <v>376</v>
      </c>
      <c r="B353" s="6">
        <v>45839.463368055556</v>
      </c>
      <c r="C353" s="6">
        <v>45838</v>
      </c>
      <c r="D353" s="7" t="s">
        <v>2268</v>
      </c>
      <c r="E353" s="7" t="s">
        <v>1331</v>
      </c>
      <c r="F353" s="7" t="s">
        <v>2269</v>
      </c>
      <c r="G353" s="7" t="s">
        <v>2266</v>
      </c>
      <c r="H353" s="7" t="s">
        <v>2265</v>
      </c>
      <c r="I353" s="7" t="s">
        <v>2264</v>
      </c>
      <c r="J353" s="7" t="s">
        <v>1816</v>
      </c>
      <c r="K353" s="7" t="s">
        <v>1815</v>
      </c>
      <c r="L353" s="7" t="s">
        <v>1814</v>
      </c>
      <c r="M353" s="7" t="s">
        <v>28</v>
      </c>
      <c r="N353" s="7" t="s">
        <v>1825</v>
      </c>
      <c r="O353" s="7" t="s">
        <v>105</v>
      </c>
      <c r="P353" s="7" t="s">
        <v>1775</v>
      </c>
      <c r="Q353" s="9">
        <v>1760000</v>
      </c>
      <c r="R353" s="9">
        <v>0</v>
      </c>
      <c r="S353" s="9">
        <f t="shared" si="12"/>
        <v>1760000</v>
      </c>
      <c r="T353" s="4" t="s">
        <v>53</v>
      </c>
      <c r="U353" s="7" t="s">
        <v>1824</v>
      </c>
      <c r="V353" s="7" t="s">
        <v>1823</v>
      </c>
      <c r="W353" s="9">
        <v>16</v>
      </c>
      <c r="X353" s="7" t="s">
        <v>94</v>
      </c>
      <c r="Y353" s="7"/>
      <c r="Z353" s="7" t="s">
        <v>14</v>
      </c>
      <c r="AA353" s="36" t="s">
        <v>28</v>
      </c>
      <c r="AB353" s="4"/>
      <c r="AC353" s="22">
        <f t="shared" si="11"/>
        <v>690.1960784313726</v>
      </c>
      <c r="AD353" s="23">
        <v>0</v>
      </c>
    </row>
    <row r="354" spans="1:30" hidden="1" x14ac:dyDescent="0.35">
      <c r="A354" s="7">
        <v>377</v>
      </c>
      <c r="B354" s="6">
        <v>45839.463368055556</v>
      </c>
      <c r="C354" s="6">
        <v>45838</v>
      </c>
      <c r="D354" s="7" t="s">
        <v>2268</v>
      </c>
      <c r="E354" s="7" t="s">
        <v>1331</v>
      </c>
      <c r="F354" s="7" t="s">
        <v>2267</v>
      </c>
      <c r="G354" s="7" t="s">
        <v>2266</v>
      </c>
      <c r="H354" s="7" t="s">
        <v>2265</v>
      </c>
      <c r="I354" s="7" t="s">
        <v>2264</v>
      </c>
      <c r="J354" s="7" t="s">
        <v>1816</v>
      </c>
      <c r="K354" s="7" t="s">
        <v>1815</v>
      </c>
      <c r="L354" s="7" t="s">
        <v>1814</v>
      </c>
      <c r="M354" s="7" t="s">
        <v>28</v>
      </c>
      <c r="N354" s="7" t="s">
        <v>1825</v>
      </c>
      <c r="O354" s="7" t="s">
        <v>105</v>
      </c>
      <c r="P354" s="7" t="s">
        <v>1775</v>
      </c>
      <c r="Q354" s="9">
        <v>700000</v>
      </c>
      <c r="R354" s="9">
        <v>0</v>
      </c>
      <c r="S354" s="9">
        <f t="shared" si="12"/>
        <v>700000</v>
      </c>
      <c r="T354" s="4" t="s">
        <v>53</v>
      </c>
      <c r="U354" s="7" t="s">
        <v>1824</v>
      </c>
      <c r="V354" s="7" t="s">
        <v>1823</v>
      </c>
      <c r="W354" s="9">
        <v>20</v>
      </c>
      <c r="X354" s="7" t="s">
        <v>94</v>
      </c>
      <c r="Y354" s="7"/>
      <c r="Z354" s="7" t="s">
        <v>14</v>
      </c>
      <c r="AA354" s="36" t="s">
        <v>28</v>
      </c>
      <c r="AB354" s="4"/>
      <c r="AC354" s="22">
        <f t="shared" si="11"/>
        <v>274.50980392156862</v>
      </c>
      <c r="AD354" s="23">
        <v>0</v>
      </c>
    </row>
    <row r="355" spans="1:30" x14ac:dyDescent="0.35">
      <c r="A355" s="7">
        <v>378</v>
      </c>
      <c r="B355" s="6">
        <v>45839.421307870369</v>
      </c>
      <c r="C355" s="6">
        <v>45838</v>
      </c>
      <c r="D355" s="7" t="s">
        <v>2259</v>
      </c>
      <c r="E355" s="7" t="s">
        <v>1331</v>
      </c>
      <c r="F355" s="7" t="s">
        <v>2263</v>
      </c>
      <c r="G355" s="7" t="s">
        <v>2257</v>
      </c>
      <c r="H355" s="7" t="s">
        <v>2012</v>
      </c>
      <c r="I355" s="7" t="s">
        <v>2011</v>
      </c>
      <c r="J355" s="7" t="s">
        <v>1816</v>
      </c>
      <c r="K355" s="7" t="s">
        <v>1815</v>
      </c>
      <c r="L355" s="7" t="s">
        <v>1905</v>
      </c>
      <c r="M355" s="7" t="s">
        <v>22</v>
      </c>
      <c r="N355" s="7" t="s">
        <v>266</v>
      </c>
      <c r="O355" s="7" t="s">
        <v>68</v>
      </c>
      <c r="P355" s="7" t="s">
        <v>68</v>
      </c>
      <c r="Q355" s="9">
        <v>600000</v>
      </c>
      <c r="R355" s="9">
        <v>0</v>
      </c>
      <c r="S355" s="9">
        <f t="shared" si="12"/>
        <v>600000</v>
      </c>
      <c r="T355" s="4" t="s">
        <v>53</v>
      </c>
      <c r="U355" s="7" t="s">
        <v>1824</v>
      </c>
      <c r="V355" s="7" t="s">
        <v>1823</v>
      </c>
      <c r="W355" s="9">
        <v>1</v>
      </c>
      <c r="X355" s="7" t="s">
        <v>94</v>
      </c>
      <c r="Y355" s="7"/>
      <c r="Z355" s="7" t="s">
        <v>14</v>
      </c>
      <c r="AA355" s="36" t="s">
        <v>22</v>
      </c>
      <c r="AB355" s="4" t="s">
        <v>2835</v>
      </c>
      <c r="AC355" s="22">
        <f t="shared" si="11"/>
        <v>235.29411764705881</v>
      </c>
      <c r="AD355" s="23">
        <v>0</v>
      </c>
    </row>
    <row r="356" spans="1:30" x14ac:dyDescent="0.35">
      <c r="A356" s="7">
        <v>379</v>
      </c>
      <c r="B356" s="6">
        <v>45839.421307870369</v>
      </c>
      <c r="C356" s="6">
        <v>45838</v>
      </c>
      <c r="D356" s="7" t="s">
        <v>2259</v>
      </c>
      <c r="E356" s="7" t="s">
        <v>1331</v>
      </c>
      <c r="F356" s="7" t="s">
        <v>2262</v>
      </c>
      <c r="G356" s="7" t="s">
        <v>2257</v>
      </c>
      <c r="H356" s="7" t="s">
        <v>2012</v>
      </c>
      <c r="I356" s="7" t="s">
        <v>2011</v>
      </c>
      <c r="J356" s="7" t="s">
        <v>1816</v>
      </c>
      <c r="K356" s="7" t="s">
        <v>1815</v>
      </c>
      <c r="L356" s="7" t="s">
        <v>1905</v>
      </c>
      <c r="M356" s="7" t="s">
        <v>22</v>
      </c>
      <c r="N356" s="7" t="s">
        <v>266</v>
      </c>
      <c r="O356" s="7" t="s">
        <v>68</v>
      </c>
      <c r="P356" s="7" t="s">
        <v>68</v>
      </c>
      <c r="Q356" s="9">
        <v>1200000</v>
      </c>
      <c r="R356" s="9">
        <v>0</v>
      </c>
      <c r="S356" s="9">
        <f t="shared" si="12"/>
        <v>1200000</v>
      </c>
      <c r="T356" s="4" t="s">
        <v>53</v>
      </c>
      <c r="U356" s="7" t="s">
        <v>1824</v>
      </c>
      <c r="V356" s="7" t="s">
        <v>1823</v>
      </c>
      <c r="W356" s="9">
        <v>1</v>
      </c>
      <c r="X356" s="7" t="s">
        <v>94</v>
      </c>
      <c r="Y356" s="7"/>
      <c r="Z356" s="7" t="s">
        <v>14</v>
      </c>
      <c r="AA356" s="36" t="s">
        <v>22</v>
      </c>
      <c r="AB356" s="4" t="s">
        <v>2835</v>
      </c>
      <c r="AC356" s="22">
        <f t="shared" si="11"/>
        <v>470.58823529411762</v>
      </c>
      <c r="AD356" s="23">
        <v>0</v>
      </c>
    </row>
    <row r="357" spans="1:30" x14ac:dyDescent="0.35">
      <c r="A357" s="7">
        <v>380</v>
      </c>
      <c r="B357" s="6">
        <v>45839.421307870369</v>
      </c>
      <c r="C357" s="6">
        <v>45838</v>
      </c>
      <c r="D357" s="7" t="s">
        <v>2259</v>
      </c>
      <c r="E357" s="7" t="s">
        <v>1331</v>
      </c>
      <c r="F357" s="7" t="s">
        <v>2261</v>
      </c>
      <c r="G357" s="7" t="s">
        <v>2257</v>
      </c>
      <c r="H357" s="7" t="s">
        <v>2012</v>
      </c>
      <c r="I357" s="7" t="s">
        <v>2011</v>
      </c>
      <c r="J357" s="7" t="s">
        <v>1816</v>
      </c>
      <c r="K357" s="7" t="s">
        <v>1815</v>
      </c>
      <c r="L357" s="7" t="s">
        <v>1905</v>
      </c>
      <c r="M357" s="7" t="s">
        <v>22</v>
      </c>
      <c r="N357" s="7" t="s">
        <v>266</v>
      </c>
      <c r="O357" s="7" t="s">
        <v>68</v>
      </c>
      <c r="P357" s="7" t="s">
        <v>68</v>
      </c>
      <c r="Q357" s="9">
        <v>200000</v>
      </c>
      <c r="R357" s="9">
        <v>0</v>
      </c>
      <c r="S357" s="9">
        <f t="shared" si="12"/>
        <v>200000</v>
      </c>
      <c r="T357" s="4" t="s">
        <v>53</v>
      </c>
      <c r="U357" s="7" t="s">
        <v>1824</v>
      </c>
      <c r="V357" s="7" t="s">
        <v>1823</v>
      </c>
      <c r="W357" s="9">
        <v>1</v>
      </c>
      <c r="X357" s="7" t="s">
        <v>94</v>
      </c>
      <c r="Y357" s="7"/>
      <c r="Z357" s="7" t="s">
        <v>14</v>
      </c>
      <c r="AA357" s="36" t="s">
        <v>22</v>
      </c>
      <c r="AB357" s="4" t="s">
        <v>2835</v>
      </c>
      <c r="AC357" s="22">
        <f t="shared" si="11"/>
        <v>78.431372549019613</v>
      </c>
      <c r="AD357" s="23">
        <v>0</v>
      </c>
    </row>
    <row r="358" spans="1:30" x14ac:dyDescent="0.35">
      <c r="A358" s="7">
        <v>381</v>
      </c>
      <c r="B358" s="6">
        <v>45839.421307870369</v>
      </c>
      <c r="C358" s="6">
        <v>45838</v>
      </c>
      <c r="D358" s="7" t="s">
        <v>2259</v>
      </c>
      <c r="E358" s="7" t="s">
        <v>1331</v>
      </c>
      <c r="F358" s="7" t="s">
        <v>2260</v>
      </c>
      <c r="G358" s="7" t="s">
        <v>2257</v>
      </c>
      <c r="H358" s="7" t="s">
        <v>2012</v>
      </c>
      <c r="I358" s="7" t="s">
        <v>2011</v>
      </c>
      <c r="J358" s="7" t="s">
        <v>1816</v>
      </c>
      <c r="K358" s="7" t="s">
        <v>1815</v>
      </c>
      <c r="L358" s="7" t="s">
        <v>1905</v>
      </c>
      <c r="M358" s="7" t="s">
        <v>22</v>
      </c>
      <c r="N358" s="7" t="s">
        <v>266</v>
      </c>
      <c r="O358" s="7" t="s">
        <v>68</v>
      </c>
      <c r="P358" s="7" t="s">
        <v>68</v>
      </c>
      <c r="Q358" s="9">
        <v>1800000</v>
      </c>
      <c r="R358" s="9">
        <v>0</v>
      </c>
      <c r="S358" s="9">
        <f t="shared" si="12"/>
        <v>1800000</v>
      </c>
      <c r="T358" s="4" t="s">
        <v>53</v>
      </c>
      <c r="U358" s="7" t="s">
        <v>1824</v>
      </c>
      <c r="V358" s="7" t="s">
        <v>1823</v>
      </c>
      <c r="W358" s="9">
        <v>1</v>
      </c>
      <c r="X358" s="7" t="s">
        <v>94</v>
      </c>
      <c r="Y358" s="7"/>
      <c r="Z358" s="7" t="s">
        <v>14</v>
      </c>
      <c r="AA358" s="36" t="s">
        <v>22</v>
      </c>
      <c r="AB358" s="4" t="s">
        <v>2835</v>
      </c>
      <c r="AC358" s="22">
        <f t="shared" si="11"/>
        <v>705.88235294117646</v>
      </c>
      <c r="AD358" s="23">
        <v>0</v>
      </c>
    </row>
    <row r="359" spans="1:30" x14ac:dyDescent="0.35">
      <c r="A359" s="7">
        <v>382</v>
      </c>
      <c r="B359" s="6">
        <v>45839.421307870369</v>
      </c>
      <c r="C359" s="6">
        <v>45838</v>
      </c>
      <c r="D359" s="7" t="s">
        <v>2259</v>
      </c>
      <c r="E359" s="7" t="s">
        <v>1331</v>
      </c>
      <c r="F359" s="7" t="s">
        <v>2258</v>
      </c>
      <c r="G359" s="7" t="s">
        <v>2257</v>
      </c>
      <c r="H359" s="7" t="s">
        <v>2012</v>
      </c>
      <c r="I359" s="7" t="s">
        <v>2011</v>
      </c>
      <c r="J359" s="7" t="s">
        <v>1816</v>
      </c>
      <c r="K359" s="7" t="s">
        <v>1815</v>
      </c>
      <c r="L359" s="7" t="s">
        <v>1905</v>
      </c>
      <c r="M359" s="7" t="s">
        <v>22</v>
      </c>
      <c r="N359" s="7" t="s">
        <v>266</v>
      </c>
      <c r="O359" s="7" t="s">
        <v>68</v>
      </c>
      <c r="P359" s="7" t="s">
        <v>68</v>
      </c>
      <c r="Q359" s="9">
        <v>2400000</v>
      </c>
      <c r="R359" s="9">
        <v>0</v>
      </c>
      <c r="S359" s="9">
        <f t="shared" si="12"/>
        <v>2400000</v>
      </c>
      <c r="T359" s="4" t="s">
        <v>53</v>
      </c>
      <c r="U359" s="7" t="s">
        <v>1824</v>
      </c>
      <c r="V359" s="7" t="s">
        <v>1823</v>
      </c>
      <c r="W359" s="9">
        <v>2</v>
      </c>
      <c r="X359" s="7" t="s">
        <v>94</v>
      </c>
      <c r="Y359" s="7"/>
      <c r="Z359" s="7" t="s">
        <v>14</v>
      </c>
      <c r="AA359" s="36" t="s">
        <v>22</v>
      </c>
      <c r="AB359" s="4" t="s">
        <v>2835</v>
      </c>
      <c r="AC359" s="22">
        <f t="shared" si="11"/>
        <v>941.17647058823525</v>
      </c>
      <c r="AD359" s="23">
        <v>0</v>
      </c>
    </row>
    <row r="360" spans="1:30" x14ac:dyDescent="0.35">
      <c r="A360" s="7">
        <v>383</v>
      </c>
      <c r="B360" s="6">
        <v>45839.41747685185</v>
      </c>
      <c r="C360" s="6">
        <v>45838</v>
      </c>
      <c r="D360" s="7" t="s">
        <v>2250</v>
      </c>
      <c r="E360" s="7" t="s">
        <v>1331</v>
      </c>
      <c r="F360" s="7" t="s">
        <v>2256</v>
      </c>
      <c r="G360" s="7" t="s">
        <v>2248</v>
      </c>
      <c r="H360" s="7" t="s">
        <v>2247</v>
      </c>
      <c r="I360" s="7" t="s">
        <v>2246</v>
      </c>
      <c r="J360" s="7" t="s">
        <v>1816</v>
      </c>
      <c r="K360" s="7" t="s">
        <v>1815</v>
      </c>
      <c r="L360" s="7" t="s">
        <v>2031</v>
      </c>
      <c r="M360" s="7" t="s">
        <v>23</v>
      </c>
      <c r="N360" s="7" t="s">
        <v>317</v>
      </c>
      <c r="O360" s="7" t="s">
        <v>68</v>
      </c>
      <c r="P360" s="7" t="s">
        <v>68</v>
      </c>
      <c r="Q360" s="9">
        <v>1264200</v>
      </c>
      <c r="R360" s="9">
        <v>0</v>
      </c>
      <c r="S360" s="9">
        <f t="shared" si="12"/>
        <v>1264200</v>
      </c>
      <c r="T360" s="4" t="s">
        <v>53</v>
      </c>
      <c r="U360" s="7" t="s">
        <v>1824</v>
      </c>
      <c r="V360" s="7" t="s">
        <v>1823</v>
      </c>
      <c r="W360" s="9">
        <v>90.3</v>
      </c>
      <c r="X360" s="7" t="s">
        <v>94</v>
      </c>
      <c r="Y360" s="7"/>
      <c r="Z360" s="7" t="s">
        <v>14</v>
      </c>
      <c r="AA360" s="36" t="s">
        <v>23</v>
      </c>
      <c r="AB360" s="4" t="s">
        <v>2607</v>
      </c>
      <c r="AC360" s="22">
        <f t="shared" si="11"/>
        <v>495.76470588235293</v>
      </c>
      <c r="AD360" s="23">
        <v>0</v>
      </c>
    </row>
    <row r="361" spans="1:30" x14ac:dyDescent="0.35">
      <c r="A361" s="7">
        <v>384</v>
      </c>
      <c r="B361" s="6">
        <v>45839.41747685185</v>
      </c>
      <c r="C361" s="6">
        <v>45838</v>
      </c>
      <c r="D361" s="7" t="s">
        <v>2250</v>
      </c>
      <c r="E361" s="7" t="s">
        <v>1331</v>
      </c>
      <c r="F361" s="7" t="s">
        <v>2255</v>
      </c>
      <c r="G361" s="7" t="s">
        <v>2248</v>
      </c>
      <c r="H361" s="7" t="s">
        <v>2247</v>
      </c>
      <c r="I361" s="7" t="s">
        <v>2246</v>
      </c>
      <c r="J361" s="7" t="s">
        <v>1816</v>
      </c>
      <c r="K361" s="7" t="s">
        <v>1815</v>
      </c>
      <c r="L361" s="7" t="s">
        <v>2031</v>
      </c>
      <c r="M361" s="7" t="s">
        <v>23</v>
      </c>
      <c r="N361" s="7" t="s">
        <v>317</v>
      </c>
      <c r="O361" s="7" t="s">
        <v>68</v>
      </c>
      <c r="P361" s="7" t="s">
        <v>68</v>
      </c>
      <c r="Q361" s="9">
        <v>784000</v>
      </c>
      <c r="R361" s="9">
        <v>0</v>
      </c>
      <c r="S361" s="9">
        <f t="shared" si="12"/>
        <v>784000</v>
      </c>
      <c r="T361" s="4" t="s">
        <v>53</v>
      </c>
      <c r="U361" s="7" t="s">
        <v>1824</v>
      </c>
      <c r="V361" s="7" t="s">
        <v>1823</v>
      </c>
      <c r="W361" s="9">
        <v>11.2</v>
      </c>
      <c r="X361" s="7" t="s">
        <v>94</v>
      </c>
      <c r="Y361" s="7"/>
      <c r="Z361" s="7" t="s">
        <v>14</v>
      </c>
      <c r="AA361" s="36" t="s">
        <v>23</v>
      </c>
      <c r="AB361" s="4" t="s">
        <v>2607</v>
      </c>
      <c r="AC361" s="22">
        <f t="shared" si="11"/>
        <v>307.45098039215685</v>
      </c>
      <c r="AD361" s="23">
        <v>0</v>
      </c>
    </row>
    <row r="362" spans="1:30" x14ac:dyDescent="0.35">
      <c r="A362" s="7">
        <v>385</v>
      </c>
      <c r="B362" s="6">
        <v>45839.41747685185</v>
      </c>
      <c r="C362" s="6">
        <v>45838</v>
      </c>
      <c r="D362" s="7" t="s">
        <v>2250</v>
      </c>
      <c r="E362" s="7" t="s">
        <v>1331</v>
      </c>
      <c r="F362" s="7" t="s">
        <v>2254</v>
      </c>
      <c r="G362" s="7" t="s">
        <v>2248</v>
      </c>
      <c r="H362" s="7" t="s">
        <v>2247</v>
      </c>
      <c r="I362" s="7" t="s">
        <v>2246</v>
      </c>
      <c r="J362" s="7" t="s">
        <v>1816</v>
      </c>
      <c r="K362" s="7" t="s">
        <v>1815</v>
      </c>
      <c r="L362" s="7" t="s">
        <v>2031</v>
      </c>
      <c r="M362" s="7" t="s">
        <v>23</v>
      </c>
      <c r="N362" s="7" t="s">
        <v>317</v>
      </c>
      <c r="O362" s="7" t="s">
        <v>68</v>
      </c>
      <c r="P362" s="7" t="s">
        <v>68</v>
      </c>
      <c r="Q362" s="9">
        <v>366520</v>
      </c>
      <c r="R362" s="9">
        <v>0</v>
      </c>
      <c r="S362" s="9">
        <f t="shared" si="12"/>
        <v>366520</v>
      </c>
      <c r="T362" s="4" t="s">
        <v>53</v>
      </c>
      <c r="U362" s="7" t="s">
        <v>1824</v>
      </c>
      <c r="V362" s="7" t="s">
        <v>1823</v>
      </c>
      <c r="W362" s="9">
        <v>733.04</v>
      </c>
      <c r="X362" s="7" t="s">
        <v>94</v>
      </c>
      <c r="Y362" s="7"/>
      <c r="Z362" s="7" t="s">
        <v>14</v>
      </c>
      <c r="AA362" s="36" t="s">
        <v>23</v>
      </c>
      <c r="AB362" s="4" t="s">
        <v>2607</v>
      </c>
      <c r="AC362" s="22">
        <f t="shared" si="11"/>
        <v>143.73333333333332</v>
      </c>
      <c r="AD362" s="23">
        <v>0</v>
      </c>
    </row>
    <row r="363" spans="1:30" x14ac:dyDescent="0.35">
      <c r="A363" s="7">
        <v>386</v>
      </c>
      <c r="B363" s="6">
        <v>45839.41747685185</v>
      </c>
      <c r="C363" s="6">
        <v>45838</v>
      </c>
      <c r="D363" s="7" t="s">
        <v>2250</v>
      </c>
      <c r="E363" s="7" t="s">
        <v>1331</v>
      </c>
      <c r="F363" s="7" t="s">
        <v>2253</v>
      </c>
      <c r="G363" s="7" t="s">
        <v>2248</v>
      </c>
      <c r="H363" s="7" t="s">
        <v>2247</v>
      </c>
      <c r="I363" s="7" t="s">
        <v>2246</v>
      </c>
      <c r="J363" s="7" t="s">
        <v>1816</v>
      </c>
      <c r="K363" s="7" t="s">
        <v>1815</v>
      </c>
      <c r="L363" s="7" t="s">
        <v>2031</v>
      </c>
      <c r="M363" s="7" t="s">
        <v>23</v>
      </c>
      <c r="N363" s="7" t="s">
        <v>317</v>
      </c>
      <c r="O363" s="7" t="s">
        <v>68</v>
      </c>
      <c r="P363" s="7" t="s">
        <v>68</v>
      </c>
      <c r="Q363" s="9">
        <v>1790600</v>
      </c>
      <c r="R363" s="9">
        <v>0</v>
      </c>
      <c r="S363" s="9">
        <f t="shared" si="12"/>
        <v>1790600</v>
      </c>
      <c r="T363" s="4" t="s">
        <v>53</v>
      </c>
      <c r="U363" s="7" t="s">
        <v>1824</v>
      </c>
      <c r="V363" s="7" t="s">
        <v>1823</v>
      </c>
      <c r="W363" s="9">
        <v>127.9</v>
      </c>
      <c r="X363" s="7" t="s">
        <v>94</v>
      </c>
      <c r="Y363" s="7"/>
      <c r="Z363" s="7" t="s">
        <v>14</v>
      </c>
      <c r="AA363" s="36" t="s">
        <v>23</v>
      </c>
      <c r="AB363" s="4" t="s">
        <v>2607</v>
      </c>
      <c r="AC363" s="22">
        <f t="shared" ref="AC363:AC426" si="13">+S363/$AC$1</f>
        <v>702.1960784313726</v>
      </c>
      <c r="AD363" s="23">
        <v>0</v>
      </c>
    </row>
    <row r="364" spans="1:30" x14ac:dyDescent="0.35">
      <c r="A364" s="7">
        <v>387</v>
      </c>
      <c r="B364" s="6">
        <v>45839.41747685185</v>
      </c>
      <c r="C364" s="6">
        <v>45838</v>
      </c>
      <c r="D364" s="7" t="s">
        <v>2250</v>
      </c>
      <c r="E364" s="7" t="s">
        <v>1331</v>
      </c>
      <c r="F364" s="7" t="s">
        <v>2252</v>
      </c>
      <c r="G364" s="7" t="s">
        <v>2248</v>
      </c>
      <c r="H364" s="7" t="s">
        <v>2247</v>
      </c>
      <c r="I364" s="7" t="s">
        <v>2246</v>
      </c>
      <c r="J364" s="7" t="s">
        <v>1816</v>
      </c>
      <c r="K364" s="7" t="s">
        <v>1815</v>
      </c>
      <c r="L364" s="7" t="s">
        <v>2031</v>
      </c>
      <c r="M364" s="7" t="s">
        <v>23</v>
      </c>
      <c r="N364" s="7" t="s">
        <v>317</v>
      </c>
      <c r="O364" s="7" t="s">
        <v>68</v>
      </c>
      <c r="P364" s="7" t="s">
        <v>68</v>
      </c>
      <c r="Q364" s="9">
        <v>2640400</v>
      </c>
      <c r="R364" s="9">
        <v>0</v>
      </c>
      <c r="S364" s="9">
        <f t="shared" si="12"/>
        <v>2640400</v>
      </c>
      <c r="T364" s="4" t="s">
        <v>53</v>
      </c>
      <c r="U364" s="7" t="s">
        <v>1824</v>
      </c>
      <c r="V364" s="7" t="s">
        <v>1823</v>
      </c>
      <c r="W364" s="9">
        <v>377.2</v>
      </c>
      <c r="X364" s="7" t="s">
        <v>94</v>
      </c>
      <c r="Y364" s="7"/>
      <c r="Z364" s="7" t="s">
        <v>14</v>
      </c>
      <c r="AA364" s="36" t="s">
        <v>23</v>
      </c>
      <c r="AB364" s="4" t="s">
        <v>2607</v>
      </c>
      <c r="AC364" s="22">
        <f t="shared" si="13"/>
        <v>1035.4509803921569</v>
      </c>
      <c r="AD364" s="23">
        <v>0</v>
      </c>
    </row>
    <row r="365" spans="1:30" x14ac:dyDescent="0.35">
      <c r="A365" s="7">
        <v>388</v>
      </c>
      <c r="B365" s="6">
        <v>45839.41747685185</v>
      </c>
      <c r="C365" s="6">
        <v>45838</v>
      </c>
      <c r="D365" s="7" t="s">
        <v>2250</v>
      </c>
      <c r="E365" s="7" t="s">
        <v>1331</v>
      </c>
      <c r="F365" s="7" t="s">
        <v>2251</v>
      </c>
      <c r="G365" s="7" t="s">
        <v>2248</v>
      </c>
      <c r="H365" s="7" t="s">
        <v>2247</v>
      </c>
      <c r="I365" s="7" t="s">
        <v>2246</v>
      </c>
      <c r="J365" s="7" t="s">
        <v>1816</v>
      </c>
      <c r="K365" s="7" t="s">
        <v>1815</v>
      </c>
      <c r="L365" s="7" t="s">
        <v>2031</v>
      </c>
      <c r="M365" s="7" t="s">
        <v>23</v>
      </c>
      <c r="N365" s="7" t="s">
        <v>317</v>
      </c>
      <c r="O365" s="7" t="s">
        <v>68</v>
      </c>
      <c r="P365" s="7" t="s">
        <v>68</v>
      </c>
      <c r="Q365" s="9">
        <v>344400</v>
      </c>
      <c r="R365" s="9">
        <v>0</v>
      </c>
      <c r="S365" s="9">
        <f t="shared" si="12"/>
        <v>344400</v>
      </c>
      <c r="T365" s="4" t="s">
        <v>53</v>
      </c>
      <c r="U365" s="7" t="s">
        <v>1824</v>
      </c>
      <c r="V365" s="7" t="s">
        <v>1823</v>
      </c>
      <c r="W365" s="9">
        <v>4.92</v>
      </c>
      <c r="X365" s="7" t="s">
        <v>94</v>
      </c>
      <c r="Y365" s="7"/>
      <c r="Z365" s="7" t="s">
        <v>14</v>
      </c>
      <c r="AA365" s="36" t="s">
        <v>23</v>
      </c>
      <c r="AB365" s="4" t="s">
        <v>2607</v>
      </c>
      <c r="AC365" s="22">
        <f t="shared" si="13"/>
        <v>135.05882352941177</v>
      </c>
      <c r="AD365" s="23">
        <v>0</v>
      </c>
    </row>
    <row r="366" spans="1:30" x14ac:dyDescent="0.35">
      <c r="A366" s="7">
        <v>389</v>
      </c>
      <c r="B366" s="6">
        <v>45839.41747685185</v>
      </c>
      <c r="C366" s="6">
        <v>45838</v>
      </c>
      <c r="D366" s="7" t="s">
        <v>2250</v>
      </c>
      <c r="E366" s="7" t="s">
        <v>1331</v>
      </c>
      <c r="F366" s="7" t="s">
        <v>2249</v>
      </c>
      <c r="G366" s="7" t="s">
        <v>2248</v>
      </c>
      <c r="H366" s="7" t="s">
        <v>2247</v>
      </c>
      <c r="I366" s="7" t="s">
        <v>2246</v>
      </c>
      <c r="J366" s="7" t="s">
        <v>1816</v>
      </c>
      <c r="K366" s="7" t="s">
        <v>1815</v>
      </c>
      <c r="L366" s="7" t="s">
        <v>2031</v>
      </c>
      <c r="M366" s="7" t="s">
        <v>23</v>
      </c>
      <c r="N366" s="7" t="s">
        <v>317</v>
      </c>
      <c r="O366" s="7" t="s">
        <v>68</v>
      </c>
      <c r="P366" s="7" t="s">
        <v>68</v>
      </c>
      <c r="Q366" s="9">
        <v>2221400</v>
      </c>
      <c r="R366" s="9">
        <v>0</v>
      </c>
      <c r="S366" s="9">
        <f t="shared" si="12"/>
        <v>2221400</v>
      </c>
      <c r="T366" s="4" t="s">
        <v>53</v>
      </c>
      <c r="U366" s="7" t="s">
        <v>1824</v>
      </c>
      <c r="V366" s="7" t="s">
        <v>1823</v>
      </c>
      <c r="W366" s="9">
        <v>111.07</v>
      </c>
      <c r="X366" s="7" t="s">
        <v>94</v>
      </c>
      <c r="Y366" s="7"/>
      <c r="Z366" s="7" t="s">
        <v>14</v>
      </c>
      <c r="AA366" s="36" t="s">
        <v>23</v>
      </c>
      <c r="AB366" s="4" t="s">
        <v>2607</v>
      </c>
      <c r="AC366" s="22">
        <f t="shared" si="13"/>
        <v>871.13725490196077</v>
      </c>
      <c r="AD366" s="23">
        <v>0</v>
      </c>
    </row>
    <row r="367" spans="1:30" x14ac:dyDescent="0.35">
      <c r="A367" s="7">
        <v>390</v>
      </c>
      <c r="B367" s="6">
        <v>45840.41034722222</v>
      </c>
      <c r="C367" s="6">
        <v>45838</v>
      </c>
      <c r="D367" s="7" t="s">
        <v>2245</v>
      </c>
      <c r="E367" s="7" t="s">
        <v>1331</v>
      </c>
      <c r="F367" s="7"/>
      <c r="G367" s="7" t="s">
        <v>2244</v>
      </c>
      <c r="H367" s="7" t="s">
        <v>2012</v>
      </c>
      <c r="I367" s="7" t="s">
        <v>2011</v>
      </c>
      <c r="J367" s="7" t="s">
        <v>1816</v>
      </c>
      <c r="K367" s="7" t="s">
        <v>1815</v>
      </c>
      <c r="L367" s="7" t="s">
        <v>1905</v>
      </c>
      <c r="M367" s="7" t="s">
        <v>22</v>
      </c>
      <c r="N367" s="7" t="s">
        <v>266</v>
      </c>
      <c r="O367" s="7" t="s">
        <v>68</v>
      </c>
      <c r="P367" s="7" t="s">
        <v>68</v>
      </c>
      <c r="Q367" s="9">
        <v>0</v>
      </c>
      <c r="R367" s="9">
        <v>120000</v>
      </c>
      <c r="S367" s="9">
        <f t="shared" si="12"/>
        <v>-120000</v>
      </c>
      <c r="T367" s="4" t="s">
        <v>53</v>
      </c>
      <c r="U367" s="7"/>
      <c r="V367" s="7"/>
      <c r="W367" s="9">
        <v>1</v>
      </c>
      <c r="X367" s="7"/>
      <c r="Y367" s="7"/>
      <c r="Z367" s="7" t="s">
        <v>14</v>
      </c>
      <c r="AA367" s="36" t="s">
        <v>22</v>
      </c>
      <c r="AB367" s="4" t="s">
        <v>2835</v>
      </c>
      <c r="AC367" s="22">
        <f t="shared" si="13"/>
        <v>-47.058823529411768</v>
      </c>
      <c r="AD367" s="23">
        <v>0</v>
      </c>
    </row>
    <row r="368" spans="1:30" hidden="1" x14ac:dyDescent="0.35">
      <c r="A368" s="7">
        <v>391</v>
      </c>
      <c r="B368" s="6">
        <v>45838</v>
      </c>
      <c r="C368" s="6">
        <v>45838</v>
      </c>
      <c r="D368" s="7" t="s">
        <v>1757</v>
      </c>
      <c r="E368" s="7" t="s">
        <v>61</v>
      </c>
      <c r="F368" s="7" t="s">
        <v>1756</v>
      </c>
      <c r="G368" s="7" t="s">
        <v>1756</v>
      </c>
      <c r="H368" s="7"/>
      <c r="I368" s="7"/>
      <c r="J368" s="7" t="s">
        <v>59</v>
      </c>
      <c r="K368" s="7" t="s">
        <v>58</v>
      </c>
      <c r="L368" s="7" t="s">
        <v>325</v>
      </c>
      <c r="M368" s="7" t="s">
        <v>33</v>
      </c>
      <c r="N368" s="17" t="s">
        <v>1699</v>
      </c>
      <c r="O368" s="7" t="s">
        <v>1755</v>
      </c>
      <c r="P368" s="7" t="s">
        <v>126</v>
      </c>
      <c r="Q368" s="9">
        <v>1290900</v>
      </c>
      <c r="R368" s="9">
        <v>0</v>
      </c>
      <c r="S368" s="9">
        <f t="shared" si="12"/>
        <v>1290900</v>
      </c>
      <c r="T368" s="4" t="s">
        <v>53</v>
      </c>
      <c r="U368" s="7" t="s">
        <v>1697</v>
      </c>
      <c r="V368" s="4"/>
      <c r="W368" s="9">
        <v>-1</v>
      </c>
      <c r="X368" s="7" t="s">
        <v>94</v>
      </c>
      <c r="Y368" s="7"/>
      <c r="Z368" s="7" t="s">
        <v>7</v>
      </c>
      <c r="AA368" s="37" t="s">
        <v>9</v>
      </c>
      <c r="AB368" s="16"/>
      <c r="AC368" s="22">
        <f t="shared" si="13"/>
        <v>506.23529411764707</v>
      </c>
      <c r="AD368" s="23">
        <v>0</v>
      </c>
    </row>
    <row r="369" spans="1:30" hidden="1" x14ac:dyDescent="0.35">
      <c r="A369" s="7">
        <v>392</v>
      </c>
      <c r="B369" s="6">
        <v>45838</v>
      </c>
      <c r="C369" s="6">
        <v>45838</v>
      </c>
      <c r="D369" s="4" t="s">
        <v>1593</v>
      </c>
      <c r="E369" s="4" t="s">
        <v>61</v>
      </c>
      <c r="F369" s="4" t="s">
        <v>1592</v>
      </c>
      <c r="G369" s="4" t="s">
        <v>1592</v>
      </c>
      <c r="H369" s="4"/>
      <c r="I369" s="4"/>
      <c r="J369" s="4" t="s">
        <v>59</v>
      </c>
      <c r="K369" s="4" t="s">
        <v>58</v>
      </c>
      <c r="L369" s="4" t="s">
        <v>57</v>
      </c>
      <c r="M369" s="4" t="s">
        <v>1071</v>
      </c>
      <c r="N369" s="4" t="s">
        <v>211</v>
      </c>
      <c r="O369" s="4" t="s">
        <v>210</v>
      </c>
      <c r="P369" s="4" t="s">
        <v>210</v>
      </c>
      <c r="Q369" s="5">
        <v>82500</v>
      </c>
      <c r="R369" s="10">
        <v>0</v>
      </c>
      <c r="S369" s="9">
        <f t="shared" si="12"/>
        <v>82500</v>
      </c>
      <c r="T369" s="4" t="s">
        <v>53</v>
      </c>
      <c r="U369" s="4" t="s">
        <v>1591</v>
      </c>
      <c r="V369" s="4"/>
      <c r="W369" s="4">
        <v>-1</v>
      </c>
      <c r="X369" s="4" t="s">
        <v>94</v>
      </c>
      <c r="Y369" s="4"/>
      <c r="Z369" s="7" t="s">
        <v>14</v>
      </c>
      <c r="AA369" s="36" t="s">
        <v>30</v>
      </c>
      <c r="AB369" s="4"/>
      <c r="AC369" s="22">
        <f t="shared" si="13"/>
        <v>32.352941176470587</v>
      </c>
      <c r="AD369" s="23">
        <v>0</v>
      </c>
    </row>
    <row r="370" spans="1:30" hidden="1" x14ac:dyDescent="0.35">
      <c r="A370" s="7">
        <v>393</v>
      </c>
      <c r="B370" s="6">
        <v>45838</v>
      </c>
      <c r="C370" s="6">
        <v>45838</v>
      </c>
      <c r="D370" s="4" t="s">
        <v>1590</v>
      </c>
      <c r="E370" s="4" t="s">
        <v>61</v>
      </c>
      <c r="F370" s="4" t="s">
        <v>1589</v>
      </c>
      <c r="G370" s="4" t="s">
        <v>1589</v>
      </c>
      <c r="H370" s="4"/>
      <c r="I370" s="4"/>
      <c r="J370" s="4" t="s">
        <v>59</v>
      </c>
      <c r="K370" s="4" t="s">
        <v>58</v>
      </c>
      <c r="L370" s="4" t="s">
        <v>57</v>
      </c>
      <c r="M370" s="4" t="s">
        <v>1071</v>
      </c>
      <c r="N370" s="4" t="s">
        <v>211</v>
      </c>
      <c r="O370" s="4" t="s">
        <v>210</v>
      </c>
      <c r="P370" s="4" t="s">
        <v>210</v>
      </c>
      <c r="Q370" s="5">
        <v>1457627.1</v>
      </c>
      <c r="R370" s="10">
        <v>0</v>
      </c>
      <c r="S370" s="9">
        <f t="shared" si="12"/>
        <v>1457627.1</v>
      </c>
      <c r="T370" s="4" t="s">
        <v>53</v>
      </c>
      <c r="U370" s="4" t="s">
        <v>1121</v>
      </c>
      <c r="V370" s="4"/>
      <c r="W370" s="4">
        <v>-10</v>
      </c>
      <c r="X370" s="4" t="s">
        <v>94</v>
      </c>
      <c r="Y370" s="4"/>
      <c r="Z370" s="7" t="s">
        <v>14</v>
      </c>
      <c r="AA370" s="36" t="s">
        <v>30</v>
      </c>
      <c r="AB370" s="4"/>
      <c r="AC370" s="22">
        <f t="shared" si="13"/>
        <v>571.61847058823537</v>
      </c>
      <c r="AD370" s="23">
        <v>0</v>
      </c>
    </row>
    <row r="371" spans="1:30" hidden="1" x14ac:dyDescent="0.35">
      <c r="A371" s="7">
        <v>394</v>
      </c>
      <c r="B371" s="6">
        <v>45838</v>
      </c>
      <c r="C371" s="6">
        <v>45838</v>
      </c>
      <c r="D371" s="4" t="s">
        <v>1588</v>
      </c>
      <c r="E371" s="4" t="s">
        <v>61</v>
      </c>
      <c r="F371" s="4" t="s">
        <v>1587</v>
      </c>
      <c r="G371" s="4" t="s">
        <v>1587</v>
      </c>
      <c r="H371" s="4"/>
      <c r="I371" s="4"/>
      <c r="J371" s="4" t="s">
        <v>59</v>
      </c>
      <c r="K371" s="4" t="s">
        <v>58</v>
      </c>
      <c r="L371" s="4" t="s">
        <v>57</v>
      </c>
      <c r="M371" s="4" t="s">
        <v>1071</v>
      </c>
      <c r="N371" s="4" t="s">
        <v>211</v>
      </c>
      <c r="O371" s="4" t="s">
        <v>210</v>
      </c>
      <c r="P371" s="4" t="s">
        <v>210</v>
      </c>
      <c r="Q371" s="5">
        <v>137000</v>
      </c>
      <c r="R371" s="10">
        <v>0</v>
      </c>
      <c r="S371" s="9">
        <f t="shared" si="12"/>
        <v>137000</v>
      </c>
      <c r="T371" s="4" t="s">
        <v>53</v>
      </c>
      <c r="U371" s="4" t="s">
        <v>1118</v>
      </c>
      <c r="V371" s="4"/>
      <c r="W371" s="4">
        <v>-1</v>
      </c>
      <c r="X371" s="4" t="s">
        <v>94</v>
      </c>
      <c r="Y371" s="4"/>
      <c r="Z371" s="7" t="s">
        <v>14</v>
      </c>
      <c r="AA371" s="36" t="s">
        <v>30</v>
      </c>
      <c r="AB371" s="4"/>
      <c r="AC371" s="22">
        <f t="shared" si="13"/>
        <v>53.725490196078432</v>
      </c>
      <c r="AD371" s="23">
        <v>0</v>
      </c>
    </row>
    <row r="372" spans="1:30" hidden="1" x14ac:dyDescent="0.35">
      <c r="A372" s="7">
        <v>395</v>
      </c>
      <c r="B372" s="6">
        <v>45838</v>
      </c>
      <c r="C372" s="6">
        <v>45838</v>
      </c>
      <c r="D372" s="4" t="s">
        <v>1586</v>
      </c>
      <c r="E372" s="4" t="s">
        <v>61</v>
      </c>
      <c r="F372" s="4" t="s">
        <v>1585</v>
      </c>
      <c r="G372" s="4" t="s">
        <v>1585</v>
      </c>
      <c r="H372" s="4"/>
      <c r="I372" s="4"/>
      <c r="J372" s="4" t="s">
        <v>59</v>
      </c>
      <c r="K372" s="4" t="s">
        <v>58</v>
      </c>
      <c r="L372" s="4" t="s">
        <v>57</v>
      </c>
      <c r="M372" s="4" t="s">
        <v>1071</v>
      </c>
      <c r="N372" s="4" t="s">
        <v>211</v>
      </c>
      <c r="O372" s="4" t="s">
        <v>210</v>
      </c>
      <c r="P372" s="4" t="s">
        <v>210</v>
      </c>
      <c r="Q372" s="5">
        <v>381355.93</v>
      </c>
      <c r="R372" s="10">
        <v>0</v>
      </c>
      <c r="S372" s="9">
        <f t="shared" si="12"/>
        <v>381355.93</v>
      </c>
      <c r="T372" s="4" t="s">
        <v>53</v>
      </c>
      <c r="U372" s="4" t="s">
        <v>1115</v>
      </c>
      <c r="V372" s="4"/>
      <c r="W372" s="4">
        <v>-1</v>
      </c>
      <c r="X372" s="4" t="s">
        <v>94</v>
      </c>
      <c r="Y372" s="4"/>
      <c r="Z372" s="7" t="s">
        <v>14</v>
      </c>
      <c r="AA372" s="36" t="s">
        <v>30</v>
      </c>
      <c r="AB372" s="4"/>
      <c r="AC372" s="22">
        <f t="shared" si="13"/>
        <v>149.55134509803921</v>
      </c>
      <c r="AD372" s="23">
        <v>0</v>
      </c>
    </row>
    <row r="373" spans="1:30" hidden="1" x14ac:dyDescent="0.35">
      <c r="A373" s="7">
        <v>396</v>
      </c>
      <c r="B373" s="6">
        <v>45838</v>
      </c>
      <c r="C373" s="6">
        <v>45838</v>
      </c>
      <c r="D373" s="4" t="s">
        <v>1584</v>
      </c>
      <c r="E373" s="4" t="s">
        <v>61</v>
      </c>
      <c r="F373" s="4" t="s">
        <v>1583</v>
      </c>
      <c r="G373" s="4" t="s">
        <v>1583</v>
      </c>
      <c r="H373" s="4"/>
      <c r="I373" s="4"/>
      <c r="J373" s="4" t="s">
        <v>59</v>
      </c>
      <c r="K373" s="4" t="s">
        <v>58</v>
      </c>
      <c r="L373" s="4" t="s">
        <v>57</v>
      </c>
      <c r="M373" s="4" t="s">
        <v>1071</v>
      </c>
      <c r="N373" s="4" t="s">
        <v>211</v>
      </c>
      <c r="O373" s="4" t="s">
        <v>210</v>
      </c>
      <c r="P373" s="4" t="s">
        <v>210</v>
      </c>
      <c r="Q373" s="5">
        <v>580508.47</v>
      </c>
      <c r="R373" s="10">
        <v>0</v>
      </c>
      <c r="S373" s="9">
        <f t="shared" si="12"/>
        <v>580508.47</v>
      </c>
      <c r="T373" s="4" t="s">
        <v>53</v>
      </c>
      <c r="U373" s="4" t="s">
        <v>1112</v>
      </c>
      <c r="V373" s="4"/>
      <c r="W373" s="4">
        <v>-1</v>
      </c>
      <c r="X373" s="4" t="s">
        <v>94</v>
      </c>
      <c r="Y373" s="4"/>
      <c r="Z373" s="7" t="s">
        <v>14</v>
      </c>
      <c r="AA373" s="36" t="s">
        <v>30</v>
      </c>
      <c r="AB373" s="4"/>
      <c r="AC373" s="22">
        <f t="shared" si="13"/>
        <v>227.65038039215685</v>
      </c>
      <c r="AD373" s="23">
        <v>0</v>
      </c>
    </row>
    <row r="374" spans="1:30" hidden="1" x14ac:dyDescent="0.35">
      <c r="A374" s="7">
        <v>397</v>
      </c>
      <c r="B374" s="6">
        <v>45838</v>
      </c>
      <c r="C374" s="6">
        <v>45838</v>
      </c>
      <c r="D374" s="4" t="s">
        <v>1582</v>
      </c>
      <c r="E374" s="4" t="s">
        <v>61</v>
      </c>
      <c r="F374" s="4" t="s">
        <v>1581</v>
      </c>
      <c r="G374" s="4" t="s">
        <v>1581</v>
      </c>
      <c r="H374" s="4"/>
      <c r="I374" s="4"/>
      <c r="J374" s="4" t="s">
        <v>59</v>
      </c>
      <c r="K374" s="4" t="s">
        <v>58</v>
      </c>
      <c r="L374" s="4" t="s">
        <v>57</v>
      </c>
      <c r="M374" s="4" t="s">
        <v>1071</v>
      </c>
      <c r="N374" s="4" t="s">
        <v>211</v>
      </c>
      <c r="O374" s="4" t="s">
        <v>210</v>
      </c>
      <c r="P374" s="4" t="s">
        <v>210</v>
      </c>
      <c r="Q374" s="5">
        <v>677966.1</v>
      </c>
      <c r="R374" s="10">
        <v>0</v>
      </c>
      <c r="S374" s="9">
        <f t="shared" si="12"/>
        <v>677966.1</v>
      </c>
      <c r="T374" s="4" t="s">
        <v>53</v>
      </c>
      <c r="U374" s="4" t="s">
        <v>1109</v>
      </c>
      <c r="V374" s="4"/>
      <c r="W374" s="4">
        <v>-10</v>
      </c>
      <c r="X374" s="4" t="s">
        <v>94</v>
      </c>
      <c r="Y374" s="4"/>
      <c r="Z374" s="7" t="s">
        <v>14</v>
      </c>
      <c r="AA374" s="36" t="s">
        <v>30</v>
      </c>
      <c r="AB374" s="4"/>
      <c r="AC374" s="22">
        <f t="shared" si="13"/>
        <v>265.86905882352943</v>
      </c>
      <c r="AD374" s="23">
        <v>0</v>
      </c>
    </row>
    <row r="375" spans="1:30" hidden="1" x14ac:dyDescent="0.35">
      <c r="A375" s="7">
        <v>398</v>
      </c>
      <c r="B375" s="6">
        <v>45838</v>
      </c>
      <c r="C375" s="6">
        <v>45838</v>
      </c>
      <c r="D375" s="4" t="s">
        <v>1580</v>
      </c>
      <c r="E375" s="4" t="s">
        <v>61</v>
      </c>
      <c r="F375" s="4" t="s">
        <v>1579</v>
      </c>
      <c r="G375" s="4" t="s">
        <v>1579</v>
      </c>
      <c r="H375" s="4"/>
      <c r="I375" s="4"/>
      <c r="J375" s="4" t="s">
        <v>59</v>
      </c>
      <c r="K375" s="4" t="s">
        <v>58</v>
      </c>
      <c r="L375" s="4" t="s">
        <v>57</v>
      </c>
      <c r="M375" s="4" t="s">
        <v>1071</v>
      </c>
      <c r="N375" s="4" t="s">
        <v>211</v>
      </c>
      <c r="O375" s="4" t="s">
        <v>210</v>
      </c>
      <c r="P375" s="4" t="s">
        <v>210</v>
      </c>
      <c r="Q375" s="5">
        <v>360000</v>
      </c>
      <c r="R375" s="10">
        <v>0</v>
      </c>
      <c r="S375" s="9">
        <f t="shared" si="12"/>
        <v>360000</v>
      </c>
      <c r="T375" s="4" t="s">
        <v>53</v>
      </c>
      <c r="U375" s="4" t="s">
        <v>1106</v>
      </c>
      <c r="V375" s="4"/>
      <c r="W375" s="4">
        <v>-4</v>
      </c>
      <c r="X375" s="4" t="s">
        <v>94</v>
      </c>
      <c r="Y375" s="4"/>
      <c r="Z375" s="7" t="s">
        <v>14</v>
      </c>
      <c r="AA375" s="36" t="s">
        <v>30</v>
      </c>
      <c r="AB375" s="4"/>
      <c r="AC375" s="22">
        <f t="shared" si="13"/>
        <v>141.1764705882353</v>
      </c>
      <c r="AD375" s="23">
        <v>0</v>
      </c>
    </row>
    <row r="376" spans="1:30" hidden="1" x14ac:dyDescent="0.35">
      <c r="A376" s="7">
        <v>399</v>
      </c>
      <c r="B376" s="6">
        <v>45838</v>
      </c>
      <c r="C376" s="6">
        <v>45838</v>
      </c>
      <c r="D376" s="4" t="s">
        <v>1578</v>
      </c>
      <c r="E376" s="4" t="s">
        <v>61</v>
      </c>
      <c r="F376" s="4" t="s">
        <v>1577</v>
      </c>
      <c r="G376" s="4" t="s">
        <v>1577</v>
      </c>
      <c r="H376" s="4"/>
      <c r="I376" s="4"/>
      <c r="J376" s="4" t="s">
        <v>59</v>
      </c>
      <c r="K376" s="4" t="s">
        <v>58</v>
      </c>
      <c r="L376" s="4" t="s">
        <v>57</v>
      </c>
      <c r="M376" s="4" t="s">
        <v>1071</v>
      </c>
      <c r="N376" s="4" t="s">
        <v>211</v>
      </c>
      <c r="O376" s="4" t="s">
        <v>210</v>
      </c>
      <c r="P376" s="4" t="s">
        <v>210</v>
      </c>
      <c r="Q376" s="5">
        <v>1080000</v>
      </c>
      <c r="R376" s="10">
        <v>0</v>
      </c>
      <c r="S376" s="9">
        <f t="shared" si="12"/>
        <v>1080000</v>
      </c>
      <c r="T376" s="4" t="s">
        <v>53</v>
      </c>
      <c r="U376" s="4" t="s">
        <v>209</v>
      </c>
      <c r="V376" s="4"/>
      <c r="W376" s="4">
        <v>-6</v>
      </c>
      <c r="X376" s="4" t="s">
        <v>94</v>
      </c>
      <c r="Y376" s="4"/>
      <c r="Z376" s="7" t="s">
        <v>14</v>
      </c>
      <c r="AA376" s="36" t="s">
        <v>30</v>
      </c>
      <c r="AB376" s="4"/>
      <c r="AC376" s="22">
        <f t="shared" si="13"/>
        <v>423.52941176470586</v>
      </c>
      <c r="AD376" s="23">
        <v>0</v>
      </c>
    </row>
    <row r="377" spans="1:30" hidden="1" x14ac:dyDescent="0.35">
      <c r="A377" s="7">
        <v>400</v>
      </c>
      <c r="B377" s="6">
        <v>45838</v>
      </c>
      <c r="C377" s="6">
        <v>45838</v>
      </c>
      <c r="D377" s="4" t="s">
        <v>1576</v>
      </c>
      <c r="E377" s="4" t="s">
        <v>61</v>
      </c>
      <c r="F377" s="4" t="s">
        <v>1575</v>
      </c>
      <c r="G377" s="4" t="s">
        <v>1575</v>
      </c>
      <c r="H377" s="4"/>
      <c r="I377" s="4"/>
      <c r="J377" s="4" t="s">
        <v>59</v>
      </c>
      <c r="K377" s="4" t="s">
        <v>58</v>
      </c>
      <c r="L377" s="4" t="s">
        <v>57</v>
      </c>
      <c r="M377" s="4" t="s">
        <v>1071</v>
      </c>
      <c r="N377" s="4" t="s">
        <v>211</v>
      </c>
      <c r="O377" s="4" t="s">
        <v>210</v>
      </c>
      <c r="P377" s="4" t="s">
        <v>210</v>
      </c>
      <c r="Q377" s="5">
        <v>22900.6</v>
      </c>
      <c r="R377" s="10">
        <v>0</v>
      </c>
      <c r="S377" s="9">
        <f t="shared" si="12"/>
        <v>22900.6</v>
      </c>
      <c r="T377" s="4" t="s">
        <v>53</v>
      </c>
      <c r="U377" s="4" t="s">
        <v>238</v>
      </c>
      <c r="V377" s="4"/>
      <c r="W377" s="4">
        <v>-6</v>
      </c>
      <c r="X377" s="4" t="s">
        <v>94</v>
      </c>
      <c r="Y377" s="4"/>
      <c r="Z377" s="7" t="s">
        <v>14</v>
      </c>
      <c r="AA377" s="36" t="s">
        <v>30</v>
      </c>
      <c r="AB377" s="4"/>
      <c r="AC377" s="22">
        <f t="shared" si="13"/>
        <v>8.9806274509803909</v>
      </c>
      <c r="AD377" s="23">
        <v>0</v>
      </c>
    </row>
    <row r="378" spans="1:30" x14ac:dyDescent="0.35">
      <c r="A378" s="7">
        <v>401</v>
      </c>
      <c r="B378" s="6">
        <v>45838</v>
      </c>
      <c r="C378" s="6">
        <v>45838</v>
      </c>
      <c r="D378" s="4" t="s">
        <v>1574</v>
      </c>
      <c r="E378" s="4" t="s">
        <v>61</v>
      </c>
      <c r="F378" s="4" t="s">
        <v>1573</v>
      </c>
      <c r="G378" s="4" t="s">
        <v>1573</v>
      </c>
      <c r="H378" s="4"/>
      <c r="I378" s="4"/>
      <c r="J378" s="4" t="s">
        <v>59</v>
      </c>
      <c r="K378" s="4" t="s">
        <v>58</v>
      </c>
      <c r="L378" s="4" t="s">
        <v>57</v>
      </c>
      <c r="M378" s="4" t="s">
        <v>1071</v>
      </c>
      <c r="N378" s="4" t="s">
        <v>197</v>
      </c>
      <c r="O378" s="4" t="s">
        <v>1065</v>
      </c>
      <c r="P378" s="4" t="s">
        <v>1064</v>
      </c>
      <c r="Q378" s="5">
        <v>35380</v>
      </c>
      <c r="R378" s="10">
        <v>0</v>
      </c>
      <c r="S378" s="9">
        <f t="shared" si="12"/>
        <v>35380</v>
      </c>
      <c r="T378" s="4" t="s">
        <v>53</v>
      </c>
      <c r="U378" s="4" t="s">
        <v>214</v>
      </c>
      <c r="V378" s="4"/>
      <c r="W378" s="4">
        <v>-8</v>
      </c>
      <c r="X378" s="4" t="s">
        <v>51</v>
      </c>
      <c r="Y378" s="4"/>
      <c r="Z378" s="7" t="s">
        <v>14</v>
      </c>
      <c r="AA378" s="36" t="s">
        <v>29</v>
      </c>
      <c r="AB378" s="4" t="s">
        <v>2607</v>
      </c>
      <c r="AC378" s="22">
        <f t="shared" si="13"/>
        <v>13.874509803921569</v>
      </c>
      <c r="AD378" s="23">
        <v>0</v>
      </c>
    </row>
    <row r="379" spans="1:30" x14ac:dyDescent="0.35">
      <c r="A379" s="7">
        <v>402</v>
      </c>
      <c r="B379" s="6">
        <v>45838</v>
      </c>
      <c r="C379" s="6">
        <v>45838</v>
      </c>
      <c r="D379" s="4" t="s">
        <v>1572</v>
      </c>
      <c r="E379" s="4" t="s">
        <v>61</v>
      </c>
      <c r="F379" s="4" t="s">
        <v>1571</v>
      </c>
      <c r="G379" s="4" t="s">
        <v>1571</v>
      </c>
      <c r="H379" s="4"/>
      <c r="I379" s="4"/>
      <c r="J379" s="4" t="s">
        <v>59</v>
      </c>
      <c r="K379" s="4" t="s">
        <v>58</v>
      </c>
      <c r="L379" s="4" t="s">
        <v>57</v>
      </c>
      <c r="M379" s="4" t="s">
        <v>1071</v>
      </c>
      <c r="N379" s="4" t="s">
        <v>197</v>
      </c>
      <c r="O379" s="4" t="s">
        <v>1065</v>
      </c>
      <c r="P379" s="4" t="s">
        <v>1064</v>
      </c>
      <c r="Q379" s="5">
        <v>20183.87</v>
      </c>
      <c r="R379" s="10">
        <v>0</v>
      </c>
      <c r="S379" s="9">
        <f t="shared" si="12"/>
        <v>20183.87</v>
      </c>
      <c r="T379" s="4" t="s">
        <v>53</v>
      </c>
      <c r="U379" s="4" t="s">
        <v>423</v>
      </c>
      <c r="V379" s="4"/>
      <c r="W379" s="4">
        <v>-5</v>
      </c>
      <c r="X379" s="4" t="s">
        <v>51</v>
      </c>
      <c r="Y379" s="4"/>
      <c r="Z379" s="7" t="s">
        <v>14</v>
      </c>
      <c r="AA379" s="36" t="s">
        <v>29</v>
      </c>
      <c r="AB379" s="4" t="s">
        <v>2607</v>
      </c>
      <c r="AC379" s="22">
        <f t="shared" si="13"/>
        <v>7.9152431372549019</v>
      </c>
      <c r="AD379" s="23">
        <v>0</v>
      </c>
    </row>
    <row r="380" spans="1:30" x14ac:dyDescent="0.35">
      <c r="A380" s="7">
        <v>403</v>
      </c>
      <c r="B380" s="6">
        <v>45838</v>
      </c>
      <c r="C380" s="6">
        <v>45838</v>
      </c>
      <c r="D380" s="4" t="s">
        <v>1570</v>
      </c>
      <c r="E380" s="4" t="s">
        <v>61</v>
      </c>
      <c r="F380" s="4" t="s">
        <v>1569</v>
      </c>
      <c r="G380" s="4" t="s">
        <v>1569</v>
      </c>
      <c r="H380" s="4"/>
      <c r="I380" s="4"/>
      <c r="J380" s="4" t="s">
        <v>59</v>
      </c>
      <c r="K380" s="4" t="s">
        <v>58</v>
      </c>
      <c r="L380" s="4" t="s">
        <v>57</v>
      </c>
      <c r="M380" s="4" t="s">
        <v>1071</v>
      </c>
      <c r="N380" s="4" t="s">
        <v>197</v>
      </c>
      <c r="O380" s="4" t="s">
        <v>1065</v>
      </c>
      <c r="P380" s="4" t="s">
        <v>1064</v>
      </c>
      <c r="Q380" s="5">
        <v>134344.81</v>
      </c>
      <c r="R380" s="10">
        <v>0</v>
      </c>
      <c r="S380" s="9">
        <f t="shared" si="12"/>
        <v>134344.81</v>
      </c>
      <c r="T380" s="4" t="s">
        <v>53</v>
      </c>
      <c r="U380" s="4" t="s">
        <v>420</v>
      </c>
      <c r="V380" s="4"/>
      <c r="W380" s="4">
        <v>-100</v>
      </c>
      <c r="X380" s="4" t="s">
        <v>94</v>
      </c>
      <c r="Y380" s="4"/>
      <c r="Z380" s="7" t="s">
        <v>14</v>
      </c>
      <c r="AA380" s="36" t="s">
        <v>29</v>
      </c>
      <c r="AB380" s="4" t="s">
        <v>2607</v>
      </c>
      <c r="AC380" s="22">
        <f t="shared" si="13"/>
        <v>52.684239215686276</v>
      </c>
      <c r="AD380" s="23">
        <v>0</v>
      </c>
    </row>
    <row r="381" spans="1:30" x14ac:dyDescent="0.35">
      <c r="A381" s="7">
        <v>404</v>
      </c>
      <c r="B381" s="6">
        <v>45838</v>
      </c>
      <c r="C381" s="6">
        <v>45838</v>
      </c>
      <c r="D381" s="4" t="s">
        <v>1568</v>
      </c>
      <c r="E381" s="4" t="s">
        <v>61</v>
      </c>
      <c r="F381" s="4" t="s">
        <v>1567</v>
      </c>
      <c r="G381" s="4" t="s">
        <v>1567</v>
      </c>
      <c r="H381" s="4"/>
      <c r="I381" s="4"/>
      <c r="J381" s="4" t="s">
        <v>59</v>
      </c>
      <c r="K381" s="4" t="s">
        <v>58</v>
      </c>
      <c r="L381" s="4" t="s">
        <v>57</v>
      </c>
      <c r="M381" s="4" t="s">
        <v>1071</v>
      </c>
      <c r="N381" s="4" t="s">
        <v>197</v>
      </c>
      <c r="O381" s="4" t="s">
        <v>1065</v>
      </c>
      <c r="P381" s="4" t="s">
        <v>1064</v>
      </c>
      <c r="Q381" s="5">
        <v>43846.32</v>
      </c>
      <c r="R381" s="10">
        <v>0</v>
      </c>
      <c r="S381" s="9">
        <f t="shared" si="12"/>
        <v>43846.32</v>
      </c>
      <c r="T381" s="4" t="s">
        <v>53</v>
      </c>
      <c r="U381" s="4" t="s">
        <v>703</v>
      </c>
      <c r="V381" s="4"/>
      <c r="W381" s="4">
        <v>-10</v>
      </c>
      <c r="X381" s="4" t="s">
        <v>124</v>
      </c>
      <c r="Y381" s="4"/>
      <c r="Z381" s="7" t="s">
        <v>14</v>
      </c>
      <c r="AA381" s="36" t="s">
        <v>29</v>
      </c>
      <c r="AB381" s="4" t="s">
        <v>2607</v>
      </c>
      <c r="AC381" s="22">
        <f t="shared" si="13"/>
        <v>17.194635294117646</v>
      </c>
      <c r="AD381" s="23">
        <v>0</v>
      </c>
    </row>
    <row r="382" spans="1:30" x14ac:dyDescent="0.35">
      <c r="A382" s="7">
        <v>405</v>
      </c>
      <c r="B382" s="6">
        <v>45838</v>
      </c>
      <c r="C382" s="6">
        <v>45838</v>
      </c>
      <c r="D382" s="4" t="s">
        <v>1566</v>
      </c>
      <c r="E382" s="4" t="s">
        <v>61</v>
      </c>
      <c r="F382" s="4" t="s">
        <v>1565</v>
      </c>
      <c r="G382" s="4" t="s">
        <v>1565</v>
      </c>
      <c r="H382" s="4"/>
      <c r="I382" s="4"/>
      <c r="J382" s="4" t="s">
        <v>59</v>
      </c>
      <c r="K382" s="4" t="s">
        <v>58</v>
      </c>
      <c r="L382" s="4" t="s">
        <v>57</v>
      </c>
      <c r="M382" s="4" t="s">
        <v>1071</v>
      </c>
      <c r="N382" s="4" t="s">
        <v>96</v>
      </c>
      <c r="O382" s="4" t="s">
        <v>1560</v>
      </c>
      <c r="P382" s="4" t="s">
        <v>1064</v>
      </c>
      <c r="Q382" s="5">
        <v>2213136</v>
      </c>
      <c r="R382" s="10">
        <v>0</v>
      </c>
      <c r="S382" s="9">
        <f t="shared" si="12"/>
        <v>2213136</v>
      </c>
      <c r="T382" s="4" t="s">
        <v>53</v>
      </c>
      <c r="U382" s="4" t="s">
        <v>130</v>
      </c>
      <c r="V382" s="4"/>
      <c r="W382" s="4">
        <v>-150</v>
      </c>
      <c r="X382" s="4" t="s">
        <v>129</v>
      </c>
      <c r="Y382" s="4"/>
      <c r="Z382" s="7" t="s">
        <v>14</v>
      </c>
      <c r="AA382" s="36" t="s">
        <v>27</v>
      </c>
      <c r="AB382" s="4" t="s">
        <v>2603</v>
      </c>
      <c r="AC382" s="22">
        <f t="shared" si="13"/>
        <v>867.89647058823527</v>
      </c>
      <c r="AD382" s="23">
        <v>35000</v>
      </c>
    </row>
    <row r="383" spans="1:30" x14ac:dyDescent="0.35">
      <c r="A383" s="7">
        <v>406</v>
      </c>
      <c r="B383" s="6">
        <v>45838</v>
      </c>
      <c r="C383" s="6">
        <v>45838</v>
      </c>
      <c r="D383" s="4" t="s">
        <v>1564</v>
      </c>
      <c r="E383" s="4" t="s">
        <v>61</v>
      </c>
      <c r="F383" s="4" t="s">
        <v>1563</v>
      </c>
      <c r="G383" s="4" t="s">
        <v>1563</v>
      </c>
      <c r="H383" s="4"/>
      <c r="I383" s="4"/>
      <c r="J383" s="4" t="s">
        <v>59</v>
      </c>
      <c r="K383" s="4" t="s">
        <v>58</v>
      </c>
      <c r="L383" s="4" t="s">
        <v>97</v>
      </c>
      <c r="M383" s="4" t="s">
        <v>1066</v>
      </c>
      <c r="N383" s="4" t="s">
        <v>197</v>
      </c>
      <c r="O383" s="4" t="s">
        <v>1065</v>
      </c>
      <c r="P383" s="4" t="s">
        <v>1064</v>
      </c>
      <c r="Q383" s="5">
        <v>52523.76</v>
      </c>
      <c r="R383" s="10">
        <v>0</v>
      </c>
      <c r="S383" s="9">
        <f t="shared" si="12"/>
        <v>52523.76</v>
      </c>
      <c r="T383" s="4" t="s">
        <v>53</v>
      </c>
      <c r="U383" s="4" t="s">
        <v>111</v>
      </c>
      <c r="V383" s="4"/>
      <c r="W383" s="4">
        <v>-125</v>
      </c>
      <c r="X383" s="4" t="s">
        <v>94</v>
      </c>
      <c r="Y383" s="4"/>
      <c r="Z383" s="7" t="s">
        <v>14</v>
      </c>
      <c r="AA383" s="36" t="s">
        <v>29</v>
      </c>
      <c r="AB383" s="4" t="s">
        <v>2607</v>
      </c>
      <c r="AC383" s="22">
        <f t="shared" si="13"/>
        <v>20.59755294117647</v>
      </c>
      <c r="AD383" s="23">
        <v>0</v>
      </c>
    </row>
    <row r="384" spans="1:30" x14ac:dyDescent="0.35">
      <c r="A384" s="7">
        <v>407</v>
      </c>
      <c r="B384" s="6">
        <v>45838</v>
      </c>
      <c r="C384" s="6">
        <v>45838</v>
      </c>
      <c r="D384" s="4" t="s">
        <v>1562</v>
      </c>
      <c r="E384" s="4" t="s">
        <v>61</v>
      </c>
      <c r="F384" s="4" t="s">
        <v>1561</v>
      </c>
      <c r="G384" s="4" t="s">
        <v>1561</v>
      </c>
      <c r="H384" s="4"/>
      <c r="I384" s="4"/>
      <c r="J384" s="4" t="s">
        <v>59</v>
      </c>
      <c r="K384" s="4" t="s">
        <v>58</v>
      </c>
      <c r="L384" s="4" t="s">
        <v>97</v>
      </c>
      <c r="M384" s="4" t="s">
        <v>1066</v>
      </c>
      <c r="N384" s="4" t="s">
        <v>96</v>
      </c>
      <c r="O384" s="4" t="s">
        <v>1560</v>
      </c>
      <c r="P384" s="4" t="s">
        <v>1064</v>
      </c>
      <c r="Q384" s="5">
        <v>126267.7</v>
      </c>
      <c r="R384" s="10">
        <v>0</v>
      </c>
      <c r="S384" s="9">
        <f t="shared" si="12"/>
        <v>126267.7</v>
      </c>
      <c r="T384" s="4" t="s">
        <v>53</v>
      </c>
      <c r="U384" s="4" t="s">
        <v>95</v>
      </c>
      <c r="V384" s="4"/>
      <c r="W384" s="4">
        <v>-6</v>
      </c>
      <c r="X384" s="4" t="s">
        <v>94</v>
      </c>
      <c r="Y384" s="4"/>
      <c r="Z384" s="7" t="s">
        <v>14</v>
      </c>
      <c r="AA384" s="36" t="s">
        <v>27</v>
      </c>
      <c r="AB384" s="4" t="s">
        <v>2603</v>
      </c>
      <c r="AC384" s="22">
        <f t="shared" si="13"/>
        <v>49.516745098039216</v>
      </c>
      <c r="AD384" s="23">
        <v>0</v>
      </c>
    </row>
    <row r="385" spans="1:30" hidden="1" x14ac:dyDescent="0.35">
      <c r="A385" s="7">
        <v>408</v>
      </c>
      <c r="B385" s="6">
        <v>45838</v>
      </c>
      <c r="C385" s="6">
        <v>45838</v>
      </c>
      <c r="D385" s="4" t="s">
        <v>1559</v>
      </c>
      <c r="E385" s="4" t="s">
        <v>1050</v>
      </c>
      <c r="F385" s="4"/>
      <c r="G385" s="4" t="s">
        <v>1558</v>
      </c>
      <c r="H385" s="4"/>
      <c r="I385" s="4"/>
      <c r="J385" s="4" t="s">
        <v>1048</v>
      </c>
      <c r="K385" s="4" t="s">
        <v>58</v>
      </c>
      <c r="L385" s="4" t="s">
        <v>1059</v>
      </c>
      <c r="M385" s="4" t="s">
        <v>39</v>
      </c>
      <c r="N385" s="4" t="s">
        <v>211</v>
      </c>
      <c r="O385" s="4" t="s">
        <v>210</v>
      </c>
      <c r="P385" s="4" t="s">
        <v>210</v>
      </c>
      <c r="Q385" s="5">
        <v>300000</v>
      </c>
      <c r="R385" s="10">
        <v>0</v>
      </c>
      <c r="S385" s="9">
        <f t="shared" si="12"/>
        <v>300000</v>
      </c>
      <c r="T385" s="4" t="s">
        <v>53</v>
      </c>
      <c r="U385" s="4"/>
      <c r="V385" s="4"/>
      <c r="W385" s="4">
        <v>1</v>
      </c>
      <c r="X385" s="4"/>
      <c r="Y385" s="4"/>
      <c r="Z385" s="7" t="s">
        <v>14</v>
      </c>
      <c r="AA385" s="36" t="s">
        <v>30</v>
      </c>
      <c r="AB385" s="4"/>
      <c r="AC385" s="22">
        <f t="shared" si="13"/>
        <v>117.64705882352941</v>
      </c>
      <c r="AD385" s="23">
        <v>0</v>
      </c>
    </row>
    <row r="386" spans="1:30" hidden="1" x14ac:dyDescent="0.35">
      <c r="A386" s="7">
        <v>409</v>
      </c>
      <c r="B386" s="6">
        <v>45838</v>
      </c>
      <c r="C386" s="6">
        <v>45838</v>
      </c>
      <c r="D386" s="4" t="s">
        <v>1557</v>
      </c>
      <c r="E386" s="4" t="s">
        <v>1050</v>
      </c>
      <c r="F386" s="4"/>
      <c r="G386" s="4" t="s">
        <v>1556</v>
      </c>
      <c r="H386" s="4"/>
      <c r="I386" s="4"/>
      <c r="J386" s="4" t="s">
        <v>1048</v>
      </c>
      <c r="K386" s="4" t="s">
        <v>58</v>
      </c>
      <c r="L386" s="4" t="s">
        <v>1059</v>
      </c>
      <c r="M386" s="4" t="s">
        <v>39</v>
      </c>
      <c r="N386" s="4" t="s">
        <v>211</v>
      </c>
      <c r="O386" s="4" t="s">
        <v>210</v>
      </c>
      <c r="P386" s="4" t="s">
        <v>210</v>
      </c>
      <c r="Q386" s="5">
        <v>200000</v>
      </c>
      <c r="R386" s="10">
        <v>0</v>
      </c>
      <c r="S386" s="9">
        <f t="shared" si="12"/>
        <v>200000</v>
      </c>
      <c r="T386" s="4" t="s">
        <v>53</v>
      </c>
      <c r="U386" s="4"/>
      <c r="V386" s="4"/>
      <c r="W386" s="4">
        <v>1</v>
      </c>
      <c r="X386" s="4"/>
      <c r="Y386" s="4"/>
      <c r="Z386" s="7" t="s">
        <v>14</v>
      </c>
      <c r="AA386" s="36" t="s">
        <v>30</v>
      </c>
      <c r="AB386" s="4"/>
      <c r="AC386" s="22">
        <f t="shared" si="13"/>
        <v>78.431372549019613</v>
      </c>
      <c r="AD386" s="23">
        <v>0</v>
      </c>
    </row>
    <row r="387" spans="1:30" hidden="1" x14ac:dyDescent="0.35">
      <c r="A387" s="7">
        <v>410</v>
      </c>
      <c r="B387" s="6">
        <v>45838</v>
      </c>
      <c r="C387" s="6">
        <v>45838</v>
      </c>
      <c r="D387" s="4" t="s">
        <v>1557</v>
      </c>
      <c r="E387" s="4" t="s">
        <v>1050</v>
      </c>
      <c r="F387" s="4"/>
      <c r="G387" s="4" t="s">
        <v>1556</v>
      </c>
      <c r="H387" s="4"/>
      <c r="I387" s="4"/>
      <c r="J387" s="4" t="s">
        <v>1048</v>
      </c>
      <c r="K387" s="4" t="s">
        <v>58</v>
      </c>
      <c r="L387" s="4" t="s">
        <v>1059</v>
      </c>
      <c r="M387" s="4" t="s">
        <v>39</v>
      </c>
      <c r="N387" s="4" t="s">
        <v>211</v>
      </c>
      <c r="O387" s="4" t="s">
        <v>210</v>
      </c>
      <c r="P387" s="4" t="s">
        <v>210</v>
      </c>
      <c r="Q387" s="5">
        <v>300000</v>
      </c>
      <c r="R387" s="10">
        <v>0</v>
      </c>
      <c r="S387" s="9">
        <f t="shared" ref="S387:S450" si="14">+Q387-R387</f>
        <v>300000</v>
      </c>
      <c r="T387" s="4" t="s">
        <v>53</v>
      </c>
      <c r="U387" s="4"/>
      <c r="V387" s="4"/>
      <c r="W387" s="4">
        <v>1</v>
      </c>
      <c r="X387" s="4"/>
      <c r="Y387" s="4"/>
      <c r="Z387" s="7" t="s">
        <v>14</v>
      </c>
      <c r="AA387" s="36" t="s">
        <v>30</v>
      </c>
      <c r="AB387" s="4"/>
      <c r="AC387" s="22">
        <f t="shared" si="13"/>
        <v>117.64705882352941</v>
      </c>
      <c r="AD387" s="23">
        <v>0</v>
      </c>
    </row>
    <row r="388" spans="1:30" hidden="1" x14ac:dyDescent="0.35">
      <c r="A388" s="7">
        <v>411</v>
      </c>
      <c r="B388" s="6">
        <v>45838</v>
      </c>
      <c r="C388" s="6">
        <v>45838</v>
      </c>
      <c r="D388" s="4" t="s">
        <v>1555</v>
      </c>
      <c r="E388" s="4" t="s">
        <v>1050</v>
      </c>
      <c r="F388" s="4"/>
      <c r="G388" s="4" t="s">
        <v>1549</v>
      </c>
      <c r="H388" s="4"/>
      <c r="I388" s="4"/>
      <c r="J388" s="4" t="s">
        <v>1048</v>
      </c>
      <c r="K388" s="4" t="s">
        <v>58</v>
      </c>
      <c r="L388" s="4" t="s">
        <v>1059</v>
      </c>
      <c r="M388" s="4" t="s">
        <v>39</v>
      </c>
      <c r="N388" s="4" t="s">
        <v>211</v>
      </c>
      <c r="O388" s="4" t="s">
        <v>210</v>
      </c>
      <c r="P388" s="4" t="s">
        <v>210</v>
      </c>
      <c r="Q388" s="5">
        <v>1500000</v>
      </c>
      <c r="R388" s="10">
        <v>0</v>
      </c>
      <c r="S388" s="9">
        <f t="shared" si="14"/>
        <v>1500000</v>
      </c>
      <c r="T388" s="4" t="s">
        <v>53</v>
      </c>
      <c r="U388" s="4"/>
      <c r="V388" s="4"/>
      <c r="W388" s="4">
        <v>1</v>
      </c>
      <c r="X388" s="4"/>
      <c r="Y388" s="4"/>
      <c r="Z388" s="7" t="s">
        <v>14</v>
      </c>
      <c r="AA388" s="36" t="s">
        <v>30</v>
      </c>
      <c r="AB388" s="4"/>
      <c r="AC388" s="22">
        <f t="shared" si="13"/>
        <v>588.23529411764707</v>
      </c>
      <c r="AD388" s="23">
        <v>0</v>
      </c>
    </row>
    <row r="389" spans="1:30" hidden="1" x14ac:dyDescent="0.35">
      <c r="A389" s="7">
        <v>412</v>
      </c>
      <c r="B389" s="6">
        <v>45838</v>
      </c>
      <c r="C389" s="6">
        <v>45838</v>
      </c>
      <c r="D389" s="4" t="s">
        <v>1554</v>
      </c>
      <c r="E389" s="4" t="s">
        <v>1050</v>
      </c>
      <c r="F389" s="4"/>
      <c r="G389" s="4" t="s">
        <v>1553</v>
      </c>
      <c r="H389" s="4"/>
      <c r="I389" s="4"/>
      <c r="J389" s="4" t="s">
        <v>1048</v>
      </c>
      <c r="K389" s="4" t="s">
        <v>58</v>
      </c>
      <c r="L389" s="4" t="s">
        <v>1047</v>
      </c>
      <c r="M389" s="4" t="s">
        <v>40</v>
      </c>
      <c r="N389" s="4" t="s">
        <v>211</v>
      </c>
      <c r="O389" s="4" t="s">
        <v>210</v>
      </c>
      <c r="P389" s="4" t="s">
        <v>210</v>
      </c>
      <c r="Q389" s="5">
        <v>500000</v>
      </c>
      <c r="R389" s="10">
        <v>0</v>
      </c>
      <c r="S389" s="9">
        <f t="shared" si="14"/>
        <v>500000</v>
      </c>
      <c r="T389" s="4" t="s">
        <v>53</v>
      </c>
      <c r="U389" s="4"/>
      <c r="V389" s="4"/>
      <c r="W389" s="4">
        <v>1</v>
      </c>
      <c r="X389" s="4"/>
      <c r="Y389" s="4"/>
      <c r="Z389" s="7" t="s">
        <v>14</v>
      </c>
      <c r="AA389" s="36" t="s">
        <v>30</v>
      </c>
      <c r="AB389" s="4"/>
      <c r="AC389" s="22">
        <f t="shared" si="13"/>
        <v>196.07843137254903</v>
      </c>
      <c r="AD389" s="23">
        <v>0</v>
      </c>
    </row>
    <row r="390" spans="1:30" hidden="1" x14ac:dyDescent="0.35">
      <c r="A390" s="7">
        <v>413</v>
      </c>
      <c r="B390" s="6">
        <v>45838</v>
      </c>
      <c r="C390" s="6">
        <v>45838</v>
      </c>
      <c r="D390" s="4" t="s">
        <v>1552</v>
      </c>
      <c r="E390" s="4" t="s">
        <v>1050</v>
      </c>
      <c r="F390" s="4"/>
      <c r="G390" s="4" t="s">
        <v>1549</v>
      </c>
      <c r="H390" s="4"/>
      <c r="I390" s="4"/>
      <c r="J390" s="4" t="s">
        <v>1048</v>
      </c>
      <c r="K390" s="4" t="s">
        <v>58</v>
      </c>
      <c r="L390" s="4" t="s">
        <v>1047</v>
      </c>
      <c r="M390" s="4" t="s">
        <v>40</v>
      </c>
      <c r="N390" s="4" t="s">
        <v>211</v>
      </c>
      <c r="O390" s="4" t="s">
        <v>210</v>
      </c>
      <c r="P390" s="4" t="s">
        <v>210</v>
      </c>
      <c r="Q390" s="5">
        <v>1500000</v>
      </c>
      <c r="R390" s="10">
        <v>0</v>
      </c>
      <c r="S390" s="9">
        <f t="shared" si="14"/>
        <v>1500000</v>
      </c>
      <c r="T390" s="4" t="s">
        <v>53</v>
      </c>
      <c r="U390" s="4"/>
      <c r="V390" s="4"/>
      <c r="W390" s="4">
        <v>1</v>
      </c>
      <c r="X390" s="4"/>
      <c r="Y390" s="4"/>
      <c r="Z390" s="7" t="s">
        <v>14</v>
      </c>
      <c r="AA390" s="36" t="s">
        <v>30</v>
      </c>
      <c r="AB390" s="4"/>
      <c r="AC390" s="22">
        <f t="shared" si="13"/>
        <v>588.23529411764707</v>
      </c>
      <c r="AD390" s="23">
        <v>0</v>
      </c>
    </row>
    <row r="391" spans="1:30" hidden="1" x14ac:dyDescent="0.35">
      <c r="A391" s="7">
        <v>414</v>
      </c>
      <c r="B391" s="6">
        <v>45838</v>
      </c>
      <c r="C391" s="6">
        <v>45838</v>
      </c>
      <c r="D391" s="4" t="s">
        <v>1551</v>
      </c>
      <c r="E391" s="4" t="s">
        <v>1050</v>
      </c>
      <c r="F391" s="4"/>
      <c r="G391" s="4" t="s">
        <v>1549</v>
      </c>
      <c r="H391" s="4"/>
      <c r="I391" s="4"/>
      <c r="J391" s="4" t="s">
        <v>1048</v>
      </c>
      <c r="K391" s="4" t="s">
        <v>58</v>
      </c>
      <c r="L391" s="4" t="s">
        <v>1047</v>
      </c>
      <c r="M391" s="4" t="s">
        <v>40</v>
      </c>
      <c r="N391" s="4" t="s">
        <v>211</v>
      </c>
      <c r="O391" s="4" t="s">
        <v>210</v>
      </c>
      <c r="P391" s="4" t="s">
        <v>210</v>
      </c>
      <c r="Q391" s="5">
        <v>1500000</v>
      </c>
      <c r="R391" s="10">
        <v>0</v>
      </c>
      <c r="S391" s="9">
        <f t="shared" si="14"/>
        <v>1500000</v>
      </c>
      <c r="T391" s="4" t="s">
        <v>53</v>
      </c>
      <c r="U391" s="4"/>
      <c r="V391" s="4"/>
      <c r="W391" s="4">
        <v>1</v>
      </c>
      <c r="X391" s="4"/>
      <c r="Y391" s="4"/>
      <c r="Z391" s="7" t="s">
        <v>14</v>
      </c>
      <c r="AA391" s="36" t="s">
        <v>30</v>
      </c>
      <c r="AB391" s="4"/>
      <c r="AC391" s="22">
        <f t="shared" si="13"/>
        <v>588.23529411764707</v>
      </c>
      <c r="AD391" s="23">
        <v>0</v>
      </c>
    </row>
    <row r="392" spans="1:30" hidden="1" x14ac:dyDescent="0.35">
      <c r="A392" s="7">
        <v>415</v>
      </c>
      <c r="B392" s="6">
        <v>45838</v>
      </c>
      <c r="C392" s="6">
        <v>45838</v>
      </c>
      <c r="D392" s="4" t="s">
        <v>1550</v>
      </c>
      <c r="E392" s="4" t="s">
        <v>1050</v>
      </c>
      <c r="F392" s="4"/>
      <c r="G392" s="4" t="s">
        <v>1549</v>
      </c>
      <c r="H392" s="4"/>
      <c r="I392" s="4"/>
      <c r="J392" s="4" t="s">
        <v>1048</v>
      </c>
      <c r="K392" s="4" t="s">
        <v>58</v>
      </c>
      <c r="L392" s="4" t="s">
        <v>1047</v>
      </c>
      <c r="M392" s="4" t="s">
        <v>40</v>
      </c>
      <c r="N392" s="4" t="s">
        <v>211</v>
      </c>
      <c r="O392" s="4" t="s">
        <v>210</v>
      </c>
      <c r="P392" s="4" t="s">
        <v>210</v>
      </c>
      <c r="Q392" s="5">
        <v>1500000</v>
      </c>
      <c r="R392" s="10">
        <v>0</v>
      </c>
      <c r="S392" s="9">
        <f t="shared" si="14"/>
        <v>1500000</v>
      </c>
      <c r="T392" s="4" t="s">
        <v>53</v>
      </c>
      <c r="U392" s="4"/>
      <c r="V392" s="4"/>
      <c r="W392" s="4">
        <v>1</v>
      </c>
      <c r="X392" s="4"/>
      <c r="Y392" s="4"/>
      <c r="Z392" s="7" t="s">
        <v>14</v>
      </c>
      <c r="AA392" s="36" t="s">
        <v>30</v>
      </c>
      <c r="AB392" s="4"/>
      <c r="AC392" s="22">
        <f t="shared" si="13"/>
        <v>588.23529411764707</v>
      </c>
      <c r="AD392" s="23">
        <v>0</v>
      </c>
    </row>
    <row r="393" spans="1:30" hidden="1" x14ac:dyDescent="0.35">
      <c r="A393" s="7">
        <v>416</v>
      </c>
      <c r="B393" s="6">
        <v>45838</v>
      </c>
      <c r="C393" s="6">
        <v>45838</v>
      </c>
      <c r="D393" s="4" t="s">
        <v>1548</v>
      </c>
      <c r="E393" s="4" t="s">
        <v>1050</v>
      </c>
      <c r="F393" s="4"/>
      <c r="G393" s="4" t="s">
        <v>1547</v>
      </c>
      <c r="H393" s="4"/>
      <c r="I393" s="4"/>
      <c r="J393" s="4" t="s">
        <v>1048</v>
      </c>
      <c r="K393" s="4" t="s">
        <v>58</v>
      </c>
      <c r="L393" s="4" t="s">
        <v>1047</v>
      </c>
      <c r="M393" s="4" t="s">
        <v>40</v>
      </c>
      <c r="N393" s="4" t="s">
        <v>211</v>
      </c>
      <c r="O393" s="4" t="s">
        <v>210</v>
      </c>
      <c r="P393" s="4" t="s">
        <v>210</v>
      </c>
      <c r="Q393" s="5">
        <v>217000</v>
      </c>
      <c r="R393" s="10">
        <v>0</v>
      </c>
      <c r="S393" s="9">
        <f t="shared" si="14"/>
        <v>217000</v>
      </c>
      <c r="T393" s="4" t="s">
        <v>53</v>
      </c>
      <c r="U393" s="4"/>
      <c r="V393" s="4"/>
      <c r="W393" s="4">
        <v>1</v>
      </c>
      <c r="X393" s="4"/>
      <c r="Y393" s="4"/>
      <c r="Z393" s="7" t="s">
        <v>14</v>
      </c>
      <c r="AA393" s="36" t="s">
        <v>30</v>
      </c>
      <c r="AB393" s="4"/>
      <c r="AC393" s="22">
        <f t="shared" si="13"/>
        <v>85.098039215686271</v>
      </c>
      <c r="AD393" s="23">
        <v>0</v>
      </c>
    </row>
    <row r="394" spans="1:30" hidden="1" x14ac:dyDescent="0.35">
      <c r="A394" s="7">
        <v>417</v>
      </c>
      <c r="B394" s="6">
        <v>45838</v>
      </c>
      <c r="C394" s="6">
        <v>45838</v>
      </c>
      <c r="D394" s="4" t="s">
        <v>1546</v>
      </c>
      <c r="E394" s="4" t="s">
        <v>1050</v>
      </c>
      <c r="F394" s="4"/>
      <c r="G394" s="4" t="s">
        <v>1545</v>
      </c>
      <c r="H394" s="4"/>
      <c r="I394" s="4"/>
      <c r="J394" s="4" t="s">
        <v>1048</v>
      </c>
      <c r="K394" s="4" t="s">
        <v>58</v>
      </c>
      <c r="L394" s="4" t="s">
        <v>1047</v>
      </c>
      <c r="M394" s="4" t="s">
        <v>40</v>
      </c>
      <c r="N394" s="4" t="s">
        <v>211</v>
      </c>
      <c r="O394" s="4" t="s">
        <v>210</v>
      </c>
      <c r="P394" s="4" t="s">
        <v>210</v>
      </c>
      <c r="Q394" s="5">
        <v>217000</v>
      </c>
      <c r="R394" s="10">
        <v>0</v>
      </c>
      <c r="S394" s="9">
        <f t="shared" si="14"/>
        <v>217000</v>
      </c>
      <c r="T394" s="4" t="s">
        <v>53</v>
      </c>
      <c r="U394" s="4"/>
      <c r="V394" s="4"/>
      <c r="W394" s="4">
        <v>1</v>
      </c>
      <c r="X394" s="4"/>
      <c r="Y394" s="4"/>
      <c r="Z394" s="7" t="s">
        <v>14</v>
      </c>
      <c r="AA394" s="36" t="s">
        <v>30</v>
      </c>
      <c r="AB394" s="4"/>
      <c r="AC394" s="22">
        <f t="shared" si="13"/>
        <v>85.098039215686271</v>
      </c>
      <c r="AD394" s="23">
        <v>0</v>
      </c>
    </row>
    <row r="395" spans="1:30" hidden="1" x14ac:dyDescent="0.35">
      <c r="A395" s="7">
        <v>418</v>
      </c>
      <c r="B395" s="6">
        <v>45838</v>
      </c>
      <c r="C395" s="6">
        <v>45838</v>
      </c>
      <c r="D395" s="4" t="s">
        <v>1544</v>
      </c>
      <c r="E395" s="4" t="s">
        <v>1050</v>
      </c>
      <c r="F395" s="4"/>
      <c r="G395" s="4" t="s">
        <v>1543</v>
      </c>
      <c r="H395" s="4"/>
      <c r="I395" s="4"/>
      <c r="J395" s="4" t="s">
        <v>1048</v>
      </c>
      <c r="K395" s="4" t="s">
        <v>58</v>
      </c>
      <c r="L395" s="4" t="s">
        <v>1047</v>
      </c>
      <c r="M395" s="4" t="s">
        <v>40</v>
      </c>
      <c r="N395" s="4" t="s">
        <v>211</v>
      </c>
      <c r="O395" s="4" t="s">
        <v>210</v>
      </c>
      <c r="P395" s="4" t="s">
        <v>210</v>
      </c>
      <c r="Q395" s="5">
        <v>35000</v>
      </c>
      <c r="R395" s="10">
        <v>0</v>
      </c>
      <c r="S395" s="9">
        <f t="shared" si="14"/>
        <v>35000</v>
      </c>
      <c r="T395" s="4" t="s">
        <v>53</v>
      </c>
      <c r="U395" s="4"/>
      <c r="V395" s="4"/>
      <c r="W395" s="4">
        <v>1</v>
      </c>
      <c r="X395" s="4"/>
      <c r="Y395" s="4"/>
      <c r="Z395" s="7" t="s">
        <v>14</v>
      </c>
      <c r="AA395" s="36" t="s">
        <v>30</v>
      </c>
      <c r="AB395" s="4"/>
      <c r="AC395" s="22">
        <f t="shared" si="13"/>
        <v>13.725490196078431</v>
      </c>
      <c r="AD395" s="23">
        <v>0</v>
      </c>
    </row>
    <row r="396" spans="1:30" x14ac:dyDescent="0.35">
      <c r="A396" s="7">
        <v>419</v>
      </c>
      <c r="B396" s="6">
        <v>45838</v>
      </c>
      <c r="C396" s="6">
        <v>45838</v>
      </c>
      <c r="D396" s="4" t="s">
        <v>1268</v>
      </c>
      <c r="E396" s="4" t="s">
        <v>61</v>
      </c>
      <c r="F396" s="4" t="s">
        <v>1267</v>
      </c>
      <c r="G396" s="4" t="s">
        <v>1267</v>
      </c>
      <c r="H396" s="4"/>
      <c r="I396" s="4"/>
      <c r="J396" s="4" t="s">
        <v>59</v>
      </c>
      <c r="K396" s="4" t="s">
        <v>58</v>
      </c>
      <c r="L396" s="4" t="s">
        <v>57</v>
      </c>
      <c r="M396" s="4" t="s">
        <v>32</v>
      </c>
      <c r="N396" s="4" t="s">
        <v>197</v>
      </c>
      <c r="O396" s="4" t="s">
        <v>1065</v>
      </c>
      <c r="P396" s="4" t="s">
        <v>54</v>
      </c>
      <c r="Q396" s="5">
        <v>292775.53000000003</v>
      </c>
      <c r="R396" s="10">
        <v>0</v>
      </c>
      <c r="S396" s="9">
        <f t="shared" si="14"/>
        <v>292775.53000000003</v>
      </c>
      <c r="T396" s="4" t="s">
        <v>53</v>
      </c>
      <c r="U396" s="4" t="s">
        <v>409</v>
      </c>
      <c r="V396" s="4"/>
      <c r="W396" s="4">
        <v>-300</v>
      </c>
      <c r="X396" s="4" t="s">
        <v>94</v>
      </c>
      <c r="Y396" s="4"/>
      <c r="Z396" s="7" t="s">
        <v>14</v>
      </c>
      <c r="AA396" s="36" t="s">
        <v>29</v>
      </c>
      <c r="AB396" s="4" t="s">
        <v>2607</v>
      </c>
      <c r="AC396" s="22">
        <f t="shared" si="13"/>
        <v>114.81393333333334</v>
      </c>
      <c r="AD396" s="23">
        <v>0</v>
      </c>
    </row>
    <row r="397" spans="1:30" x14ac:dyDescent="0.35">
      <c r="A397" s="7">
        <v>420</v>
      </c>
      <c r="B397" s="6">
        <v>45838</v>
      </c>
      <c r="C397" s="6">
        <v>45838</v>
      </c>
      <c r="D397" s="4" t="s">
        <v>1266</v>
      </c>
      <c r="E397" s="4" t="s">
        <v>61</v>
      </c>
      <c r="F397" s="4" t="s">
        <v>1265</v>
      </c>
      <c r="G397" s="4" t="s">
        <v>1265</v>
      </c>
      <c r="H397" s="4"/>
      <c r="I397" s="4"/>
      <c r="J397" s="4" t="s">
        <v>59</v>
      </c>
      <c r="K397" s="4" t="s">
        <v>58</v>
      </c>
      <c r="L397" s="4" t="s">
        <v>57</v>
      </c>
      <c r="M397" s="4" t="s">
        <v>32</v>
      </c>
      <c r="N397" s="4" t="s">
        <v>197</v>
      </c>
      <c r="O397" s="4" t="s">
        <v>1065</v>
      </c>
      <c r="P397" s="4" t="s">
        <v>54</v>
      </c>
      <c r="Q397" s="5">
        <v>40367.72</v>
      </c>
      <c r="R397" s="10">
        <v>0</v>
      </c>
      <c r="S397" s="9">
        <f t="shared" si="14"/>
        <v>40367.72</v>
      </c>
      <c r="T397" s="4" t="s">
        <v>53</v>
      </c>
      <c r="U397" s="4" t="s">
        <v>423</v>
      </c>
      <c r="V397" s="4"/>
      <c r="W397" s="4">
        <v>-10</v>
      </c>
      <c r="X397" s="4" t="s">
        <v>51</v>
      </c>
      <c r="Y397" s="4"/>
      <c r="Z397" s="7" t="s">
        <v>14</v>
      </c>
      <c r="AA397" s="36" t="s">
        <v>29</v>
      </c>
      <c r="AB397" s="4" t="s">
        <v>2607</v>
      </c>
      <c r="AC397" s="22">
        <f t="shared" si="13"/>
        <v>15.83047843137255</v>
      </c>
      <c r="AD397" s="23">
        <v>0</v>
      </c>
    </row>
    <row r="398" spans="1:30" x14ac:dyDescent="0.35">
      <c r="A398" s="7">
        <v>421</v>
      </c>
      <c r="B398" s="6">
        <v>45838</v>
      </c>
      <c r="C398" s="6">
        <v>45838</v>
      </c>
      <c r="D398" s="4" t="s">
        <v>1264</v>
      </c>
      <c r="E398" s="4" t="s">
        <v>61</v>
      </c>
      <c r="F398" s="4" t="s">
        <v>1263</v>
      </c>
      <c r="G398" s="4" t="s">
        <v>1263</v>
      </c>
      <c r="H398" s="4"/>
      <c r="I398" s="4"/>
      <c r="J398" s="4" t="s">
        <v>59</v>
      </c>
      <c r="K398" s="4" t="s">
        <v>58</v>
      </c>
      <c r="L398" s="4" t="s">
        <v>57</v>
      </c>
      <c r="M398" s="4" t="s">
        <v>32</v>
      </c>
      <c r="N398" s="4" t="s">
        <v>197</v>
      </c>
      <c r="O398" s="4" t="s">
        <v>1065</v>
      </c>
      <c r="P398" s="4" t="s">
        <v>54</v>
      </c>
      <c r="Q398" s="5">
        <v>71251.5</v>
      </c>
      <c r="R398" s="10">
        <v>0</v>
      </c>
      <c r="S398" s="9">
        <f t="shared" si="14"/>
        <v>71251.5</v>
      </c>
      <c r="T398" s="4" t="s">
        <v>53</v>
      </c>
      <c r="U398" s="4" t="s">
        <v>728</v>
      </c>
      <c r="V398" s="4"/>
      <c r="W398" s="4">
        <v>-16</v>
      </c>
      <c r="X398" s="4" t="s">
        <v>51</v>
      </c>
      <c r="Y398" s="4"/>
      <c r="Z398" s="7" t="s">
        <v>14</v>
      </c>
      <c r="AA398" s="36" t="s">
        <v>29</v>
      </c>
      <c r="AB398" s="4" t="s">
        <v>2607</v>
      </c>
      <c r="AC398" s="22">
        <f t="shared" si="13"/>
        <v>27.941764705882353</v>
      </c>
      <c r="AD398" s="23">
        <v>0</v>
      </c>
    </row>
    <row r="399" spans="1:30" x14ac:dyDescent="0.35">
      <c r="A399" s="7">
        <v>422</v>
      </c>
      <c r="B399" s="6">
        <v>45838</v>
      </c>
      <c r="C399" s="6">
        <v>45838</v>
      </c>
      <c r="D399" s="4" t="s">
        <v>1262</v>
      </c>
      <c r="E399" s="4" t="s">
        <v>61</v>
      </c>
      <c r="F399" s="4" t="s">
        <v>1261</v>
      </c>
      <c r="G399" s="4" t="s">
        <v>1261</v>
      </c>
      <c r="H399" s="4"/>
      <c r="I399" s="4"/>
      <c r="J399" s="4" t="s">
        <v>59</v>
      </c>
      <c r="K399" s="4" t="s">
        <v>58</v>
      </c>
      <c r="L399" s="4" t="s">
        <v>57</v>
      </c>
      <c r="M399" s="4" t="s">
        <v>32</v>
      </c>
      <c r="N399" s="4" t="s">
        <v>197</v>
      </c>
      <c r="O399" s="4" t="s">
        <v>1065</v>
      </c>
      <c r="P399" s="4" t="s">
        <v>54</v>
      </c>
      <c r="Q399" s="5">
        <v>70760</v>
      </c>
      <c r="R399" s="10">
        <v>0</v>
      </c>
      <c r="S399" s="9">
        <f t="shared" si="14"/>
        <v>70760</v>
      </c>
      <c r="T399" s="4" t="s">
        <v>53</v>
      </c>
      <c r="U399" s="4" t="s">
        <v>214</v>
      </c>
      <c r="V399" s="4"/>
      <c r="W399" s="4">
        <v>-16</v>
      </c>
      <c r="X399" s="4" t="s">
        <v>51</v>
      </c>
      <c r="Y399" s="4"/>
      <c r="Z399" s="7" t="s">
        <v>14</v>
      </c>
      <c r="AA399" s="36" t="s">
        <v>29</v>
      </c>
      <c r="AB399" s="4" t="s">
        <v>2607</v>
      </c>
      <c r="AC399" s="22">
        <f t="shared" si="13"/>
        <v>27.749019607843138</v>
      </c>
      <c r="AD399" s="23">
        <v>0</v>
      </c>
    </row>
    <row r="400" spans="1:30" x14ac:dyDescent="0.35">
      <c r="A400" s="7">
        <v>423</v>
      </c>
      <c r="B400" s="6">
        <v>45838</v>
      </c>
      <c r="C400" s="6">
        <v>45838</v>
      </c>
      <c r="D400" s="4" t="s">
        <v>1260</v>
      </c>
      <c r="E400" s="4" t="s">
        <v>61</v>
      </c>
      <c r="F400" s="4" t="s">
        <v>1259</v>
      </c>
      <c r="G400" s="4" t="s">
        <v>1259</v>
      </c>
      <c r="H400" s="4"/>
      <c r="I400" s="4"/>
      <c r="J400" s="4" t="s">
        <v>59</v>
      </c>
      <c r="K400" s="4" t="s">
        <v>58</v>
      </c>
      <c r="L400" s="4" t="s">
        <v>57</v>
      </c>
      <c r="M400" s="4" t="s">
        <v>32</v>
      </c>
      <c r="N400" s="4" t="s">
        <v>266</v>
      </c>
      <c r="O400" s="4" t="s">
        <v>55</v>
      </c>
      <c r="P400" s="4" t="s">
        <v>54</v>
      </c>
      <c r="Q400" s="5">
        <v>122925.28</v>
      </c>
      <c r="R400" s="10">
        <v>0</v>
      </c>
      <c r="S400" s="9">
        <f t="shared" si="14"/>
        <v>122925.28</v>
      </c>
      <c r="T400" s="4" t="s">
        <v>53</v>
      </c>
      <c r="U400" s="4" t="s">
        <v>271</v>
      </c>
      <c r="V400" s="4"/>
      <c r="W400" s="4">
        <v>-30</v>
      </c>
      <c r="X400" s="4" t="s">
        <v>124</v>
      </c>
      <c r="Y400" s="4"/>
      <c r="Z400" s="7" t="s">
        <v>14</v>
      </c>
      <c r="AA400" s="36" t="s">
        <v>22</v>
      </c>
      <c r="AB400" s="4" t="s">
        <v>2835</v>
      </c>
      <c r="AC400" s="22">
        <f t="shared" si="13"/>
        <v>48.205992156862742</v>
      </c>
      <c r="AD400" s="23">
        <v>0</v>
      </c>
    </row>
    <row r="401" spans="1:30" x14ac:dyDescent="0.35">
      <c r="A401" s="7">
        <v>424</v>
      </c>
      <c r="B401" s="6">
        <v>45838</v>
      </c>
      <c r="C401" s="6">
        <v>45838</v>
      </c>
      <c r="D401" s="4" t="s">
        <v>1258</v>
      </c>
      <c r="E401" s="4" t="s">
        <v>61</v>
      </c>
      <c r="F401" s="4" t="s">
        <v>1257</v>
      </c>
      <c r="G401" s="4" t="s">
        <v>1257</v>
      </c>
      <c r="H401" s="4"/>
      <c r="I401" s="4"/>
      <c r="J401" s="4" t="s">
        <v>59</v>
      </c>
      <c r="K401" s="4" t="s">
        <v>58</v>
      </c>
      <c r="L401" s="4" t="s">
        <v>57</v>
      </c>
      <c r="M401" s="4" t="s">
        <v>32</v>
      </c>
      <c r="N401" s="4" t="s">
        <v>266</v>
      </c>
      <c r="O401" s="4" t="s">
        <v>55</v>
      </c>
      <c r="P401" s="4" t="s">
        <v>54</v>
      </c>
      <c r="Q401" s="5">
        <v>16313.55</v>
      </c>
      <c r="R401" s="10">
        <v>0</v>
      </c>
      <c r="S401" s="9">
        <f t="shared" si="14"/>
        <v>16313.55</v>
      </c>
      <c r="T401" s="4" t="s">
        <v>53</v>
      </c>
      <c r="U401" s="4" t="s">
        <v>117</v>
      </c>
      <c r="V401" s="4"/>
      <c r="W401" s="4">
        <v>-5</v>
      </c>
      <c r="X401" s="4" t="s">
        <v>94</v>
      </c>
      <c r="Y401" s="4"/>
      <c r="Z401" s="7" t="s">
        <v>14</v>
      </c>
      <c r="AA401" s="36" t="s">
        <v>22</v>
      </c>
      <c r="AB401" s="4" t="s">
        <v>2835</v>
      </c>
      <c r="AC401" s="22">
        <f t="shared" si="13"/>
        <v>6.3974705882352936</v>
      </c>
      <c r="AD401" s="23">
        <v>0</v>
      </c>
    </row>
    <row r="402" spans="1:30" x14ac:dyDescent="0.35">
      <c r="A402" s="7">
        <v>425</v>
      </c>
      <c r="B402" s="6">
        <v>45838</v>
      </c>
      <c r="C402" s="6">
        <v>45838</v>
      </c>
      <c r="D402" s="4" t="s">
        <v>1256</v>
      </c>
      <c r="E402" s="4" t="s">
        <v>61</v>
      </c>
      <c r="F402" s="4" t="s">
        <v>1255</v>
      </c>
      <c r="G402" s="4" t="s">
        <v>1255</v>
      </c>
      <c r="H402" s="4"/>
      <c r="I402" s="4"/>
      <c r="J402" s="4" t="s">
        <v>59</v>
      </c>
      <c r="K402" s="4" t="s">
        <v>58</v>
      </c>
      <c r="L402" s="4" t="s">
        <v>57</v>
      </c>
      <c r="M402" s="4" t="s">
        <v>32</v>
      </c>
      <c r="N402" s="4" t="s">
        <v>266</v>
      </c>
      <c r="O402" s="4" t="s">
        <v>55</v>
      </c>
      <c r="P402" s="4" t="s">
        <v>54</v>
      </c>
      <c r="Q402" s="5">
        <v>96000</v>
      </c>
      <c r="R402" s="10">
        <v>0</v>
      </c>
      <c r="S402" s="9">
        <f t="shared" si="14"/>
        <v>96000</v>
      </c>
      <c r="T402" s="4" t="s">
        <v>53</v>
      </c>
      <c r="U402" s="4" t="s">
        <v>282</v>
      </c>
      <c r="V402" s="4"/>
      <c r="W402" s="4">
        <v>-2</v>
      </c>
      <c r="X402" s="4" t="s">
        <v>94</v>
      </c>
      <c r="Y402" s="4"/>
      <c r="Z402" s="7" t="s">
        <v>14</v>
      </c>
      <c r="AA402" s="36" t="s">
        <v>22</v>
      </c>
      <c r="AB402" s="4" t="s">
        <v>2835</v>
      </c>
      <c r="AC402" s="22">
        <f t="shared" si="13"/>
        <v>37.647058823529413</v>
      </c>
      <c r="AD402" s="23">
        <v>0</v>
      </c>
    </row>
    <row r="403" spans="1:30" x14ac:dyDescent="0.35">
      <c r="A403" s="7">
        <v>426</v>
      </c>
      <c r="B403" s="6">
        <v>45838</v>
      </c>
      <c r="C403" s="6">
        <v>45838</v>
      </c>
      <c r="D403" s="4" t="s">
        <v>1254</v>
      </c>
      <c r="E403" s="4" t="s">
        <v>61</v>
      </c>
      <c r="F403" s="4" t="s">
        <v>1253</v>
      </c>
      <c r="G403" s="4" t="s">
        <v>1253</v>
      </c>
      <c r="H403" s="4"/>
      <c r="I403" s="4"/>
      <c r="J403" s="4" t="s">
        <v>59</v>
      </c>
      <c r="K403" s="4" t="s">
        <v>58</v>
      </c>
      <c r="L403" s="4" t="s">
        <v>57</v>
      </c>
      <c r="M403" s="4" t="s">
        <v>32</v>
      </c>
      <c r="N403" s="4" t="s">
        <v>266</v>
      </c>
      <c r="O403" s="4" t="s">
        <v>55</v>
      </c>
      <c r="P403" s="4" t="s">
        <v>54</v>
      </c>
      <c r="Q403" s="5">
        <v>150000</v>
      </c>
      <c r="R403" s="10">
        <v>0</v>
      </c>
      <c r="S403" s="9">
        <f t="shared" si="14"/>
        <v>150000</v>
      </c>
      <c r="T403" s="4" t="s">
        <v>53</v>
      </c>
      <c r="U403" s="4" t="s">
        <v>121</v>
      </c>
      <c r="V403" s="4"/>
      <c r="W403" s="4">
        <v>-10</v>
      </c>
      <c r="X403" s="4" t="s">
        <v>94</v>
      </c>
      <c r="Y403" s="4"/>
      <c r="Z403" s="7" t="s">
        <v>14</v>
      </c>
      <c r="AA403" s="36" t="s">
        <v>22</v>
      </c>
      <c r="AB403" s="4" t="s">
        <v>2835</v>
      </c>
      <c r="AC403" s="22">
        <f t="shared" si="13"/>
        <v>58.823529411764703</v>
      </c>
      <c r="AD403" s="23">
        <v>0</v>
      </c>
    </row>
    <row r="404" spans="1:30" x14ac:dyDescent="0.35">
      <c r="A404" s="7">
        <v>427</v>
      </c>
      <c r="B404" s="6">
        <v>45838</v>
      </c>
      <c r="C404" s="6">
        <v>45838</v>
      </c>
      <c r="D404" s="4" t="s">
        <v>1252</v>
      </c>
      <c r="E404" s="4" t="s">
        <v>61</v>
      </c>
      <c r="F404" s="4" t="s">
        <v>1251</v>
      </c>
      <c r="G404" s="4" t="s">
        <v>1251</v>
      </c>
      <c r="H404" s="4"/>
      <c r="I404" s="4"/>
      <c r="J404" s="4" t="s">
        <v>59</v>
      </c>
      <c r="K404" s="4" t="s">
        <v>58</v>
      </c>
      <c r="L404" s="4" t="s">
        <v>57</v>
      </c>
      <c r="M404" s="4" t="s">
        <v>32</v>
      </c>
      <c r="N404" s="4" t="s">
        <v>266</v>
      </c>
      <c r="O404" s="4" t="s">
        <v>55</v>
      </c>
      <c r="P404" s="4" t="s">
        <v>54</v>
      </c>
      <c r="Q404" s="5">
        <v>102437.74</v>
      </c>
      <c r="R404" s="10">
        <v>0</v>
      </c>
      <c r="S404" s="9">
        <f t="shared" si="14"/>
        <v>102437.74</v>
      </c>
      <c r="T404" s="4" t="s">
        <v>53</v>
      </c>
      <c r="U404" s="4" t="s">
        <v>271</v>
      </c>
      <c r="V404" s="4"/>
      <c r="W404" s="4">
        <v>-25</v>
      </c>
      <c r="X404" s="4" t="s">
        <v>124</v>
      </c>
      <c r="Y404" s="4"/>
      <c r="Z404" s="7" t="s">
        <v>14</v>
      </c>
      <c r="AA404" s="36" t="s">
        <v>22</v>
      </c>
      <c r="AB404" s="4" t="s">
        <v>2835</v>
      </c>
      <c r="AC404" s="22">
        <f t="shared" si="13"/>
        <v>40.17166274509804</v>
      </c>
      <c r="AD404" s="23">
        <v>0</v>
      </c>
    </row>
    <row r="405" spans="1:30" x14ac:dyDescent="0.35">
      <c r="A405" s="7">
        <v>428</v>
      </c>
      <c r="B405" s="6">
        <v>45838</v>
      </c>
      <c r="C405" s="6">
        <v>45838</v>
      </c>
      <c r="D405" s="4" t="s">
        <v>1250</v>
      </c>
      <c r="E405" s="4" t="s">
        <v>61</v>
      </c>
      <c r="F405" s="4" t="s">
        <v>1249</v>
      </c>
      <c r="G405" s="4" t="s">
        <v>1249</v>
      </c>
      <c r="H405" s="4"/>
      <c r="I405" s="4"/>
      <c r="J405" s="4" t="s">
        <v>59</v>
      </c>
      <c r="K405" s="4" t="s">
        <v>58</v>
      </c>
      <c r="L405" s="4" t="s">
        <v>57</v>
      </c>
      <c r="M405" s="4" t="s">
        <v>32</v>
      </c>
      <c r="N405" s="4" t="s">
        <v>266</v>
      </c>
      <c r="O405" s="4" t="s">
        <v>55</v>
      </c>
      <c r="P405" s="4" t="s">
        <v>54</v>
      </c>
      <c r="Q405" s="5">
        <v>60000</v>
      </c>
      <c r="R405" s="10">
        <v>0</v>
      </c>
      <c r="S405" s="9">
        <f t="shared" si="14"/>
        <v>60000</v>
      </c>
      <c r="T405" s="4" t="s">
        <v>53</v>
      </c>
      <c r="U405" s="4" t="s">
        <v>121</v>
      </c>
      <c r="V405" s="4"/>
      <c r="W405" s="4">
        <v>-4</v>
      </c>
      <c r="X405" s="4" t="s">
        <v>94</v>
      </c>
      <c r="Y405" s="4"/>
      <c r="Z405" s="7" t="s">
        <v>14</v>
      </c>
      <c r="AA405" s="36" t="s">
        <v>22</v>
      </c>
      <c r="AB405" s="4" t="s">
        <v>2835</v>
      </c>
      <c r="AC405" s="22">
        <f t="shared" si="13"/>
        <v>23.529411764705884</v>
      </c>
      <c r="AD405" s="23">
        <v>0</v>
      </c>
    </row>
    <row r="406" spans="1:30" x14ac:dyDescent="0.35">
      <c r="A406" s="7">
        <v>429</v>
      </c>
      <c r="B406" s="6">
        <v>45838</v>
      </c>
      <c r="C406" s="6">
        <v>45838</v>
      </c>
      <c r="D406" s="4" t="s">
        <v>1248</v>
      </c>
      <c r="E406" s="4" t="s">
        <v>61</v>
      </c>
      <c r="F406" s="4" t="s">
        <v>1247</v>
      </c>
      <c r="G406" s="4" t="s">
        <v>1247</v>
      </c>
      <c r="H406" s="4"/>
      <c r="I406" s="4"/>
      <c r="J406" s="4" t="s">
        <v>59</v>
      </c>
      <c r="K406" s="4" t="s">
        <v>58</v>
      </c>
      <c r="L406" s="4" t="s">
        <v>57</v>
      </c>
      <c r="M406" s="4" t="s">
        <v>32</v>
      </c>
      <c r="N406" s="4" t="s">
        <v>266</v>
      </c>
      <c r="O406" s="4" t="s">
        <v>55</v>
      </c>
      <c r="P406" s="4" t="s">
        <v>54</v>
      </c>
      <c r="Q406" s="5">
        <v>36000</v>
      </c>
      <c r="R406" s="10">
        <v>0</v>
      </c>
      <c r="S406" s="9">
        <f t="shared" si="14"/>
        <v>36000</v>
      </c>
      <c r="T406" s="4" t="s">
        <v>53</v>
      </c>
      <c r="U406" s="4" t="s">
        <v>943</v>
      </c>
      <c r="V406" s="4"/>
      <c r="W406" s="4">
        <v>-2</v>
      </c>
      <c r="X406" s="4" t="s">
        <v>94</v>
      </c>
      <c r="Y406" s="4"/>
      <c r="Z406" s="7" t="s">
        <v>14</v>
      </c>
      <c r="AA406" s="36" t="s">
        <v>22</v>
      </c>
      <c r="AB406" s="4" t="s">
        <v>2835</v>
      </c>
      <c r="AC406" s="22">
        <f t="shared" si="13"/>
        <v>14.117647058823529</v>
      </c>
      <c r="AD406" s="23">
        <v>0</v>
      </c>
    </row>
    <row r="407" spans="1:30" x14ac:dyDescent="0.35">
      <c r="A407" s="7">
        <v>430</v>
      </c>
      <c r="B407" s="6">
        <v>45838</v>
      </c>
      <c r="C407" s="6">
        <v>45838</v>
      </c>
      <c r="D407" s="4" t="s">
        <v>1246</v>
      </c>
      <c r="E407" s="4" t="s">
        <v>61</v>
      </c>
      <c r="F407" s="4" t="s">
        <v>1245</v>
      </c>
      <c r="G407" s="4" t="s">
        <v>1245</v>
      </c>
      <c r="H407" s="4"/>
      <c r="I407" s="4"/>
      <c r="J407" s="4" t="s">
        <v>59</v>
      </c>
      <c r="K407" s="4" t="s">
        <v>58</v>
      </c>
      <c r="L407" s="4" t="s">
        <v>57</v>
      </c>
      <c r="M407" s="4" t="s">
        <v>32</v>
      </c>
      <c r="N407" s="4" t="s">
        <v>266</v>
      </c>
      <c r="O407" s="4" t="s">
        <v>55</v>
      </c>
      <c r="P407" s="4" t="s">
        <v>54</v>
      </c>
      <c r="Q407" s="5">
        <v>110037.66</v>
      </c>
      <c r="R407" s="10">
        <v>0</v>
      </c>
      <c r="S407" s="9">
        <f t="shared" si="14"/>
        <v>110037.66</v>
      </c>
      <c r="T407" s="4" t="s">
        <v>53</v>
      </c>
      <c r="U407" s="4" t="s">
        <v>1244</v>
      </c>
      <c r="V407" s="4"/>
      <c r="W407" s="4">
        <v>-2</v>
      </c>
      <c r="X407" s="4" t="s">
        <v>94</v>
      </c>
      <c r="Y407" s="4"/>
      <c r="Z407" s="7" t="s">
        <v>14</v>
      </c>
      <c r="AA407" s="36" t="s">
        <v>22</v>
      </c>
      <c r="AB407" s="4" t="s">
        <v>2835</v>
      </c>
      <c r="AC407" s="22">
        <f t="shared" si="13"/>
        <v>43.152023529411764</v>
      </c>
      <c r="AD407" s="23">
        <v>0</v>
      </c>
    </row>
    <row r="408" spans="1:30" x14ac:dyDescent="0.35">
      <c r="A408" s="7">
        <v>431</v>
      </c>
      <c r="B408" s="6">
        <v>45838</v>
      </c>
      <c r="C408" s="6">
        <v>45838</v>
      </c>
      <c r="D408" s="4" t="s">
        <v>1243</v>
      </c>
      <c r="E408" s="4" t="s">
        <v>61</v>
      </c>
      <c r="F408" s="4" t="s">
        <v>1242</v>
      </c>
      <c r="G408" s="4" t="s">
        <v>1242</v>
      </c>
      <c r="H408" s="4"/>
      <c r="I408" s="4"/>
      <c r="J408" s="4" t="s">
        <v>59</v>
      </c>
      <c r="K408" s="4" t="s">
        <v>58</v>
      </c>
      <c r="L408" s="4" t="s">
        <v>57</v>
      </c>
      <c r="M408" s="4" t="s">
        <v>32</v>
      </c>
      <c r="N408" s="4" t="s">
        <v>266</v>
      </c>
      <c r="O408" s="4" t="s">
        <v>55</v>
      </c>
      <c r="P408" s="4" t="s">
        <v>54</v>
      </c>
      <c r="Q408" s="5">
        <v>5215.78</v>
      </c>
      <c r="R408" s="10">
        <v>0</v>
      </c>
      <c r="S408" s="9">
        <f t="shared" si="14"/>
        <v>5215.78</v>
      </c>
      <c r="T408" s="4" t="s">
        <v>53</v>
      </c>
      <c r="U408" s="4" t="s">
        <v>1241</v>
      </c>
      <c r="V408" s="4"/>
      <c r="W408" s="4">
        <v>-3</v>
      </c>
      <c r="X408" s="4" t="s">
        <v>94</v>
      </c>
      <c r="Y408" s="4"/>
      <c r="Z408" s="7" t="s">
        <v>14</v>
      </c>
      <c r="AA408" s="36" t="s">
        <v>22</v>
      </c>
      <c r="AB408" s="4" t="s">
        <v>2835</v>
      </c>
      <c r="AC408" s="22">
        <f t="shared" si="13"/>
        <v>2.0454039215686275</v>
      </c>
      <c r="AD408" s="23">
        <v>0</v>
      </c>
    </row>
    <row r="409" spans="1:30" hidden="1" x14ac:dyDescent="0.35">
      <c r="A409" s="7">
        <v>432</v>
      </c>
      <c r="B409" s="6">
        <v>45838</v>
      </c>
      <c r="C409" s="6">
        <v>45838</v>
      </c>
      <c r="D409" s="4" t="s">
        <v>1240</v>
      </c>
      <c r="E409" s="4" t="s">
        <v>61</v>
      </c>
      <c r="F409" s="4" t="s">
        <v>1239</v>
      </c>
      <c r="G409" s="4" t="s">
        <v>1239</v>
      </c>
      <c r="H409" s="4"/>
      <c r="I409" s="4"/>
      <c r="J409" s="4" t="s">
        <v>59</v>
      </c>
      <c r="K409" s="4" t="s">
        <v>58</v>
      </c>
      <c r="L409" s="4" t="s">
        <v>57</v>
      </c>
      <c r="M409" s="4" t="s">
        <v>32</v>
      </c>
      <c r="N409" s="4" t="s">
        <v>211</v>
      </c>
      <c r="O409" s="4" t="s">
        <v>210</v>
      </c>
      <c r="P409" s="4" t="s">
        <v>210</v>
      </c>
      <c r="Q409" s="5">
        <v>47711.69</v>
      </c>
      <c r="R409" s="10">
        <v>0</v>
      </c>
      <c r="S409" s="9">
        <f t="shared" si="14"/>
        <v>47711.69</v>
      </c>
      <c r="T409" s="4" t="s">
        <v>53</v>
      </c>
      <c r="U409" s="4" t="s">
        <v>252</v>
      </c>
      <c r="V409" s="4"/>
      <c r="W409" s="4">
        <v>-24</v>
      </c>
      <c r="X409" s="4" t="s">
        <v>94</v>
      </c>
      <c r="Y409" s="4"/>
      <c r="Z409" s="7" t="s">
        <v>14</v>
      </c>
      <c r="AA409" s="36" t="s">
        <v>30</v>
      </c>
      <c r="AB409" s="4"/>
      <c r="AC409" s="22">
        <f t="shared" si="13"/>
        <v>18.710466666666669</v>
      </c>
      <c r="AD409" s="23">
        <v>0</v>
      </c>
    </row>
    <row r="410" spans="1:30" hidden="1" x14ac:dyDescent="0.35">
      <c r="A410" s="7">
        <v>433</v>
      </c>
      <c r="B410" s="6">
        <v>45838</v>
      </c>
      <c r="C410" s="6">
        <v>45838</v>
      </c>
      <c r="D410" s="4" t="s">
        <v>1238</v>
      </c>
      <c r="E410" s="4" t="s">
        <v>1050</v>
      </c>
      <c r="F410" s="4"/>
      <c r="G410" s="4" t="s">
        <v>1237</v>
      </c>
      <c r="H410" s="4"/>
      <c r="I410" s="4"/>
      <c r="J410" s="4" t="s">
        <v>1048</v>
      </c>
      <c r="K410" s="4" t="s">
        <v>58</v>
      </c>
      <c r="L410" s="4" t="s">
        <v>1059</v>
      </c>
      <c r="M410" s="4" t="s">
        <v>39</v>
      </c>
      <c r="N410" s="4" t="s">
        <v>211</v>
      </c>
      <c r="O410" s="4" t="s">
        <v>210</v>
      </c>
      <c r="P410" s="4" t="s">
        <v>210</v>
      </c>
      <c r="Q410" s="5">
        <v>600000</v>
      </c>
      <c r="R410" s="10">
        <v>0</v>
      </c>
      <c r="S410" s="9">
        <f t="shared" si="14"/>
        <v>600000</v>
      </c>
      <c r="T410" s="4" t="s">
        <v>53</v>
      </c>
      <c r="U410" s="4"/>
      <c r="V410" s="4"/>
      <c r="W410" s="4">
        <v>1</v>
      </c>
      <c r="X410" s="4"/>
      <c r="Y410" s="4"/>
      <c r="Z410" s="7" t="s">
        <v>14</v>
      </c>
      <c r="AA410" s="36" t="s">
        <v>30</v>
      </c>
      <c r="AB410" s="4"/>
      <c r="AC410" s="22">
        <f t="shared" si="13"/>
        <v>235.29411764705881</v>
      </c>
      <c r="AD410" s="23">
        <v>0</v>
      </c>
    </row>
    <row r="411" spans="1:30" x14ac:dyDescent="0.35">
      <c r="A411" s="7">
        <v>434</v>
      </c>
      <c r="B411" s="6">
        <v>45838</v>
      </c>
      <c r="C411" s="6">
        <v>45838</v>
      </c>
      <c r="D411" s="4" t="s">
        <v>1236</v>
      </c>
      <c r="E411" s="4" t="s">
        <v>61</v>
      </c>
      <c r="F411" s="4" t="s">
        <v>1235</v>
      </c>
      <c r="G411" s="4" t="s">
        <v>1235</v>
      </c>
      <c r="H411" s="4"/>
      <c r="I411" s="4"/>
      <c r="J411" s="4" t="s">
        <v>59</v>
      </c>
      <c r="K411" s="4" t="s">
        <v>58</v>
      </c>
      <c r="L411" s="4" t="s">
        <v>57</v>
      </c>
      <c r="M411" s="4" t="s">
        <v>1071</v>
      </c>
      <c r="N411" s="4" t="s">
        <v>317</v>
      </c>
      <c r="O411" s="4" t="s">
        <v>707</v>
      </c>
      <c r="P411" s="4" t="s">
        <v>54</v>
      </c>
      <c r="Q411" s="5">
        <v>10017829.1</v>
      </c>
      <c r="R411" s="10">
        <v>0</v>
      </c>
      <c r="S411" s="9">
        <f t="shared" si="14"/>
        <v>10017829.1</v>
      </c>
      <c r="T411" s="4" t="s">
        <v>53</v>
      </c>
      <c r="U411" s="4" t="s">
        <v>1234</v>
      </c>
      <c r="V411" s="4"/>
      <c r="W411" s="4">
        <v>-159</v>
      </c>
      <c r="X411" s="4" t="s">
        <v>205</v>
      </c>
      <c r="Y411" s="4"/>
      <c r="Z411" s="7" t="s">
        <v>14</v>
      </c>
      <c r="AA411" s="36" t="s">
        <v>23</v>
      </c>
      <c r="AB411" s="4" t="s">
        <v>2607</v>
      </c>
      <c r="AC411" s="22">
        <f t="shared" si="13"/>
        <v>3928.5604313725489</v>
      </c>
      <c r="AD411" s="23">
        <v>0</v>
      </c>
    </row>
    <row r="412" spans="1:30" x14ac:dyDescent="0.35">
      <c r="A412" s="7">
        <v>435</v>
      </c>
      <c r="B412" s="6">
        <v>45838</v>
      </c>
      <c r="C412" s="6">
        <v>45838</v>
      </c>
      <c r="D412" s="4" t="s">
        <v>1233</v>
      </c>
      <c r="E412" s="4" t="s">
        <v>61</v>
      </c>
      <c r="F412" s="4" t="s">
        <v>1232</v>
      </c>
      <c r="G412" s="4" t="s">
        <v>1232</v>
      </c>
      <c r="H412" s="4"/>
      <c r="I412" s="4"/>
      <c r="J412" s="4" t="s">
        <v>59</v>
      </c>
      <c r="K412" s="4" t="s">
        <v>58</v>
      </c>
      <c r="L412" s="4" t="s">
        <v>57</v>
      </c>
      <c r="M412" s="4" t="s">
        <v>1071</v>
      </c>
      <c r="N412" s="4" t="s">
        <v>317</v>
      </c>
      <c r="O412" s="4" t="s">
        <v>707</v>
      </c>
      <c r="P412" s="4" t="s">
        <v>54</v>
      </c>
      <c r="Q412" s="5">
        <v>5736.38</v>
      </c>
      <c r="R412" s="10">
        <v>0</v>
      </c>
      <c r="S412" s="9">
        <f t="shared" si="14"/>
        <v>5736.38</v>
      </c>
      <c r="T412" s="4" t="s">
        <v>53</v>
      </c>
      <c r="U412" s="4" t="s">
        <v>1231</v>
      </c>
      <c r="V412" s="4"/>
      <c r="W412" s="4">
        <v>-10</v>
      </c>
      <c r="X412" s="4" t="s">
        <v>94</v>
      </c>
      <c r="Y412" s="4"/>
      <c r="Z412" s="7" t="s">
        <v>14</v>
      </c>
      <c r="AA412" s="36" t="s">
        <v>23</v>
      </c>
      <c r="AB412" s="4" t="s">
        <v>2607</v>
      </c>
      <c r="AC412" s="22">
        <f t="shared" si="13"/>
        <v>2.2495607843137257</v>
      </c>
      <c r="AD412" s="23">
        <v>0</v>
      </c>
    </row>
    <row r="413" spans="1:30" x14ac:dyDescent="0.35">
      <c r="A413" s="7">
        <v>436</v>
      </c>
      <c r="B413" s="6">
        <v>45838</v>
      </c>
      <c r="C413" s="6">
        <v>45838</v>
      </c>
      <c r="D413" s="4" t="s">
        <v>1230</v>
      </c>
      <c r="E413" s="4" t="s">
        <v>61</v>
      </c>
      <c r="F413" s="4" t="s">
        <v>1229</v>
      </c>
      <c r="G413" s="4" t="s">
        <v>1229</v>
      </c>
      <c r="H413" s="4"/>
      <c r="I413" s="4"/>
      <c r="J413" s="4" t="s">
        <v>59</v>
      </c>
      <c r="K413" s="4" t="s">
        <v>58</v>
      </c>
      <c r="L413" s="4" t="s">
        <v>57</v>
      </c>
      <c r="M413" s="4" t="s">
        <v>1071</v>
      </c>
      <c r="N413" s="4" t="s">
        <v>317</v>
      </c>
      <c r="O413" s="4" t="s">
        <v>1065</v>
      </c>
      <c r="P413" s="4" t="s">
        <v>54</v>
      </c>
      <c r="Q413" s="5">
        <v>43903.25</v>
      </c>
      <c r="R413" s="10">
        <v>0</v>
      </c>
      <c r="S413" s="9">
        <f t="shared" si="14"/>
        <v>43903.25</v>
      </c>
      <c r="T413" s="4" t="s">
        <v>53</v>
      </c>
      <c r="U413" s="4" t="s">
        <v>1228</v>
      </c>
      <c r="V413" s="4"/>
      <c r="W413" s="4">
        <v>-110</v>
      </c>
      <c r="X413" s="4" t="s">
        <v>94</v>
      </c>
      <c r="Y413" s="4"/>
      <c r="Z413" s="7" t="s">
        <v>14</v>
      </c>
      <c r="AA413" s="36" t="s">
        <v>23</v>
      </c>
      <c r="AB413" s="4" t="s">
        <v>2607</v>
      </c>
      <c r="AC413" s="22">
        <f t="shared" si="13"/>
        <v>17.216960784313727</v>
      </c>
      <c r="AD413" s="23">
        <v>0</v>
      </c>
    </row>
    <row r="414" spans="1:30" x14ac:dyDescent="0.35">
      <c r="A414" s="7">
        <v>437</v>
      </c>
      <c r="B414" s="6">
        <v>45838</v>
      </c>
      <c r="C414" s="6">
        <v>45838</v>
      </c>
      <c r="D414" s="4" t="s">
        <v>1227</v>
      </c>
      <c r="E414" s="4" t="s">
        <v>61</v>
      </c>
      <c r="F414" s="4" t="s">
        <v>1226</v>
      </c>
      <c r="G414" s="4" t="s">
        <v>1226</v>
      </c>
      <c r="H414" s="4"/>
      <c r="I414" s="4"/>
      <c r="J414" s="4" t="s">
        <v>59</v>
      </c>
      <c r="K414" s="4" t="s">
        <v>58</v>
      </c>
      <c r="L414" s="4" t="s">
        <v>57</v>
      </c>
      <c r="M414" s="4" t="s">
        <v>1071</v>
      </c>
      <c r="N414" s="4" t="s">
        <v>317</v>
      </c>
      <c r="O414" s="4" t="s">
        <v>1065</v>
      </c>
      <c r="P414" s="4" t="s">
        <v>54</v>
      </c>
      <c r="Q414" s="5">
        <v>6389.02</v>
      </c>
      <c r="R414" s="10">
        <v>0</v>
      </c>
      <c r="S414" s="9">
        <f t="shared" si="14"/>
        <v>6389.02</v>
      </c>
      <c r="T414" s="4" t="s">
        <v>53</v>
      </c>
      <c r="U414" s="4" t="s">
        <v>617</v>
      </c>
      <c r="V414" s="4"/>
      <c r="W414" s="4">
        <v>-4</v>
      </c>
      <c r="X414" s="4" t="s">
        <v>94</v>
      </c>
      <c r="Y414" s="4"/>
      <c r="Z414" s="7" t="s">
        <v>14</v>
      </c>
      <c r="AA414" s="36" t="s">
        <v>23</v>
      </c>
      <c r="AB414" s="4" t="s">
        <v>2607</v>
      </c>
      <c r="AC414" s="22">
        <f t="shared" si="13"/>
        <v>2.5054980392156865</v>
      </c>
      <c r="AD414" s="23">
        <v>0</v>
      </c>
    </row>
    <row r="415" spans="1:30" x14ac:dyDescent="0.35">
      <c r="A415" s="7">
        <v>438</v>
      </c>
      <c r="B415" s="6">
        <v>45838</v>
      </c>
      <c r="C415" s="6">
        <v>45838</v>
      </c>
      <c r="D415" s="4" t="s">
        <v>1225</v>
      </c>
      <c r="E415" s="4" t="s">
        <v>61</v>
      </c>
      <c r="F415" s="4" t="s">
        <v>1224</v>
      </c>
      <c r="G415" s="4" t="s">
        <v>1224</v>
      </c>
      <c r="H415" s="4"/>
      <c r="I415" s="4"/>
      <c r="J415" s="4" t="s">
        <v>59</v>
      </c>
      <c r="K415" s="4" t="s">
        <v>58</v>
      </c>
      <c r="L415" s="4" t="s">
        <v>57</v>
      </c>
      <c r="M415" s="4" t="s">
        <v>1071</v>
      </c>
      <c r="N415" s="4" t="s">
        <v>317</v>
      </c>
      <c r="O415" s="4" t="s">
        <v>1065</v>
      </c>
      <c r="P415" s="4" t="s">
        <v>54</v>
      </c>
      <c r="Q415" s="5">
        <v>52977.15</v>
      </c>
      <c r="R415" s="10">
        <v>0</v>
      </c>
      <c r="S415" s="9">
        <f t="shared" si="14"/>
        <v>52977.15</v>
      </c>
      <c r="T415" s="4" t="s">
        <v>53</v>
      </c>
      <c r="U415" s="4" t="s">
        <v>1223</v>
      </c>
      <c r="V415" s="4"/>
      <c r="W415" s="4">
        <v>-4</v>
      </c>
      <c r="X415" s="4" t="s">
        <v>94</v>
      </c>
      <c r="Y415" s="4"/>
      <c r="Z415" s="7" t="s">
        <v>14</v>
      </c>
      <c r="AA415" s="36" t="s">
        <v>23</v>
      </c>
      <c r="AB415" s="4" t="s">
        <v>2607</v>
      </c>
      <c r="AC415" s="22">
        <f t="shared" si="13"/>
        <v>20.775352941176472</v>
      </c>
      <c r="AD415" s="23">
        <v>0</v>
      </c>
    </row>
    <row r="416" spans="1:30" x14ac:dyDescent="0.35">
      <c r="A416" s="7">
        <v>439</v>
      </c>
      <c r="B416" s="6">
        <v>45838</v>
      </c>
      <c r="C416" s="6">
        <v>45838</v>
      </c>
      <c r="D416" s="4" t="s">
        <v>1222</v>
      </c>
      <c r="E416" s="4" t="s">
        <v>61</v>
      </c>
      <c r="F416" s="4" t="s">
        <v>1221</v>
      </c>
      <c r="G416" s="4" t="s">
        <v>1221</v>
      </c>
      <c r="H416" s="4"/>
      <c r="I416" s="4"/>
      <c r="J416" s="4" t="s">
        <v>59</v>
      </c>
      <c r="K416" s="4" t="s">
        <v>58</v>
      </c>
      <c r="L416" s="4" t="s">
        <v>57</v>
      </c>
      <c r="M416" s="4" t="s">
        <v>1071</v>
      </c>
      <c r="N416" s="4" t="s">
        <v>317</v>
      </c>
      <c r="O416" s="4" t="s">
        <v>1065</v>
      </c>
      <c r="P416" s="4" t="s">
        <v>54</v>
      </c>
      <c r="Q416" s="5">
        <v>45000</v>
      </c>
      <c r="R416" s="10">
        <v>0</v>
      </c>
      <c r="S416" s="9">
        <f t="shared" si="14"/>
        <v>45000</v>
      </c>
      <c r="T416" s="4" t="s">
        <v>53</v>
      </c>
      <c r="U416" s="4" t="s">
        <v>1220</v>
      </c>
      <c r="V416" s="4"/>
      <c r="W416" s="4">
        <v>-1.5</v>
      </c>
      <c r="X416" s="4" t="s">
        <v>124</v>
      </c>
      <c r="Y416" s="4"/>
      <c r="Z416" s="7" t="s">
        <v>14</v>
      </c>
      <c r="AA416" s="36" t="s">
        <v>23</v>
      </c>
      <c r="AB416" s="4" t="s">
        <v>2607</v>
      </c>
      <c r="AC416" s="22">
        <f t="shared" si="13"/>
        <v>17.647058823529413</v>
      </c>
      <c r="AD416" s="23">
        <v>0</v>
      </c>
    </row>
    <row r="417" spans="1:30" x14ac:dyDescent="0.35">
      <c r="A417" s="7">
        <v>440</v>
      </c>
      <c r="B417" s="6">
        <v>45838</v>
      </c>
      <c r="C417" s="6">
        <v>45838</v>
      </c>
      <c r="D417" s="4" t="s">
        <v>1219</v>
      </c>
      <c r="E417" s="4" t="s">
        <v>61</v>
      </c>
      <c r="F417" s="4" t="s">
        <v>1218</v>
      </c>
      <c r="G417" s="4" t="s">
        <v>1218</v>
      </c>
      <c r="H417" s="4"/>
      <c r="I417" s="4"/>
      <c r="J417" s="4" t="s">
        <v>59</v>
      </c>
      <c r="K417" s="4" t="s">
        <v>58</v>
      </c>
      <c r="L417" s="4" t="s">
        <v>57</v>
      </c>
      <c r="M417" s="4" t="s">
        <v>1071</v>
      </c>
      <c r="N417" s="4" t="s">
        <v>266</v>
      </c>
      <c r="O417" s="4" t="s">
        <v>55</v>
      </c>
      <c r="P417" s="4" t="s">
        <v>54</v>
      </c>
      <c r="Q417" s="5">
        <v>16313.55</v>
      </c>
      <c r="R417" s="10">
        <v>0</v>
      </c>
      <c r="S417" s="9">
        <f t="shared" si="14"/>
        <v>16313.55</v>
      </c>
      <c r="T417" s="4" t="s">
        <v>53</v>
      </c>
      <c r="U417" s="4" t="s">
        <v>117</v>
      </c>
      <c r="V417" s="4"/>
      <c r="W417" s="4">
        <v>-5</v>
      </c>
      <c r="X417" s="4" t="s">
        <v>94</v>
      </c>
      <c r="Y417" s="4"/>
      <c r="Z417" s="7" t="s">
        <v>14</v>
      </c>
      <c r="AA417" s="36" t="s">
        <v>22</v>
      </c>
      <c r="AB417" s="4" t="s">
        <v>2835</v>
      </c>
      <c r="AC417" s="22">
        <f t="shared" si="13"/>
        <v>6.3974705882352936</v>
      </c>
      <c r="AD417" s="23">
        <v>0</v>
      </c>
    </row>
    <row r="418" spans="1:30" x14ac:dyDescent="0.35">
      <c r="A418" s="7">
        <v>441</v>
      </c>
      <c r="B418" s="6">
        <v>45838</v>
      </c>
      <c r="C418" s="6">
        <v>45838</v>
      </c>
      <c r="D418" s="4" t="s">
        <v>1217</v>
      </c>
      <c r="E418" s="4" t="s">
        <v>61</v>
      </c>
      <c r="F418" s="4" t="s">
        <v>1216</v>
      </c>
      <c r="G418" s="4" t="s">
        <v>1216</v>
      </c>
      <c r="H418" s="4"/>
      <c r="I418" s="4"/>
      <c r="J418" s="4" t="s">
        <v>59</v>
      </c>
      <c r="K418" s="4" t="s">
        <v>58</v>
      </c>
      <c r="L418" s="4" t="s">
        <v>57</v>
      </c>
      <c r="M418" s="4" t="s">
        <v>1071</v>
      </c>
      <c r="N418" s="4" t="s">
        <v>266</v>
      </c>
      <c r="O418" s="4" t="s">
        <v>55</v>
      </c>
      <c r="P418" s="4" t="s">
        <v>54</v>
      </c>
      <c r="Q418" s="5">
        <v>1728813.6</v>
      </c>
      <c r="R418" s="10">
        <v>0</v>
      </c>
      <c r="S418" s="9">
        <f t="shared" si="14"/>
        <v>1728813.6</v>
      </c>
      <c r="T418" s="4" t="s">
        <v>53</v>
      </c>
      <c r="U418" s="4" t="s">
        <v>1165</v>
      </c>
      <c r="V418" s="4"/>
      <c r="W418" s="4">
        <v>-20</v>
      </c>
      <c r="X418" s="4" t="s">
        <v>94</v>
      </c>
      <c r="Y418" s="4"/>
      <c r="Z418" s="7" t="s">
        <v>14</v>
      </c>
      <c r="AA418" s="36" t="s">
        <v>22</v>
      </c>
      <c r="AB418" s="4" t="s">
        <v>2835</v>
      </c>
      <c r="AC418" s="22">
        <f t="shared" si="13"/>
        <v>677.96611764705881</v>
      </c>
      <c r="AD418" s="23">
        <v>0</v>
      </c>
    </row>
    <row r="419" spans="1:30" x14ac:dyDescent="0.35">
      <c r="A419" s="7">
        <v>442</v>
      </c>
      <c r="B419" s="6">
        <v>45838</v>
      </c>
      <c r="C419" s="6">
        <v>45838</v>
      </c>
      <c r="D419" s="4" t="s">
        <v>1215</v>
      </c>
      <c r="E419" s="4" t="s">
        <v>61</v>
      </c>
      <c r="F419" s="4" t="s">
        <v>1214</v>
      </c>
      <c r="G419" s="4" t="s">
        <v>1214</v>
      </c>
      <c r="H419" s="4"/>
      <c r="I419" s="4"/>
      <c r="J419" s="4" t="s">
        <v>59</v>
      </c>
      <c r="K419" s="4" t="s">
        <v>58</v>
      </c>
      <c r="L419" s="4" t="s">
        <v>57</v>
      </c>
      <c r="M419" s="4" t="s">
        <v>1071</v>
      </c>
      <c r="N419" s="4" t="s">
        <v>266</v>
      </c>
      <c r="O419" s="4" t="s">
        <v>55</v>
      </c>
      <c r="P419" s="4" t="s">
        <v>54</v>
      </c>
      <c r="Q419" s="5">
        <v>2220339</v>
      </c>
      <c r="R419" s="10">
        <v>0</v>
      </c>
      <c r="S419" s="9">
        <f t="shared" si="14"/>
        <v>2220339</v>
      </c>
      <c r="T419" s="4" t="s">
        <v>53</v>
      </c>
      <c r="U419" s="4" t="s">
        <v>1213</v>
      </c>
      <c r="V419" s="4"/>
      <c r="W419" s="4">
        <v>-20</v>
      </c>
      <c r="X419" s="4" t="s">
        <v>94</v>
      </c>
      <c r="Y419" s="4"/>
      <c r="Z419" s="7" t="s">
        <v>14</v>
      </c>
      <c r="AA419" s="36" t="s">
        <v>22</v>
      </c>
      <c r="AB419" s="4" t="s">
        <v>2835</v>
      </c>
      <c r="AC419" s="22">
        <f t="shared" si="13"/>
        <v>870.72117647058826</v>
      </c>
      <c r="AD419" s="23">
        <v>0</v>
      </c>
    </row>
    <row r="420" spans="1:30" x14ac:dyDescent="0.35">
      <c r="A420" s="7">
        <v>443</v>
      </c>
      <c r="B420" s="6">
        <v>45838</v>
      </c>
      <c r="C420" s="6">
        <v>45838</v>
      </c>
      <c r="D420" s="4" t="s">
        <v>1212</v>
      </c>
      <c r="E420" s="4" t="s">
        <v>61</v>
      </c>
      <c r="F420" s="4" t="s">
        <v>1211</v>
      </c>
      <c r="G420" s="4" t="s">
        <v>1211</v>
      </c>
      <c r="H420" s="4"/>
      <c r="I420" s="4"/>
      <c r="J420" s="4" t="s">
        <v>59</v>
      </c>
      <c r="K420" s="4" t="s">
        <v>58</v>
      </c>
      <c r="L420" s="4" t="s">
        <v>57</v>
      </c>
      <c r="M420" s="4" t="s">
        <v>1071</v>
      </c>
      <c r="N420" s="4" t="s">
        <v>266</v>
      </c>
      <c r="O420" s="4" t="s">
        <v>55</v>
      </c>
      <c r="P420" s="4" t="s">
        <v>54</v>
      </c>
      <c r="Q420" s="5">
        <v>75000</v>
      </c>
      <c r="R420" s="10">
        <v>0</v>
      </c>
      <c r="S420" s="9">
        <f t="shared" si="14"/>
        <v>75000</v>
      </c>
      <c r="T420" s="4" t="s">
        <v>53</v>
      </c>
      <c r="U420" s="4" t="s">
        <v>121</v>
      </c>
      <c r="V420" s="4"/>
      <c r="W420" s="4">
        <v>-5</v>
      </c>
      <c r="X420" s="4" t="s">
        <v>94</v>
      </c>
      <c r="Y420" s="4"/>
      <c r="Z420" s="7" t="s">
        <v>14</v>
      </c>
      <c r="AA420" s="36" t="s">
        <v>22</v>
      </c>
      <c r="AB420" s="4" t="s">
        <v>2835</v>
      </c>
      <c r="AC420" s="22">
        <f t="shared" si="13"/>
        <v>29.411764705882351</v>
      </c>
      <c r="AD420" s="23">
        <v>0</v>
      </c>
    </row>
    <row r="421" spans="1:30" x14ac:dyDescent="0.35">
      <c r="A421" s="7">
        <v>444</v>
      </c>
      <c r="B421" s="6">
        <v>45838</v>
      </c>
      <c r="C421" s="6">
        <v>45838</v>
      </c>
      <c r="D421" s="4" t="s">
        <v>1210</v>
      </c>
      <c r="E421" s="4" t="s">
        <v>61</v>
      </c>
      <c r="F421" s="4" t="s">
        <v>1209</v>
      </c>
      <c r="G421" s="4" t="s">
        <v>1209</v>
      </c>
      <c r="H421" s="4"/>
      <c r="I421" s="4"/>
      <c r="J421" s="4" t="s">
        <v>59</v>
      </c>
      <c r="K421" s="4" t="s">
        <v>58</v>
      </c>
      <c r="L421" s="4" t="s">
        <v>57</v>
      </c>
      <c r="M421" s="4" t="s">
        <v>1071</v>
      </c>
      <c r="N421" s="4" t="s">
        <v>266</v>
      </c>
      <c r="O421" s="4" t="s">
        <v>55</v>
      </c>
      <c r="P421" s="4" t="s">
        <v>54</v>
      </c>
      <c r="Q421" s="5">
        <v>61462.64</v>
      </c>
      <c r="R421" s="10">
        <v>0</v>
      </c>
      <c r="S421" s="9">
        <f t="shared" si="14"/>
        <v>61462.64</v>
      </c>
      <c r="T421" s="4" t="s">
        <v>53</v>
      </c>
      <c r="U421" s="4" t="s">
        <v>271</v>
      </c>
      <c r="V421" s="4"/>
      <c r="W421" s="4">
        <v>-15</v>
      </c>
      <c r="X421" s="4" t="s">
        <v>124</v>
      </c>
      <c r="Y421" s="4"/>
      <c r="Z421" s="7" t="s">
        <v>14</v>
      </c>
      <c r="AA421" s="36" t="s">
        <v>22</v>
      </c>
      <c r="AB421" s="4" t="s">
        <v>2835</v>
      </c>
      <c r="AC421" s="22">
        <f t="shared" si="13"/>
        <v>24.102996078431371</v>
      </c>
      <c r="AD421" s="23">
        <v>0</v>
      </c>
    </row>
    <row r="422" spans="1:30" x14ac:dyDescent="0.35">
      <c r="A422" s="7">
        <v>445</v>
      </c>
      <c r="B422" s="6">
        <v>45838</v>
      </c>
      <c r="C422" s="6">
        <v>45838</v>
      </c>
      <c r="D422" s="4" t="s">
        <v>1208</v>
      </c>
      <c r="E422" s="4" t="s">
        <v>61</v>
      </c>
      <c r="F422" s="4" t="s">
        <v>1207</v>
      </c>
      <c r="G422" s="4" t="s">
        <v>1207</v>
      </c>
      <c r="H422" s="4"/>
      <c r="I422" s="4"/>
      <c r="J422" s="4" t="s">
        <v>59</v>
      </c>
      <c r="K422" s="4" t="s">
        <v>58</v>
      </c>
      <c r="L422" s="4" t="s">
        <v>57</v>
      </c>
      <c r="M422" s="4" t="s">
        <v>1071</v>
      </c>
      <c r="N422" s="4" t="s">
        <v>266</v>
      </c>
      <c r="O422" s="4" t="s">
        <v>55</v>
      </c>
      <c r="P422" s="4" t="s">
        <v>54</v>
      </c>
      <c r="Q422" s="5">
        <v>63890.18</v>
      </c>
      <c r="R422" s="10">
        <v>0</v>
      </c>
      <c r="S422" s="9">
        <f t="shared" si="14"/>
        <v>63890.18</v>
      </c>
      <c r="T422" s="4" t="s">
        <v>53</v>
      </c>
      <c r="U422" s="4" t="s">
        <v>617</v>
      </c>
      <c r="V422" s="4"/>
      <c r="W422" s="4">
        <v>-40</v>
      </c>
      <c r="X422" s="4" t="s">
        <v>94</v>
      </c>
      <c r="Y422" s="4"/>
      <c r="Z422" s="7" t="s">
        <v>14</v>
      </c>
      <c r="AA422" s="36" t="s">
        <v>22</v>
      </c>
      <c r="AB422" s="4" t="s">
        <v>2835</v>
      </c>
      <c r="AC422" s="22">
        <f t="shared" si="13"/>
        <v>25.05497254901961</v>
      </c>
      <c r="AD422" s="23">
        <v>0</v>
      </c>
    </row>
    <row r="423" spans="1:30" x14ac:dyDescent="0.35">
      <c r="A423" s="7">
        <v>446</v>
      </c>
      <c r="B423" s="6">
        <v>45838</v>
      </c>
      <c r="C423" s="6">
        <v>45838</v>
      </c>
      <c r="D423" s="4" t="s">
        <v>1206</v>
      </c>
      <c r="E423" s="4" t="s">
        <v>61</v>
      </c>
      <c r="F423" s="4" t="s">
        <v>1205</v>
      </c>
      <c r="G423" s="4" t="s">
        <v>1205</v>
      </c>
      <c r="H423" s="4"/>
      <c r="I423" s="4"/>
      <c r="J423" s="4" t="s">
        <v>59</v>
      </c>
      <c r="K423" s="4" t="s">
        <v>58</v>
      </c>
      <c r="L423" s="4" t="s">
        <v>57</v>
      </c>
      <c r="M423" s="4" t="s">
        <v>1071</v>
      </c>
      <c r="N423" s="4" t="s">
        <v>266</v>
      </c>
      <c r="O423" s="4" t="s">
        <v>55</v>
      </c>
      <c r="P423" s="4" t="s">
        <v>54</v>
      </c>
      <c r="Q423" s="5">
        <v>679119.38</v>
      </c>
      <c r="R423" s="10">
        <v>0</v>
      </c>
      <c r="S423" s="9">
        <f t="shared" si="14"/>
        <v>679119.38</v>
      </c>
      <c r="T423" s="4" t="s">
        <v>53</v>
      </c>
      <c r="U423" s="4" t="s">
        <v>1204</v>
      </c>
      <c r="V423" s="4"/>
      <c r="W423" s="4">
        <v>-15</v>
      </c>
      <c r="X423" s="4" t="s">
        <v>94</v>
      </c>
      <c r="Y423" s="4"/>
      <c r="Z423" s="7" t="s">
        <v>14</v>
      </c>
      <c r="AA423" s="36" t="s">
        <v>22</v>
      </c>
      <c r="AB423" s="4" t="s">
        <v>2835</v>
      </c>
      <c r="AC423" s="22">
        <f t="shared" si="13"/>
        <v>266.3213254901961</v>
      </c>
      <c r="AD423" s="23">
        <v>0</v>
      </c>
    </row>
    <row r="424" spans="1:30" x14ac:dyDescent="0.35">
      <c r="A424" s="7">
        <v>447</v>
      </c>
      <c r="B424" s="6">
        <v>45838</v>
      </c>
      <c r="C424" s="6">
        <v>45838</v>
      </c>
      <c r="D424" s="4" t="s">
        <v>1203</v>
      </c>
      <c r="E424" s="4" t="s">
        <v>61</v>
      </c>
      <c r="F424" s="4" t="s">
        <v>1202</v>
      </c>
      <c r="G424" s="4" t="s">
        <v>1202</v>
      </c>
      <c r="H424" s="4"/>
      <c r="I424" s="4"/>
      <c r="J424" s="4" t="s">
        <v>59</v>
      </c>
      <c r="K424" s="4" t="s">
        <v>58</v>
      </c>
      <c r="L424" s="4" t="s">
        <v>57</v>
      </c>
      <c r="M424" s="4" t="s">
        <v>1071</v>
      </c>
      <c r="N424" s="4" t="s">
        <v>266</v>
      </c>
      <c r="O424" s="4" t="s">
        <v>55</v>
      </c>
      <c r="P424" s="4" t="s">
        <v>54</v>
      </c>
      <c r="Q424" s="5">
        <v>150000</v>
      </c>
      <c r="R424" s="10">
        <v>0</v>
      </c>
      <c r="S424" s="9">
        <f t="shared" si="14"/>
        <v>150000</v>
      </c>
      <c r="T424" s="4" t="s">
        <v>53</v>
      </c>
      <c r="U424" s="4" t="s">
        <v>121</v>
      </c>
      <c r="V424" s="4"/>
      <c r="W424" s="4">
        <v>-10</v>
      </c>
      <c r="X424" s="4" t="s">
        <v>94</v>
      </c>
      <c r="Y424" s="4"/>
      <c r="Z424" s="7" t="s">
        <v>14</v>
      </c>
      <c r="AA424" s="36" t="s">
        <v>22</v>
      </c>
      <c r="AB424" s="4" t="s">
        <v>2835</v>
      </c>
      <c r="AC424" s="22">
        <f t="shared" si="13"/>
        <v>58.823529411764703</v>
      </c>
      <c r="AD424" s="23">
        <v>0</v>
      </c>
    </row>
    <row r="425" spans="1:30" x14ac:dyDescent="0.35">
      <c r="A425" s="7">
        <v>448</v>
      </c>
      <c r="B425" s="6">
        <v>45838</v>
      </c>
      <c r="C425" s="6">
        <v>45838</v>
      </c>
      <c r="D425" s="4" t="s">
        <v>1201</v>
      </c>
      <c r="E425" s="4" t="s">
        <v>61</v>
      </c>
      <c r="F425" s="4" t="s">
        <v>1200</v>
      </c>
      <c r="G425" s="4" t="s">
        <v>1200</v>
      </c>
      <c r="H425" s="4"/>
      <c r="I425" s="4"/>
      <c r="J425" s="4" t="s">
        <v>59</v>
      </c>
      <c r="K425" s="4" t="s">
        <v>58</v>
      </c>
      <c r="L425" s="4" t="s">
        <v>57</v>
      </c>
      <c r="M425" s="4" t="s">
        <v>1071</v>
      </c>
      <c r="N425" s="4" t="s">
        <v>266</v>
      </c>
      <c r="O425" s="4" t="s">
        <v>55</v>
      </c>
      <c r="P425" s="4" t="s">
        <v>54</v>
      </c>
      <c r="Q425" s="5">
        <v>96766.51</v>
      </c>
      <c r="R425" s="10">
        <v>0</v>
      </c>
      <c r="S425" s="9">
        <f t="shared" si="14"/>
        <v>96766.51</v>
      </c>
      <c r="T425" s="4" t="s">
        <v>53</v>
      </c>
      <c r="U425" s="4" t="s">
        <v>282</v>
      </c>
      <c r="V425" s="4"/>
      <c r="W425" s="4">
        <v>-2</v>
      </c>
      <c r="X425" s="4" t="s">
        <v>94</v>
      </c>
      <c r="Y425" s="4"/>
      <c r="Z425" s="7" t="s">
        <v>14</v>
      </c>
      <c r="AA425" s="36" t="s">
        <v>22</v>
      </c>
      <c r="AB425" s="4" t="s">
        <v>2835</v>
      </c>
      <c r="AC425" s="22">
        <f t="shared" si="13"/>
        <v>37.947650980392154</v>
      </c>
      <c r="AD425" s="23">
        <v>0</v>
      </c>
    </row>
    <row r="426" spans="1:30" x14ac:dyDescent="0.35">
      <c r="A426" s="7">
        <v>449</v>
      </c>
      <c r="B426" s="6">
        <v>45838</v>
      </c>
      <c r="C426" s="6">
        <v>45838</v>
      </c>
      <c r="D426" s="4" t="s">
        <v>1199</v>
      </c>
      <c r="E426" s="4" t="s">
        <v>61</v>
      </c>
      <c r="F426" s="4" t="s">
        <v>1198</v>
      </c>
      <c r="G426" s="4" t="s">
        <v>1198</v>
      </c>
      <c r="H426" s="4"/>
      <c r="I426" s="4"/>
      <c r="J426" s="4" t="s">
        <v>59</v>
      </c>
      <c r="K426" s="4" t="s">
        <v>58</v>
      </c>
      <c r="L426" s="4" t="s">
        <v>57</v>
      </c>
      <c r="M426" s="4" t="s">
        <v>1071</v>
      </c>
      <c r="N426" s="4" t="s">
        <v>266</v>
      </c>
      <c r="O426" s="4" t="s">
        <v>55</v>
      </c>
      <c r="P426" s="4" t="s">
        <v>54</v>
      </c>
      <c r="Q426" s="5">
        <v>102437.75</v>
      </c>
      <c r="R426" s="10">
        <v>0</v>
      </c>
      <c r="S426" s="9">
        <f t="shared" si="14"/>
        <v>102437.75</v>
      </c>
      <c r="T426" s="4" t="s">
        <v>53</v>
      </c>
      <c r="U426" s="4" t="s">
        <v>271</v>
      </c>
      <c r="V426" s="4"/>
      <c r="W426" s="4">
        <v>-25</v>
      </c>
      <c r="X426" s="4" t="s">
        <v>124</v>
      </c>
      <c r="Y426" s="4"/>
      <c r="Z426" s="7" t="s">
        <v>14</v>
      </c>
      <c r="AA426" s="36" t="s">
        <v>22</v>
      </c>
      <c r="AB426" s="4" t="s">
        <v>2835</v>
      </c>
      <c r="AC426" s="22">
        <f t="shared" si="13"/>
        <v>40.171666666666667</v>
      </c>
      <c r="AD426" s="23">
        <v>0</v>
      </c>
    </row>
    <row r="427" spans="1:30" x14ac:dyDescent="0.35">
      <c r="A427" s="7">
        <v>450</v>
      </c>
      <c r="B427" s="6">
        <v>45838</v>
      </c>
      <c r="C427" s="6">
        <v>45838</v>
      </c>
      <c r="D427" s="4" t="s">
        <v>1197</v>
      </c>
      <c r="E427" s="4" t="s">
        <v>61</v>
      </c>
      <c r="F427" s="4" t="s">
        <v>1196</v>
      </c>
      <c r="G427" s="4" t="s">
        <v>1196</v>
      </c>
      <c r="H427" s="4"/>
      <c r="I427" s="4"/>
      <c r="J427" s="4" t="s">
        <v>59</v>
      </c>
      <c r="K427" s="4" t="s">
        <v>58</v>
      </c>
      <c r="L427" s="4" t="s">
        <v>57</v>
      </c>
      <c r="M427" s="4" t="s">
        <v>1071</v>
      </c>
      <c r="N427" s="4" t="s">
        <v>266</v>
      </c>
      <c r="O427" s="4" t="s">
        <v>55</v>
      </c>
      <c r="P427" s="4" t="s">
        <v>54</v>
      </c>
      <c r="Q427" s="5">
        <v>75000</v>
      </c>
      <c r="R427" s="10">
        <v>0</v>
      </c>
      <c r="S427" s="9">
        <f t="shared" si="14"/>
        <v>75000</v>
      </c>
      <c r="T427" s="4" t="s">
        <v>53</v>
      </c>
      <c r="U427" s="4" t="s">
        <v>121</v>
      </c>
      <c r="V427" s="4"/>
      <c r="W427" s="4">
        <v>-5</v>
      </c>
      <c r="X427" s="4" t="s">
        <v>94</v>
      </c>
      <c r="Y427" s="4"/>
      <c r="Z427" s="7" t="s">
        <v>14</v>
      </c>
      <c r="AA427" s="36" t="s">
        <v>22</v>
      </c>
      <c r="AB427" s="4" t="s">
        <v>2835</v>
      </c>
      <c r="AC427" s="22">
        <f t="shared" ref="AC427:AC490" si="15">+S427/$AC$1</f>
        <v>29.411764705882351</v>
      </c>
      <c r="AD427" s="23">
        <v>0</v>
      </c>
    </row>
    <row r="428" spans="1:30" x14ac:dyDescent="0.35">
      <c r="A428" s="7">
        <v>451</v>
      </c>
      <c r="B428" s="6">
        <v>45838</v>
      </c>
      <c r="C428" s="6">
        <v>45838</v>
      </c>
      <c r="D428" s="4" t="s">
        <v>1195</v>
      </c>
      <c r="E428" s="4" t="s">
        <v>61</v>
      </c>
      <c r="F428" s="4" t="s">
        <v>1194</v>
      </c>
      <c r="G428" s="4" t="s">
        <v>1194</v>
      </c>
      <c r="H428" s="4"/>
      <c r="I428" s="4"/>
      <c r="J428" s="4" t="s">
        <v>59</v>
      </c>
      <c r="K428" s="4" t="s">
        <v>58</v>
      </c>
      <c r="L428" s="4" t="s">
        <v>57</v>
      </c>
      <c r="M428" s="4" t="s">
        <v>1071</v>
      </c>
      <c r="N428" s="4" t="s">
        <v>266</v>
      </c>
      <c r="O428" s="4" t="s">
        <v>55</v>
      </c>
      <c r="P428" s="4" t="s">
        <v>54</v>
      </c>
      <c r="Q428" s="5">
        <v>102437.74</v>
      </c>
      <c r="R428" s="10">
        <v>0</v>
      </c>
      <c r="S428" s="9">
        <f t="shared" si="14"/>
        <v>102437.74</v>
      </c>
      <c r="T428" s="4" t="s">
        <v>53</v>
      </c>
      <c r="U428" s="4" t="s">
        <v>271</v>
      </c>
      <c r="V428" s="4"/>
      <c r="W428" s="4">
        <v>-25</v>
      </c>
      <c r="X428" s="4" t="s">
        <v>124</v>
      </c>
      <c r="Y428" s="4"/>
      <c r="Z428" s="7" t="s">
        <v>14</v>
      </c>
      <c r="AA428" s="36" t="s">
        <v>22</v>
      </c>
      <c r="AB428" s="4" t="s">
        <v>2835</v>
      </c>
      <c r="AC428" s="22">
        <f t="shared" si="15"/>
        <v>40.17166274509804</v>
      </c>
      <c r="AD428" s="23">
        <v>0</v>
      </c>
    </row>
    <row r="429" spans="1:30" x14ac:dyDescent="0.35">
      <c r="A429" s="7">
        <v>452</v>
      </c>
      <c r="B429" s="6">
        <v>45838</v>
      </c>
      <c r="C429" s="6">
        <v>45838</v>
      </c>
      <c r="D429" s="4" t="s">
        <v>1193</v>
      </c>
      <c r="E429" s="4" t="s">
        <v>61</v>
      </c>
      <c r="F429" s="4" t="s">
        <v>1192</v>
      </c>
      <c r="G429" s="4" t="s">
        <v>1192</v>
      </c>
      <c r="H429" s="4"/>
      <c r="I429" s="4"/>
      <c r="J429" s="4" t="s">
        <v>59</v>
      </c>
      <c r="K429" s="4" t="s">
        <v>58</v>
      </c>
      <c r="L429" s="4" t="s">
        <v>57</v>
      </c>
      <c r="M429" s="4" t="s">
        <v>1071</v>
      </c>
      <c r="N429" s="4" t="s">
        <v>266</v>
      </c>
      <c r="O429" s="4" t="s">
        <v>55</v>
      </c>
      <c r="P429" s="4" t="s">
        <v>54</v>
      </c>
      <c r="Q429" s="5">
        <v>107475.85</v>
      </c>
      <c r="R429" s="10">
        <v>0</v>
      </c>
      <c r="S429" s="9">
        <f t="shared" si="14"/>
        <v>107475.85</v>
      </c>
      <c r="T429" s="4" t="s">
        <v>53</v>
      </c>
      <c r="U429" s="4" t="s">
        <v>420</v>
      </c>
      <c r="V429" s="4"/>
      <c r="W429" s="4">
        <v>-80</v>
      </c>
      <c r="X429" s="4" t="s">
        <v>94</v>
      </c>
      <c r="Y429" s="4"/>
      <c r="Z429" s="7" t="s">
        <v>14</v>
      </c>
      <c r="AA429" s="36" t="s">
        <v>22</v>
      </c>
      <c r="AB429" s="4" t="s">
        <v>2835</v>
      </c>
      <c r="AC429" s="22">
        <f t="shared" si="15"/>
        <v>42.14739215686275</v>
      </c>
      <c r="AD429" s="23">
        <v>0</v>
      </c>
    </row>
    <row r="430" spans="1:30" x14ac:dyDescent="0.35">
      <c r="A430" s="7">
        <v>453</v>
      </c>
      <c r="B430" s="6">
        <v>45838</v>
      </c>
      <c r="C430" s="6">
        <v>45838</v>
      </c>
      <c r="D430" s="4" t="s">
        <v>1191</v>
      </c>
      <c r="E430" s="4" t="s">
        <v>61</v>
      </c>
      <c r="F430" s="4" t="s">
        <v>1190</v>
      </c>
      <c r="G430" s="4" t="s">
        <v>1190</v>
      </c>
      <c r="H430" s="4"/>
      <c r="I430" s="4"/>
      <c r="J430" s="4" t="s">
        <v>59</v>
      </c>
      <c r="K430" s="4" t="s">
        <v>58</v>
      </c>
      <c r="L430" s="4" t="s">
        <v>57</v>
      </c>
      <c r="M430" s="4" t="s">
        <v>1071</v>
      </c>
      <c r="N430" s="4" t="s">
        <v>266</v>
      </c>
      <c r="O430" s="4" t="s">
        <v>55</v>
      </c>
      <c r="P430" s="4" t="s">
        <v>54</v>
      </c>
      <c r="Q430" s="5">
        <v>24000</v>
      </c>
      <c r="R430" s="10">
        <v>0</v>
      </c>
      <c r="S430" s="9">
        <f t="shared" si="14"/>
        <v>24000</v>
      </c>
      <c r="T430" s="4" t="s">
        <v>53</v>
      </c>
      <c r="U430" s="4" t="s">
        <v>1189</v>
      </c>
      <c r="V430" s="4"/>
      <c r="W430" s="4">
        <v>-3</v>
      </c>
      <c r="X430" s="4" t="s">
        <v>94</v>
      </c>
      <c r="Y430" s="4"/>
      <c r="Z430" s="7" t="s">
        <v>14</v>
      </c>
      <c r="AA430" s="36" t="s">
        <v>22</v>
      </c>
      <c r="AB430" s="4" t="s">
        <v>2835</v>
      </c>
      <c r="AC430" s="22">
        <f t="shared" si="15"/>
        <v>9.4117647058823533</v>
      </c>
      <c r="AD430" s="23">
        <v>0</v>
      </c>
    </row>
    <row r="431" spans="1:30" x14ac:dyDescent="0.35">
      <c r="A431" s="7">
        <v>454</v>
      </c>
      <c r="B431" s="6">
        <v>45838</v>
      </c>
      <c r="C431" s="6">
        <v>45838</v>
      </c>
      <c r="D431" s="4" t="s">
        <v>1188</v>
      </c>
      <c r="E431" s="4" t="s">
        <v>61</v>
      </c>
      <c r="F431" s="4" t="s">
        <v>1187</v>
      </c>
      <c r="G431" s="4" t="s">
        <v>1187</v>
      </c>
      <c r="H431" s="4"/>
      <c r="I431" s="4"/>
      <c r="J431" s="4" t="s">
        <v>59</v>
      </c>
      <c r="K431" s="4" t="s">
        <v>58</v>
      </c>
      <c r="L431" s="4" t="s">
        <v>57</v>
      </c>
      <c r="M431" s="4" t="s">
        <v>1071</v>
      </c>
      <c r="N431" s="4" t="s">
        <v>266</v>
      </c>
      <c r="O431" s="4" t="s">
        <v>55</v>
      </c>
      <c r="P431" s="4" t="s">
        <v>54</v>
      </c>
      <c r="Q431" s="5">
        <v>150000</v>
      </c>
      <c r="R431" s="10">
        <v>0</v>
      </c>
      <c r="S431" s="9">
        <f t="shared" si="14"/>
        <v>150000</v>
      </c>
      <c r="T431" s="4" t="s">
        <v>53</v>
      </c>
      <c r="U431" s="4" t="s">
        <v>121</v>
      </c>
      <c r="V431" s="4"/>
      <c r="W431" s="4">
        <v>-10</v>
      </c>
      <c r="X431" s="4" t="s">
        <v>94</v>
      </c>
      <c r="Y431" s="4"/>
      <c r="Z431" s="7" t="s">
        <v>14</v>
      </c>
      <c r="AA431" s="36" t="s">
        <v>22</v>
      </c>
      <c r="AB431" s="4" t="s">
        <v>2835</v>
      </c>
      <c r="AC431" s="22">
        <f t="shared" si="15"/>
        <v>58.823529411764703</v>
      </c>
      <c r="AD431" s="23">
        <v>0</v>
      </c>
    </row>
    <row r="432" spans="1:30" x14ac:dyDescent="0.35">
      <c r="A432" s="7">
        <v>455</v>
      </c>
      <c r="B432" s="6">
        <v>45838</v>
      </c>
      <c r="C432" s="6">
        <v>45838</v>
      </c>
      <c r="D432" s="4" t="s">
        <v>1186</v>
      </c>
      <c r="E432" s="4" t="s">
        <v>61</v>
      </c>
      <c r="F432" s="4" t="s">
        <v>1185</v>
      </c>
      <c r="G432" s="4" t="s">
        <v>1185</v>
      </c>
      <c r="H432" s="4"/>
      <c r="I432" s="4"/>
      <c r="J432" s="4" t="s">
        <v>59</v>
      </c>
      <c r="K432" s="4" t="s">
        <v>58</v>
      </c>
      <c r="L432" s="4" t="s">
        <v>57</v>
      </c>
      <c r="M432" s="4" t="s">
        <v>1071</v>
      </c>
      <c r="N432" s="4" t="s">
        <v>266</v>
      </c>
      <c r="O432" s="4" t="s">
        <v>55</v>
      </c>
      <c r="P432" s="4" t="s">
        <v>54</v>
      </c>
      <c r="Q432" s="5">
        <v>6512442.9400000004</v>
      </c>
      <c r="R432" s="10">
        <v>0</v>
      </c>
      <c r="S432" s="9">
        <f t="shared" si="14"/>
        <v>6512442.9400000004</v>
      </c>
      <c r="T432" s="4" t="s">
        <v>53</v>
      </c>
      <c r="U432" s="4" t="s">
        <v>1184</v>
      </c>
      <c r="V432" s="4"/>
      <c r="W432" s="4">
        <v>-110</v>
      </c>
      <c r="X432" s="4" t="s">
        <v>94</v>
      </c>
      <c r="Y432" s="4"/>
      <c r="Z432" s="7" t="s">
        <v>14</v>
      </c>
      <c r="AA432" s="36" t="s">
        <v>22</v>
      </c>
      <c r="AB432" s="4" t="s">
        <v>2835</v>
      </c>
      <c r="AC432" s="22">
        <f t="shared" si="15"/>
        <v>2553.8991921568627</v>
      </c>
      <c r="AD432" s="23">
        <v>0</v>
      </c>
    </row>
    <row r="433" spans="1:30" x14ac:dyDescent="0.35">
      <c r="A433" s="7">
        <v>456</v>
      </c>
      <c r="B433" s="6">
        <v>45838</v>
      </c>
      <c r="C433" s="6">
        <v>45838</v>
      </c>
      <c r="D433" s="4" t="s">
        <v>1183</v>
      </c>
      <c r="E433" s="4" t="s">
        <v>61</v>
      </c>
      <c r="F433" s="4" t="s">
        <v>1182</v>
      </c>
      <c r="G433" s="4" t="s">
        <v>1182</v>
      </c>
      <c r="H433" s="4"/>
      <c r="I433" s="4"/>
      <c r="J433" s="4" t="s">
        <v>59</v>
      </c>
      <c r="K433" s="4" t="s">
        <v>58</v>
      </c>
      <c r="L433" s="4" t="s">
        <v>57</v>
      </c>
      <c r="M433" s="4" t="s">
        <v>1071</v>
      </c>
      <c r="N433" s="4" t="s">
        <v>266</v>
      </c>
      <c r="O433" s="4" t="s">
        <v>55</v>
      </c>
      <c r="P433" s="4" t="s">
        <v>54</v>
      </c>
      <c r="Q433" s="5">
        <v>81950.19</v>
      </c>
      <c r="R433" s="10">
        <v>0</v>
      </c>
      <c r="S433" s="9">
        <f t="shared" si="14"/>
        <v>81950.19</v>
      </c>
      <c r="T433" s="4" t="s">
        <v>53</v>
      </c>
      <c r="U433" s="4" t="s">
        <v>271</v>
      </c>
      <c r="V433" s="4"/>
      <c r="W433" s="4">
        <v>-20</v>
      </c>
      <c r="X433" s="4" t="s">
        <v>124</v>
      </c>
      <c r="Y433" s="4"/>
      <c r="Z433" s="7" t="s">
        <v>14</v>
      </c>
      <c r="AA433" s="36" t="s">
        <v>22</v>
      </c>
      <c r="AB433" s="4" t="s">
        <v>2835</v>
      </c>
      <c r="AC433" s="22">
        <f t="shared" si="15"/>
        <v>32.137329411764703</v>
      </c>
      <c r="AD433" s="23">
        <v>0</v>
      </c>
    </row>
    <row r="434" spans="1:30" x14ac:dyDescent="0.35">
      <c r="A434" s="7">
        <v>457</v>
      </c>
      <c r="B434" s="6">
        <v>45838</v>
      </c>
      <c r="C434" s="6">
        <v>45838</v>
      </c>
      <c r="D434" s="4" t="s">
        <v>1181</v>
      </c>
      <c r="E434" s="4" t="s">
        <v>61</v>
      </c>
      <c r="F434" s="4" t="s">
        <v>1180</v>
      </c>
      <c r="G434" s="4" t="s">
        <v>1180</v>
      </c>
      <c r="H434" s="4"/>
      <c r="I434" s="4"/>
      <c r="J434" s="4" t="s">
        <v>59</v>
      </c>
      <c r="K434" s="4" t="s">
        <v>58</v>
      </c>
      <c r="L434" s="4" t="s">
        <v>57</v>
      </c>
      <c r="M434" s="4" t="s">
        <v>1071</v>
      </c>
      <c r="N434" s="4" t="s">
        <v>266</v>
      </c>
      <c r="O434" s="4" t="s">
        <v>55</v>
      </c>
      <c r="P434" s="4" t="s">
        <v>54</v>
      </c>
      <c r="Q434" s="5">
        <v>768000</v>
      </c>
      <c r="R434" s="10">
        <v>0</v>
      </c>
      <c r="S434" s="9">
        <f t="shared" si="14"/>
        <v>768000</v>
      </c>
      <c r="T434" s="4" t="s">
        <v>53</v>
      </c>
      <c r="U434" s="4" t="s">
        <v>1179</v>
      </c>
      <c r="V434" s="4"/>
      <c r="W434" s="4">
        <v>-24</v>
      </c>
      <c r="X434" s="4" t="s">
        <v>94</v>
      </c>
      <c r="Y434" s="4"/>
      <c r="Z434" s="7" t="s">
        <v>14</v>
      </c>
      <c r="AA434" s="36" t="s">
        <v>22</v>
      </c>
      <c r="AB434" s="4" t="s">
        <v>2835</v>
      </c>
      <c r="AC434" s="22">
        <f t="shared" si="15"/>
        <v>301.1764705882353</v>
      </c>
      <c r="AD434" s="23">
        <v>0</v>
      </c>
    </row>
    <row r="435" spans="1:30" x14ac:dyDescent="0.35">
      <c r="A435" s="7">
        <v>458</v>
      </c>
      <c r="B435" s="6">
        <v>45838</v>
      </c>
      <c r="C435" s="6">
        <v>45838</v>
      </c>
      <c r="D435" s="4" t="s">
        <v>1178</v>
      </c>
      <c r="E435" s="4" t="s">
        <v>61</v>
      </c>
      <c r="F435" s="4" t="s">
        <v>1177</v>
      </c>
      <c r="G435" s="4" t="s">
        <v>1177</v>
      </c>
      <c r="H435" s="4"/>
      <c r="I435" s="4"/>
      <c r="J435" s="4" t="s">
        <v>59</v>
      </c>
      <c r="K435" s="4" t="s">
        <v>58</v>
      </c>
      <c r="L435" s="4" t="s">
        <v>57</v>
      </c>
      <c r="M435" s="4" t="s">
        <v>1071</v>
      </c>
      <c r="N435" s="4" t="s">
        <v>266</v>
      </c>
      <c r="O435" s="4" t="s">
        <v>55</v>
      </c>
      <c r="P435" s="4" t="s">
        <v>54</v>
      </c>
      <c r="Q435" s="5">
        <v>150000</v>
      </c>
      <c r="R435" s="10">
        <v>0</v>
      </c>
      <c r="S435" s="9">
        <f t="shared" si="14"/>
        <v>150000</v>
      </c>
      <c r="T435" s="4" t="s">
        <v>53</v>
      </c>
      <c r="U435" s="4" t="s">
        <v>121</v>
      </c>
      <c r="V435" s="4"/>
      <c r="W435" s="4">
        <v>-10</v>
      </c>
      <c r="X435" s="4" t="s">
        <v>94</v>
      </c>
      <c r="Y435" s="4"/>
      <c r="Z435" s="7" t="s">
        <v>14</v>
      </c>
      <c r="AA435" s="36" t="s">
        <v>22</v>
      </c>
      <c r="AB435" s="4" t="s">
        <v>2835</v>
      </c>
      <c r="AC435" s="22">
        <f t="shared" si="15"/>
        <v>58.823529411764703</v>
      </c>
      <c r="AD435" s="23">
        <v>0</v>
      </c>
    </row>
    <row r="436" spans="1:30" x14ac:dyDescent="0.35">
      <c r="A436" s="7">
        <v>459</v>
      </c>
      <c r="B436" s="6">
        <v>45838</v>
      </c>
      <c r="C436" s="6">
        <v>45838</v>
      </c>
      <c r="D436" s="4" t="s">
        <v>1176</v>
      </c>
      <c r="E436" s="4" t="s">
        <v>61</v>
      </c>
      <c r="F436" s="4" t="s">
        <v>1175</v>
      </c>
      <c r="G436" s="4" t="s">
        <v>1175</v>
      </c>
      <c r="H436" s="4"/>
      <c r="I436" s="4"/>
      <c r="J436" s="4" t="s">
        <v>59</v>
      </c>
      <c r="K436" s="4" t="s">
        <v>58</v>
      </c>
      <c r="L436" s="4" t="s">
        <v>57</v>
      </c>
      <c r="M436" s="4" t="s">
        <v>1071</v>
      </c>
      <c r="N436" s="4" t="s">
        <v>266</v>
      </c>
      <c r="O436" s="4" t="s">
        <v>55</v>
      </c>
      <c r="P436" s="4" t="s">
        <v>54</v>
      </c>
      <c r="Q436" s="5">
        <v>102437.74</v>
      </c>
      <c r="R436" s="10">
        <v>0</v>
      </c>
      <c r="S436" s="9">
        <f t="shared" si="14"/>
        <v>102437.74</v>
      </c>
      <c r="T436" s="4" t="s">
        <v>53</v>
      </c>
      <c r="U436" s="4" t="s">
        <v>271</v>
      </c>
      <c r="V436" s="4"/>
      <c r="W436" s="4">
        <v>-25</v>
      </c>
      <c r="X436" s="4" t="s">
        <v>124</v>
      </c>
      <c r="Y436" s="4"/>
      <c r="Z436" s="7" t="s">
        <v>14</v>
      </c>
      <c r="AA436" s="36" t="s">
        <v>22</v>
      </c>
      <c r="AB436" s="4" t="s">
        <v>2835</v>
      </c>
      <c r="AC436" s="22">
        <f t="shared" si="15"/>
        <v>40.17166274509804</v>
      </c>
      <c r="AD436" s="23">
        <v>0</v>
      </c>
    </row>
    <row r="437" spans="1:30" x14ac:dyDescent="0.35">
      <c r="A437" s="7">
        <v>460</v>
      </c>
      <c r="B437" s="6">
        <v>45838</v>
      </c>
      <c r="C437" s="6">
        <v>45838</v>
      </c>
      <c r="D437" s="4" t="s">
        <v>1174</v>
      </c>
      <c r="E437" s="4" t="s">
        <v>61</v>
      </c>
      <c r="F437" s="4" t="s">
        <v>1173</v>
      </c>
      <c r="G437" s="4" t="s">
        <v>1173</v>
      </c>
      <c r="H437" s="4"/>
      <c r="I437" s="4"/>
      <c r="J437" s="4" t="s">
        <v>59</v>
      </c>
      <c r="K437" s="4" t="s">
        <v>58</v>
      </c>
      <c r="L437" s="4" t="s">
        <v>57</v>
      </c>
      <c r="M437" s="4" t="s">
        <v>1071</v>
      </c>
      <c r="N437" s="4" t="s">
        <v>266</v>
      </c>
      <c r="O437" s="4" t="s">
        <v>55</v>
      </c>
      <c r="P437" s="4" t="s">
        <v>54</v>
      </c>
      <c r="Q437" s="5">
        <v>102437.74</v>
      </c>
      <c r="R437" s="10">
        <v>0</v>
      </c>
      <c r="S437" s="9">
        <f t="shared" si="14"/>
        <v>102437.74</v>
      </c>
      <c r="T437" s="4" t="s">
        <v>53</v>
      </c>
      <c r="U437" s="4" t="s">
        <v>271</v>
      </c>
      <c r="V437" s="4"/>
      <c r="W437" s="4">
        <v>-25</v>
      </c>
      <c r="X437" s="4" t="s">
        <v>124</v>
      </c>
      <c r="Y437" s="4"/>
      <c r="Z437" s="7" t="s">
        <v>14</v>
      </c>
      <c r="AA437" s="36" t="s">
        <v>22</v>
      </c>
      <c r="AB437" s="4" t="s">
        <v>2835</v>
      </c>
      <c r="AC437" s="22">
        <f t="shared" si="15"/>
        <v>40.17166274509804</v>
      </c>
      <c r="AD437" s="23">
        <v>0</v>
      </c>
    </row>
    <row r="438" spans="1:30" x14ac:dyDescent="0.35">
      <c r="A438" s="7">
        <v>461</v>
      </c>
      <c r="B438" s="6">
        <v>45838</v>
      </c>
      <c r="C438" s="6">
        <v>45838</v>
      </c>
      <c r="D438" s="4" t="s">
        <v>1172</v>
      </c>
      <c r="E438" s="4" t="s">
        <v>61</v>
      </c>
      <c r="F438" s="4" t="s">
        <v>1171</v>
      </c>
      <c r="G438" s="4" t="s">
        <v>1171</v>
      </c>
      <c r="H438" s="4"/>
      <c r="I438" s="4"/>
      <c r="J438" s="4" t="s">
        <v>59</v>
      </c>
      <c r="K438" s="4" t="s">
        <v>58</v>
      </c>
      <c r="L438" s="4" t="s">
        <v>57</v>
      </c>
      <c r="M438" s="4" t="s">
        <v>1071</v>
      </c>
      <c r="N438" s="4" t="s">
        <v>266</v>
      </c>
      <c r="O438" s="4" t="s">
        <v>55</v>
      </c>
      <c r="P438" s="4" t="s">
        <v>54</v>
      </c>
      <c r="Q438" s="5">
        <v>634449.16</v>
      </c>
      <c r="R438" s="10">
        <v>0</v>
      </c>
      <c r="S438" s="9">
        <f t="shared" si="14"/>
        <v>634449.16</v>
      </c>
      <c r="T438" s="4" t="s">
        <v>53</v>
      </c>
      <c r="U438" s="4" t="s">
        <v>1170</v>
      </c>
      <c r="V438" s="4"/>
      <c r="W438" s="4">
        <v>-5</v>
      </c>
      <c r="X438" s="4" t="s">
        <v>94</v>
      </c>
      <c r="Y438" s="4"/>
      <c r="Z438" s="7" t="s">
        <v>14</v>
      </c>
      <c r="AA438" s="36" t="s">
        <v>22</v>
      </c>
      <c r="AB438" s="4" t="s">
        <v>2835</v>
      </c>
      <c r="AC438" s="22">
        <f t="shared" si="15"/>
        <v>248.80359215686275</v>
      </c>
      <c r="AD438" s="23">
        <v>0</v>
      </c>
    </row>
    <row r="439" spans="1:30" x14ac:dyDescent="0.35">
      <c r="A439" s="7">
        <v>462</v>
      </c>
      <c r="B439" s="6">
        <v>45838</v>
      </c>
      <c r="C439" s="6">
        <v>45838</v>
      </c>
      <c r="D439" s="4" t="s">
        <v>1169</v>
      </c>
      <c r="E439" s="4" t="s">
        <v>61</v>
      </c>
      <c r="F439" s="4" t="s">
        <v>1168</v>
      </c>
      <c r="G439" s="4" t="s">
        <v>1168</v>
      </c>
      <c r="H439" s="4"/>
      <c r="I439" s="4"/>
      <c r="J439" s="4" t="s">
        <v>59</v>
      </c>
      <c r="K439" s="4" t="s">
        <v>58</v>
      </c>
      <c r="L439" s="4" t="s">
        <v>57</v>
      </c>
      <c r="M439" s="4" t="s">
        <v>1071</v>
      </c>
      <c r="N439" s="4" t="s">
        <v>266</v>
      </c>
      <c r="O439" s="4" t="s">
        <v>55</v>
      </c>
      <c r="P439" s="4" t="s">
        <v>54</v>
      </c>
      <c r="Q439" s="5">
        <v>150000</v>
      </c>
      <c r="R439" s="10">
        <v>0</v>
      </c>
      <c r="S439" s="9">
        <f t="shared" si="14"/>
        <v>150000</v>
      </c>
      <c r="T439" s="4" t="s">
        <v>53</v>
      </c>
      <c r="U439" s="4" t="s">
        <v>121</v>
      </c>
      <c r="V439" s="4"/>
      <c r="W439" s="4">
        <v>-10</v>
      </c>
      <c r="X439" s="4" t="s">
        <v>94</v>
      </c>
      <c r="Y439" s="4"/>
      <c r="Z439" s="7" t="s">
        <v>14</v>
      </c>
      <c r="AA439" s="36" t="s">
        <v>22</v>
      </c>
      <c r="AB439" s="4" t="s">
        <v>2835</v>
      </c>
      <c r="AC439" s="22">
        <f t="shared" si="15"/>
        <v>58.823529411764703</v>
      </c>
      <c r="AD439" s="23">
        <v>0</v>
      </c>
    </row>
    <row r="440" spans="1:30" x14ac:dyDescent="0.35">
      <c r="A440" s="7">
        <v>463</v>
      </c>
      <c r="B440" s="6">
        <v>45838</v>
      </c>
      <c r="C440" s="6">
        <v>45838</v>
      </c>
      <c r="D440" s="4" t="s">
        <v>1167</v>
      </c>
      <c r="E440" s="4" t="s">
        <v>61</v>
      </c>
      <c r="F440" s="4" t="s">
        <v>1166</v>
      </c>
      <c r="G440" s="4" t="s">
        <v>1166</v>
      </c>
      <c r="H440" s="4"/>
      <c r="I440" s="4"/>
      <c r="J440" s="4" t="s">
        <v>59</v>
      </c>
      <c r="K440" s="4" t="s">
        <v>58</v>
      </c>
      <c r="L440" s="4" t="s">
        <v>57</v>
      </c>
      <c r="M440" s="4" t="s">
        <v>1071</v>
      </c>
      <c r="N440" s="4" t="s">
        <v>266</v>
      </c>
      <c r="O440" s="4" t="s">
        <v>55</v>
      </c>
      <c r="P440" s="4" t="s">
        <v>54</v>
      </c>
      <c r="Q440" s="5">
        <v>1728813.6</v>
      </c>
      <c r="R440" s="10">
        <v>0</v>
      </c>
      <c r="S440" s="9">
        <f t="shared" si="14"/>
        <v>1728813.6</v>
      </c>
      <c r="T440" s="4" t="s">
        <v>53</v>
      </c>
      <c r="U440" s="4" t="s">
        <v>1165</v>
      </c>
      <c r="V440" s="4"/>
      <c r="W440" s="4">
        <v>-20</v>
      </c>
      <c r="X440" s="4" t="s">
        <v>94</v>
      </c>
      <c r="Y440" s="4"/>
      <c r="Z440" s="7" t="s">
        <v>14</v>
      </c>
      <c r="AA440" s="36" t="s">
        <v>22</v>
      </c>
      <c r="AB440" s="4" t="s">
        <v>2835</v>
      </c>
      <c r="AC440" s="22">
        <f t="shared" si="15"/>
        <v>677.96611764705881</v>
      </c>
      <c r="AD440" s="23">
        <v>0</v>
      </c>
    </row>
    <row r="441" spans="1:30" x14ac:dyDescent="0.35">
      <c r="A441" s="7">
        <v>464</v>
      </c>
      <c r="B441" s="6">
        <v>45838</v>
      </c>
      <c r="C441" s="6">
        <v>45838</v>
      </c>
      <c r="D441" s="4" t="s">
        <v>1164</v>
      </c>
      <c r="E441" s="4" t="s">
        <v>61</v>
      </c>
      <c r="F441" s="4" t="s">
        <v>1163</v>
      </c>
      <c r="G441" s="4" t="s">
        <v>1163</v>
      </c>
      <c r="H441" s="4"/>
      <c r="I441" s="4"/>
      <c r="J441" s="4" t="s">
        <v>59</v>
      </c>
      <c r="K441" s="4" t="s">
        <v>58</v>
      </c>
      <c r="L441" s="4" t="s">
        <v>57</v>
      </c>
      <c r="M441" s="4" t="s">
        <v>1071</v>
      </c>
      <c r="N441" s="4" t="s">
        <v>266</v>
      </c>
      <c r="O441" s="4" t="s">
        <v>55</v>
      </c>
      <c r="P441" s="4" t="s">
        <v>54</v>
      </c>
      <c r="Q441" s="5">
        <v>54166.720000000001</v>
      </c>
      <c r="R441" s="10">
        <v>0</v>
      </c>
      <c r="S441" s="9">
        <f t="shared" si="14"/>
        <v>54166.720000000001</v>
      </c>
      <c r="T441" s="4" t="s">
        <v>53</v>
      </c>
      <c r="U441" s="4" t="s">
        <v>1162</v>
      </c>
      <c r="V441" s="4"/>
      <c r="W441" s="4">
        <v>-50</v>
      </c>
      <c r="X441" s="4" t="s">
        <v>94</v>
      </c>
      <c r="Y441" s="4"/>
      <c r="Z441" s="7" t="s">
        <v>14</v>
      </c>
      <c r="AA441" s="36" t="s">
        <v>22</v>
      </c>
      <c r="AB441" s="4" t="s">
        <v>2835</v>
      </c>
      <c r="AC441" s="22">
        <f t="shared" si="15"/>
        <v>21.241850980392158</v>
      </c>
      <c r="AD441" s="23">
        <v>0</v>
      </c>
    </row>
    <row r="442" spans="1:30" x14ac:dyDescent="0.35">
      <c r="A442" s="7">
        <v>465</v>
      </c>
      <c r="B442" s="6">
        <v>45838</v>
      </c>
      <c r="C442" s="6">
        <v>45838</v>
      </c>
      <c r="D442" s="4" t="s">
        <v>1161</v>
      </c>
      <c r="E442" s="4" t="s">
        <v>61</v>
      </c>
      <c r="F442" s="4" t="s">
        <v>1160</v>
      </c>
      <c r="G442" s="4" t="s">
        <v>1160</v>
      </c>
      <c r="H442" s="4"/>
      <c r="I442" s="4"/>
      <c r="J442" s="4" t="s">
        <v>59</v>
      </c>
      <c r="K442" s="4" t="s">
        <v>58</v>
      </c>
      <c r="L442" s="4" t="s">
        <v>57</v>
      </c>
      <c r="M442" s="4" t="s">
        <v>1071</v>
      </c>
      <c r="N442" s="4" t="s">
        <v>266</v>
      </c>
      <c r="O442" s="4" t="s">
        <v>55</v>
      </c>
      <c r="P442" s="4" t="s">
        <v>54</v>
      </c>
      <c r="Q442" s="5">
        <v>3564960</v>
      </c>
      <c r="R442" s="10">
        <v>0</v>
      </c>
      <c r="S442" s="9">
        <f t="shared" si="14"/>
        <v>3564960</v>
      </c>
      <c r="T442" s="4" t="s">
        <v>53</v>
      </c>
      <c r="U442" s="4" t="s">
        <v>542</v>
      </c>
      <c r="V442" s="4"/>
      <c r="W442" s="4">
        <v>-40</v>
      </c>
      <c r="X442" s="4" t="s">
        <v>94</v>
      </c>
      <c r="Y442" s="4"/>
      <c r="Z442" s="7" t="s">
        <v>14</v>
      </c>
      <c r="AA442" s="36" t="s">
        <v>22</v>
      </c>
      <c r="AB442" s="4" t="s">
        <v>2835</v>
      </c>
      <c r="AC442" s="22">
        <f t="shared" si="15"/>
        <v>1398.0235294117647</v>
      </c>
      <c r="AD442" s="23">
        <v>0</v>
      </c>
    </row>
    <row r="443" spans="1:30" x14ac:dyDescent="0.35">
      <c r="A443" s="7">
        <v>466</v>
      </c>
      <c r="B443" s="6">
        <v>45838</v>
      </c>
      <c r="C443" s="6">
        <v>45838</v>
      </c>
      <c r="D443" s="4" t="s">
        <v>1159</v>
      </c>
      <c r="E443" s="4" t="s">
        <v>61</v>
      </c>
      <c r="F443" s="4" t="s">
        <v>1158</v>
      </c>
      <c r="G443" s="4" t="s">
        <v>1158</v>
      </c>
      <c r="H443" s="4"/>
      <c r="I443" s="4"/>
      <c r="J443" s="4" t="s">
        <v>59</v>
      </c>
      <c r="K443" s="4" t="s">
        <v>58</v>
      </c>
      <c r="L443" s="4" t="s">
        <v>57</v>
      </c>
      <c r="M443" s="4" t="s">
        <v>1071</v>
      </c>
      <c r="N443" s="4" t="s">
        <v>266</v>
      </c>
      <c r="O443" s="4" t="s">
        <v>55</v>
      </c>
      <c r="P443" s="4" t="s">
        <v>54</v>
      </c>
      <c r="Q443" s="5">
        <v>150000</v>
      </c>
      <c r="R443" s="10">
        <v>0</v>
      </c>
      <c r="S443" s="9">
        <f t="shared" si="14"/>
        <v>150000</v>
      </c>
      <c r="T443" s="4" t="s">
        <v>53</v>
      </c>
      <c r="U443" s="4" t="s">
        <v>121</v>
      </c>
      <c r="V443" s="4"/>
      <c r="W443" s="4">
        <v>-10</v>
      </c>
      <c r="X443" s="4" t="s">
        <v>94</v>
      </c>
      <c r="Y443" s="4"/>
      <c r="Z443" s="7" t="s">
        <v>14</v>
      </c>
      <c r="AA443" s="36" t="s">
        <v>22</v>
      </c>
      <c r="AB443" s="4" t="s">
        <v>2835</v>
      </c>
      <c r="AC443" s="22">
        <f t="shared" si="15"/>
        <v>58.823529411764703</v>
      </c>
      <c r="AD443" s="23">
        <v>0</v>
      </c>
    </row>
    <row r="444" spans="1:30" hidden="1" x14ac:dyDescent="0.35">
      <c r="A444" s="7">
        <v>467</v>
      </c>
      <c r="B444" s="6">
        <v>45838</v>
      </c>
      <c r="C444" s="6">
        <v>45838</v>
      </c>
      <c r="D444" s="4" t="s">
        <v>1157</v>
      </c>
      <c r="E444" s="4" t="s">
        <v>61</v>
      </c>
      <c r="F444" s="4" t="s">
        <v>1156</v>
      </c>
      <c r="G444" s="4" t="s">
        <v>1156</v>
      </c>
      <c r="H444" s="4"/>
      <c r="I444" s="4"/>
      <c r="J444" s="4" t="s">
        <v>59</v>
      </c>
      <c r="K444" s="4" t="s">
        <v>58</v>
      </c>
      <c r="L444" s="4" t="s">
        <v>57</v>
      </c>
      <c r="M444" s="4" t="s">
        <v>1071</v>
      </c>
      <c r="N444" s="4" t="s">
        <v>211</v>
      </c>
      <c r="O444" s="4" t="s">
        <v>210</v>
      </c>
      <c r="P444" s="4" t="s">
        <v>210</v>
      </c>
      <c r="Q444" s="5">
        <v>3577.93</v>
      </c>
      <c r="R444" s="10">
        <v>0</v>
      </c>
      <c r="S444" s="9">
        <f t="shared" si="14"/>
        <v>3577.93</v>
      </c>
      <c r="T444" s="4" t="s">
        <v>53</v>
      </c>
      <c r="U444" s="4" t="s">
        <v>252</v>
      </c>
      <c r="V444" s="4"/>
      <c r="W444" s="4">
        <v>-2</v>
      </c>
      <c r="X444" s="4" t="s">
        <v>94</v>
      </c>
      <c r="Y444" s="4"/>
      <c r="Z444" s="7" t="s">
        <v>14</v>
      </c>
      <c r="AA444" s="36" t="s">
        <v>30</v>
      </c>
      <c r="AB444" s="4"/>
      <c r="AC444" s="22">
        <f t="shared" si="15"/>
        <v>1.4031098039215686</v>
      </c>
      <c r="AD444" s="23">
        <v>0</v>
      </c>
    </row>
    <row r="445" spans="1:30" hidden="1" x14ac:dyDescent="0.35">
      <c r="A445" s="7">
        <v>468</v>
      </c>
      <c r="B445" s="6">
        <v>45838</v>
      </c>
      <c r="C445" s="6">
        <v>45838</v>
      </c>
      <c r="D445" s="4" t="s">
        <v>1155</v>
      </c>
      <c r="E445" s="4" t="s">
        <v>61</v>
      </c>
      <c r="F445" s="4" t="s">
        <v>1154</v>
      </c>
      <c r="G445" s="4" t="s">
        <v>1154</v>
      </c>
      <c r="H445" s="4"/>
      <c r="I445" s="4"/>
      <c r="J445" s="4" t="s">
        <v>59</v>
      </c>
      <c r="K445" s="4" t="s">
        <v>58</v>
      </c>
      <c r="L445" s="4" t="s">
        <v>57</v>
      </c>
      <c r="M445" s="4" t="s">
        <v>1071</v>
      </c>
      <c r="N445" s="4" t="s">
        <v>211</v>
      </c>
      <c r="O445" s="4" t="s">
        <v>210</v>
      </c>
      <c r="P445" s="4" t="s">
        <v>210</v>
      </c>
      <c r="Q445" s="5">
        <v>650</v>
      </c>
      <c r="R445" s="10">
        <v>0</v>
      </c>
      <c r="S445" s="9">
        <f t="shared" si="14"/>
        <v>650</v>
      </c>
      <c r="T445" s="4" t="s">
        <v>53</v>
      </c>
      <c r="U445" s="4" t="s">
        <v>1142</v>
      </c>
      <c r="V445" s="4"/>
      <c r="W445" s="4">
        <v>-1</v>
      </c>
      <c r="X445" s="4" t="s">
        <v>94</v>
      </c>
      <c r="Y445" s="4"/>
      <c r="Z445" s="7" t="s">
        <v>14</v>
      </c>
      <c r="AA445" s="36" t="s">
        <v>30</v>
      </c>
      <c r="AB445" s="4"/>
      <c r="AC445" s="22">
        <f t="shared" si="15"/>
        <v>0.25490196078431371</v>
      </c>
      <c r="AD445" s="23">
        <v>0</v>
      </c>
    </row>
    <row r="446" spans="1:30" hidden="1" x14ac:dyDescent="0.35">
      <c r="A446" s="7">
        <v>469</v>
      </c>
      <c r="B446" s="6">
        <v>45838</v>
      </c>
      <c r="C446" s="6">
        <v>45838</v>
      </c>
      <c r="D446" s="4" t="s">
        <v>1153</v>
      </c>
      <c r="E446" s="4" t="s">
        <v>61</v>
      </c>
      <c r="F446" s="4" t="s">
        <v>1152</v>
      </c>
      <c r="G446" s="4" t="s">
        <v>1152</v>
      </c>
      <c r="H446" s="4"/>
      <c r="I446" s="4"/>
      <c r="J446" s="4" t="s">
        <v>59</v>
      </c>
      <c r="K446" s="4" t="s">
        <v>58</v>
      </c>
      <c r="L446" s="4" t="s">
        <v>57</v>
      </c>
      <c r="M446" s="4" t="s">
        <v>1071</v>
      </c>
      <c r="N446" s="4" t="s">
        <v>211</v>
      </c>
      <c r="O446" s="4" t="s">
        <v>210</v>
      </c>
      <c r="P446" s="4" t="s">
        <v>210</v>
      </c>
      <c r="Q446" s="5">
        <v>42630.68</v>
      </c>
      <c r="R446" s="10">
        <v>0</v>
      </c>
      <c r="S446" s="9">
        <f t="shared" si="14"/>
        <v>42630.68</v>
      </c>
      <c r="T446" s="4" t="s">
        <v>53</v>
      </c>
      <c r="U446" s="4" t="s">
        <v>1151</v>
      </c>
      <c r="V446" s="4"/>
      <c r="W446" s="4">
        <v>-4</v>
      </c>
      <c r="X446" s="4" t="s">
        <v>94</v>
      </c>
      <c r="Y446" s="4"/>
      <c r="Z446" s="7" t="s">
        <v>14</v>
      </c>
      <c r="AA446" s="36" t="s">
        <v>30</v>
      </c>
      <c r="AB446" s="4"/>
      <c r="AC446" s="22">
        <f t="shared" si="15"/>
        <v>16.717913725490195</v>
      </c>
      <c r="AD446" s="23">
        <v>0</v>
      </c>
    </row>
    <row r="447" spans="1:30" hidden="1" x14ac:dyDescent="0.35">
      <c r="A447" s="7">
        <v>470</v>
      </c>
      <c r="B447" s="6">
        <v>45838</v>
      </c>
      <c r="C447" s="6">
        <v>45838</v>
      </c>
      <c r="D447" s="4" t="s">
        <v>1150</v>
      </c>
      <c r="E447" s="4" t="s">
        <v>61</v>
      </c>
      <c r="F447" s="4" t="s">
        <v>1149</v>
      </c>
      <c r="G447" s="4" t="s">
        <v>1149</v>
      </c>
      <c r="H447" s="4"/>
      <c r="I447" s="4"/>
      <c r="J447" s="4" t="s">
        <v>59</v>
      </c>
      <c r="K447" s="4" t="s">
        <v>58</v>
      </c>
      <c r="L447" s="4" t="s">
        <v>57</v>
      </c>
      <c r="M447" s="4" t="s">
        <v>1071</v>
      </c>
      <c r="N447" s="4" t="s">
        <v>211</v>
      </c>
      <c r="O447" s="4" t="s">
        <v>210</v>
      </c>
      <c r="P447" s="4" t="s">
        <v>210</v>
      </c>
      <c r="Q447" s="5">
        <v>106458.25</v>
      </c>
      <c r="R447" s="10">
        <v>0</v>
      </c>
      <c r="S447" s="9">
        <f t="shared" si="14"/>
        <v>106458.25</v>
      </c>
      <c r="T447" s="4" t="s">
        <v>53</v>
      </c>
      <c r="U447" s="4" t="s">
        <v>1148</v>
      </c>
      <c r="V447" s="4"/>
      <c r="W447" s="4">
        <v>-6</v>
      </c>
      <c r="X447" s="4" t="s">
        <v>94</v>
      </c>
      <c r="Y447" s="4"/>
      <c r="Z447" s="7" t="s">
        <v>14</v>
      </c>
      <c r="AA447" s="36" t="s">
        <v>30</v>
      </c>
      <c r="AB447" s="4"/>
      <c r="AC447" s="22">
        <f t="shared" si="15"/>
        <v>41.748333333333335</v>
      </c>
      <c r="AD447" s="23">
        <v>0</v>
      </c>
    </row>
    <row r="448" spans="1:30" hidden="1" x14ac:dyDescent="0.35">
      <c r="A448" s="7">
        <v>471</v>
      </c>
      <c r="B448" s="6">
        <v>45838</v>
      </c>
      <c r="C448" s="6">
        <v>45838</v>
      </c>
      <c r="D448" s="4" t="s">
        <v>1147</v>
      </c>
      <c r="E448" s="4" t="s">
        <v>61</v>
      </c>
      <c r="F448" s="4" t="s">
        <v>1146</v>
      </c>
      <c r="G448" s="4" t="s">
        <v>1146</v>
      </c>
      <c r="H448" s="4"/>
      <c r="I448" s="4"/>
      <c r="J448" s="4" t="s">
        <v>59</v>
      </c>
      <c r="K448" s="4" t="s">
        <v>58</v>
      </c>
      <c r="L448" s="4" t="s">
        <v>57</v>
      </c>
      <c r="M448" s="4" t="s">
        <v>1071</v>
      </c>
      <c r="N448" s="4" t="s">
        <v>211</v>
      </c>
      <c r="O448" s="4" t="s">
        <v>210</v>
      </c>
      <c r="P448" s="4" t="s">
        <v>210</v>
      </c>
      <c r="Q448" s="5">
        <v>186180.77</v>
      </c>
      <c r="R448" s="10">
        <v>0</v>
      </c>
      <c r="S448" s="9">
        <f t="shared" si="14"/>
        <v>186180.77</v>
      </c>
      <c r="T448" s="4" t="s">
        <v>53</v>
      </c>
      <c r="U448" s="4" t="s">
        <v>1145</v>
      </c>
      <c r="V448" s="4"/>
      <c r="W448" s="4">
        <v>-5</v>
      </c>
      <c r="X448" s="4" t="s">
        <v>94</v>
      </c>
      <c r="Y448" s="4"/>
      <c r="Z448" s="7" t="s">
        <v>14</v>
      </c>
      <c r="AA448" s="36" t="s">
        <v>30</v>
      </c>
      <c r="AB448" s="4"/>
      <c r="AC448" s="22">
        <f t="shared" si="15"/>
        <v>73.012066666666669</v>
      </c>
      <c r="AD448" s="23">
        <v>0</v>
      </c>
    </row>
    <row r="449" spans="1:30" hidden="1" x14ac:dyDescent="0.35">
      <c r="A449" s="7">
        <v>472</v>
      </c>
      <c r="B449" s="6">
        <v>45838</v>
      </c>
      <c r="C449" s="6">
        <v>45838</v>
      </c>
      <c r="D449" s="4" t="s">
        <v>1144</v>
      </c>
      <c r="E449" s="4" t="s">
        <v>61</v>
      </c>
      <c r="F449" s="4" t="s">
        <v>1143</v>
      </c>
      <c r="G449" s="4" t="s">
        <v>1143</v>
      </c>
      <c r="H449" s="4"/>
      <c r="I449" s="4"/>
      <c r="J449" s="4" t="s">
        <v>59</v>
      </c>
      <c r="K449" s="4" t="s">
        <v>58</v>
      </c>
      <c r="L449" s="4" t="s">
        <v>57</v>
      </c>
      <c r="M449" s="4" t="s">
        <v>1071</v>
      </c>
      <c r="N449" s="4" t="s">
        <v>211</v>
      </c>
      <c r="O449" s="4" t="s">
        <v>210</v>
      </c>
      <c r="P449" s="4" t="s">
        <v>210</v>
      </c>
      <c r="Q449" s="5">
        <v>650</v>
      </c>
      <c r="R449" s="10">
        <v>0</v>
      </c>
      <c r="S449" s="9">
        <f t="shared" si="14"/>
        <v>650</v>
      </c>
      <c r="T449" s="4" t="s">
        <v>53</v>
      </c>
      <c r="U449" s="4" t="s">
        <v>1142</v>
      </c>
      <c r="V449" s="4"/>
      <c r="W449" s="4">
        <v>-1</v>
      </c>
      <c r="X449" s="4" t="s">
        <v>94</v>
      </c>
      <c r="Y449" s="4"/>
      <c r="Z449" s="7" t="s">
        <v>14</v>
      </c>
      <c r="AA449" s="36" t="s">
        <v>30</v>
      </c>
      <c r="AB449" s="4"/>
      <c r="AC449" s="22">
        <f t="shared" si="15"/>
        <v>0.25490196078431371</v>
      </c>
      <c r="AD449" s="23">
        <v>0</v>
      </c>
    </row>
    <row r="450" spans="1:30" hidden="1" x14ac:dyDescent="0.35">
      <c r="A450" s="7">
        <v>473</v>
      </c>
      <c r="B450" s="6">
        <v>45838</v>
      </c>
      <c r="C450" s="6">
        <v>45838</v>
      </c>
      <c r="D450" s="4" t="s">
        <v>1141</v>
      </c>
      <c r="E450" s="4" t="s">
        <v>61</v>
      </c>
      <c r="F450" s="4" t="s">
        <v>1140</v>
      </c>
      <c r="G450" s="4" t="s">
        <v>1140</v>
      </c>
      <c r="H450" s="4"/>
      <c r="I450" s="4"/>
      <c r="J450" s="4" t="s">
        <v>59</v>
      </c>
      <c r="K450" s="4" t="s">
        <v>58</v>
      </c>
      <c r="L450" s="4" t="s">
        <v>57</v>
      </c>
      <c r="M450" s="4" t="s">
        <v>1071</v>
      </c>
      <c r="N450" s="4" t="s">
        <v>211</v>
      </c>
      <c r="O450" s="4" t="s">
        <v>210</v>
      </c>
      <c r="P450" s="4" t="s">
        <v>210</v>
      </c>
      <c r="Q450" s="5">
        <v>6720.34</v>
      </c>
      <c r="R450" s="10">
        <v>0</v>
      </c>
      <c r="S450" s="9">
        <f t="shared" si="14"/>
        <v>6720.34</v>
      </c>
      <c r="T450" s="4" t="s">
        <v>53</v>
      </c>
      <c r="U450" s="4" t="s">
        <v>1139</v>
      </c>
      <c r="V450" s="4"/>
      <c r="W450" s="4">
        <v>-4</v>
      </c>
      <c r="X450" s="4" t="s">
        <v>94</v>
      </c>
      <c r="Y450" s="4"/>
      <c r="Z450" s="7" t="s">
        <v>14</v>
      </c>
      <c r="AA450" s="36" t="s">
        <v>30</v>
      </c>
      <c r="AB450" s="4"/>
      <c r="AC450" s="22">
        <f t="shared" si="15"/>
        <v>2.6354274509803921</v>
      </c>
      <c r="AD450" s="23">
        <v>0</v>
      </c>
    </row>
    <row r="451" spans="1:30" hidden="1" x14ac:dyDescent="0.35">
      <c r="A451" s="7">
        <v>474</v>
      </c>
      <c r="B451" s="6">
        <v>45838</v>
      </c>
      <c r="C451" s="6">
        <v>45838</v>
      </c>
      <c r="D451" s="4" t="s">
        <v>1138</v>
      </c>
      <c r="E451" s="4" t="s">
        <v>61</v>
      </c>
      <c r="F451" s="4" t="s">
        <v>1137</v>
      </c>
      <c r="G451" s="4" t="s">
        <v>1137</v>
      </c>
      <c r="H451" s="4"/>
      <c r="I451" s="4"/>
      <c r="J451" s="4" t="s">
        <v>59</v>
      </c>
      <c r="K451" s="4" t="s">
        <v>58</v>
      </c>
      <c r="L451" s="4" t="s">
        <v>57</v>
      </c>
      <c r="M451" s="4" t="s">
        <v>1071</v>
      </c>
      <c r="N451" s="4" t="s">
        <v>211</v>
      </c>
      <c r="O451" s="4" t="s">
        <v>210</v>
      </c>
      <c r="P451" s="4" t="s">
        <v>210</v>
      </c>
      <c r="Q451" s="5">
        <v>680.74</v>
      </c>
      <c r="R451" s="10">
        <v>0</v>
      </c>
      <c r="S451" s="9">
        <f t="shared" ref="S451:S514" si="16">+Q451-R451</f>
        <v>680.74</v>
      </c>
      <c r="T451" s="4" t="s">
        <v>53</v>
      </c>
      <c r="U451" s="4" t="s">
        <v>1136</v>
      </c>
      <c r="V451" s="4"/>
      <c r="W451" s="4">
        <v>-1</v>
      </c>
      <c r="X451" s="4" t="s">
        <v>94</v>
      </c>
      <c r="Y451" s="4"/>
      <c r="Z451" s="7" t="s">
        <v>14</v>
      </c>
      <c r="AA451" s="36" t="s">
        <v>30</v>
      </c>
      <c r="AB451" s="4"/>
      <c r="AC451" s="22">
        <f t="shared" si="15"/>
        <v>0.26695686274509806</v>
      </c>
      <c r="AD451" s="23">
        <v>0</v>
      </c>
    </row>
    <row r="452" spans="1:30" hidden="1" x14ac:dyDescent="0.35">
      <c r="A452" s="7">
        <v>475</v>
      </c>
      <c r="B452" s="6">
        <v>45838</v>
      </c>
      <c r="C452" s="6">
        <v>45838</v>
      </c>
      <c r="D452" s="4" t="s">
        <v>1135</v>
      </c>
      <c r="E452" s="4" t="s">
        <v>61</v>
      </c>
      <c r="F452" s="4" t="s">
        <v>1134</v>
      </c>
      <c r="G452" s="4" t="s">
        <v>1134</v>
      </c>
      <c r="H452" s="4"/>
      <c r="I452" s="4"/>
      <c r="J452" s="4" t="s">
        <v>59</v>
      </c>
      <c r="K452" s="4" t="s">
        <v>58</v>
      </c>
      <c r="L452" s="4" t="s">
        <v>57</v>
      </c>
      <c r="M452" s="4" t="s">
        <v>1071</v>
      </c>
      <c r="N452" s="4" t="s">
        <v>211</v>
      </c>
      <c r="O452" s="4" t="s">
        <v>210</v>
      </c>
      <c r="P452" s="4" t="s">
        <v>210</v>
      </c>
      <c r="Q452" s="5">
        <v>1457627.1</v>
      </c>
      <c r="R452" s="10">
        <v>0</v>
      </c>
      <c r="S452" s="9">
        <f t="shared" si="16"/>
        <v>1457627.1</v>
      </c>
      <c r="T452" s="4" t="s">
        <v>53</v>
      </c>
      <c r="U452" s="4" t="s">
        <v>1121</v>
      </c>
      <c r="V452" s="4"/>
      <c r="W452" s="4">
        <v>-10</v>
      </c>
      <c r="X452" s="4" t="s">
        <v>94</v>
      </c>
      <c r="Y452" s="4"/>
      <c r="Z452" s="7" t="s">
        <v>14</v>
      </c>
      <c r="AA452" s="36" t="s">
        <v>30</v>
      </c>
      <c r="AB452" s="4"/>
      <c r="AC452" s="22">
        <f t="shared" si="15"/>
        <v>571.61847058823537</v>
      </c>
      <c r="AD452" s="23">
        <v>0</v>
      </c>
    </row>
    <row r="453" spans="1:30" hidden="1" x14ac:dyDescent="0.35">
      <c r="A453" s="7">
        <v>476</v>
      </c>
      <c r="B453" s="6">
        <v>45838</v>
      </c>
      <c r="C453" s="6">
        <v>45838</v>
      </c>
      <c r="D453" s="4" t="s">
        <v>1133</v>
      </c>
      <c r="E453" s="4" t="s">
        <v>61</v>
      </c>
      <c r="F453" s="4" t="s">
        <v>1132</v>
      </c>
      <c r="G453" s="4" t="s">
        <v>1132</v>
      </c>
      <c r="H453" s="4"/>
      <c r="I453" s="4"/>
      <c r="J453" s="4" t="s">
        <v>59</v>
      </c>
      <c r="K453" s="4" t="s">
        <v>58</v>
      </c>
      <c r="L453" s="4" t="s">
        <v>57</v>
      </c>
      <c r="M453" s="4" t="s">
        <v>1071</v>
      </c>
      <c r="N453" s="4" t="s">
        <v>211</v>
      </c>
      <c r="O453" s="4" t="s">
        <v>210</v>
      </c>
      <c r="P453" s="4" t="s">
        <v>210</v>
      </c>
      <c r="Q453" s="5">
        <v>677966.1</v>
      </c>
      <c r="R453" s="10">
        <v>0</v>
      </c>
      <c r="S453" s="9">
        <f t="shared" si="16"/>
        <v>677966.1</v>
      </c>
      <c r="T453" s="4" t="s">
        <v>53</v>
      </c>
      <c r="U453" s="4" t="s">
        <v>1109</v>
      </c>
      <c r="V453" s="4"/>
      <c r="W453" s="4">
        <v>-10</v>
      </c>
      <c r="X453" s="4" t="s">
        <v>94</v>
      </c>
      <c r="Y453" s="4"/>
      <c r="Z453" s="7" t="s">
        <v>14</v>
      </c>
      <c r="AA453" s="36" t="s">
        <v>30</v>
      </c>
      <c r="AB453" s="4"/>
      <c r="AC453" s="22">
        <f t="shared" si="15"/>
        <v>265.86905882352943</v>
      </c>
      <c r="AD453" s="23">
        <v>0</v>
      </c>
    </row>
    <row r="454" spans="1:30" hidden="1" x14ac:dyDescent="0.35">
      <c r="A454" s="7">
        <v>477</v>
      </c>
      <c r="B454" s="6">
        <v>45838</v>
      </c>
      <c r="C454" s="6">
        <v>45838</v>
      </c>
      <c r="D454" s="4" t="s">
        <v>1131</v>
      </c>
      <c r="E454" s="4" t="s">
        <v>61</v>
      </c>
      <c r="F454" s="4" t="s">
        <v>1130</v>
      </c>
      <c r="G454" s="4" t="s">
        <v>1130</v>
      </c>
      <c r="H454" s="4"/>
      <c r="I454" s="4"/>
      <c r="J454" s="4" t="s">
        <v>59</v>
      </c>
      <c r="K454" s="4" t="s">
        <v>58</v>
      </c>
      <c r="L454" s="4" t="s">
        <v>57</v>
      </c>
      <c r="M454" s="4" t="s">
        <v>1071</v>
      </c>
      <c r="N454" s="4" t="s">
        <v>211</v>
      </c>
      <c r="O454" s="4" t="s">
        <v>210</v>
      </c>
      <c r="P454" s="4" t="s">
        <v>210</v>
      </c>
      <c r="Q454" s="5">
        <v>1457627.1</v>
      </c>
      <c r="R454" s="10">
        <v>0</v>
      </c>
      <c r="S454" s="9">
        <f t="shared" si="16"/>
        <v>1457627.1</v>
      </c>
      <c r="T454" s="4" t="s">
        <v>53</v>
      </c>
      <c r="U454" s="4" t="s">
        <v>1121</v>
      </c>
      <c r="V454" s="4"/>
      <c r="W454" s="4">
        <v>-10</v>
      </c>
      <c r="X454" s="4" t="s">
        <v>94</v>
      </c>
      <c r="Y454" s="4"/>
      <c r="Z454" s="7" t="s">
        <v>14</v>
      </c>
      <c r="AA454" s="36" t="s">
        <v>30</v>
      </c>
      <c r="AB454" s="4"/>
      <c r="AC454" s="22">
        <f t="shared" si="15"/>
        <v>571.61847058823537</v>
      </c>
      <c r="AD454" s="23">
        <v>0</v>
      </c>
    </row>
    <row r="455" spans="1:30" hidden="1" x14ac:dyDescent="0.35">
      <c r="A455" s="7">
        <v>478</v>
      </c>
      <c r="B455" s="6">
        <v>45838</v>
      </c>
      <c r="C455" s="6">
        <v>45838</v>
      </c>
      <c r="D455" s="4" t="s">
        <v>1129</v>
      </c>
      <c r="E455" s="4" t="s">
        <v>61</v>
      </c>
      <c r="F455" s="4" t="s">
        <v>1128</v>
      </c>
      <c r="G455" s="4" t="s">
        <v>1128</v>
      </c>
      <c r="H455" s="4"/>
      <c r="I455" s="4"/>
      <c r="J455" s="4" t="s">
        <v>59</v>
      </c>
      <c r="K455" s="4" t="s">
        <v>58</v>
      </c>
      <c r="L455" s="4" t="s">
        <v>57</v>
      </c>
      <c r="M455" s="4" t="s">
        <v>1071</v>
      </c>
      <c r="N455" s="4" t="s">
        <v>211</v>
      </c>
      <c r="O455" s="4" t="s">
        <v>210</v>
      </c>
      <c r="P455" s="4" t="s">
        <v>210</v>
      </c>
      <c r="Q455" s="5">
        <v>677966.1</v>
      </c>
      <c r="R455" s="10">
        <v>0</v>
      </c>
      <c r="S455" s="9">
        <f t="shared" si="16"/>
        <v>677966.1</v>
      </c>
      <c r="T455" s="4" t="s">
        <v>53</v>
      </c>
      <c r="U455" s="4" t="s">
        <v>1109</v>
      </c>
      <c r="V455" s="4"/>
      <c r="W455" s="4">
        <v>-10</v>
      </c>
      <c r="X455" s="4" t="s">
        <v>94</v>
      </c>
      <c r="Y455" s="4"/>
      <c r="Z455" s="7" t="s">
        <v>14</v>
      </c>
      <c r="AA455" s="36" t="s">
        <v>30</v>
      </c>
      <c r="AB455" s="4"/>
      <c r="AC455" s="22">
        <f t="shared" si="15"/>
        <v>265.86905882352943</v>
      </c>
      <c r="AD455" s="23">
        <v>0</v>
      </c>
    </row>
    <row r="456" spans="1:30" hidden="1" x14ac:dyDescent="0.35">
      <c r="A456" s="7">
        <v>479</v>
      </c>
      <c r="B456" s="6">
        <v>45838</v>
      </c>
      <c r="C456" s="6">
        <v>45838</v>
      </c>
      <c r="D456" s="4" t="s">
        <v>1127</v>
      </c>
      <c r="E456" s="4" t="s">
        <v>61</v>
      </c>
      <c r="F456" s="4" t="s">
        <v>1126</v>
      </c>
      <c r="G456" s="4" t="s">
        <v>1126</v>
      </c>
      <c r="H456" s="4"/>
      <c r="I456" s="4"/>
      <c r="J456" s="4" t="s">
        <v>59</v>
      </c>
      <c r="K456" s="4" t="s">
        <v>58</v>
      </c>
      <c r="L456" s="4" t="s">
        <v>57</v>
      </c>
      <c r="M456" s="4" t="s">
        <v>1071</v>
      </c>
      <c r="N456" s="4" t="s">
        <v>211</v>
      </c>
      <c r="O456" s="4" t="s">
        <v>210</v>
      </c>
      <c r="P456" s="4" t="s">
        <v>210</v>
      </c>
      <c r="Q456" s="5">
        <v>360000</v>
      </c>
      <c r="R456" s="10">
        <v>0</v>
      </c>
      <c r="S456" s="9">
        <f t="shared" si="16"/>
        <v>360000</v>
      </c>
      <c r="T456" s="4" t="s">
        <v>53</v>
      </c>
      <c r="U456" s="4" t="s">
        <v>1106</v>
      </c>
      <c r="V456" s="4"/>
      <c r="W456" s="4">
        <v>-4</v>
      </c>
      <c r="X456" s="4" t="s">
        <v>94</v>
      </c>
      <c r="Y456" s="4"/>
      <c r="Z456" s="7" t="s">
        <v>14</v>
      </c>
      <c r="AA456" s="36" t="s">
        <v>30</v>
      </c>
      <c r="AB456" s="4"/>
      <c r="AC456" s="22">
        <f t="shared" si="15"/>
        <v>141.1764705882353</v>
      </c>
      <c r="AD456" s="23">
        <v>0</v>
      </c>
    </row>
    <row r="457" spans="1:30" hidden="1" x14ac:dyDescent="0.35">
      <c r="A457" s="7">
        <v>480</v>
      </c>
      <c r="B457" s="6">
        <v>45838</v>
      </c>
      <c r="C457" s="6">
        <v>45838</v>
      </c>
      <c r="D457" s="4" t="s">
        <v>1125</v>
      </c>
      <c r="E457" s="4" t="s">
        <v>61</v>
      </c>
      <c r="F457" s="4" t="s">
        <v>1124</v>
      </c>
      <c r="G457" s="4" t="s">
        <v>1124</v>
      </c>
      <c r="H457" s="4"/>
      <c r="I457" s="4"/>
      <c r="J457" s="4" t="s">
        <v>59</v>
      </c>
      <c r="K457" s="4" t="s">
        <v>58</v>
      </c>
      <c r="L457" s="4" t="s">
        <v>57</v>
      </c>
      <c r="M457" s="4" t="s">
        <v>1071</v>
      </c>
      <c r="N457" s="4" t="s">
        <v>211</v>
      </c>
      <c r="O457" s="4" t="s">
        <v>210</v>
      </c>
      <c r="P457" s="4" t="s">
        <v>210</v>
      </c>
      <c r="Q457" s="5">
        <v>1080000</v>
      </c>
      <c r="R457" s="10">
        <v>0</v>
      </c>
      <c r="S457" s="9">
        <f t="shared" si="16"/>
        <v>1080000</v>
      </c>
      <c r="T457" s="4" t="s">
        <v>53</v>
      </c>
      <c r="U457" s="4" t="s">
        <v>209</v>
      </c>
      <c r="V457" s="4"/>
      <c r="W457" s="4">
        <v>-6</v>
      </c>
      <c r="X457" s="4" t="s">
        <v>94</v>
      </c>
      <c r="Y457" s="4"/>
      <c r="Z457" s="7" t="s">
        <v>14</v>
      </c>
      <c r="AA457" s="36" t="s">
        <v>30</v>
      </c>
      <c r="AB457" s="4"/>
      <c r="AC457" s="22">
        <f t="shared" si="15"/>
        <v>423.52941176470586</v>
      </c>
      <c r="AD457" s="23">
        <v>0</v>
      </c>
    </row>
    <row r="458" spans="1:30" hidden="1" x14ac:dyDescent="0.35">
      <c r="A458" s="7">
        <v>481</v>
      </c>
      <c r="B458" s="6">
        <v>45838</v>
      </c>
      <c r="C458" s="6">
        <v>45838</v>
      </c>
      <c r="D458" s="4" t="s">
        <v>1123</v>
      </c>
      <c r="E458" s="4" t="s">
        <v>61</v>
      </c>
      <c r="F458" s="4" t="s">
        <v>1122</v>
      </c>
      <c r="G458" s="4" t="s">
        <v>1122</v>
      </c>
      <c r="H458" s="4"/>
      <c r="I458" s="4"/>
      <c r="J458" s="4" t="s">
        <v>59</v>
      </c>
      <c r="K458" s="4" t="s">
        <v>58</v>
      </c>
      <c r="L458" s="4" t="s">
        <v>57</v>
      </c>
      <c r="M458" s="4" t="s">
        <v>1071</v>
      </c>
      <c r="N458" s="4" t="s">
        <v>211</v>
      </c>
      <c r="O458" s="4" t="s">
        <v>210</v>
      </c>
      <c r="P458" s="4" t="s">
        <v>210</v>
      </c>
      <c r="Q458" s="5">
        <v>1457627.1</v>
      </c>
      <c r="R458" s="10">
        <v>0</v>
      </c>
      <c r="S458" s="9">
        <f t="shared" si="16"/>
        <v>1457627.1</v>
      </c>
      <c r="T458" s="4" t="s">
        <v>53</v>
      </c>
      <c r="U458" s="4" t="s">
        <v>1121</v>
      </c>
      <c r="V458" s="4"/>
      <c r="W458" s="4">
        <v>-10</v>
      </c>
      <c r="X458" s="4" t="s">
        <v>94</v>
      </c>
      <c r="Y458" s="4"/>
      <c r="Z458" s="7" t="s">
        <v>14</v>
      </c>
      <c r="AA458" s="36" t="s">
        <v>30</v>
      </c>
      <c r="AB458" s="4"/>
      <c r="AC458" s="22">
        <f t="shared" si="15"/>
        <v>571.61847058823537</v>
      </c>
      <c r="AD458" s="23">
        <v>0</v>
      </c>
    </row>
    <row r="459" spans="1:30" hidden="1" x14ac:dyDescent="0.35">
      <c r="A459" s="7">
        <v>482</v>
      </c>
      <c r="B459" s="6">
        <v>45838</v>
      </c>
      <c r="C459" s="6">
        <v>45838</v>
      </c>
      <c r="D459" s="4" t="s">
        <v>1120</v>
      </c>
      <c r="E459" s="4" t="s">
        <v>61</v>
      </c>
      <c r="F459" s="4" t="s">
        <v>1119</v>
      </c>
      <c r="G459" s="4" t="s">
        <v>1119</v>
      </c>
      <c r="H459" s="4"/>
      <c r="I459" s="4"/>
      <c r="J459" s="4" t="s">
        <v>59</v>
      </c>
      <c r="K459" s="4" t="s">
        <v>58</v>
      </c>
      <c r="L459" s="4" t="s">
        <v>57</v>
      </c>
      <c r="M459" s="4" t="s">
        <v>1071</v>
      </c>
      <c r="N459" s="4" t="s">
        <v>211</v>
      </c>
      <c r="O459" s="4" t="s">
        <v>210</v>
      </c>
      <c r="P459" s="4" t="s">
        <v>210</v>
      </c>
      <c r="Q459" s="5">
        <v>411000</v>
      </c>
      <c r="R459" s="10">
        <v>0</v>
      </c>
      <c r="S459" s="9">
        <f t="shared" si="16"/>
        <v>411000</v>
      </c>
      <c r="T459" s="4" t="s">
        <v>53</v>
      </c>
      <c r="U459" s="4" t="s">
        <v>1118</v>
      </c>
      <c r="V459" s="4"/>
      <c r="W459" s="4">
        <v>-3</v>
      </c>
      <c r="X459" s="4" t="s">
        <v>94</v>
      </c>
      <c r="Y459" s="4"/>
      <c r="Z459" s="7" t="s">
        <v>14</v>
      </c>
      <c r="AA459" s="36" t="s">
        <v>30</v>
      </c>
      <c r="AB459" s="4"/>
      <c r="AC459" s="22">
        <f t="shared" si="15"/>
        <v>161.1764705882353</v>
      </c>
      <c r="AD459" s="23">
        <v>0</v>
      </c>
    </row>
    <row r="460" spans="1:30" hidden="1" x14ac:dyDescent="0.35">
      <c r="A460" s="7">
        <v>483</v>
      </c>
      <c r="B460" s="6">
        <v>45838</v>
      </c>
      <c r="C460" s="6">
        <v>45838</v>
      </c>
      <c r="D460" s="4" t="s">
        <v>1117</v>
      </c>
      <c r="E460" s="4" t="s">
        <v>61</v>
      </c>
      <c r="F460" s="4" t="s">
        <v>1116</v>
      </c>
      <c r="G460" s="4" t="s">
        <v>1116</v>
      </c>
      <c r="H460" s="4"/>
      <c r="I460" s="4"/>
      <c r="J460" s="4" t="s">
        <v>59</v>
      </c>
      <c r="K460" s="4" t="s">
        <v>58</v>
      </c>
      <c r="L460" s="4" t="s">
        <v>57</v>
      </c>
      <c r="M460" s="4" t="s">
        <v>1071</v>
      </c>
      <c r="N460" s="4" t="s">
        <v>211</v>
      </c>
      <c r="O460" s="4" t="s">
        <v>210</v>
      </c>
      <c r="P460" s="4" t="s">
        <v>210</v>
      </c>
      <c r="Q460" s="5">
        <v>381355.93</v>
      </c>
      <c r="R460" s="10">
        <v>0</v>
      </c>
      <c r="S460" s="9">
        <f t="shared" si="16"/>
        <v>381355.93</v>
      </c>
      <c r="T460" s="4" t="s">
        <v>53</v>
      </c>
      <c r="U460" s="4" t="s">
        <v>1115</v>
      </c>
      <c r="V460" s="4"/>
      <c r="W460" s="4">
        <v>-1</v>
      </c>
      <c r="X460" s="4" t="s">
        <v>94</v>
      </c>
      <c r="Y460" s="4"/>
      <c r="Z460" s="7" t="s">
        <v>14</v>
      </c>
      <c r="AA460" s="36" t="s">
        <v>30</v>
      </c>
      <c r="AB460" s="4"/>
      <c r="AC460" s="22">
        <f t="shared" si="15"/>
        <v>149.55134509803921</v>
      </c>
      <c r="AD460" s="23">
        <v>0</v>
      </c>
    </row>
    <row r="461" spans="1:30" hidden="1" x14ac:dyDescent="0.35">
      <c r="A461" s="7">
        <v>484</v>
      </c>
      <c r="B461" s="6">
        <v>45838</v>
      </c>
      <c r="C461" s="6">
        <v>45838</v>
      </c>
      <c r="D461" s="4" t="s">
        <v>1114</v>
      </c>
      <c r="E461" s="4" t="s">
        <v>61</v>
      </c>
      <c r="F461" s="4" t="s">
        <v>1113</v>
      </c>
      <c r="G461" s="4" t="s">
        <v>1113</v>
      </c>
      <c r="H461" s="4"/>
      <c r="I461" s="4"/>
      <c r="J461" s="4" t="s">
        <v>59</v>
      </c>
      <c r="K461" s="4" t="s">
        <v>58</v>
      </c>
      <c r="L461" s="4" t="s">
        <v>57</v>
      </c>
      <c r="M461" s="4" t="s">
        <v>1071</v>
      </c>
      <c r="N461" s="4" t="s">
        <v>211</v>
      </c>
      <c r="O461" s="4" t="s">
        <v>210</v>
      </c>
      <c r="P461" s="4" t="s">
        <v>210</v>
      </c>
      <c r="Q461" s="5">
        <v>580508.47</v>
      </c>
      <c r="R461" s="10">
        <v>0</v>
      </c>
      <c r="S461" s="9">
        <f t="shared" si="16"/>
        <v>580508.47</v>
      </c>
      <c r="T461" s="4" t="s">
        <v>53</v>
      </c>
      <c r="U461" s="4" t="s">
        <v>1112</v>
      </c>
      <c r="V461" s="4"/>
      <c r="W461" s="4">
        <v>-1</v>
      </c>
      <c r="X461" s="4" t="s">
        <v>94</v>
      </c>
      <c r="Y461" s="4"/>
      <c r="Z461" s="7" t="s">
        <v>14</v>
      </c>
      <c r="AA461" s="36" t="s">
        <v>30</v>
      </c>
      <c r="AB461" s="4"/>
      <c r="AC461" s="22">
        <f t="shared" si="15"/>
        <v>227.65038039215685</v>
      </c>
      <c r="AD461" s="23">
        <v>0</v>
      </c>
    </row>
    <row r="462" spans="1:30" hidden="1" x14ac:dyDescent="0.35">
      <c r="A462" s="7">
        <v>485</v>
      </c>
      <c r="B462" s="6">
        <v>45838</v>
      </c>
      <c r="C462" s="6">
        <v>45838</v>
      </c>
      <c r="D462" s="4" t="s">
        <v>1111</v>
      </c>
      <c r="E462" s="4" t="s">
        <v>61</v>
      </c>
      <c r="F462" s="4" t="s">
        <v>1110</v>
      </c>
      <c r="G462" s="4" t="s">
        <v>1110</v>
      </c>
      <c r="H462" s="4"/>
      <c r="I462" s="4"/>
      <c r="J462" s="4" t="s">
        <v>59</v>
      </c>
      <c r="K462" s="4" t="s">
        <v>58</v>
      </c>
      <c r="L462" s="4" t="s">
        <v>57</v>
      </c>
      <c r="M462" s="4" t="s">
        <v>1071</v>
      </c>
      <c r="N462" s="4" t="s">
        <v>211</v>
      </c>
      <c r="O462" s="4" t="s">
        <v>210</v>
      </c>
      <c r="P462" s="4" t="s">
        <v>210</v>
      </c>
      <c r="Q462" s="5">
        <v>677966.1</v>
      </c>
      <c r="R462" s="10">
        <v>0</v>
      </c>
      <c r="S462" s="9">
        <f t="shared" si="16"/>
        <v>677966.1</v>
      </c>
      <c r="T462" s="4" t="s">
        <v>53</v>
      </c>
      <c r="U462" s="4" t="s">
        <v>1109</v>
      </c>
      <c r="V462" s="4"/>
      <c r="W462" s="4">
        <v>-10</v>
      </c>
      <c r="X462" s="4" t="s">
        <v>94</v>
      </c>
      <c r="Y462" s="4"/>
      <c r="Z462" s="7" t="s">
        <v>14</v>
      </c>
      <c r="AA462" s="36" t="s">
        <v>30</v>
      </c>
      <c r="AB462" s="4"/>
      <c r="AC462" s="22">
        <f t="shared" si="15"/>
        <v>265.86905882352943</v>
      </c>
      <c r="AD462" s="23">
        <v>0</v>
      </c>
    </row>
    <row r="463" spans="1:30" hidden="1" x14ac:dyDescent="0.35">
      <c r="A463" s="7">
        <v>486</v>
      </c>
      <c r="B463" s="6">
        <v>45838</v>
      </c>
      <c r="C463" s="6">
        <v>45838</v>
      </c>
      <c r="D463" s="4" t="s">
        <v>1108</v>
      </c>
      <c r="E463" s="4" t="s">
        <v>61</v>
      </c>
      <c r="F463" s="4" t="s">
        <v>1107</v>
      </c>
      <c r="G463" s="4" t="s">
        <v>1107</v>
      </c>
      <c r="H463" s="4"/>
      <c r="I463" s="4"/>
      <c r="J463" s="4" t="s">
        <v>59</v>
      </c>
      <c r="K463" s="4" t="s">
        <v>58</v>
      </c>
      <c r="L463" s="4" t="s">
        <v>57</v>
      </c>
      <c r="M463" s="4" t="s">
        <v>1071</v>
      </c>
      <c r="N463" s="4" t="s">
        <v>211</v>
      </c>
      <c r="O463" s="4" t="s">
        <v>210</v>
      </c>
      <c r="P463" s="4" t="s">
        <v>210</v>
      </c>
      <c r="Q463" s="5">
        <v>360000</v>
      </c>
      <c r="R463" s="10">
        <v>0</v>
      </c>
      <c r="S463" s="9">
        <f t="shared" si="16"/>
        <v>360000</v>
      </c>
      <c r="T463" s="4" t="s">
        <v>53</v>
      </c>
      <c r="U463" s="4" t="s">
        <v>1106</v>
      </c>
      <c r="V463" s="4"/>
      <c r="W463" s="4">
        <v>-4</v>
      </c>
      <c r="X463" s="4" t="s">
        <v>94</v>
      </c>
      <c r="Y463" s="4"/>
      <c r="Z463" s="7" t="s">
        <v>14</v>
      </c>
      <c r="AA463" s="36" t="s">
        <v>30</v>
      </c>
      <c r="AB463" s="4"/>
      <c r="AC463" s="22">
        <f t="shared" si="15"/>
        <v>141.1764705882353</v>
      </c>
      <c r="AD463" s="23">
        <v>0</v>
      </c>
    </row>
    <row r="464" spans="1:30" hidden="1" x14ac:dyDescent="0.35">
      <c r="A464" s="7">
        <v>487</v>
      </c>
      <c r="B464" s="6">
        <v>45838</v>
      </c>
      <c r="C464" s="6">
        <v>45838</v>
      </c>
      <c r="D464" s="4" t="s">
        <v>1105</v>
      </c>
      <c r="E464" s="4" t="s">
        <v>61</v>
      </c>
      <c r="F464" s="4" t="s">
        <v>1104</v>
      </c>
      <c r="G464" s="4" t="s">
        <v>1104</v>
      </c>
      <c r="H464" s="4"/>
      <c r="I464" s="4"/>
      <c r="J464" s="4" t="s">
        <v>59</v>
      </c>
      <c r="K464" s="4" t="s">
        <v>58</v>
      </c>
      <c r="L464" s="4" t="s">
        <v>57</v>
      </c>
      <c r="M464" s="4" t="s">
        <v>1071</v>
      </c>
      <c r="N464" s="4" t="s">
        <v>211</v>
      </c>
      <c r="O464" s="4" t="s">
        <v>210</v>
      </c>
      <c r="P464" s="4" t="s">
        <v>210</v>
      </c>
      <c r="Q464" s="5">
        <v>1800000</v>
      </c>
      <c r="R464" s="10">
        <v>0</v>
      </c>
      <c r="S464" s="9">
        <f t="shared" si="16"/>
        <v>1800000</v>
      </c>
      <c r="T464" s="4" t="s">
        <v>53</v>
      </c>
      <c r="U464" s="4" t="s">
        <v>209</v>
      </c>
      <c r="V464" s="4"/>
      <c r="W464" s="4">
        <v>-10</v>
      </c>
      <c r="X464" s="4" t="s">
        <v>94</v>
      </c>
      <c r="Y464" s="4"/>
      <c r="Z464" s="7" t="s">
        <v>14</v>
      </c>
      <c r="AA464" s="36" t="s">
        <v>30</v>
      </c>
      <c r="AB464" s="4"/>
      <c r="AC464" s="22">
        <f t="shared" si="15"/>
        <v>705.88235294117646</v>
      </c>
      <c r="AD464" s="23">
        <v>0</v>
      </c>
    </row>
    <row r="465" spans="1:30" hidden="1" x14ac:dyDescent="0.35">
      <c r="A465" s="7">
        <v>488</v>
      </c>
      <c r="B465" s="6">
        <v>45838</v>
      </c>
      <c r="C465" s="6">
        <v>45838</v>
      </c>
      <c r="D465" s="4" t="s">
        <v>1103</v>
      </c>
      <c r="E465" s="4" t="s">
        <v>61</v>
      </c>
      <c r="F465" s="4" t="s">
        <v>1102</v>
      </c>
      <c r="G465" s="4" t="s">
        <v>1102</v>
      </c>
      <c r="H465" s="4"/>
      <c r="I465" s="4"/>
      <c r="J465" s="4" t="s">
        <v>59</v>
      </c>
      <c r="K465" s="4" t="s">
        <v>58</v>
      </c>
      <c r="L465" s="4" t="s">
        <v>57</v>
      </c>
      <c r="M465" s="4" t="s">
        <v>1071</v>
      </c>
      <c r="N465" s="4" t="s">
        <v>211</v>
      </c>
      <c r="O465" s="4" t="s">
        <v>210</v>
      </c>
      <c r="P465" s="4" t="s">
        <v>210</v>
      </c>
      <c r="Q465" s="5">
        <v>4282470.88</v>
      </c>
      <c r="R465" s="10">
        <v>0</v>
      </c>
      <c r="S465" s="9">
        <f t="shared" si="16"/>
        <v>4282470.88</v>
      </c>
      <c r="T465" s="4" t="s">
        <v>53</v>
      </c>
      <c r="U465" s="4" t="s">
        <v>1101</v>
      </c>
      <c r="V465" s="4"/>
      <c r="W465" s="4">
        <v>-8</v>
      </c>
      <c r="X465" s="4" t="s">
        <v>94</v>
      </c>
      <c r="Y465" s="4"/>
      <c r="Z465" s="7" t="s">
        <v>14</v>
      </c>
      <c r="AA465" s="36" t="s">
        <v>30</v>
      </c>
      <c r="AB465" s="4"/>
      <c r="AC465" s="22">
        <f t="shared" si="15"/>
        <v>1679.4003450980392</v>
      </c>
      <c r="AD465" s="23">
        <v>0</v>
      </c>
    </row>
    <row r="466" spans="1:30" hidden="1" x14ac:dyDescent="0.35">
      <c r="A466" s="7">
        <v>489</v>
      </c>
      <c r="B466" s="6">
        <v>45838</v>
      </c>
      <c r="C466" s="6">
        <v>45838</v>
      </c>
      <c r="D466" s="4" t="s">
        <v>1100</v>
      </c>
      <c r="E466" s="4" t="s">
        <v>61</v>
      </c>
      <c r="F466" s="4" t="s">
        <v>1099</v>
      </c>
      <c r="G466" s="4" t="s">
        <v>1099</v>
      </c>
      <c r="H466" s="4"/>
      <c r="I466" s="4"/>
      <c r="J466" s="4" t="s">
        <v>59</v>
      </c>
      <c r="K466" s="4" t="s">
        <v>58</v>
      </c>
      <c r="L466" s="4" t="s">
        <v>57</v>
      </c>
      <c r="M466" s="4" t="s">
        <v>1071</v>
      </c>
      <c r="N466" s="4" t="s">
        <v>211</v>
      </c>
      <c r="O466" s="4" t="s">
        <v>210</v>
      </c>
      <c r="P466" s="4" t="s">
        <v>210</v>
      </c>
      <c r="Q466" s="5">
        <v>125000</v>
      </c>
      <c r="R466" s="10">
        <v>0</v>
      </c>
      <c r="S466" s="9">
        <f t="shared" si="16"/>
        <v>125000</v>
      </c>
      <c r="T466" s="4" t="s">
        <v>53</v>
      </c>
      <c r="U466" s="4" t="s">
        <v>1098</v>
      </c>
      <c r="V466" s="4"/>
      <c r="W466" s="4">
        <v>-5</v>
      </c>
      <c r="X466" s="4" t="s">
        <v>94</v>
      </c>
      <c r="Y466" s="4"/>
      <c r="Z466" s="7" t="s">
        <v>14</v>
      </c>
      <c r="AA466" s="36" t="s">
        <v>30</v>
      </c>
      <c r="AB466" s="4"/>
      <c r="AC466" s="22">
        <f t="shared" si="15"/>
        <v>49.019607843137258</v>
      </c>
      <c r="AD466" s="23">
        <v>0</v>
      </c>
    </row>
    <row r="467" spans="1:30" hidden="1" x14ac:dyDescent="0.35">
      <c r="A467" s="7">
        <v>490</v>
      </c>
      <c r="B467" s="6">
        <v>45838</v>
      </c>
      <c r="C467" s="6">
        <v>45838</v>
      </c>
      <c r="D467" s="4" t="s">
        <v>1097</v>
      </c>
      <c r="E467" s="4" t="s">
        <v>61</v>
      </c>
      <c r="F467" s="4" t="s">
        <v>1096</v>
      </c>
      <c r="G467" s="4" t="s">
        <v>1096</v>
      </c>
      <c r="H467" s="4"/>
      <c r="I467" s="4"/>
      <c r="J467" s="4" t="s">
        <v>59</v>
      </c>
      <c r="K467" s="4" t="s">
        <v>58</v>
      </c>
      <c r="L467" s="4" t="s">
        <v>57</v>
      </c>
      <c r="M467" s="4" t="s">
        <v>1071</v>
      </c>
      <c r="N467" s="4" t="s">
        <v>211</v>
      </c>
      <c r="O467" s="4" t="s">
        <v>210</v>
      </c>
      <c r="P467" s="4" t="s">
        <v>210</v>
      </c>
      <c r="Q467" s="5">
        <v>19083.830000000002</v>
      </c>
      <c r="R467" s="10">
        <v>0</v>
      </c>
      <c r="S467" s="9">
        <f t="shared" si="16"/>
        <v>19083.830000000002</v>
      </c>
      <c r="T467" s="4" t="s">
        <v>53</v>
      </c>
      <c r="U467" s="4" t="s">
        <v>238</v>
      </c>
      <c r="V467" s="4"/>
      <c r="W467" s="4">
        <v>-5</v>
      </c>
      <c r="X467" s="4" t="s">
        <v>94</v>
      </c>
      <c r="Y467" s="4"/>
      <c r="Z467" s="7" t="s">
        <v>14</v>
      </c>
      <c r="AA467" s="36" t="s">
        <v>30</v>
      </c>
      <c r="AB467" s="4"/>
      <c r="AC467" s="22">
        <f t="shared" si="15"/>
        <v>7.4838549019607852</v>
      </c>
      <c r="AD467" s="23">
        <v>0</v>
      </c>
    </row>
    <row r="468" spans="1:30" hidden="1" x14ac:dyDescent="0.35">
      <c r="A468" s="7">
        <v>491</v>
      </c>
      <c r="B468" s="6">
        <v>45838</v>
      </c>
      <c r="C468" s="6">
        <v>45838</v>
      </c>
      <c r="D468" s="4" t="s">
        <v>1095</v>
      </c>
      <c r="E468" s="4" t="s">
        <v>61</v>
      </c>
      <c r="F468" s="4" t="s">
        <v>1094</v>
      </c>
      <c r="G468" s="4" t="s">
        <v>1094</v>
      </c>
      <c r="H468" s="4"/>
      <c r="I468" s="4"/>
      <c r="J468" s="4" t="s">
        <v>59</v>
      </c>
      <c r="K468" s="4" t="s">
        <v>58</v>
      </c>
      <c r="L468" s="4" t="s">
        <v>57</v>
      </c>
      <c r="M468" s="4" t="s">
        <v>1071</v>
      </c>
      <c r="N468" s="4" t="s">
        <v>211</v>
      </c>
      <c r="O468" s="4" t="s">
        <v>210</v>
      </c>
      <c r="P468" s="4" t="s">
        <v>210</v>
      </c>
      <c r="Q468" s="5">
        <v>53070</v>
      </c>
      <c r="R468" s="10">
        <v>0</v>
      </c>
      <c r="S468" s="9">
        <f t="shared" si="16"/>
        <v>53070</v>
      </c>
      <c r="T468" s="4" t="s">
        <v>53</v>
      </c>
      <c r="U468" s="4" t="s">
        <v>214</v>
      </c>
      <c r="V468" s="4"/>
      <c r="W468" s="4">
        <v>-12</v>
      </c>
      <c r="X468" s="4" t="s">
        <v>51</v>
      </c>
      <c r="Y468" s="4"/>
      <c r="Z468" s="7" t="s">
        <v>14</v>
      </c>
      <c r="AA468" s="36" t="s">
        <v>30</v>
      </c>
      <c r="AB468" s="4"/>
      <c r="AC468" s="22">
        <f t="shared" si="15"/>
        <v>20.811764705882354</v>
      </c>
      <c r="AD468" s="23">
        <v>0</v>
      </c>
    </row>
    <row r="469" spans="1:30" hidden="1" x14ac:dyDescent="0.35">
      <c r="A469" s="7">
        <v>492</v>
      </c>
      <c r="B469" s="6">
        <v>45838</v>
      </c>
      <c r="C469" s="6">
        <v>45838</v>
      </c>
      <c r="D469" s="4" t="s">
        <v>1093</v>
      </c>
      <c r="E469" s="4" t="s">
        <v>61</v>
      </c>
      <c r="F469" s="4" t="s">
        <v>1092</v>
      </c>
      <c r="G469" s="4" t="s">
        <v>1092</v>
      </c>
      <c r="H469" s="4"/>
      <c r="I469" s="4"/>
      <c r="J469" s="4" t="s">
        <v>59</v>
      </c>
      <c r="K469" s="4" t="s">
        <v>58</v>
      </c>
      <c r="L469" s="4" t="s">
        <v>57</v>
      </c>
      <c r="M469" s="4" t="s">
        <v>1071</v>
      </c>
      <c r="N469" s="4" t="s">
        <v>211</v>
      </c>
      <c r="O469" s="4" t="s">
        <v>210</v>
      </c>
      <c r="P469" s="4" t="s">
        <v>210</v>
      </c>
      <c r="Q469" s="5">
        <v>409750.93</v>
      </c>
      <c r="R469" s="10">
        <v>0</v>
      </c>
      <c r="S469" s="9">
        <f t="shared" si="16"/>
        <v>409750.93</v>
      </c>
      <c r="T469" s="4" t="s">
        <v>53</v>
      </c>
      <c r="U469" s="4" t="s">
        <v>271</v>
      </c>
      <c r="V469" s="4"/>
      <c r="W469" s="4">
        <v>-100</v>
      </c>
      <c r="X469" s="4" t="s">
        <v>124</v>
      </c>
      <c r="Y469" s="4"/>
      <c r="Z469" s="7" t="s">
        <v>14</v>
      </c>
      <c r="AA469" s="36" t="s">
        <v>30</v>
      </c>
      <c r="AB469" s="4"/>
      <c r="AC469" s="22">
        <f t="shared" si="15"/>
        <v>160.68663921568628</v>
      </c>
      <c r="AD469" s="23">
        <v>0</v>
      </c>
    </row>
    <row r="470" spans="1:30" hidden="1" x14ac:dyDescent="0.35">
      <c r="A470" s="7">
        <v>493</v>
      </c>
      <c r="B470" s="6">
        <v>45838</v>
      </c>
      <c r="C470" s="6">
        <v>45838</v>
      </c>
      <c r="D470" s="4" t="s">
        <v>1091</v>
      </c>
      <c r="E470" s="4" t="s">
        <v>61</v>
      </c>
      <c r="F470" s="4" t="s">
        <v>1090</v>
      </c>
      <c r="G470" s="4" t="s">
        <v>1090</v>
      </c>
      <c r="H470" s="4"/>
      <c r="I470" s="4"/>
      <c r="J470" s="4" t="s">
        <v>59</v>
      </c>
      <c r="K470" s="4" t="s">
        <v>58</v>
      </c>
      <c r="L470" s="4" t="s">
        <v>57</v>
      </c>
      <c r="M470" s="4" t="s">
        <v>1071</v>
      </c>
      <c r="N470" s="4" t="s">
        <v>211</v>
      </c>
      <c r="O470" s="4" t="s">
        <v>210</v>
      </c>
      <c r="P470" s="4" t="s">
        <v>210</v>
      </c>
      <c r="Q470" s="5">
        <v>19083.830000000002</v>
      </c>
      <c r="R470" s="10">
        <v>0</v>
      </c>
      <c r="S470" s="9">
        <f t="shared" si="16"/>
        <v>19083.830000000002</v>
      </c>
      <c r="T470" s="4" t="s">
        <v>53</v>
      </c>
      <c r="U470" s="4" t="s">
        <v>238</v>
      </c>
      <c r="V470" s="4"/>
      <c r="W470" s="4">
        <v>-5</v>
      </c>
      <c r="X470" s="4" t="s">
        <v>94</v>
      </c>
      <c r="Y470" s="4"/>
      <c r="Z470" s="7" t="s">
        <v>14</v>
      </c>
      <c r="AA470" s="36" t="s">
        <v>30</v>
      </c>
      <c r="AB470" s="4"/>
      <c r="AC470" s="22">
        <f t="shared" si="15"/>
        <v>7.4838549019607852</v>
      </c>
      <c r="AD470" s="23">
        <v>0</v>
      </c>
    </row>
    <row r="471" spans="1:30" x14ac:dyDescent="0.35">
      <c r="A471" s="7">
        <v>494</v>
      </c>
      <c r="B471" s="6">
        <v>45838</v>
      </c>
      <c r="C471" s="6">
        <v>45838</v>
      </c>
      <c r="D471" s="4" t="s">
        <v>1089</v>
      </c>
      <c r="E471" s="4" t="s">
        <v>61</v>
      </c>
      <c r="F471" s="4" t="s">
        <v>1088</v>
      </c>
      <c r="G471" s="4" t="s">
        <v>1088</v>
      </c>
      <c r="H471" s="4"/>
      <c r="I471" s="4"/>
      <c r="J471" s="4" t="s">
        <v>59</v>
      </c>
      <c r="K471" s="4" t="s">
        <v>58</v>
      </c>
      <c r="L471" s="4" t="s">
        <v>57</v>
      </c>
      <c r="M471" s="4" t="s">
        <v>1071</v>
      </c>
      <c r="N471" s="4" t="s">
        <v>197</v>
      </c>
      <c r="O471" s="4" t="s">
        <v>1065</v>
      </c>
      <c r="P471" s="4" t="s">
        <v>1064</v>
      </c>
      <c r="Q471" s="5">
        <v>28500</v>
      </c>
      <c r="R471" s="10">
        <v>0</v>
      </c>
      <c r="S471" s="9">
        <f t="shared" si="16"/>
        <v>28500</v>
      </c>
      <c r="T471" s="4" t="s">
        <v>53</v>
      </c>
      <c r="U471" s="4" t="s">
        <v>151</v>
      </c>
      <c r="V471" s="4"/>
      <c r="W471" s="4">
        <v>-5</v>
      </c>
      <c r="X471" s="4" t="s">
        <v>124</v>
      </c>
      <c r="Y471" s="4"/>
      <c r="Z471" s="7" t="s">
        <v>14</v>
      </c>
      <c r="AA471" s="36" t="s">
        <v>29</v>
      </c>
      <c r="AB471" s="4" t="s">
        <v>2607</v>
      </c>
      <c r="AC471" s="22">
        <f t="shared" si="15"/>
        <v>11.176470588235293</v>
      </c>
      <c r="AD471" s="23">
        <v>0</v>
      </c>
    </row>
    <row r="472" spans="1:30" x14ac:dyDescent="0.35">
      <c r="A472" s="7">
        <v>495</v>
      </c>
      <c r="B472" s="6">
        <v>45838</v>
      </c>
      <c r="C472" s="6">
        <v>45838</v>
      </c>
      <c r="D472" s="4" t="s">
        <v>1087</v>
      </c>
      <c r="E472" s="4" t="s">
        <v>61</v>
      </c>
      <c r="F472" s="4" t="s">
        <v>1086</v>
      </c>
      <c r="G472" s="4" t="s">
        <v>1086</v>
      </c>
      <c r="H472" s="4"/>
      <c r="I472" s="4"/>
      <c r="J472" s="4" t="s">
        <v>59</v>
      </c>
      <c r="K472" s="4" t="s">
        <v>58</v>
      </c>
      <c r="L472" s="4" t="s">
        <v>57</v>
      </c>
      <c r="M472" s="4" t="s">
        <v>1071</v>
      </c>
      <c r="N472" s="4" t="s">
        <v>197</v>
      </c>
      <c r="O472" s="4" t="s">
        <v>1065</v>
      </c>
      <c r="P472" s="4" t="s">
        <v>1064</v>
      </c>
      <c r="Q472" s="5">
        <v>29853.81</v>
      </c>
      <c r="R472" s="10">
        <v>0</v>
      </c>
      <c r="S472" s="9">
        <f t="shared" si="16"/>
        <v>29853.81</v>
      </c>
      <c r="T472" s="4" t="s">
        <v>53</v>
      </c>
      <c r="U472" s="4" t="s">
        <v>739</v>
      </c>
      <c r="V472" s="4"/>
      <c r="W472" s="4">
        <v>-3</v>
      </c>
      <c r="X472" s="4" t="s">
        <v>124</v>
      </c>
      <c r="Y472" s="4"/>
      <c r="Z472" s="7" t="s">
        <v>14</v>
      </c>
      <c r="AA472" s="36" t="s">
        <v>29</v>
      </c>
      <c r="AB472" s="4" t="s">
        <v>2607</v>
      </c>
      <c r="AC472" s="22">
        <f t="shared" si="15"/>
        <v>11.707376470588235</v>
      </c>
      <c r="AD472" s="23">
        <v>0</v>
      </c>
    </row>
    <row r="473" spans="1:30" x14ac:dyDescent="0.35">
      <c r="A473" s="7">
        <v>496</v>
      </c>
      <c r="B473" s="6">
        <v>45838</v>
      </c>
      <c r="C473" s="6">
        <v>45838</v>
      </c>
      <c r="D473" s="4" t="s">
        <v>1085</v>
      </c>
      <c r="E473" s="4" t="s">
        <v>61</v>
      </c>
      <c r="F473" s="4" t="s">
        <v>1084</v>
      </c>
      <c r="G473" s="4" t="s">
        <v>1084</v>
      </c>
      <c r="H473" s="4"/>
      <c r="I473" s="4"/>
      <c r="J473" s="4" t="s">
        <v>59</v>
      </c>
      <c r="K473" s="4" t="s">
        <v>58</v>
      </c>
      <c r="L473" s="4" t="s">
        <v>57</v>
      </c>
      <c r="M473" s="4" t="s">
        <v>1071</v>
      </c>
      <c r="N473" s="4" t="s">
        <v>197</v>
      </c>
      <c r="O473" s="4" t="s">
        <v>1065</v>
      </c>
      <c r="P473" s="4" t="s">
        <v>1064</v>
      </c>
      <c r="Q473" s="5">
        <v>28500</v>
      </c>
      <c r="R473" s="10">
        <v>0</v>
      </c>
      <c r="S473" s="9">
        <f t="shared" si="16"/>
        <v>28500</v>
      </c>
      <c r="T473" s="4" t="s">
        <v>53</v>
      </c>
      <c r="U473" s="4" t="s">
        <v>151</v>
      </c>
      <c r="V473" s="4"/>
      <c r="W473" s="4">
        <v>-5</v>
      </c>
      <c r="X473" s="4" t="s">
        <v>124</v>
      </c>
      <c r="Y473" s="4"/>
      <c r="Z473" s="7" t="s">
        <v>14</v>
      </c>
      <c r="AA473" s="36" t="s">
        <v>29</v>
      </c>
      <c r="AB473" s="4" t="s">
        <v>2607</v>
      </c>
      <c r="AC473" s="22">
        <f t="shared" si="15"/>
        <v>11.176470588235293</v>
      </c>
      <c r="AD473" s="23">
        <v>0</v>
      </c>
    </row>
    <row r="474" spans="1:30" x14ac:dyDescent="0.35">
      <c r="A474" s="7">
        <v>497</v>
      </c>
      <c r="B474" s="6">
        <v>45838</v>
      </c>
      <c r="C474" s="6">
        <v>45838</v>
      </c>
      <c r="D474" s="4" t="s">
        <v>1083</v>
      </c>
      <c r="E474" s="4" t="s">
        <v>61</v>
      </c>
      <c r="F474" s="4" t="s">
        <v>1082</v>
      </c>
      <c r="G474" s="4" t="s">
        <v>1082</v>
      </c>
      <c r="H474" s="4"/>
      <c r="I474" s="4"/>
      <c r="J474" s="4" t="s">
        <v>59</v>
      </c>
      <c r="K474" s="4" t="s">
        <v>58</v>
      </c>
      <c r="L474" s="4" t="s">
        <v>57</v>
      </c>
      <c r="M474" s="4" t="s">
        <v>1071</v>
      </c>
      <c r="N474" s="4" t="s">
        <v>197</v>
      </c>
      <c r="O474" s="4" t="s">
        <v>1065</v>
      </c>
      <c r="P474" s="4" t="s">
        <v>1064</v>
      </c>
      <c r="Q474" s="5">
        <v>19902.55</v>
      </c>
      <c r="R474" s="10">
        <v>0</v>
      </c>
      <c r="S474" s="9">
        <f t="shared" si="16"/>
        <v>19902.55</v>
      </c>
      <c r="T474" s="4" t="s">
        <v>53</v>
      </c>
      <c r="U474" s="4" t="s">
        <v>739</v>
      </c>
      <c r="V474" s="4"/>
      <c r="W474" s="4">
        <v>-2</v>
      </c>
      <c r="X474" s="4" t="s">
        <v>124</v>
      </c>
      <c r="Y474" s="4"/>
      <c r="Z474" s="7" t="s">
        <v>14</v>
      </c>
      <c r="AA474" s="36" t="s">
        <v>29</v>
      </c>
      <c r="AB474" s="4" t="s">
        <v>2607</v>
      </c>
      <c r="AC474" s="22">
        <f t="shared" si="15"/>
        <v>7.8049215686274511</v>
      </c>
      <c r="AD474" s="23">
        <v>0</v>
      </c>
    </row>
    <row r="475" spans="1:30" x14ac:dyDescent="0.35">
      <c r="A475" s="7">
        <v>498</v>
      </c>
      <c r="B475" s="6">
        <v>45838</v>
      </c>
      <c r="C475" s="6">
        <v>45838</v>
      </c>
      <c r="D475" s="4" t="s">
        <v>1081</v>
      </c>
      <c r="E475" s="4" t="s">
        <v>61</v>
      </c>
      <c r="F475" s="4" t="s">
        <v>1080</v>
      </c>
      <c r="G475" s="4" t="s">
        <v>1080</v>
      </c>
      <c r="H475" s="4"/>
      <c r="I475" s="4"/>
      <c r="J475" s="4" t="s">
        <v>59</v>
      </c>
      <c r="K475" s="4" t="s">
        <v>58</v>
      </c>
      <c r="L475" s="4" t="s">
        <v>57</v>
      </c>
      <c r="M475" s="4" t="s">
        <v>1071</v>
      </c>
      <c r="N475" s="4" t="s">
        <v>197</v>
      </c>
      <c r="O475" s="4" t="s">
        <v>1065</v>
      </c>
      <c r="P475" s="4" t="s">
        <v>1064</v>
      </c>
      <c r="Q475" s="5">
        <v>32627.1</v>
      </c>
      <c r="R475" s="10">
        <v>0</v>
      </c>
      <c r="S475" s="9">
        <f t="shared" si="16"/>
        <v>32627.1</v>
      </c>
      <c r="T475" s="4" t="s">
        <v>53</v>
      </c>
      <c r="U475" s="4" t="s">
        <v>117</v>
      </c>
      <c r="V475" s="4"/>
      <c r="W475" s="4">
        <v>-10</v>
      </c>
      <c r="X475" s="4" t="s">
        <v>94</v>
      </c>
      <c r="Y475" s="4"/>
      <c r="Z475" s="7" t="s">
        <v>14</v>
      </c>
      <c r="AA475" s="36" t="s">
        <v>29</v>
      </c>
      <c r="AB475" s="4" t="s">
        <v>2607</v>
      </c>
      <c r="AC475" s="22">
        <f t="shared" si="15"/>
        <v>12.794941176470587</v>
      </c>
      <c r="AD475" s="23">
        <v>0</v>
      </c>
    </row>
    <row r="476" spans="1:30" x14ac:dyDescent="0.35">
      <c r="A476" s="7">
        <v>499</v>
      </c>
      <c r="B476" s="6">
        <v>45838</v>
      </c>
      <c r="C476" s="6">
        <v>45838</v>
      </c>
      <c r="D476" s="4" t="s">
        <v>1079</v>
      </c>
      <c r="E476" s="4" t="s">
        <v>61</v>
      </c>
      <c r="F476" s="4" t="s">
        <v>1078</v>
      </c>
      <c r="G476" s="4" t="s">
        <v>1078</v>
      </c>
      <c r="H476" s="4"/>
      <c r="I476" s="4"/>
      <c r="J476" s="4" t="s">
        <v>59</v>
      </c>
      <c r="K476" s="4" t="s">
        <v>58</v>
      </c>
      <c r="L476" s="4" t="s">
        <v>57</v>
      </c>
      <c r="M476" s="4" t="s">
        <v>1071</v>
      </c>
      <c r="N476" s="4" t="s">
        <v>96</v>
      </c>
      <c r="O476" s="4" t="s">
        <v>1065</v>
      </c>
      <c r="P476" s="4" t="s">
        <v>1064</v>
      </c>
      <c r="Q476" s="5">
        <v>75000</v>
      </c>
      <c r="R476" s="10">
        <v>0</v>
      </c>
      <c r="S476" s="9">
        <f t="shared" si="16"/>
        <v>75000</v>
      </c>
      <c r="T476" s="4" t="s">
        <v>53</v>
      </c>
      <c r="U476" s="4" t="s">
        <v>133</v>
      </c>
      <c r="V476" s="4"/>
      <c r="W476" s="4">
        <v>-15</v>
      </c>
      <c r="X476" s="4" t="s">
        <v>124</v>
      </c>
      <c r="Y476" s="4"/>
      <c r="Z476" s="7" t="s">
        <v>14</v>
      </c>
      <c r="AA476" s="36" t="s">
        <v>27</v>
      </c>
      <c r="AB476" s="4" t="s">
        <v>2603</v>
      </c>
      <c r="AC476" s="22">
        <f t="shared" si="15"/>
        <v>29.411764705882351</v>
      </c>
      <c r="AD476" s="23">
        <v>0</v>
      </c>
    </row>
    <row r="477" spans="1:30" x14ac:dyDescent="0.35">
      <c r="A477" s="7">
        <v>500</v>
      </c>
      <c r="B477" s="6">
        <v>45838</v>
      </c>
      <c r="C477" s="6">
        <v>45838</v>
      </c>
      <c r="D477" s="4" t="s">
        <v>1077</v>
      </c>
      <c r="E477" s="4" t="s">
        <v>61</v>
      </c>
      <c r="F477" s="4" t="s">
        <v>1076</v>
      </c>
      <c r="G477" s="4" t="s">
        <v>1076</v>
      </c>
      <c r="H477" s="4"/>
      <c r="I477" s="4"/>
      <c r="J477" s="4" t="s">
        <v>59</v>
      </c>
      <c r="K477" s="4" t="s">
        <v>58</v>
      </c>
      <c r="L477" s="4" t="s">
        <v>57</v>
      </c>
      <c r="M477" s="4" t="s">
        <v>1071</v>
      </c>
      <c r="N477" s="4" t="s">
        <v>96</v>
      </c>
      <c r="O477" s="4" t="s">
        <v>1065</v>
      </c>
      <c r="P477" s="4" t="s">
        <v>1064</v>
      </c>
      <c r="Q477" s="5">
        <v>441611.65</v>
      </c>
      <c r="R477" s="10">
        <v>0</v>
      </c>
      <c r="S477" s="9">
        <f t="shared" si="16"/>
        <v>441611.65</v>
      </c>
      <c r="T477" s="4" t="s">
        <v>53</v>
      </c>
      <c r="U477" s="4" t="s">
        <v>130</v>
      </c>
      <c r="V477" s="4"/>
      <c r="W477" s="4">
        <v>-30</v>
      </c>
      <c r="X477" s="4" t="s">
        <v>129</v>
      </c>
      <c r="Y477" s="4"/>
      <c r="Z477" s="7" t="s">
        <v>14</v>
      </c>
      <c r="AA477" s="36" t="s">
        <v>27</v>
      </c>
      <c r="AB477" s="4" t="s">
        <v>2603</v>
      </c>
      <c r="AC477" s="22">
        <f t="shared" si="15"/>
        <v>173.1810392156863</v>
      </c>
      <c r="AD477" s="23">
        <v>0</v>
      </c>
    </row>
    <row r="478" spans="1:30" x14ac:dyDescent="0.35">
      <c r="A478" s="7">
        <v>501</v>
      </c>
      <c r="B478" s="6">
        <v>45838</v>
      </c>
      <c r="C478" s="6">
        <v>45838</v>
      </c>
      <c r="D478" s="4" t="s">
        <v>1075</v>
      </c>
      <c r="E478" s="4" t="s">
        <v>61</v>
      </c>
      <c r="F478" s="4" t="s">
        <v>1074</v>
      </c>
      <c r="G478" s="4" t="s">
        <v>1074</v>
      </c>
      <c r="H478" s="4"/>
      <c r="I478" s="4"/>
      <c r="J478" s="4" t="s">
        <v>59</v>
      </c>
      <c r="K478" s="4" t="s">
        <v>58</v>
      </c>
      <c r="L478" s="4" t="s">
        <v>57</v>
      </c>
      <c r="M478" s="4" t="s">
        <v>1071</v>
      </c>
      <c r="N478" s="4" t="s">
        <v>96</v>
      </c>
      <c r="O478" s="4" t="s">
        <v>1065</v>
      </c>
      <c r="P478" s="4" t="s">
        <v>1064</v>
      </c>
      <c r="Q478" s="5">
        <v>72250</v>
      </c>
      <c r="R478" s="10">
        <v>0</v>
      </c>
      <c r="S478" s="9">
        <f t="shared" si="16"/>
        <v>72250</v>
      </c>
      <c r="T478" s="4" t="s">
        <v>53</v>
      </c>
      <c r="U478" s="4" t="s">
        <v>133</v>
      </c>
      <c r="V478" s="4"/>
      <c r="W478" s="4">
        <v>-14.45</v>
      </c>
      <c r="X478" s="4" t="s">
        <v>124</v>
      </c>
      <c r="Y478" s="4"/>
      <c r="Z478" s="7" t="s">
        <v>14</v>
      </c>
      <c r="AA478" s="36" t="s">
        <v>27</v>
      </c>
      <c r="AB478" s="4" t="s">
        <v>2603</v>
      </c>
      <c r="AC478" s="22">
        <f t="shared" si="15"/>
        <v>28.333333333333332</v>
      </c>
      <c r="AD478" s="23">
        <v>0</v>
      </c>
    </row>
    <row r="479" spans="1:30" x14ac:dyDescent="0.35">
      <c r="A479" s="7">
        <v>502</v>
      </c>
      <c r="B479" s="6">
        <v>45838</v>
      </c>
      <c r="C479" s="6">
        <v>45838</v>
      </c>
      <c r="D479" s="4" t="s">
        <v>1073</v>
      </c>
      <c r="E479" s="4" t="s">
        <v>61</v>
      </c>
      <c r="F479" s="4" t="s">
        <v>1072</v>
      </c>
      <c r="G479" s="4" t="s">
        <v>1072</v>
      </c>
      <c r="H479" s="4"/>
      <c r="I479" s="4"/>
      <c r="J479" s="4" t="s">
        <v>59</v>
      </c>
      <c r="K479" s="4" t="s">
        <v>58</v>
      </c>
      <c r="L479" s="4" t="s">
        <v>57</v>
      </c>
      <c r="M479" s="4" t="s">
        <v>1071</v>
      </c>
      <c r="N479" s="4" t="s">
        <v>96</v>
      </c>
      <c r="O479" s="4" t="s">
        <v>1065</v>
      </c>
      <c r="P479" s="4" t="s">
        <v>1064</v>
      </c>
      <c r="Q479" s="5">
        <v>1177631.06</v>
      </c>
      <c r="R479" s="10">
        <v>0</v>
      </c>
      <c r="S479" s="9">
        <f t="shared" si="16"/>
        <v>1177631.06</v>
      </c>
      <c r="T479" s="4" t="s">
        <v>53</v>
      </c>
      <c r="U479" s="4" t="s">
        <v>130</v>
      </c>
      <c r="V479" s="4"/>
      <c r="W479" s="4">
        <v>-80</v>
      </c>
      <c r="X479" s="4" t="s">
        <v>129</v>
      </c>
      <c r="Y479" s="4"/>
      <c r="Z479" s="7" t="s">
        <v>14</v>
      </c>
      <c r="AA479" s="36" t="s">
        <v>27</v>
      </c>
      <c r="AB479" s="4" t="s">
        <v>2603</v>
      </c>
      <c r="AC479" s="22">
        <f t="shared" si="15"/>
        <v>461.81610196078435</v>
      </c>
      <c r="AD479" s="23">
        <v>0</v>
      </c>
    </row>
    <row r="480" spans="1:30" x14ac:dyDescent="0.35">
      <c r="A480" s="7">
        <v>503</v>
      </c>
      <c r="B480" s="6">
        <v>45838</v>
      </c>
      <c r="C480" s="6">
        <v>45838</v>
      </c>
      <c r="D480" s="4" t="s">
        <v>1070</v>
      </c>
      <c r="E480" s="4" t="s">
        <v>61</v>
      </c>
      <c r="F480" s="4" t="s">
        <v>1069</v>
      </c>
      <c r="G480" s="4" t="s">
        <v>1069</v>
      </c>
      <c r="H480" s="4"/>
      <c r="I480" s="4"/>
      <c r="J480" s="4" t="s">
        <v>59</v>
      </c>
      <c r="K480" s="4" t="s">
        <v>58</v>
      </c>
      <c r="L480" s="4" t="s">
        <v>97</v>
      </c>
      <c r="M480" s="4" t="s">
        <v>1066</v>
      </c>
      <c r="N480" s="4" t="s">
        <v>197</v>
      </c>
      <c r="O480" s="4" t="s">
        <v>1065</v>
      </c>
      <c r="P480" s="4" t="s">
        <v>1064</v>
      </c>
      <c r="Q480" s="5">
        <v>42004.7</v>
      </c>
      <c r="R480" s="10">
        <v>0</v>
      </c>
      <c r="S480" s="9">
        <f t="shared" si="16"/>
        <v>42004.7</v>
      </c>
      <c r="T480" s="4" t="s">
        <v>53</v>
      </c>
      <c r="U480" s="4" t="s">
        <v>111</v>
      </c>
      <c r="V480" s="4"/>
      <c r="W480" s="4">
        <v>-100</v>
      </c>
      <c r="X480" s="4" t="s">
        <v>94</v>
      </c>
      <c r="Y480" s="4"/>
      <c r="Z480" s="7" t="s">
        <v>14</v>
      </c>
      <c r="AA480" s="36" t="s">
        <v>29</v>
      </c>
      <c r="AB480" s="4" t="s">
        <v>2607</v>
      </c>
      <c r="AC480" s="22">
        <f t="shared" si="15"/>
        <v>16.472431372549018</v>
      </c>
      <c r="AD480" s="23">
        <v>0</v>
      </c>
    </row>
    <row r="481" spans="1:30" x14ac:dyDescent="0.35">
      <c r="A481" s="7">
        <v>504</v>
      </c>
      <c r="B481" s="6">
        <v>45838</v>
      </c>
      <c r="C481" s="6">
        <v>45838</v>
      </c>
      <c r="D481" s="4" t="s">
        <v>1068</v>
      </c>
      <c r="E481" s="4" t="s">
        <v>61</v>
      </c>
      <c r="F481" s="4" t="s">
        <v>1067</v>
      </c>
      <c r="G481" s="4" t="s">
        <v>1067</v>
      </c>
      <c r="H481" s="4"/>
      <c r="I481" s="4"/>
      <c r="J481" s="4" t="s">
        <v>59</v>
      </c>
      <c r="K481" s="4" t="s">
        <v>58</v>
      </c>
      <c r="L481" s="4" t="s">
        <v>97</v>
      </c>
      <c r="M481" s="4" t="s">
        <v>1066</v>
      </c>
      <c r="N481" s="4" t="s">
        <v>96</v>
      </c>
      <c r="O481" s="4" t="s">
        <v>1065</v>
      </c>
      <c r="P481" s="4" t="s">
        <v>1064</v>
      </c>
      <c r="Q481" s="5">
        <v>252535.42</v>
      </c>
      <c r="R481" s="10">
        <v>0</v>
      </c>
      <c r="S481" s="9">
        <f t="shared" si="16"/>
        <v>252535.42</v>
      </c>
      <c r="T481" s="4" t="s">
        <v>53</v>
      </c>
      <c r="U481" s="4" t="s">
        <v>95</v>
      </c>
      <c r="V481" s="4"/>
      <c r="W481" s="4">
        <v>-12</v>
      </c>
      <c r="X481" s="4" t="s">
        <v>94</v>
      </c>
      <c r="Y481" s="4"/>
      <c r="Z481" s="7" t="s">
        <v>14</v>
      </c>
      <c r="AA481" s="36" t="s">
        <v>27</v>
      </c>
      <c r="AB481" s="4" t="s">
        <v>2603</v>
      </c>
      <c r="AC481" s="22">
        <f t="shared" si="15"/>
        <v>99.033498039215687</v>
      </c>
      <c r="AD481" s="23">
        <v>0</v>
      </c>
    </row>
    <row r="482" spans="1:30" hidden="1" x14ac:dyDescent="0.35">
      <c r="A482" s="7">
        <v>505</v>
      </c>
      <c r="B482" s="6">
        <v>45838</v>
      </c>
      <c r="C482" s="6">
        <v>45838</v>
      </c>
      <c r="D482" s="4" t="s">
        <v>1063</v>
      </c>
      <c r="E482" s="4" t="s">
        <v>1050</v>
      </c>
      <c r="F482" s="4"/>
      <c r="G482" s="4" t="s">
        <v>1062</v>
      </c>
      <c r="H482" s="4"/>
      <c r="I482" s="4"/>
      <c r="J482" s="4" t="s">
        <v>1048</v>
      </c>
      <c r="K482" s="4" t="s">
        <v>58</v>
      </c>
      <c r="L482" s="4" t="s">
        <v>1059</v>
      </c>
      <c r="M482" s="4" t="s">
        <v>39</v>
      </c>
      <c r="N482" s="4" t="s">
        <v>211</v>
      </c>
      <c r="O482" s="4" t="s">
        <v>210</v>
      </c>
      <c r="P482" s="4" t="s">
        <v>210</v>
      </c>
      <c r="Q482" s="5">
        <v>1000000</v>
      </c>
      <c r="R482" s="10">
        <v>0</v>
      </c>
      <c r="S482" s="9">
        <f t="shared" si="16"/>
        <v>1000000</v>
      </c>
      <c r="T482" s="4" t="s">
        <v>53</v>
      </c>
      <c r="U482" s="4"/>
      <c r="V482" s="4"/>
      <c r="W482" s="4">
        <v>1</v>
      </c>
      <c r="X482" s="4"/>
      <c r="Y482" s="4"/>
      <c r="Z482" s="7" t="s">
        <v>14</v>
      </c>
      <c r="AA482" s="36" t="s">
        <v>30</v>
      </c>
      <c r="AB482" s="4"/>
      <c r="AC482" s="22">
        <f t="shared" si="15"/>
        <v>392.15686274509807</v>
      </c>
      <c r="AD482" s="23">
        <v>0</v>
      </c>
    </row>
    <row r="483" spans="1:30" hidden="1" x14ac:dyDescent="0.35">
      <c r="A483" s="7">
        <v>506</v>
      </c>
      <c r="B483" s="6">
        <v>45838</v>
      </c>
      <c r="C483" s="6">
        <v>45838</v>
      </c>
      <c r="D483" s="4" t="s">
        <v>1061</v>
      </c>
      <c r="E483" s="4" t="s">
        <v>1050</v>
      </c>
      <c r="F483" s="4"/>
      <c r="G483" s="4" t="s">
        <v>1060</v>
      </c>
      <c r="H483" s="4"/>
      <c r="I483" s="4"/>
      <c r="J483" s="4" t="s">
        <v>1048</v>
      </c>
      <c r="K483" s="4" t="s">
        <v>58</v>
      </c>
      <c r="L483" s="4" t="s">
        <v>1059</v>
      </c>
      <c r="M483" s="4" t="s">
        <v>39</v>
      </c>
      <c r="N483" s="4" t="s">
        <v>211</v>
      </c>
      <c r="O483" s="4" t="s">
        <v>210</v>
      </c>
      <c r="P483" s="4" t="s">
        <v>210</v>
      </c>
      <c r="Q483" s="5">
        <v>500000</v>
      </c>
      <c r="R483" s="10">
        <v>0</v>
      </c>
      <c r="S483" s="9">
        <f t="shared" si="16"/>
        <v>500000</v>
      </c>
      <c r="T483" s="4" t="s">
        <v>53</v>
      </c>
      <c r="U483" s="4"/>
      <c r="V483" s="4"/>
      <c r="W483" s="4">
        <v>1</v>
      </c>
      <c r="X483" s="4"/>
      <c r="Y483" s="4"/>
      <c r="Z483" s="7" t="s">
        <v>14</v>
      </c>
      <c r="AA483" s="36" t="s">
        <v>30</v>
      </c>
      <c r="AB483" s="4"/>
      <c r="AC483" s="22">
        <f t="shared" si="15"/>
        <v>196.07843137254903</v>
      </c>
      <c r="AD483" s="23">
        <v>0</v>
      </c>
    </row>
    <row r="484" spans="1:30" hidden="1" x14ac:dyDescent="0.35">
      <c r="A484" s="7">
        <v>507</v>
      </c>
      <c r="B484" s="6">
        <v>45838</v>
      </c>
      <c r="C484" s="6">
        <v>45838</v>
      </c>
      <c r="D484" s="4" t="s">
        <v>1058</v>
      </c>
      <c r="E484" s="4" t="s">
        <v>1050</v>
      </c>
      <c r="F484" s="4"/>
      <c r="G484" s="4" t="s">
        <v>1057</v>
      </c>
      <c r="H484" s="4"/>
      <c r="I484" s="4"/>
      <c r="J484" s="4" t="s">
        <v>1048</v>
      </c>
      <c r="K484" s="4" t="s">
        <v>58</v>
      </c>
      <c r="L484" s="4" t="s">
        <v>1047</v>
      </c>
      <c r="M484" s="4" t="s">
        <v>40</v>
      </c>
      <c r="N484" s="4" t="s">
        <v>211</v>
      </c>
      <c r="O484" s="4" t="s">
        <v>210</v>
      </c>
      <c r="P484" s="4" t="s">
        <v>210</v>
      </c>
      <c r="Q484" s="5">
        <v>500000</v>
      </c>
      <c r="R484" s="10">
        <v>0</v>
      </c>
      <c r="S484" s="9">
        <f t="shared" si="16"/>
        <v>500000</v>
      </c>
      <c r="T484" s="4" t="s">
        <v>53</v>
      </c>
      <c r="U484" s="4"/>
      <c r="V484" s="4"/>
      <c r="W484" s="4">
        <v>1</v>
      </c>
      <c r="X484" s="4"/>
      <c r="Y484" s="4"/>
      <c r="Z484" s="7" t="s">
        <v>14</v>
      </c>
      <c r="AA484" s="36" t="s">
        <v>30</v>
      </c>
      <c r="AB484" s="4"/>
      <c r="AC484" s="22">
        <f t="shared" si="15"/>
        <v>196.07843137254903</v>
      </c>
      <c r="AD484" s="23">
        <v>0</v>
      </c>
    </row>
    <row r="485" spans="1:30" hidden="1" x14ac:dyDescent="0.35">
      <c r="A485" s="7">
        <v>508</v>
      </c>
      <c r="B485" s="6">
        <v>45838</v>
      </c>
      <c r="C485" s="6">
        <v>45838</v>
      </c>
      <c r="D485" s="4" t="s">
        <v>1056</v>
      </c>
      <c r="E485" s="4" t="s">
        <v>1050</v>
      </c>
      <c r="F485" s="4"/>
      <c r="G485" s="4" t="s">
        <v>1052</v>
      </c>
      <c r="H485" s="4"/>
      <c r="I485" s="4"/>
      <c r="J485" s="4" t="s">
        <v>1048</v>
      </c>
      <c r="K485" s="4" t="s">
        <v>58</v>
      </c>
      <c r="L485" s="4" t="s">
        <v>1047</v>
      </c>
      <c r="M485" s="4" t="s">
        <v>40</v>
      </c>
      <c r="N485" s="4" t="s">
        <v>211</v>
      </c>
      <c r="O485" s="4" t="s">
        <v>210</v>
      </c>
      <c r="P485" s="4" t="s">
        <v>210</v>
      </c>
      <c r="Q485" s="5">
        <v>900000</v>
      </c>
      <c r="R485" s="10">
        <v>0</v>
      </c>
      <c r="S485" s="9">
        <f t="shared" si="16"/>
        <v>900000</v>
      </c>
      <c r="T485" s="4" t="s">
        <v>53</v>
      </c>
      <c r="U485" s="4"/>
      <c r="V485" s="4"/>
      <c r="W485" s="4">
        <v>1</v>
      </c>
      <c r="X485" s="4"/>
      <c r="Y485" s="4"/>
      <c r="Z485" s="7" t="s">
        <v>14</v>
      </c>
      <c r="AA485" s="36" t="s">
        <v>30</v>
      </c>
      <c r="AB485" s="4"/>
      <c r="AC485" s="22">
        <f t="shared" si="15"/>
        <v>352.94117647058823</v>
      </c>
      <c r="AD485" s="23">
        <v>0</v>
      </c>
    </row>
    <row r="486" spans="1:30" hidden="1" x14ac:dyDescent="0.35">
      <c r="A486" s="7">
        <v>509</v>
      </c>
      <c r="B486" s="6">
        <v>45838</v>
      </c>
      <c r="C486" s="6">
        <v>45838</v>
      </c>
      <c r="D486" s="4" t="s">
        <v>1055</v>
      </c>
      <c r="E486" s="4" t="s">
        <v>1050</v>
      </c>
      <c r="F486" s="4"/>
      <c r="G486" s="4" t="s">
        <v>1054</v>
      </c>
      <c r="H486" s="4"/>
      <c r="I486" s="4"/>
      <c r="J486" s="4" t="s">
        <v>1048</v>
      </c>
      <c r="K486" s="4" t="s">
        <v>58</v>
      </c>
      <c r="L486" s="4" t="s">
        <v>1047</v>
      </c>
      <c r="M486" s="4" t="s">
        <v>40</v>
      </c>
      <c r="N486" s="4" t="s">
        <v>211</v>
      </c>
      <c r="O486" s="4" t="s">
        <v>210</v>
      </c>
      <c r="P486" s="4" t="s">
        <v>210</v>
      </c>
      <c r="Q486" s="5">
        <v>300000</v>
      </c>
      <c r="R486" s="10">
        <v>0</v>
      </c>
      <c r="S486" s="9">
        <f t="shared" si="16"/>
        <v>300000</v>
      </c>
      <c r="T486" s="4" t="s">
        <v>53</v>
      </c>
      <c r="U486" s="4"/>
      <c r="V486" s="4"/>
      <c r="W486" s="4">
        <v>1</v>
      </c>
      <c r="X486" s="4"/>
      <c r="Y486" s="4"/>
      <c r="Z486" s="7" t="s">
        <v>14</v>
      </c>
      <c r="AA486" s="36" t="s">
        <v>30</v>
      </c>
      <c r="AB486" s="4"/>
      <c r="AC486" s="22">
        <f t="shared" si="15"/>
        <v>117.64705882352941</v>
      </c>
      <c r="AD486" s="23">
        <v>0</v>
      </c>
    </row>
    <row r="487" spans="1:30" hidden="1" x14ac:dyDescent="0.35">
      <c r="A487" s="7">
        <v>510</v>
      </c>
      <c r="B487" s="6">
        <v>45838</v>
      </c>
      <c r="C487" s="6">
        <v>45838</v>
      </c>
      <c r="D487" s="4" t="s">
        <v>1053</v>
      </c>
      <c r="E487" s="4" t="s">
        <v>1050</v>
      </c>
      <c r="F487" s="4"/>
      <c r="G487" s="4" t="s">
        <v>1052</v>
      </c>
      <c r="H487" s="4"/>
      <c r="I487" s="4"/>
      <c r="J487" s="4" t="s">
        <v>1048</v>
      </c>
      <c r="K487" s="4" t="s">
        <v>58</v>
      </c>
      <c r="L487" s="4" t="s">
        <v>1047</v>
      </c>
      <c r="M487" s="4" t="s">
        <v>40</v>
      </c>
      <c r="N487" s="4" t="s">
        <v>211</v>
      </c>
      <c r="O487" s="4" t="s">
        <v>210</v>
      </c>
      <c r="P487" s="4" t="s">
        <v>210</v>
      </c>
      <c r="Q487" s="5">
        <v>700000</v>
      </c>
      <c r="R487" s="10">
        <v>0</v>
      </c>
      <c r="S487" s="9">
        <f t="shared" si="16"/>
        <v>700000</v>
      </c>
      <c r="T487" s="4" t="s">
        <v>53</v>
      </c>
      <c r="U487" s="4"/>
      <c r="V487" s="4"/>
      <c r="W487" s="4">
        <v>1</v>
      </c>
      <c r="X487" s="4"/>
      <c r="Y487" s="4"/>
      <c r="Z487" s="7" t="s">
        <v>14</v>
      </c>
      <c r="AA487" s="36" t="s">
        <v>30</v>
      </c>
      <c r="AB487" s="4"/>
      <c r="AC487" s="22">
        <f t="shared" si="15"/>
        <v>274.50980392156862</v>
      </c>
      <c r="AD487" s="23">
        <v>0</v>
      </c>
    </row>
    <row r="488" spans="1:30" hidden="1" x14ac:dyDescent="0.35">
      <c r="A488" s="7">
        <v>511</v>
      </c>
      <c r="B488" s="6">
        <v>45838</v>
      </c>
      <c r="C488" s="6">
        <v>45838</v>
      </c>
      <c r="D488" s="4" t="s">
        <v>1051</v>
      </c>
      <c r="E488" s="4" t="s">
        <v>1050</v>
      </c>
      <c r="F488" s="4"/>
      <c r="G488" s="4" t="s">
        <v>1049</v>
      </c>
      <c r="H488" s="4"/>
      <c r="I488" s="4"/>
      <c r="J488" s="4" t="s">
        <v>1048</v>
      </c>
      <c r="K488" s="4" t="s">
        <v>58</v>
      </c>
      <c r="L488" s="4" t="s">
        <v>1047</v>
      </c>
      <c r="M488" s="4" t="s">
        <v>40</v>
      </c>
      <c r="N488" s="4" t="s">
        <v>211</v>
      </c>
      <c r="O488" s="4" t="s">
        <v>210</v>
      </c>
      <c r="P488" s="4" t="s">
        <v>210</v>
      </c>
      <c r="Q488" s="5">
        <v>500000</v>
      </c>
      <c r="R488" s="10">
        <v>0</v>
      </c>
      <c r="S488" s="9">
        <f t="shared" si="16"/>
        <v>500000</v>
      </c>
      <c r="T488" s="4" t="s">
        <v>53</v>
      </c>
      <c r="U488" s="4"/>
      <c r="V488" s="4"/>
      <c r="W488" s="4">
        <v>1</v>
      </c>
      <c r="X488" s="4"/>
      <c r="Y488" s="4"/>
      <c r="Z488" s="7" t="s">
        <v>14</v>
      </c>
      <c r="AA488" s="36" t="s">
        <v>30</v>
      </c>
      <c r="AB488" s="4"/>
      <c r="AC488" s="22">
        <f t="shared" si="15"/>
        <v>196.07843137254903</v>
      </c>
      <c r="AD488" s="23">
        <v>0</v>
      </c>
    </row>
    <row r="489" spans="1:30" hidden="1" x14ac:dyDescent="0.35">
      <c r="A489" s="7">
        <v>512</v>
      </c>
      <c r="B489" s="6">
        <v>45839.647939814815</v>
      </c>
      <c r="C489" s="6">
        <v>45839</v>
      </c>
      <c r="D489" s="7" t="s">
        <v>2243</v>
      </c>
      <c r="E489" s="7" t="s">
        <v>1050</v>
      </c>
      <c r="F489" s="7"/>
      <c r="G489" s="7" t="s">
        <v>2242</v>
      </c>
      <c r="H489" s="7"/>
      <c r="I489" s="7"/>
      <c r="J489" s="7" t="s">
        <v>1816</v>
      </c>
      <c r="K489" s="7" t="s">
        <v>1815</v>
      </c>
      <c r="L489" s="7" t="s">
        <v>1956</v>
      </c>
      <c r="M489" s="7" t="s">
        <v>30</v>
      </c>
      <c r="N489" s="7" t="s">
        <v>211</v>
      </c>
      <c r="O489" s="7" t="s">
        <v>210</v>
      </c>
      <c r="P489" s="7" t="s">
        <v>210</v>
      </c>
      <c r="Q489" s="9">
        <v>600000</v>
      </c>
      <c r="R489" s="9">
        <v>0</v>
      </c>
      <c r="S489" s="9">
        <f t="shared" si="16"/>
        <v>600000</v>
      </c>
      <c r="T489" s="4" t="s">
        <v>53</v>
      </c>
      <c r="U489" s="7"/>
      <c r="V489" s="7"/>
      <c r="W489" s="9">
        <v>1</v>
      </c>
      <c r="X489" s="7"/>
      <c r="Y489" s="7"/>
      <c r="Z489" s="7" t="s">
        <v>14</v>
      </c>
      <c r="AA489" s="36" t="s">
        <v>30</v>
      </c>
      <c r="AB489" s="4"/>
      <c r="AC489" s="22">
        <f t="shared" si="15"/>
        <v>235.29411764705881</v>
      </c>
      <c r="AD489" s="23">
        <v>0</v>
      </c>
    </row>
    <row r="490" spans="1:30" x14ac:dyDescent="0.35">
      <c r="A490" s="7">
        <v>513</v>
      </c>
      <c r="B490" s="6">
        <v>45839.51761574074</v>
      </c>
      <c r="C490" s="6">
        <v>45839</v>
      </c>
      <c r="D490" s="7" t="s">
        <v>2241</v>
      </c>
      <c r="E490" s="7" t="s">
        <v>1819</v>
      </c>
      <c r="F490" s="7" t="s">
        <v>2236</v>
      </c>
      <c r="G490" s="7" t="s">
        <v>2240</v>
      </c>
      <c r="H490" s="7"/>
      <c r="I490" s="7"/>
      <c r="J490" s="7" t="s">
        <v>2148</v>
      </c>
      <c r="K490" s="7" t="s">
        <v>1815</v>
      </c>
      <c r="L490" s="7" t="s">
        <v>2147</v>
      </c>
      <c r="M490" s="7" t="s">
        <v>4</v>
      </c>
      <c r="N490" s="7" t="s">
        <v>2146</v>
      </c>
      <c r="O490" s="7" t="s">
        <v>105</v>
      </c>
      <c r="P490" s="7" t="s">
        <v>1775</v>
      </c>
      <c r="Q490" s="9">
        <v>1000000</v>
      </c>
      <c r="R490" s="9">
        <v>0</v>
      </c>
      <c r="S490" s="9">
        <f t="shared" si="16"/>
        <v>1000000</v>
      </c>
      <c r="T490" s="4" t="s">
        <v>53</v>
      </c>
      <c r="U490" s="7"/>
      <c r="V490" s="7"/>
      <c r="W490" s="9">
        <v>1</v>
      </c>
      <c r="X490" s="7"/>
      <c r="Y490" s="7"/>
      <c r="Z490" s="7" t="s">
        <v>2</v>
      </c>
      <c r="AA490" s="36" t="s">
        <v>4</v>
      </c>
      <c r="AB490" s="4" t="s">
        <v>2604</v>
      </c>
      <c r="AC490" s="22">
        <f t="shared" si="15"/>
        <v>392.15686274509807</v>
      </c>
      <c r="AD490" s="23">
        <v>0</v>
      </c>
    </row>
    <row r="491" spans="1:30" x14ac:dyDescent="0.35">
      <c r="A491" s="7">
        <v>514</v>
      </c>
      <c r="B491" s="6">
        <v>45839.515104166669</v>
      </c>
      <c r="C491" s="6">
        <v>45839</v>
      </c>
      <c r="D491" s="7" t="s">
        <v>2239</v>
      </c>
      <c r="E491" s="7" t="s">
        <v>1819</v>
      </c>
      <c r="F491" s="7" t="s">
        <v>2236</v>
      </c>
      <c r="G491" s="7" t="s">
        <v>2238</v>
      </c>
      <c r="H491" s="7"/>
      <c r="I491" s="7"/>
      <c r="J491" s="7" t="s">
        <v>2148</v>
      </c>
      <c r="K491" s="7" t="s">
        <v>1815</v>
      </c>
      <c r="L491" s="7" t="s">
        <v>2147</v>
      </c>
      <c r="M491" s="7" t="s">
        <v>4</v>
      </c>
      <c r="N491" s="7" t="s">
        <v>2146</v>
      </c>
      <c r="O491" s="7" t="s">
        <v>105</v>
      </c>
      <c r="P491" s="7" t="s">
        <v>1775</v>
      </c>
      <c r="Q491" s="9">
        <v>5000000</v>
      </c>
      <c r="R491" s="9">
        <v>0</v>
      </c>
      <c r="S491" s="9">
        <f t="shared" si="16"/>
        <v>5000000</v>
      </c>
      <c r="T491" s="4" t="s">
        <v>53</v>
      </c>
      <c r="U491" s="7"/>
      <c r="V491" s="7"/>
      <c r="W491" s="9">
        <v>1</v>
      </c>
      <c r="X491" s="7"/>
      <c r="Y491" s="7"/>
      <c r="Z491" s="7" t="s">
        <v>2</v>
      </c>
      <c r="AA491" s="36" t="s">
        <v>4</v>
      </c>
      <c r="AB491" s="4" t="s">
        <v>2604</v>
      </c>
      <c r="AC491" s="22">
        <f t="shared" ref="AC491:AC554" si="17">+S491/$AC$1</f>
        <v>1960.7843137254902</v>
      </c>
      <c r="AD491" s="23">
        <v>0</v>
      </c>
    </row>
    <row r="492" spans="1:30" x14ac:dyDescent="0.35">
      <c r="A492" s="7">
        <v>515</v>
      </c>
      <c r="B492" s="6">
        <v>45839.512615740743</v>
      </c>
      <c r="C492" s="6">
        <v>45839</v>
      </c>
      <c r="D492" s="7" t="s">
        <v>2237</v>
      </c>
      <c r="E492" s="7" t="s">
        <v>1819</v>
      </c>
      <c r="F492" s="7" t="s">
        <v>2236</v>
      </c>
      <c r="G492" s="7" t="s">
        <v>2235</v>
      </c>
      <c r="H492" s="7"/>
      <c r="I492" s="7"/>
      <c r="J492" s="7" t="s">
        <v>2148</v>
      </c>
      <c r="K492" s="7" t="s">
        <v>1815</v>
      </c>
      <c r="L492" s="7" t="s">
        <v>2147</v>
      </c>
      <c r="M492" s="7" t="s">
        <v>4</v>
      </c>
      <c r="N492" s="7" t="s">
        <v>2146</v>
      </c>
      <c r="O492" s="7" t="s">
        <v>105</v>
      </c>
      <c r="P492" s="7" t="s">
        <v>1775</v>
      </c>
      <c r="Q492" s="9">
        <v>1000000</v>
      </c>
      <c r="R492" s="9">
        <v>0</v>
      </c>
      <c r="S492" s="9">
        <f t="shared" si="16"/>
        <v>1000000</v>
      </c>
      <c r="T492" s="4" t="s">
        <v>53</v>
      </c>
      <c r="U492" s="7"/>
      <c r="V492" s="7"/>
      <c r="W492" s="9">
        <v>1</v>
      </c>
      <c r="X492" s="7"/>
      <c r="Y492" s="7"/>
      <c r="Z492" s="7" t="s">
        <v>2</v>
      </c>
      <c r="AA492" s="36" t="s">
        <v>4</v>
      </c>
      <c r="AB492" s="4" t="s">
        <v>2604</v>
      </c>
      <c r="AC492" s="22">
        <f t="shared" si="17"/>
        <v>392.15686274509807</v>
      </c>
      <c r="AD492" s="23">
        <v>0</v>
      </c>
    </row>
    <row r="493" spans="1:30" x14ac:dyDescent="0.35">
      <c r="A493" s="7">
        <v>516</v>
      </c>
      <c r="B493" s="6">
        <v>45839.372094907405</v>
      </c>
      <c r="C493" s="6">
        <v>45839</v>
      </c>
      <c r="D493" s="7" t="s">
        <v>2234</v>
      </c>
      <c r="E493" s="7" t="s">
        <v>1981</v>
      </c>
      <c r="F493" s="7" t="s">
        <v>2219</v>
      </c>
      <c r="G493" s="7" t="s">
        <v>2233</v>
      </c>
      <c r="H493" s="7"/>
      <c r="I493" s="7"/>
      <c r="J493" s="7" t="s">
        <v>2148</v>
      </c>
      <c r="K493" s="7" t="s">
        <v>1815</v>
      </c>
      <c r="L493" s="7" t="s">
        <v>2147</v>
      </c>
      <c r="M493" s="7" t="s">
        <v>4</v>
      </c>
      <c r="N493" s="7" t="s">
        <v>2146</v>
      </c>
      <c r="O493" s="7" t="s">
        <v>105</v>
      </c>
      <c r="P493" s="7" t="s">
        <v>1775</v>
      </c>
      <c r="Q493" s="9">
        <v>10000000</v>
      </c>
      <c r="R493" s="9">
        <v>0</v>
      </c>
      <c r="S493" s="9">
        <f t="shared" si="16"/>
        <v>10000000</v>
      </c>
      <c r="T493" s="4" t="s">
        <v>53</v>
      </c>
      <c r="U493" s="7"/>
      <c r="V493" s="7"/>
      <c r="W493" s="9">
        <v>1</v>
      </c>
      <c r="X493" s="7"/>
      <c r="Y493" s="7"/>
      <c r="Z493" s="7" t="s">
        <v>2</v>
      </c>
      <c r="AA493" s="36" t="s">
        <v>4</v>
      </c>
      <c r="AB493" s="4" t="s">
        <v>2604</v>
      </c>
      <c r="AC493" s="22">
        <f t="shared" si="17"/>
        <v>3921.5686274509803</v>
      </c>
      <c r="AD493" s="23">
        <v>0</v>
      </c>
    </row>
    <row r="494" spans="1:30" x14ac:dyDescent="0.35">
      <c r="A494" s="7">
        <v>517</v>
      </c>
      <c r="B494" s="6">
        <v>45839.37096064815</v>
      </c>
      <c r="C494" s="6">
        <v>45839</v>
      </c>
      <c r="D494" s="7" t="s">
        <v>2232</v>
      </c>
      <c r="E494" s="7" t="s">
        <v>1981</v>
      </c>
      <c r="F494" s="7" t="s">
        <v>2219</v>
      </c>
      <c r="G494" s="7" t="s">
        <v>2231</v>
      </c>
      <c r="H494" s="7"/>
      <c r="I494" s="7"/>
      <c r="J494" s="7" t="s">
        <v>2148</v>
      </c>
      <c r="K494" s="7" t="s">
        <v>1815</v>
      </c>
      <c r="L494" s="7" t="s">
        <v>2147</v>
      </c>
      <c r="M494" s="7" t="s">
        <v>4</v>
      </c>
      <c r="N494" s="7" t="s">
        <v>2146</v>
      </c>
      <c r="O494" s="7" t="s">
        <v>105</v>
      </c>
      <c r="P494" s="7" t="s">
        <v>1775</v>
      </c>
      <c r="Q494" s="9">
        <v>10000000</v>
      </c>
      <c r="R494" s="9">
        <v>0</v>
      </c>
      <c r="S494" s="9">
        <f t="shared" si="16"/>
        <v>10000000</v>
      </c>
      <c r="T494" s="4" t="s">
        <v>53</v>
      </c>
      <c r="U494" s="7"/>
      <c r="V494" s="7"/>
      <c r="W494" s="9">
        <v>1</v>
      </c>
      <c r="X494" s="7"/>
      <c r="Y494" s="7"/>
      <c r="Z494" s="7" t="s">
        <v>2</v>
      </c>
      <c r="AA494" s="36" t="s">
        <v>4</v>
      </c>
      <c r="AB494" s="4" t="s">
        <v>2604</v>
      </c>
      <c r="AC494" s="22">
        <f t="shared" si="17"/>
        <v>3921.5686274509803</v>
      </c>
      <c r="AD494" s="23">
        <v>0</v>
      </c>
    </row>
    <row r="495" spans="1:30" x14ac:dyDescent="0.35">
      <c r="A495" s="7">
        <v>518</v>
      </c>
      <c r="B495" s="6">
        <v>45839.369710648149</v>
      </c>
      <c r="C495" s="6">
        <v>45839</v>
      </c>
      <c r="D495" s="7" t="s">
        <v>2230</v>
      </c>
      <c r="E495" s="7" t="s">
        <v>1981</v>
      </c>
      <c r="F495" s="7" t="s">
        <v>2219</v>
      </c>
      <c r="G495" s="7" t="s">
        <v>2229</v>
      </c>
      <c r="H495" s="7"/>
      <c r="I495" s="7"/>
      <c r="J495" s="7" t="s">
        <v>2148</v>
      </c>
      <c r="K495" s="7" t="s">
        <v>1815</v>
      </c>
      <c r="L495" s="7" t="s">
        <v>2147</v>
      </c>
      <c r="M495" s="7" t="s">
        <v>4</v>
      </c>
      <c r="N495" s="7" t="s">
        <v>2146</v>
      </c>
      <c r="O495" s="7" t="s">
        <v>105</v>
      </c>
      <c r="P495" s="7" t="s">
        <v>1775</v>
      </c>
      <c r="Q495" s="9">
        <v>10000000</v>
      </c>
      <c r="R495" s="9">
        <v>0</v>
      </c>
      <c r="S495" s="9">
        <f t="shared" si="16"/>
        <v>10000000</v>
      </c>
      <c r="T495" s="4" t="s">
        <v>53</v>
      </c>
      <c r="U495" s="7"/>
      <c r="V495" s="7"/>
      <c r="W495" s="9">
        <v>1</v>
      </c>
      <c r="X495" s="7"/>
      <c r="Y495" s="7"/>
      <c r="Z495" s="7" t="s">
        <v>2</v>
      </c>
      <c r="AA495" s="36" t="s">
        <v>4</v>
      </c>
      <c r="AB495" s="4" t="s">
        <v>2604</v>
      </c>
      <c r="AC495" s="22">
        <f t="shared" si="17"/>
        <v>3921.5686274509803</v>
      </c>
      <c r="AD495" s="23">
        <v>0</v>
      </c>
    </row>
    <row r="496" spans="1:30" x14ac:dyDescent="0.35">
      <c r="A496" s="7">
        <v>519</v>
      </c>
      <c r="B496" s="6">
        <v>45839.368680555555</v>
      </c>
      <c r="C496" s="6">
        <v>45839</v>
      </c>
      <c r="D496" s="7" t="s">
        <v>2228</v>
      </c>
      <c r="E496" s="7" t="s">
        <v>1981</v>
      </c>
      <c r="F496" s="7" t="s">
        <v>2219</v>
      </c>
      <c r="G496" s="7" t="s">
        <v>2227</v>
      </c>
      <c r="H496" s="7"/>
      <c r="I496" s="7"/>
      <c r="J496" s="7" t="s">
        <v>2148</v>
      </c>
      <c r="K496" s="7" t="s">
        <v>1815</v>
      </c>
      <c r="L496" s="7" t="s">
        <v>2147</v>
      </c>
      <c r="M496" s="7" t="s">
        <v>4</v>
      </c>
      <c r="N496" s="7" t="s">
        <v>2146</v>
      </c>
      <c r="O496" s="7" t="s">
        <v>105</v>
      </c>
      <c r="P496" s="7" t="s">
        <v>1775</v>
      </c>
      <c r="Q496" s="9">
        <v>10000000</v>
      </c>
      <c r="R496" s="9">
        <v>0</v>
      </c>
      <c r="S496" s="9">
        <f t="shared" si="16"/>
        <v>10000000</v>
      </c>
      <c r="T496" s="4" t="s">
        <v>53</v>
      </c>
      <c r="U496" s="7"/>
      <c r="V496" s="7"/>
      <c r="W496" s="9">
        <v>1</v>
      </c>
      <c r="X496" s="7"/>
      <c r="Y496" s="7"/>
      <c r="Z496" s="7" t="s">
        <v>2</v>
      </c>
      <c r="AA496" s="36" t="s">
        <v>4</v>
      </c>
      <c r="AB496" s="4" t="s">
        <v>2604</v>
      </c>
      <c r="AC496" s="22">
        <f t="shared" si="17"/>
        <v>3921.5686274509803</v>
      </c>
      <c r="AD496" s="23">
        <v>0</v>
      </c>
    </row>
    <row r="497" spans="1:30" x14ac:dyDescent="0.35">
      <c r="A497" s="7">
        <v>520</v>
      </c>
      <c r="B497" s="6">
        <v>45839.367372685185</v>
      </c>
      <c r="C497" s="6">
        <v>45839</v>
      </c>
      <c r="D497" s="7" t="s">
        <v>2226</v>
      </c>
      <c r="E497" s="7" t="s">
        <v>1981</v>
      </c>
      <c r="F497" s="7" t="s">
        <v>2219</v>
      </c>
      <c r="G497" s="7" t="s">
        <v>2225</v>
      </c>
      <c r="H497" s="7"/>
      <c r="I497" s="7"/>
      <c r="J497" s="7" t="s">
        <v>2148</v>
      </c>
      <c r="K497" s="7" t="s">
        <v>1815</v>
      </c>
      <c r="L497" s="7" t="s">
        <v>2147</v>
      </c>
      <c r="M497" s="7" t="s">
        <v>4</v>
      </c>
      <c r="N497" s="7" t="s">
        <v>2146</v>
      </c>
      <c r="O497" s="7" t="s">
        <v>105</v>
      </c>
      <c r="P497" s="7" t="s">
        <v>1775</v>
      </c>
      <c r="Q497" s="9">
        <v>7062800</v>
      </c>
      <c r="R497" s="9">
        <v>0</v>
      </c>
      <c r="S497" s="9">
        <f t="shared" si="16"/>
        <v>7062800</v>
      </c>
      <c r="T497" s="4" t="s">
        <v>53</v>
      </c>
      <c r="U497" s="7"/>
      <c r="V497" s="7"/>
      <c r="W497" s="9">
        <v>1</v>
      </c>
      <c r="X497" s="7"/>
      <c r="Y497" s="7"/>
      <c r="Z497" s="7" t="s">
        <v>2</v>
      </c>
      <c r="AA497" s="36" t="s">
        <v>4</v>
      </c>
      <c r="AB497" s="4" t="s">
        <v>2604</v>
      </c>
      <c r="AC497" s="22">
        <f t="shared" si="17"/>
        <v>2769.7254901960782</v>
      </c>
      <c r="AD497" s="23">
        <v>0</v>
      </c>
    </row>
    <row r="498" spans="1:30" x14ac:dyDescent="0.35">
      <c r="A498" s="7">
        <v>521</v>
      </c>
      <c r="B498" s="6">
        <v>45839.365173611113</v>
      </c>
      <c r="C498" s="6">
        <v>45839</v>
      </c>
      <c r="D498" s="7" t="s">
        <v>2224</v>
      </c>
      <c r="E498" s="7" t="s">
        <v>1981</v>
      </c>
      <c r="F498" s="7" t="s">
        <v>2219</v>
      </c>
      <c r="G498" s="7" t="s">
        <v>2223</v>
      </c>
      <c r="H498" s="7"/>
      <c r="I498" s="7"/>
      <c r="J498" s="7" t="s">
        <v>2148</v>
      </c>
      <c r="K498" s="7" t="s">
        <v>1815</v>
      </c>
      <c r="L498" s="7" t="s">
        <v>2147</v>
      </c>
      <c r="M498" s="7" t="s">
        <v>4</v>
      </c>
      <c r="N498" s="7" t="s">
        <v>2146</v>
      </c>
      <c r="O498" s="7" t="s">
        <v>105</v>
      </c>
      <c r="P498" s="7" t="s">
        <v>1775</v>
      </c>
      <c r="Q498" s="9">
        <v>5190000</v>
      </c>
      <c r="R498" s="9">
        <v>0</v>
      </c>
      <c r="S498" s="9">
        <f t="shared" si="16"/>
        <v>5190000</v>
      </c>
      <c r="T498" s="4" t="s">
        <v>53</v>
      </c>
      <c r="U498" s="7"/>
      <c r="V498" s="7"/>
      <c r="W498" s="9">
        <v>1</v>
      </c>
      <c r="X498" s="7"/>
      <c r="Y498" s="7"/>
      <c r="Z498" s="7" t="s">
        <v>2</v>
      </c>
      <c r="AA498" s="36" t="s">
        <v>4</v>
      </c>
      <c r="AB498" s="4" t="s">
        <v>2604</v>
      </c>
      <c r="AC498" s="22">
        <f t="shared" si="17"/>
        <v>2035.2941176470588</v>
      </c>
      <c r="AD498" s="23">
        <v>0</v>
      </c>
    </row>
    <row r="499" spans="1:30" x14ac:dyDescent="0.35">
      <c r="A499" s="7">
        <v>522</v>
      </c>
      <c r="B499" s="6">
        <v>45839.363194444442</v>
      </c>
      <c r="C499" s="6">
        <v>45839</v>
      </c>
      <c r="D499" s="7" t="s">
        <v>2222</v>
      </c>
      <c r="E499" s="7" t="s">
        <v>1981</v>
      </c>
      <c r="F499" s="7" t="s">
        <v>2219</v>
      </c>
      <c r="G499" s="7" t="s">
        <v>2221</v>
      </c>
      <c r="H499" s="7"/>
      <c r="I499" s="7"/>
      <c r="J499" s="7" t="s">
        <v>2148</v>
      </c>
      <c r="K499" s="7" t="s">
        <v>1815</v>
      </c>
      <c r="L499" s="7" t="s">
        <v>2147</v>
      </c>
      <c r="M499" s="7" t="s">
        <v>4</v>
      </c>
      <c r="N499" s="7" t="s">
        <v>2146</v>
      </c>
      <c r="O499" s="7" t="s">
        <v>105</v>
      </c>
      <c r="P499" s="7" t="s">
        <v>1775</v>
      </c>
      <c r="Q499" s="9">
        <v>4000000</v>
      </c>
      <c r="R499" s="9">
        <v>0</v>
      </c>
      <c r="S499" s="9">
        <f t="shared" si="16"/>
        <v>4000000</v>
      </c>
      <c r="T499" s="4" t="s">
        <v>53</v>
      </c>
      <c r="U499" s="7"/>
      <c r="V499" s="7"/>
      <c r="W499" s="9">
        <v>1</v>
      </c>
      <c r="X499" s="7"/>
      <c r="Y499" s="7"/>
      <c r="Z499" s="7" t="s">
        <v>2</v>
      </c>
      <c r="AA499" s="36" t="s">
        <v>4</v>
      </c>
      <c r="AB499" s="4" t="s">
        <v>2604</v>
      </c>
      <c r="AC499" s="22">
        <f t="shared" si="17"/>
        <v>1568.6274509803923</v>
      </c>
      <c r="AD499" s="23">
        <v>0</v>
      </c>
    </row>
    <row r="500" spans="1:30" x14ac:dyDescent="0.35">
      <c r="A500" s="7">
        <v>523</v>
      </c>
      <c r="B500" s="6">
        <v>45839.36136574074</v>
      </c>
      <c r="C500" s="6">
        <v>45839</v>
      </c>
      <c r="D500" s="7" t="s">
        <v>2220</v>
      </c>
      <c r="E500" s="7" t="s">
        <v>1981</v>
      </c>
      <c r="F500" s="7" t="s">
        <v>2219</v>
      </c>
      <c r="G500" s="7" t="s">
        <v>2218</v>
      </c>
      <c r="H500" s="7"/>
      <c r="I500" s="7"/>
      <c r="J500" s="7" t="s">
        <v>2148</v>
      </c>
      <c r="K500" s="7" t="s">
        <v>1815</v>
      </c>
      <c r="L500" s="7" t="s">
        <v>2147</v>
      </c>
      <c r="M500" s="7" t="s">
        <v>4</v>
      </c>
      <c r="N500" s="7" t="s">
        <v>2146</v>
      </c>
      <c r="O500" s="7" t="s">
        <v>105</v>
      </c>
      <c r="P500" s="7" t="s">
        <v>1775</v>
      </c>
      <c r="Q500" s="9">
        <v>7000000</v>
      </c>
      <c r="R500" s="9">
        <v>0</v>
      </c>
      <c r="S500" s="9">
        <f t="shared" si="16"/>
        <v>7000000</v>
      </c>
      <c r="T500" s="4" t="s">
        <v>53</v>
      </c>
      <c r="U500" s="7"/>
      <c r="V500" s="7"/>
      <c r="W500" s="9">
        <v>1</v>
      </c>
      <c r="X500" s="7"/>
      <c r="Y500" s="7"/>
      <c r="Z500" s="7" t="s">
        <v>2</v>
      </c>
      <c r="AA500" s="36" t="s">
        <v>4</v>
      </c>
      <c r="AB500" s="4" t="s">
        <v>2604</v>
      </c>
      <c r="AC500" s="22">
        <f t="shared" si="17"/>
        <v>2745.0980392156862</v>
      </c>
      <c r="AD500" s="23">
        <v>0</v>
      </c>
    </row>
    <row r="501" spans="1:30" hidden="1" x14ac:dyDescent="0.35">
      <c r="A501" s="7">
        <v>524</v>
      </c>
      <c r="B501" s="6">
        <v>45839</v>
      </c>
      <c r="C501" s="6">
        <v>45839</v>
      </c>
      <c r="D501" s="7" t="s">
        <v>1754</v>
      </c>
      <c r="E501" s="7" t="s">
        <v>61</v>
      </c>
      <c r="F501" s="7" t="s">
        <v>1753</v>
      </c>
      <c r="G501" s="7" t="s">
        <v>1753</v>
      </c>
      <c r="H501" s="7"/>
      <c r="I501" s="7"/>
      <c r="J501" s="7" t="s">
        <v>59</v>
      </c>
      <c r="K501" s="7" t="s">
        <v>58</v>
      </c>
      <c r="L501" s="7" t="s">
        <v>325</v>
      </c>
      <c r="M501" s="7" t="s">
        <v>33</v>
      </c>
      <c r="N501" s="7" t="s">
        <v>1699</v>
      </c>
      <c r="O501" s="7" t="s">
        <v>1752</v>
      </c>
      <c r="P501" s="7" t="s">
        <v>126</v>
      </c>
      <c r="Q501" s="9">
        <v>1290900</v>
      </c>
      <c r="R501" s="9">
        <v>0</v>
      </c>
      <c r="S501" s="9">
        <f t="shared" si="16"/>
        <v>1290900</v>
      </c>
      <c r="T501" s="4" t="s">
        <v>53</v>
      </c>
      <c r="U501" s="7" t="s">
        <v>1697</v>
      </c>
      <c r="V501" s="4"/>
      <c r="W501" s="9">
        <v>-1</v>
      </c>
      <c r="X501" s="7" t="s">
        <v>94</v>
      </c>
      <c r="Y501" s="7"/>
      <c r="Z501" s="7" t="s">
        <v>7</v>
      </c>
      <c r="AA501" s="37" t="s">
        <v>9</v>
      </c>
      <c r="AB501" s="16"/>
      <c r="AC501" s="22">
        <f t="shared" si="17"/>
        <v>506.23529411764707</v>
      </c>
      <c r="AD501" s="23">
        <v>0</v>
      </c>
    </row>
    <row r="502" spans="1:30" x14ac:dyDescent="0.35">
      <c r="A502" s="7">
        <v>525</v>
      </c>
      <c r="B502" s="6">
        <v>45839</v>
      </c>
      <c r="C502" s="6">
        <v>45839</v>
      </c>
      <c r="D502" s="4" t="s">
        <v>989</v>
      </c>
      <c r="E502" s="4" t="s">
        <v>61</v>
      </c>
      <c r="F502" s="4" t="s">
        <v>988</v>
      </c>
      <c r="G502" s="4" t="s">
        <v>988</v>
      </c>
      <c r="H502" s="4"/>
      <c r="I502" s="4"/>
      <c r="J502" s="4" t="s">
        <v>59</v>
      </c>
      <c r="K502" s="4" t="s">
        <v>58</v>
      </c>
      <c r="L502" s="4" t="s">
        <v>57</v>
      </c>
      <c r="M502" s="4" t="s">
        <v>32</v>
      </c>
      <c r="N502" s="4" t="s">
        <v>317</v>
      </c>
      <c r="O502" s="4" t="s">
        <v>68</v>
      </c>
      <c r="P502" s="4" t="s">
        <v>54</v>
      </c>
      <c r="Q502" s="5">
        <v>9788.1299999999992</v>
      </c>
      <c r="R502" s="10">
        <v>0</v>
      </c>
      <c r="S502" s="9">
        <f t="shared" si="16"/>
        <v>9788.1299999999992</v>
      </c>
      <c r="T502" s="4" t="s">
        <v>53</v>
      </c>
      <c r="U502" s="4" t="s">
        <v>117</v>
      </c>
      <c r="V502" s="4"/>
      <c r="W502" s="4">
        <v>-3</v>
      </c>
      <c r="X502" s="4" t="s">
        <v>94</v>
      </c>
      <c r="Y502" s="4"/>
      <c r="Z502" s="7" t="s">
        <v>14</v>
      </c>
      <c r="AA502" s="36" t="s">
        <v>23</v>
      </c>
      <c r="AB502" s="4" t="s">
        <v>2607</v>
      </c>
      <c r="AC502" s="22">
        <f t="shared" si="17"/>
        <v>3.8384823529411762</v>
      </c>
      <c r="AD502" s="23">
        <v>0</v>
      </c>
    </row>
    <row r="503" spans="1:30" x14ac:dyDescent="0.35">
      <c r="A503" s="7">
        <v>526</v>
      </c>
      <c r="B503" s="6">
        <v>45839</v>
      </c>
      <c r="C503" s="6">
        <v>45839</v>
      </c>
      <c r="D503" s="4" t="s">
        <v>814</v>
      </c>
      <c r="E503" s="4" t="s">
        <v>61</v>
      </c>
      <c r="F503" s="4" t="s">
        <v>813</v>
      </c>
      <c r="G503" s="4" t="s">
        <v>813</v>
      </c>
      <c r="H503" s="4"/>
      <c r="I503" s="4"/>
      <c r="J503" s="4" t="s">
        <v>59</v>
      </c>
      <c r="K503" s="4" t="s">
        <v>58</v>
      </c>
      <c r="L503" s="4" t="s">
        <v>57</v>
      </c>
      <c r="M503" s="4" t="s">
        <v>32</v>
      </c>
      <c r="N503" s="4" t="s">
        <v>266</v>
      </c>
      <c r="O503" s="4" t="s">
        <v>55</v>
      </c>
      <c r="P503" s="4" t="s">
        <v>54</v>
      </c>
      <c r="Q503" s="5">
        <v>8730.9</v>
      </c>
      <c r="R503" s="10">
        <v>0</v>
      </c>
      <c r="S503" s="9">
        <f t="shared" si="16"/>
        <v>8730.9</v>
      </c>
      <c r="T503" s="4" t="s">
        <v>53</v>
      </c>
      <c r="U503" s="4" t="s">
        <v>568</v>
      </c>
      <c r="V503" s="4"/>
      <c r="W503" s="4">
        <v>-4</v>
      </c>
      <c r="X503" s="4" t="s">
        <v>94</v>
      </c>
      <c r="Y503" s="4"/>
      <c r="Z503" s="7" t="s">
        <v>14</v>
      </c>
      <c r="AA503" s="36" t="s">
        <v>22</v>
      </c>
      <c r="AB503" s="4" t="s">
        <v>2835</v>
      </c>
      <c r="AC503" s="22">
        <f t="shared" si="17"/>
        <v>3.4238823529411762</v>
      </c>
      <c r="AD503" s="23">
        <v>0</v>
      </c>
    </row>
    <row r="504" spans="1:30" x14ac:dyDescent="0.35">
      <c r="A504" s="7">
        <v>527</v>
      </c>
      <c r="B504" s="6">
        <v>45839</v>
      </c>
      <c r="C504" s="6">
        <v>45839</v>
      </c>
      <c r="D504" s="4" t="s">
        <v>810</v>
      </c>
      <c r="E504" s="4" t="s">
        <v>61</v>
      </c>
      <c r="F504" s="4" t="s">
        <v>809</v>
      </c>
      <c r="G504" s="4" t="s">
        <v>809</v>
      </c>
      <c r="H504" s="4"/>
      <c r="I504" s="4"/>
      <c r="J504" s="4" t="s">
        <v>59</v>
      </c>
      <c r="K504" s="4" t="s">
        <v>58</v>
      </c>
      <c r="L504" s="4" t="s">
        <v>57</v>
      </c>
      <c r="M504" s="4" t="s">
        <v>32</v>
      </c>
      <c r="N504" s="4" t="s">
        <v>266</v>
      </c>
      <c r="O504" s="4" t="s">
        <v>55</v>
      </c>
      <c r="P504" s="4" t="s">
        <v>54</v>
      </c>
      <c r="Q504" s="5">
        <v>2390.06</v>
      </c>
      <c r="R504" s="10">
        <v>0</v>
      </c>
      <c r="S504" s="9">
        <f t="shared" si="16"/>
        <v>2390.06</v>
      </c>
      <c r="T504" s="4" t="s">
        <v>53</v>
      </c>
      <c r="U504" s="4" t="s">
        <v>808</v>
      </c>
      <c r="V504" s="4"/>
      <c r="W504" s="4">
        <v>-2</v>
      </c>
      <c r="X504" s="4" t="s">
        <v>94</v>
      </c>
      <c r="Y504" s="4"/>
      <c r="Z504" s="7" t="s">
        <v>14</v>
      </c>
      <c r="AA504" s="36" t="s">
        <v>22</v>
      </c>
      <c r="AB504" s="4" t="s">
        <v>2835</v>
      </c>
      <c r="AC504" s="22">
        <f t="shared" si="17"/>
        <v>0.93727843137254896</v>
      </c>
      <c r="AD504" s="23">
        <v>0</v>
      </c>
    </row>
    <row r="505" spans="1:30" x14ac:dyDescent="0.35">
      <c r="A505" s="7">
        <v>528</v>
      </c>
      <c r="B505" s="6">
        <v>45839</v>
      </c>
      <c r="C505" s="6">
        <v>45839</v>
      </c>
      <c r="D505" s="4" t="s">
        <v>807</v>
      </c>
      <c r="E505" s="4" t="s">
        <v>61</v>
      </c>
      <c r="F505" s="4" t="s">
        <v>806</v>
      </c>
      <c r="G505" s="4" t="s">
        <v>806</v>
      </c>
      <c r="H505" s="4"/>
      <c r="I505" s="4"/>
      <c r="J505" s="4" t="s">
        <v>59</v>
      </c>
      <c r="K505" s="4" t="s">
        <v>58</v>
      </c>
      <c r="L505" s="4" t="s">
        <v>57</v>
      </c>
      <c r="M505" s="4" t="s">
        <v>32</v>
      </c>
      <c r="N505" s="4" t="s">
        <v>266</v>
      </c>
      <c r="O505" s="4" t="s">
        <v>55</v>
      </c>
      <c r="P505" s="4" t="s">
        <v>54</v>
      </c>
      <c r="Q505" s="5">
        <v>16313.55</v>
      </c>
      <c r="R505" s="10">
        <v>0</v>
      </c>
      <c r="S505" s="9">
        <f t="shared" si="16"/>
        <v>16313.55</v>
      </c>
      <c r="T505" s="4" t="s">
        <v>53</v>
      </c>
      <c r="U505" s="4" t="s">
        <v>117</v>
      </c>
      <c r="V505" s="4"/>
      <c r="W505" s="4">
        <v>-5</v>
      </c>
      <c r="X505" s="4" t="s">
        <v>94</v>
      </c>
      <c r="Y505" s="4"/>
      <c r="Z505" s="7" t="s">
        <v>14</v>
      </c>
      <c r="AA505" s="36" t="s">
        <v>22</v>
      </c>
      <c r="AB505" s="4" t="s">
        <v>2835</v>
      </c>
      <c r="AC505" s="22">
        <f t="shared" si="17"/>
        <v>6.3974705882352936</v>
      </c>
      <c r="AD505" s="23">
        <v>0</v>
      </c>
    </row>
    <row r="506" spans="1:30" x14ac:dyDescent="0.35">
      <c r="A506" s="7">
        <v>529</v>
      </c>
      <c r="B506" s="6">
        <v>45839</v>
      </c>
      <c r="C506" s="6">
        <v>45839</v>
      </c>
      <c r="D506" s="4" t="s">
        <v>805</v>
      </c>
      <c r="E506" s="4" t="s">
        <v>61</v>
      </c>
      <c r="F506" s="4" t="s">
        <v>804</v>
      </c>
      <c r="G506" s="4" t="s">
        <v>804</v>
      </c>
      <c r="H506" s="4"/>
      <c r="I506" s="4"/>
      <c r="J506" s="4" t="s">
        <v>59</v>
      </c>
      <c r="K506" s="4" t="s">
        <v>58</v>
      </c>
      <c r="L506" s="4" t="s">
        <v>57</v>
      </c>
      <c r="M506" s="4" t="s">
        <v>32</v>
      </c>
      <c r="N506" s="4" t="s">
        <v>266</v>
      </c>
      <c r="O506" s="4" t="s">
        <v>55</v>
      </c>
      <c r="P506" s="4" t="s">
        <v>54</v>
      </c>
      <c r="Q506" s="5">
        <v>48000</v>
      </c>
      <c r="R506" s="10">
        <v>0</v>
      </c>
      <c r="S506" s="9">
        <f t="shared" si="16"/>
        <v>48000</v>
      </c>
      <c r="T506" s="4" t="s">
        <v>53</v>
      </c>
      <c r="U506" s="4" t="s">
        <v>282</v>
      </c>
      <c r="V506" s="4"/>
      <c r="W506" s="4">
        <v>-1</v>
      </c>
      <c r="X506" s="4" t="s">
        <v>94</v>
      </c>
      <c r="Y506" s="4"/>
      <c r="Z506" s="7" t="s">
        <v>14</v>
      </c>
      <c r="AA506" s="36" t="s">
        <v>22</v>
      </c>
      <c r="AB506" s="4" t="s">
        <v>2835</v>
      </c>
      <c r="AC506" s="22">
        <f t="shared" si="17"/>
        <v>18.823529411764707</v>
      </c>
      <c r="AD506" s="23">
        <v>0</v>
      </c>
    </row>
    <row r="507" spans="1:30" x14ac:dyDescent="0.35">
      <c r="A507" s="7">
        <v>530</v>
      </c>
      <c r="B507" s="6">
        <v>45839</v>
      </c>
      <c r="C507" s="6">
        <v>45839</v>
      </c>
      <c r="D507" s="4" t="s">
        <v>803</v>
      </c>
      <c r="E507" s="4" t="s">
        <v>61</v>
      </c>
      <c r="F507" s="4" t="s">
        <v>802</v>
      </c>
      <c r="G507" s="4" t="s">
        <v>802</v>
      </c>
      <c r="H507" s="4"/>
      <c r="I507" s="4"/>
      <c r="J507" s="4" t="s">
        <v>59</v>
      </c>
      <c r="K507" s="4" t="s">
        <v>58</v>
      </c>
      <c r="L507" s="4" t="s">
        <v>57</v>
      </c>
      <c r="M507" s="4" t="s">
        <v>32</v>
      </c>
      <c r="N507" s="4" t="s">
        <v>266</v>
      </c>
      <c r="O507" s="4" t="s">
        <v>55</v>
      </c>
      <c r="P507" s="4" t="s">
        <v>54</v>
      </c>
      <c r="Q507" s="5">
        <v>135000</v>
      </c>
      <c r="R507" s="10">
        <v>0</v>
      </c>
      <c r="S507" s="9">
        <f t="shared" si="16"/>
        <v>135000</v>
      </c>
      <c r="T507" s="4" t="s">
        <v>53</v>
      </c>
      <c r="U507" s="4" t="s">
        <v>121</v>
      </c>
      <c r="V507" s="4"/>
      <c r="W507" s="4">
        <v>-9</v>
      </c>
      <c r="X507" s="4" t="s">
        <v>94</v>
      </c>
      <c r="Y507" s="4"/>
      <c r="Z507" s="7" t="s">
        <v>14</v>
      </c>
      <c r="AA507" s="36" t="s">
        <v>22</v>
      </c>
      <c r="AB507" s="4" t="s">
        <v>2835</v>
      </c>
      <c r="AC507" s="22">
        <f t="shared" si="17"/>
        <v>52.941176470588232</v>
      </c>
      <c r="AD507" s="23">
        <v>0</v>
      </c>
    </row>
    <row r="508" spans="1:30" hidden="1" x14ac:dyDescent="0.35">
      <c r="A508" s="7">
        <v>531</v>
      </c>
      <c r="B508" s="6">
        <v>45840.38175925926</v>
      </c>
      <c r="C508" s="6">
        <v>45840</v>
      </c>
      <c r="D508" s="7" t="s">
        <v>2217</v>
      </c>
      <c r="E508" s="7" t="s">
        <v>1050</v>
      </c>
      <c r="F508" s="7"/>
      <c r="G508" s="7" t="s">
        <v>2216</v>
      </c>
      <c r="H508" s="7"/>
      <c r="I508" s="7"/>
      <c r="J508" s="7" t="s">
        <v>1816</v>
      </c>
      <c r="K508" s="7" t="s">
        <v>1815</v>
      </c>
      <c r="L508" s="7" t="s">
        <v>1956</v>
      </c>
      <c r="M508" s="7" t="s">
        <v>30</v>
      </c>
      <c r="N508" s="7" t="s">
        <v>211</v>
      </c>
      <c r="O508" s="7" t="s">
        <v>210</v>
      </c>
      <c r="P508" s="7" t="s">
        <v>210</v>
      </c>
      <c r="Q508" s="9">
        <v>900000</v>
      </c>
      <c r="R508" s="9">
        <v>0</v>
      </c>
      <c r="S508" s="9">
        <f t="shared" si="16"/>
        <v>900000</v>
      </c>
      <c r="T508" s="4" t="s">
        <v>53</v>
      </c>
      <c r="U508" s="7"/>
      <c r="V508" s="7"/>
      <c r="W508" s="9">
        <v>1</v>
      </c>
      <c r="X508" s="7"/>
      <c r="Y508" s="7"/>
      <c r="Z508" s="7" t="s">
        <v>14</v>
      </c>
      <c r="AA508" s="36" t="s">
        <v>30</v>
      </c>
      <c r="AB508" s="4"/>
      <c r="AC508" s="22">
        <f t="shared" si="17"/>
        <v>352.94117647058823</v>
      </c>
      <c r="AD508" s="23">
        <v>0</v>
      </c>
    </row>
    <row r="509" spans="1:30" hidden="1" x14ac:dyDescent="0.35">
      <c r="A509" s="7">
        <v>532</v>
      </c>
      <c r="B509" s="6">
        <v>45840.505949074075</v>
      </c>
      <c r="C509" s="6">
        <v>45840</v>
      </c>
      <c r="D509" s="7" t="s">
        <v>2215</v>
      </c>
      <c r="E509" s="7" t="s">
        <v>714</v>
      </c>
      <c r="F509" s="7"/>
      <c r="G509" s="7" t="s">
        <v>2214</v>
      </c>
      <c r="H509" s="7" t="s">
        <v>2213</v>
      </c>
      <c r="I509" s="7" t="s">
        <v>2212</v>
      </c>
      <c r="J509" s="7" t="s">
        <v>2211</v>
      </c>
      <c r="K509" s="7" t="s">
        <v>1815</v>
      </c>
      <c r="L509" s="7" t="s">
        <v>2210</v>
      </c>
      <c r="M509" s="7" t="s">
        <v>11</v>
      </c>
      <c r="N509" s="7" t="s">
        <v>2209</v>
      </c>
      <c r="O509" s="7" t="s">
        <v>1770</v>
      </c>
      <c r="P509" s="7" t="s">
        <v>1770</v>
      </c>
      <c r="Q509" s="9">
        <v>10000</v>
      </c>
      <c r="R509" s="9">
        <v>0</v>
      </c>
      <c r="S509" s="9">
        <f t="shared" si="16"/>
        <v>10000</v>
      </c>
      <c r="T509" s="4" t="s">
        <v>53</v>
      </c>
      <c r="U509" s="7"/>
      <c r="V509" s="7"/>
      <c r="W509" s="9">
        <v>1</v>
      </c>
      <c r="X509" s="7"/>
      <c r="Y509" s="7"/>
      <c r="Z509" s="7" t="s">
        <v>7</v>
      </c>
      <c r="AA509" s="36" t="s">
        <v>11</v>
      </c>
      <c r="AB509" s="4">
        <v>0</v>
      </c>
      <c r="AC509" s="22">
        <f t="shared" si="17"/>
        <v>3.9215686274509802</v>
      </c>
      <c r="AD509" s="23">
        <v>0</v>
      </c>
    </row>
    <row r="510" spans="1:30" x14ac:dyDescent="0.35">
      <c r="A510" s="7">
        <v>533</v>
      </c>
      <c r="B510" s="6">
        <v>45840</v>
      </c>
      <c r="C510" s="6">
        <v>45840</v>
      </c>
      <c r="D510" s="4" t="s">
        <v>993</v>
      </c>
      <c r="E510" s="4" t="s">
        <v>61</v>
      </c>
      <c r="F510" s="4" t="s">
        <v>992</v>
      </c>
      <c r="G510" s="4" t="s">
        <v>992</v>
      </c>
      <c r="H510" s="4"/>
      <c r="I510" s="4"/>
      <c r="J510" s="4" t="s">
        <v>59</v>
      </c>
      <c r="K510" s="4" t="s">
        <v>58</v>
      </c>
      <c r="L510" s="4" t="s">
        <v>57</v>
      </c>
      <c r="M510" s="4" t="s">
        <v>32</v>
      </c>
      <c r="N510" s="4" t="s">
        <v>317</v>
      </c>
      <c r="O510" s="4" t="s">
        <v>68</v>
      </c>
      <c r="P510" s="4" t="s">
        <v>54</v>
      </c>
      <c r="Q510" s="5">
        <v>16313.55</v>
      </c>
      <c r="R510" s="10">
        <v>0</v>
      </c>
      <c r="S510" s="9">
        <f t="shared" si="16"/>
        <v>16313.55</v>
      </c>
      <c r="T510" s="4" t="s">
        <v>53</v>
      </c>
      <c r="U510" s="4" t="s">
        <v>117</v>
      </c>
      <c r="V510" s="4"/>
      <c r="W510" s="4">
        <v>-5</v>
      </c>
      <c r="X510" s="4" t="s">
        <v>94</v>
      </c>
      <c r="Y510" s="4"/>
      <c r="Z510" s="7" t="s">
        <v>14</v>
      </c>
      <c r="AA510" s="36" t="s">
        <v>23</v>
      </c>
      <c r="AB510" s="4" t="s">
        <v>2607</v>
      </c>
      <c r="AC510" s="22">
        <f t="shared" si="17"/>
        <v>6.3974705882352936</v>
      </c>
      <c r="AD510" s="23">
        <v>0</v>
      </c>
    </row>
    <row r="511" spans="1:30" x14ac:dyDescent="0.35">
      <c r="A511" s="7">
        <v>534</v>
      </c>
      <c r="B511" s="6">
        <v>45840</v>
      </c>
      <c r="C511" s="6">
        <v>45840</v>
      </c>
      <c r="D511" s="4" t="s">
        <v>991</v>
      </c>
      <c r="E511" s="4" t="s">
        <v>61</v>
      </c>
      <c r="F511" s="4" t="s">
        <v>990</v>
      </c>
      <c r="G511" s="4" t="s">
        <v>990</v>
      </c>
      <c r="H511" s="4"/>
      <c r="I511" s="4"/>
      <c r="J511" s="4" t="s">
        <v>59</v>
      </c>
      <c r="K511" s="4" t="s">
        <v>58</v>
      </c>
      <c r="L511" s="4" t="s">
        <v>57</v>
      </c>
      <c r="M511" s="4" t="s">
        <v>32</v>
      </c>
      <c r="N511" s="4" t="s">
        <v>317</v>
      </c>
      <c r="O511" s="4" t="s">
        <v>68</v>
      </c>
      <c r="P511" s="4" t="s">
        <v>54</v>
      </c>
      <c r="Q511" s="5">
        <v>58000</v>
      </c>
      <c r="R511" s="10">
        <v>0</v>
      </c>
      <c r="S511" s="9">
        <f t="shared" si="16"/>
        <v>58000</v>
      </c>
      <c r="T511" s="4" t="s">
        <v>53</v>
      </c>
      <c r="U511" s="4" t="s">
        <v>545</v>
      </c>
      <c r="V511" s="4"/>
      <c r="W511" s="4">
        <v>-200</v>
      </c>
      <c r="X511" s="4" t="s">
        <v>94</v>
      </c>
      <c r="Y511" s="4"/>
      <c r="Z511" s="7" t="s">
        <v>14</v>
      </c>
      <c r="AA511" s="36" t="s">
        <v>23</v>
      </c>
      <c r="AB511" s="4" t="s">
        <v>2607</v>
      </c>
      <c r="AC511" s="22">
        <f t="shared" si="17"/>
        <v>22.745098039215687</v>
      </c>
      <c r="AD511" s="23">
        <v>0</v>
      </c>
    </row>
    <row r="512" spans="1:30" x14ac:dyDescent="0.35">
      <c r="A512" s="7">
        <v>535</v>
      </c>
      <c r="B512" s="6">
        <v>45840</v>
      </c>
      <c r="C512" s="6">
        <v>45840</v>
      </c>
      <c r="D512" s="4" t="s">
        <v>980</v>
      </c>
      <c r="E512" s="4" t="s">
        <v>61</v>
      </c>
      <c r="F512" s="4" t="s">
        <v>979</v>
      </c>
      <c r="G512" s="4" t="s">
        <v>979</v>
      </c>
      <c r="H512" s="4"/>
      <c r="I512" s="4"/>
      <c r="J512" s="4" t="s">
        <v>59</v>
      </c>
      <c r="K512" s="4" t="s">
        <v>58</v>
      </c>
      <c r="L512" s="4" t="s">
        <v>57</v>
      </c>
      <c r="M512" s="4" t="s">
        <v>32</v>
      </c>
      <c r="N512" s="4" t="s">
        <v>266</v>
      </c>
      <c r="O512" s="4" t="s">
        <v>68</v>
      </c>
      <c r="P512" s="4" t="s">
        <v>54</v>
      </c>
      <c r="Q512" s="5">
        <v>122925.28</v>
      </c>
      <c r="R512" s="10">
        <v>0</v>
      </c>
      <c r="S512" s="9">
        <f t="shared" si="16"/>
        <v>122925.28</v>
      </c>
      <c r="T512" s="4" t="s">
        <v>53</v>
      </c>
      <c r="U512" s="4" t="s">
        <v>271</v>
      </c>
      <c r="V512" s="4"/>
      <c r="W512" s="4">
        <v>-30</v>
      </c>
      <c r="X512" s="4" t="s">
        <v>124</v>
      </c>
      <c r="Y512" s="4"/>
      <c r="Z512" s="7" t="s">
        <v>14</v>
      </c>
      <c r="AA512" s="36" t="s">
        <v>22</v>
      </c>
      <c r="AB512" s="4" t="s">
        <v>2835</v>
      </c>
      <c r="AC512" s="22">
        <f t="shared" si="17"/>
        <v>48.205992156862742</v>
      </c>
      <c r="AD512" s="23">
        <v>0</v>
      </c>
    </row>
    <row r="513" spans="1:30" x14ac:dyDescent="0.35">
      <c r="A513" s="7">
        <v>536</v>
      </c>
      <c r="B513" s="6">
        <v>45841</v>
      </c>
      <c r="C513" s="6">
        <v>45841</v>
      </c>
      <c r="D513" s="4" t="s">
        <v>821</v>
      </c>
      <c r="E513" s="4" t="s">
        <v>61</v>
      </c>
      <c r="F513" s="4" t="s">
        <v>820</v>
      </c>
      <c r="G513" s="4" t="s">
        <v>820</v>
      </c>
      <c r="H513" s="4"/>
      <c r="I513" s="4"/>
      <c r="J513" s="4" t="s">
        <v>59</v>
      </c>
      <c r="K513" s="4" t="s">
        <v>58</v>
      </c>
      <c r="L513" s="4" t="s">
        <v>57</v>
      </c>
      <c r="M513" s="4" t="s">
        <v>32</v>
      </c>
      <c r="N513" s="4" t="s">
        <v>266</v>
      </c>
      <c r="O513" s="4" t="s">
        <v>55</v>
      </c>
      <c r="P513" s="4" t="s">
        <v>54</v>
      </c>
      <c r="Q513" s="5">
        <v>16313.55</v>
      </c>
      <c r="R513" s="10">
        <v>0</v>
      </c>
      <c r="S513" s="9">
        <f t="shared" si="16"/>
        <v>16313.55</v>
      </c>
      <c r="T513" s="4" t="s">
        <v>53</v>
      </c>
      <c r="U513" s="4" t="s">
        <v>117</v>
      </c>
      <c r="V513" s="4"/>
      <c r="W513" s="4">
        <v>-5</v>
      </c>
      <c r="X513" s="4" t="s">
        <v>94</v>
      </c>
      <c r="Y513" s="4"/>
      <c r="Z513" s="7" t="s">
        <v>14</v>
      </c>
      <c r="AA513" s="36" t="s">
        <v>22</v>
      </c>
      <c r="AB513" s="4" t="s">
        <v>2835</v>
      </c>
      <c r="AC513" s="22">
        <f t="shared" si="17"/>
        <v>6.3974705882352936</v>
      </c>
      <c r="AD513" s="23">
        <v>0</v>
      </c>
    </row>
    <row r="514" spans="1:30" x14ac:dyDescent="0.35">
      <c r="A514" s="7">
        <v>537</v>
      </c>
      <c r="B514" s="6">
        <v>45841</v>
      </c>
      <c r="C514" s="6">
        <v>45841</v>
      </c>
      <c r="D514" s="4" t="s">
        <v>819</v>
      </c>
      <c r="E514" s="4" t="s">
        <v>61</v>
      </c>
      <c r="F514" s="4" t="s">
        <v>818</v>
      </c>
      <c r="G514" s="4" t="s">
        <v>818</v>
      </c>
      <c r="H514" s="4"/>
      <c r="I514" s="4"/>
      <c r="J514" s="4" t="s">
        <v>59</v>
      </c>
      <c r="K514" s="4" t="s">
        <v>58</v>
      </c>
      <c r="L514" s="4" t="s">
        <v>57</v>
      </c>
      <c r="M514" s="4" t="s">
        <v>32</v>
      </c>
      <c r="N514" s="4" t="s">
        <v>266</v>
      </c>
      <c r="O514" s="4" t="s">
        <v>55</v>
      </c>
      <c r="P514" s="4" t="s">
        <v>54</v>
      </c>
      <c r="Q514" s="5">
        <v>122925.28</v>
      </c>
      <c r="R514" s="10">
        <v>0</v>
      </c>
      <c r="S514" s="9">
        <f t="shared" si="16"/>
        <v>122925.28</v>
      </c>
      <c r="T514" s="4" t="s">
        <v>53</v>
      </c>
      <c r="U514" s="4" t="s">
        <v>271</v>
      </c>
      <c r="V514" s="4"/>
      <c r="W514" s="4">
        <v>-30</v>
      </c>
      <c r="X514" s="4" t="s">
        <v>124</v>
      </c>
      <c r="Y514" s="4"/>
      <c r="Z514" s="7" t="s">
        <v>14</v>
      </c>
      <c r="AA514" s="36" t="s">
        <v>22</v>
      </c>
      <c r="AB514" s="4" t="s">
        <v>2835</v>
      </c>
      <c r="AC514" s="22">
        <f t="shared" si="17"/>
        <v>48.205992156862742</v>
      </c>
      <c r="AD514" s="23">
        <v>0</v>
      </c>
    </row>
    <row r="515" spans="1:30" x14ac:dyDescent="0.35">
      <c r="A515" s="7">
        <v>538</v>
      </c>
      <c r="B515" s="6">
        <v>45841</v>
      </c>
      <c r="C515" s="6">
        <v>45841</v>
      </c>
      <c r="D515" s="4" t="s">
        <v>817</v>
      </c>
      <c r="E515" s="4" t="s">
        <v>61</v>
      </c>
      <c r="F515" s="4" t="s">
        <v>816</v>
      </c>
      <c r="G515" s="4" t="s">
        <v>816</v>
      </c>
      <c r="H515" s="4"/>
      <c r="I515" s="4"/>
      <c r="J515" s="4" t="s">
        <v>59</v>
      </c>
      <c r="K515" s="4" t="s">
        <v>58</v>
      </c>
      <c r="L515" s="4" t="s">
        <v>57</v>
      </c>
      <c r="M515" s="4" t="s">
        <v>32</v>
      </c>
      <c r="N515" s="4" t="s">
        <v>266</v>
      </c>
      <c r="O515" s="4" t="s">
        <v>55</v>
      </c>
      <c r="P515" s="4" t="s">
        <v>54</v>
      </c>
      <c r="Q515" s="5">
        <v>3985.14</v>
      </c>
      <c r="R515" s="10">
        <v>0</v>
      </c>
      <c r="S515" s="9">
        <f t="shared" ref="S515:S578" si="18">+Q515-R515</f>
        <v>3985.14</v>
      </c>
      <c r="T515" s="4" t="s">
        <v>53</v>
      </c>
      <c r="U515" s="4" t="s">
        <v>815</v>
      </c>
      <c r="V515" s="4"/>
      <c r="W515" s="4">
        <v>-10</v>
      </c>
      <c r="X515" s="4" t="s">
        <v>94</v>
      </c>
      <c r="Y515" s="4"/>
      <c r="Z515" s="7" t="s">
        <v>14</v>
      </c>
      <c r="AA515" s="36" t="s">
        <v>22</v>
      </c>
      <c r="AB515" s="4" t="s">
        <v>2835</v>
      </c>
      <c r="AC515" s="22">
        <f t="shared" si="17"/>
        <v>1.5628</v>
      </c>
      <c r="AD515" s="23">
        <v>0</v>
      </c>
    </row>
    <row r="516" spans="1:30" x14ac:dyDescent="0.35">
      <c r="A516" s="7">
        <v>539</v>
      </c>
      <c r="B516" s="6">
        <v>45841</v>
      </c>
      <c r="C516" s="6">
        <v>45841</v>
      </c>
      <c r="D516" s="4" t="s">
        <v>812</v>
      </c>
      <c r="E516" s="4" t="s">
        <v>61</v>
      </c>
      <c r="F516" s="4" t="s">
        <v>811</v>
      </c>
      <c r="G516" s="4" t="s">
        <v>811</v>
      </c>
      <c r="H516" s="4"/>
      <c r="I516" s="4"/>
      <c r="J516" s="4" t="s">
        <v>59</v>
      </c>
      <c r="K516" s="4" t="s">
        <v>58</v>
      </c>
      <c r="L516" s="4" t="s">
        <v>57</v>
      </c>
      <c r="M516" s="4" t="s">
        <v>32</v>
      </c>
      <c r="N516" s="4" t="s">
        <v>266</v>
      </c>
      <c r="O516" s="4" t="s">
        <v>55</v>
      </c>
      <c r="P516" s="4" t="s">
        <v>54</v>
      </c>
      <c r="Q516" s="5">
        <v>32977.78</v>
      </c>
      <c r="R516" s="10">
        <v>0</v>
      </c>
      <c r="S516" s="9">
        <f t="shared" si="18"/>
        <v>32977.78</v>
      </c>
      <c r="T516" s="4" t="s">
        <v>53</v>
      </c>
      <c r="U516" s="4" t="s">
        <v>320</v>
      </c>
      <c r="V516" s="4"/>
      <c r="W516" s="4">
        <v>-60</v>
      </c>
      <c r="X516" s="4" t="s">
        <v>94</v>
      </c>
      <c r="Y516" s="4"/>
      <c r="Z516" s="7" t="s">
        <v>14</v>
      </c>
      <c r="AA516" s="36" t="s">
        <v>22</v>
      </c>
      <c r="AB516" s="4" t="s">
        <v>2835</v>
      </c>
      <c r="AC516" s="22">
        <f t="shared" si="17"/>
        <v>12.932462745098039</v>
      </c>
      <c r="AD516" s="23">
        <v>0</v>
      </c>
    </row>
    <row r="517" spans="1:30" x14ac:dyDescent="0.35">
      <c r="A517" s="7">
        <v>540</v>
      </c>
      <c r="B517" s="6">
        <v>45841</v>
      </c>
      <c r="C517" s="6">
        <v>45841</v>
      </c>
      <c r="D517" s="4" t="s">
        <v>732</v>
      </c>
      <c r="E517" s="4" t="s">
        <v>61</v>
      </c>
      <c r="F517" s="4" t="s">
        <v>731</v>
      </c>
      <c r="G517" s="4" t="s">
        <v>731</v>
      </c>
      <c r="H517" s="4"/>
      <c r="I517" s="4"/>
      <c r="J517" s="4" t="s">
        <v>59</v>
      </c>
      <c r="K517" s="4" t="s">
        <v>58</v>
      </c>
      <c r="L517" s="4" t="s">
        <v>57</v>
      </c>
      <c r="M517" s="4" t="s">
        <v>32</v>
      </c>
      <c r="N517" s="4" t="s">
        <v>197</v>
      </c>
      <c r="O517" s="4" t="s">
        <v>105</v>
      </c>
      <c r="P517" s="4" t="s">
        <v>54</v>
      </c>
      <c r="Q517" s="5">
        <v>35380</v>
      </c>
      <c r="R517" s="10">
        <v>0</v>
      </c>
      <c r="S517" s="9">
        <f t="shared" si="18"/>
        <v>35380</v>
      </c>
      <c r="T517" s="4" t="s">
        <v>53</v>
      </c>
      <c r="U517" s="4" t="s">
        <v>214</v>
      </c>
      <c r="V517" s="4"/>
      <c r="W517" s="4">
        <v>-8</v>
      </c>
      <c r="X517" s="4" t="s">
        <v>51</v>
      </c>
      <c r="Y517" s="4"/>
      <c r="Z517" s="7" t="s">
        <v>14</v>
      </c>
      <c r="AA517" s="36" t="s">
        <v>29</v>
      </c>
      <c r="AB517" s="4" t="s">
        <v>2607</v>
      </c>
      <c r="AC517" s="22">
        <f t="shared" si="17"/>
        <v>13.874509803921569</v>
      </c>
      <c r="AD517" s="23">
        <v>0</v>
      </c>
    </row>
    <row r="518" spans="1:30" x14ac:dyDescent="0.35">
      <c r="A518" s="7">
        <v>541</v>
      </c>
      <c r="B518" s="6">
        <v>45841</v>
      </c>
      <c r="C518" s="6">
        <v>45841</v>
      </c>
      <c r="D518" s="4" t="s">
        <v>730</v>
      </c>
      <c r="E518" s="4" t="s">
        <v>61</v>
      </c>
      <c r="F518" s="4" t="s">
        <v>729</v>
      </c>
      <c r="G518" s="4" t="s">
        <v>729</v>
      </c>
      <c r="H518" s="4"/>
      <c r="I518" s="4"/>
      <c r="J518" s="4" t="s">
        <v>59</v>
      </c>
      <c r="K518" s="4" t="s">
        <v>58</v>
      </c>
      <c r="L518" s="4" t="s">
        <v>57</v>
      </c>
      <c r="M518" s="4" t="s">
        <v>32</v>
      </c>
      <c r="N518" s="4" t="s">
        <v>197</v>
      </c>
      <c r="O518" s="4" t="s">
        <v>105</v>
      </c>
      <c r="P518" s="4" t="s">
        <v>54</v>
      </c>
      <c r="Q518" s="5">
        <v>71251.509999999995</v>
      </c>
      <c r="R518" s="10">
        <v>0</v>
      </c>
      <c r="S518" s="9">
        <f t="shared" si="18"/>
        <v>71251.509999999995</v>
      </c>
      <c r="T518" s="4" t="s">
        <v>53</v>
      </c>
      <c r="U518" s="4" t="s">
        <v>728</v>
      </c>
      <c r="V518" s="4"/>
      <c r="W518" s="4">
        <v>-16</v>
      </c>
      <c r="X518" s="4" t="s">
        <v>51</v>
      </c>
      <c r="Y518" s="4"/>
      <c r="Z518" s="7" t="s">
        <v>14</v>
      </c>
      <c r="AA518" s="36" t="s">
        <v>29</v>
      </c>
      <c r="AB518" s="4" t="s">
        <v>2607</v>
      </c>
      <c r="AC518" s="22">
        <f t="shared" si="17"/>
        <v>27.94176862745098</v>
      </c>
      <c r="AD518" s="23">
        <v>0</v>
      </c>
    </row>
    <row r="519" spans="1:30" x14ac:dyDescent="0.35">
      <c r="A519" s="7">
        <v>542</v>
      </c>
      <c r="B519" s="6">
        <v>45841</v>
      </c>
      <c r="C519" s="6">
        <v>45841</v>
      </c>
      <c r="D519" s="4" t="s">
        <v>727</v>
      </c>
      <c r="E519" s="4" t="s">
        <v>61</v>
      </c>
      <c r="F519" s="4" t="s">
        <v>726</v>
      </c>
      <c r="G519" s="4" t="s">
        <v>726</v>
      </c>
      <c r="H519" s="4"/>
      <c r="I519" s="4"/>
      <c r="J519" s="4" t="s">
        <v>59</v>
      </c>
      <c r="K519" s="4" t="s">
        <v>58</v>
      </c>
      <c r="L519" s="4" t="s">
        <v>57</v>
      </c>
      <c r="M519" s="4" t="s">
        <v>32</v>
      </c>
      <c r="N519" s="4" t="s">
        <v>197</v>
      </c>
      <c r="O519" s="4" t="s">
        <v>105</v>
      </c>
      <c r="P519" s="4" t="s">
        <v>54</v>
      </c>
      <c r="Q519" s="5">
        <v>40367.730000000003</v>
      </c>
      <c r="R519" s="10">
        <v>0</v>
      </c>
      <c r="S519" s="9">
        <f t="shared" si="18"/>
        <v>40367.730000000003</v>
      </c>
      <c r="T519" s="4" t="s">
        <v>53</v>
      </c>
      <c r="U519" s="4" t="s">
        <v>423</v>
      </c>
      <c r="V519" s="4"/>
      <c r="W519" s="4">
        <v>-10</v>
      </c>
      <c r="X519" s="4" t="s">
        <v>51</v>
      </c>
      <c r="Y519" s="4"/>
      <c r="Z519" s="7" t="s">
        <v>14</v>
      </c>
      <c r="AA519" s="36" t="s">
        <v>29</v>
      </c>
      <c r="AB519" s="4" t="s">
        <v>2607</v>
      </c>
      <c r="AC519" s="22">
        <f t="shared" si="17"/>
        <v>15.830482352941178</v>
      </c>
      <c r="AD519" s="23">
        <v>0</v>
      </c>
    </row>
    <row r="520" spans="1:30" hidden="1" x14ac:dyDescent="0.35">
      <c r="A520" s="7">
        <v>543</v>
      </c>
      <c r="B520" s="6">
        <v>45842.623055555552</v>
      </c>
      <c r="C520" s="6">
        <v>45842</v>
      </c>
      <c r="D520" s="7" t="s">
        <v>2208</v>
      </c>
      <c r="E520" s="7" t="s">
        <v>1050</v>
      </c>
      <c r="F520" s="7"/>
      <c r="G520" s="7" t="s">
        <v>2207</v>
      </c>
      <c r="H520" s="7"/>
      <c r="I520" s="7"/>
      <c r="J520" s="7" t="s">
        <v>1816</v>
      </c>
      <c r="K520" s="7" t="s">
        <v>1815</v>
      </c>
      <c r="L520" s="7" t="s">
        <v>1956</v>
      </c>
      <c r="M520" s="7" t="s">
        <v>30</v>
      </c>
      <c r="N520" s="7" t="s">
        <v>211</v>
      </c>
      <c r="O520" s="7" t="s">
        <v>210</v>
      </c>
      <c r="P520" s="7" t="s">
        <v>210</v>
      </c>
      <c r="Q520" s="9">
        <v>500000</v>
      </c>
      <c r="R520" s="9">
        <v>0</v>
      </c>
      <c r="S520" s="9">
        <f t="shared" si="18"/>
        <v>500000</v>
      </c>
      <c r="T520" s="4" t="s">
        <v>53</v>
      </c>
      <c r="U520" s="7"/>
      <c r="V520" s="7"/>
      <c r="W520" s="9">
        <v>1</v>
      </c>
      <c r="X520" s="7"/>
      <c r="Y520" s="7"/>
      <c r="Z520" s="7" t="s">
        <v>14</v>
      </c>
      <c r="AA520" s="36" t="s">
        <v>30</v>
      </c>
      <c r="AB520" s="4"/>
      <c r="AC520" s="22">
        <f t="shared" si="17"/>
        <v>196.07843137254903</v>
      </c>
      <c r="AD520" s="23">
        <v>0</v>
      </c>
    </row>
    <row r="521" spans="1:30" x14ac:dyDescent="0.35">
      <c r="A521" s="7">
        <v>544</v>
      </c>
      <c r="B521" s="6">
        <v>45842</v>
      </c>
      <c r="C521" s="6">
        <v>45842</v>
      </c>
      <c r="D521" s="4" t="s">
        <v>997</v>
      </c>
      <c r="E521" s="4" t="s">
        <v>61</v>
      </c>
      <c r="F521" s="4" t="s">
        <v>996</v>
      </c>
      <c r="G521" s="4" t="s">
        <v>996</v>
      </c>
      <c r="H521" s="4"/>
      <c r="I521" s="4"/>
      <c r="J521" s="4" t="s">
        <v>59</v>
      </c>
      <c r="K521" s="4" t="s">
        <v>58</v>
      </c>
      <c r="L521" s="4" t="s">
        <v>57</v>
      </c>
      <c r="M521" s="4" t="s">
        <v>32</v>
      </c>
      <c r="N521" s="4" t="s">
        <v>317</v>
      </c>
      <c r="O521" s="4" t="s">
        <v>68</v>
      </c>
      <c r="P521" s="4" t="s">
        <v>54</v>
      </c>
      <c r="Q521" s="5">
        <v>19357.86</v>
      </c>
      <c r="R521" s="10">
        <v>0</v>
      </c>
      <c r="S521" s="9">
        <f t="shared" si="18"/>
        <v>19357.86</v>
      </c>
      <c r="T521" s="4" t="s">
        <v>53</v>
      </c>
      <c r="U521" s="4" t="s">
        <v>117</v>
      </c>
      <c r="V521" s="4"/>
      <c r="W521" s="4">
        <v>-6</v>
      </c>
      <c r="X521" s="4" t="s">
        <v>94</v>
      </c>
      <c r="Y521" s="4"/>
      <c r="Z521" s="7" t="s">
        <v>14</v>
      </c>
      <c r="AA521" s="36" t="s">
        <v>23</v>
      </c>
      <c r="AB521" s="4" t="s">
        <v>2607</v>
      </c>
      <c r="AC521" s="22">
        <f t="shared" si="17"/>
        <v>7.5913176470588235</v>
      </c>
      <c r="AD521" s="23">
        <v>0</v>
      </c>
    </row>
    <row r="522" spans="1:30" x14ac:dyDescent="0.35">
      <c r="A522" s="7">
        <v>545</v>
      </c>
      <c r="B522" s="6">
        <v>45842</v>
      </c>
      <c r="C522" s="6">
        <v>45842</v>
      </c>
      <c r="D522" s="4" t="s">
        <v>995</v>
      </c>
      <c r="E522" s="4" t="s">
        <v>61</v>
      </c>
      <c r="F522" s="4" t="s">
        <v>994</v>
      </c>
      <c r="G522" s="4" t="s">
        <v>994</v>
      </c>
      <c r="H522" s="4"/>
      <c r="I522" s="4"/>
      <c r="J522" s="4" t="s">
        <v>59</v>
      </c>
      <c r="K522" s="4" t="s">
        <v>58</v>
      </c>
      <c r="L522" s="4" t="s">
        <v>57</v>
      </c>
      <c r="M522" s="4" t="s">
        <v>32</v>
      </c>
      <c r="N522" s="4" t="s">
        <v>317</v>
      </c>
      <c r="O522" s="4" t="s">
        <v>68</v>
      </c>
      <c r="P522" s="4" t="s">
        <v>54</v>
      </c>
      <c r="Q522" s="5">
        <v>61462.64</v>
      </c>
      <c r="R522" s="10">
        <v>0</v>
      </c>
      <c r="S522" s="9">
        <f t="shared" si="18"/>
        <v>61462.64</v>
      </c>
      <c r="T522" s="4" t="s">
        <v>53</v>
      </c>
      <c r="U522" s="4" t="s">
        <v>271</v>
      </c>
      <c r="V522" s="4"/>
      <c r="W522" s="4">
        <v>-15</v>
      </c>
      <c r="X522" s="4" t="s">
        <v>124</v>
      </c>
      <c r="Y522" s="4"/>
      <c r="Z522" s="7" t="s">
        <v>14</v>
      </c>
      <c r="AA522" s="36" t="s">
        <v>23</v>
      </c>
      <c r="AB522" s="4" t="s">
        <v>2607</v>
      </c>
      <c r="AC522" s="22">
        <f t="shared" si="17"/>
        <v>24.102996078431371</v>
      </c>
      <c r="AD522" s="23">
        <v>0</v>
      </c>
    </row>
    <row r="523" spans="1:30" x14ac:dyDescent="0.35">
      <c r="A523" s="7">
        <v>546</v>
      </c>
      <c r="B523" s="6">
        <v>45842</v>
      </c>
      <c r="C523" s="6">
        <v>45842</v>
      </c>
      <c r="D523" s="4" t="s">
        <v>832</v>
      </c>
      <c r="E523" s="4" t="s">
        <v>61</v>
      </c>
      <c r="F523" s="4" t="s">
        <v>831</v>
      </c>
      <c r="G523" s="4" t="s">
        <v>831</v>
      </c>
      <c r="H523" s="4"/>
      <c r="I523" s="4"/>
      <c r="J523" s="4" t="s">
        <v>59</v>
      </c>
      <c r="K523" s="4" t="s">
        <v>58</v>
      </c>
      <c r="L523" s="4" t="s">
        <v>57</v>
      </c>
      <c r="M523" s="4" t="s">
        <v>32</v>
      </c>
      <c r="N523" s="4" t="s">
        <v>266</v>
      </c>
      <c r="O523" s="4" t="s">
        <v>55</v>
      </c>
      <c r="P523" s="4" t="s">
        <v>54</v>
      </c>
      <c r="Q523" s="5">
        <v>65955.55</v>
      </c>
      <c r="R523" s="10">
        <v>0</v>
      </c>
      <c r="S523" s="9">
        <f t="shared" si="18"/>
        <v>65955.55</v>
      </c>
      <c r="T523" s="4" t="s">
        <v>53</v>
      </c>
      <c r="U523" s="4" t="s">
        <v>320</v>
      </c>
      <c r="V523" s="4"/>
      <c r="W523" s="4">
        <v>-120</v>
      </c>
      <c r="X523" s="4" t="s">
        <v>94</v>
      </c>
      <c r="Y523" s="4"/>
      <c r="Z523" s="7" t="s">
        <v>14</v>
      </c>
      <c r="AA523" s="36" t="s">
        <v>22</v>
      </c>
      <c r="AB523" s="4" t="s">
        <v>2835</v>
      </c>
      <c r="AC523" s="22">
        <f t="shared" si="17"/>
        <v>25.864921568627452</v>
      </c>
      <c r="AD523" s="23">
        <v>0</v>
      </c>
    </row>
    <row r="524" spans="1:30" x14ac:dyDescent="0.35">
      <c r="A524" s="7">
        <v>547</v>
      </c>
      <c r="B524" s="6">
        <v>45842</v>
      </c>
      <c r="C524" s="6">
        <v>45842</v>
      </c>
      <c r="D524" s="4" t="s">
        <v>830</v>
      </c>
      <c r="E524" s="4" t="s">
        <v>61</v>
      </c>
      <c r="F524" s="4" t="s">
        <v>829</v>
      </c>
      <c r="G524" s="4" t="s">
        <v>829</v>
      </c>
      <c r="H524" s="4"/>
      <c r="I524" s="4"/>
      <c r="J524" s="4" t="s">
        <v>59</v>
      </c>
      <c r="K524" s="4" t="s">
        <v>58</v>
      </c>
      <c r="L524" s="4" t="s">
        <v>57</v>
      </c>
      <c r="M524" s="4" t="s">
        <v>32</v>
      </c>
      <c r="N524" s="4" t="s">
        <v>266</v>
      </c>
      <c r="O524" s="4" t="s">
        <v>55</v>
      </c>
      <c r="P524" s="4" t="s">
        <v>54</v>
      </c>
      <c r="Q524" s="5">
        <v>50030.18</v>
      </c>
      <c r="R524" s="10">
        <v>0</v>
      </c>
      <c r="S524" s="9">
        <f t="shared" si="18"/>
        <v>50030.18</v>
      </c>
      <c r="T524" s="4" t="s">
        <v>53</v>
      </c>
      <c r="U524" s="4" t="s">
        <v>828</v>
      </c>
      <c r="V524" s="4"/>
      <c r="W524" s="4">
        <v>-60</v>
      </c>
      <c r="X524" s="4" t="s">
        <v>94</v>
      </c>
      <c r="Y524" s="4"/>
      <c r="Z524" s="7" t="s">
        <v>14</v>
      </c>
      <c r="AA524" s="36" t="s">
        <v>22</v>
      </c>
      <c r="AB524" s="4" t="s">
        <v>2835</v>
      </c>
      <c r="AC524" s="22">
        <f t="shared" si="17"/>
        <v>19.619678431372549</v>
      </c>
      <c r="AD524" s="23">
        <v>0</v>
      </c>
    </row>
    <row r="525" spans="1:30" x14ac:dyDescent="0.35">
      <c r="A525" s="7">
        <v>548</v>
      </c>
      <c r="B525" s="6">
        <v>45842</v>
      </c>
      <c r="C525" s="6">
        <v>45842</v>
      </c>
      <c r="D525" s="4" t="s">
        <v>827</v>
      </c>
      <c r="E525" s="4" t="s">
        <v>61</v>
      </c>
      <c r="F525" s="4" t="s">
        <v>826</v>
      </c>
      <c r="G525" s="4" t="s">
        <v>826</v>
      </c>
      <c r="H525" s="4"/>
      <c r="I525" s="4"/>
      <c r="J525" s="4" t="s">
        <v>59</v>
      </c>
      <c r="K525" s="4" t="s">
        <v>58</v>
      </c>
      <c r="L525" s="4" t="s">
        <v>57</v>
      </c>
      <c r="M525" s="4" t="s">
        <v>32</v>
      </c>
      <c r="N525" s="4" t="s">
        <v>266</v>
      </c>
      <c r="O525" s="4" t="s">
        <v>55</v>
      </c>
      <c r="P525" s="4" t="s">
        <v>54</v>
      </c>
      <c r="Q525" s="5">
        <v>20183.88</v>
      </c>
      <c r="R525" s="10">
        <v>0</v>
      </c>
      <c r="S525" s="9">
        <f t="shared" si="18"/>
        <v>20183.88</v>
      </c>
      <c r="T525" s="4" t="s">
        <v>53</v>
      </c>
      <c r="U525" s="4" t="s">
        <v>423</v>
      </c>
      <c r="V525" s="4"/>
      <c r="W525" s="4">
        <v>-5</v>
      </c>
      <c r="X525" s="4" t="s">
        <v>51</v>
      </c>
      <c r="Y525" s="4"/>
      <c r="Z525" s="7" t="s">
        <v>14</v>
      </c>
      <c r="AA525" s="36" t="s">
        <v>22</v>
      </c>
      <c r="AB525" s="4" t="s">
        <v>2835</v>
      </c>
      <c r="AC525" s="22">
        <f t="shared" si="17"/>
        <v>7.91524705882353</v>
      </c>
      <c r="AD525" s="23">
        <v>0</v>
      </c>
    </row>
    <row r="526" spans="1:30" x14ac:dyDescent="0.35">
      <c r="A526" s="7">
        <v>549</v>
      </c>
      <c r="B526" s="6">
        <v>45842</v>
      </c>
      <c r="C526" s="6">
        <v>45842</v>
      </c>
      <c r="D526" s="4" t="s">
        <v>825</v>
      </c>
      <c r="E526" s="4" t="s">
        <v>61</v>
      </c>
      <c r="F526" s="4" t="s">
        <v>824</v>
      </c>
      <c r="G526" s="4" t="s">
        <v>824</v>
      </c>
      <c r="H526" s="4"/>
      <c r="I526" s="4"/>
      <c r="J526" s="4" t="s">
        <v>59</v>
      </c>
      <c r="K526" s="4" t="s">
        <v>58</v>
      </c>
      <c r="L526" s="4" t="s">
        <v>57</v>
      </c>
      <c r="M526" s="4" t="s">
        <v>32</v>
      </c>
      <c r="N526" s="4" t="s">
        <v>266</v>
      </c>
      <c r="O526" s="4" t="s">
        <v>55</v>
      </c>
      <c r="P526" s="4" t="s">
        <v>54</v>
      </c>
      <c r="Q526" s="5">
        <v>32263.1</v>
      </c>
      <c r="R526" s="10">
        <v>0</v>
      </c>
      <c r="S526" s="9">
        <f t="shared" si="18"/>
        <v>32263.1</v>
      </c>
      <c r="T526" s="4" t="s">
        <v>53</v>
      </c>
      <c r="U526" s="4" t="s">
        <v>117</v>
      </c>
      <c r="V526" s="4"/>
      <c r="W526" s="4">
        <v>-10</v>
      </c>
      <c r="X526" s="4" t="s">
        <v>94</v>
      </c>
      <c r="Y526" s="4"/>
      <c r="Z526" s="7" t="s">
        <v>14</v>
      </c>
      <c r="AA526" s="36" t="s">
        <v>22</v>
      </c>
      <c r="AB526" s="4" t="s">
        <v>2835</v>
      </c>
      <c r="AC526" s="22">
        <f t="shared" si="17"/>
        <v>12.652196078431372</v>
      </c>
      <c r="AD526" s="23">
        <v>0</v>
      </c>
    </row>
    <row r="527" spans="1:30" x14ac:dyDescent="0.35">
      <c r="A527" s="7">
        <v>550</v>
      </c>
      <c r="B527" s="6">
        <v>45842</v>
      </c>
      <c r="C527" s="6">
        <v>45842</v>
      </c>
      <c r="D527" s="4" t="s">
        <v>823</v>
      </c>
      <c r="E527" s="4" t="s">
        <v>61</v>
      </c>
      <c r="F527" s="4" t="s">
        <v>822</v>
      </c>
      <c r="G527" s="4" t="s">
        <v>822</v>
      </c>
      <c r="H527" s="4"/>
      <c r="I527" s="4"/>
      <c r="J527" s="4" t="s">
        <v>59</v>
      </c>
      <c r="K527" s="4" t="s">
        <v>58</v>
      </c>
      <c r="L527" s="4" t="s">
        <v>57</v>
      </c>
      <c r="M527" s="4" t="s">
        <v>32</v>
      </c>
      <c r="N527" s="4" t="s">
        <v>266</v>
      </c>
      <c r="O527" s="4" t="s">
        <v>55</v>
      </c>
      <c r="P527" s="4" t="s">
        <v>54</v>
      </c>
      <c r="Q527" s="5">
        <v>163900.37</v>
      </c>
      <c r="R527" s="10">
        <v>0</v>
      </c>
      <c r="S527" s="9">
        <f t="shared" si="18"/>
        <v>163900.37</v>
      </c>
      <c r="T527" s="4" t="s">
        <v>53</v>
      </c>
      <c r="U527" s="4" t="s">
        <v>271</v>
      </c>
      <c r="V527" s="4"/>
      <c r="W527" s="4">
        <v>-40</v>
      </c>
      <c r="X527" s="4" t="s">
        <v>124</v>
      </c>
      <c r="Y527" s="4"/>
      <c r="Z527" s="7" t="s">
        <v>14</v>
      </c>
      <c r="AA527" s="36" t="s">
        <v>22</v>
      </c>
      <c r="AB527" s="4" t="s">
        <v>2835</v>
      </c>
      <c r="AC527" s="22">
        <f t="shared" si="17"/>
        <v>64.274654901960787</v>
      </c>
      <c r="AD527" s="23">
        <v>0</v>
      </c>
    </row>
    <row r="528" spans="1:30" x14ac:dyDescent="0.35">
      <c r="A528" s="7">
        <v>551</v>
      </c>
      <c r="B528" s="6">
        <v>45843</v>
      </c>
      <c r="C528" s="6">
        <v>45843</v>
      </c>
      <c r="D528" s="4" t="s">
        <v>999</v>
      </c>
      <c r="E528" s="4" t="s">
        <v>61</v>
      </c>
      <c r="F528" s="4" t="s">
        <v>998</v>
      </c>
      <c r="G528" s="4" t="s">
        <v>998</v>
      </c>
      <c r="H528" s="4"/>
      <c r="I528" s="4"/>
      <c r="J528" s="4" t="s">
        <v>59</v>
      </c>
      <c r="K528" s="4" t="s">
        <v>58</v>
      </c>
      <c r="L528" s="4" t="s">
        <v>57</v>
      </c>
      <c r="M528" s="4" t="s">
        <v>32</v>
      </c>
      <c r="N528" s="4" t="s">
        <v>317</v>
      </c>
      <c r="O528" s="4" t="s">
        <v>68</v>
      </c>
      <c r="P528" s="4" t="s">
        <v>54</v>
      </c>
      <c r="Q528" s="5">
        <v>25810.48</v>
      </c>
      <c r="R528" s="10">
        <v>0</v>
      </c>
      <c r="S528" s="9">
        <f t="shared" si="18"/>
        <v>25810.48</v>
      </c>
      <c r="T528" s="4" t="s">
        <v>53</v>
      </c>
      <c r="U528" s="4" t="s">
        <v>117</v>
      </c>
      <c r="V528" s="4"/>
      <c r="W528" s="4">
        <v>-8</v>
      </c>
      <c r="X528" s="4" t="s">
        <v>94</v>
      </c>
      <c r="Y528" s="4"/>
      <c r="Z528" s="7" t="s">
        <v>14</v>
      </c>
      <c r="AA528" s="36" t="s">
        <v>23</v>
      </c>
      <c r="AB528" s="4" t="s">
        <v>2607</v>
      </c>
      <c r="AC528" s="22">
        <f t="shared" si="17"/>
        <v>10.121756862745098</v>
      </c>
      <c r="AD528" s="23">
        <v>0</v>
      </c>
    </row>
    <row r="529" spans="1:30" x14ac:dyDescent="0.35">
      <c r="A529" s="7">
        <v>552</v>
      </c>
      <c r="B529" s="6">
        <v>45843</v>
      </c>
      <c r="C529" s="6">
        <v>45843</v>
      </c>
      <c r="D529" s="4" t="s">
        <v>839</v>
      </c>
      <c r="E529" s="4" t="s">
        <v>61</v>
      </c>
      <c r="F529" s="4" t="s">
        <v>838</v>
      </c>
      <c r="G529" s="4" t="s">
        <v>838</v>
      </c>
      <c r="H529" s="4"/>
      <c r="I529" s="4"/>
      <c r="J529" s="4" t="s">
        <v>59</v>
      </c>
      <c r="K529" s="4" t="s">
        <v>58</v>
      </c>
      <c r="L529" s="4" t="s">
        <v>57</v>
      </c>
      <c r="M529" s="4" t="s">
        <v>32</v>
      </c>
      <c r="N529" s="4" t="s">
        <v>266</v>
      </c>
      <c r="O529" s="4" t="s">
        <v>55</v>
      </c>
      <c r="P529" s="4" t="s">
        <v>54</v>
      </c>
      <c r="Q529" s="5">
        <v>173210.08</v>
      </c>
      <c r="R529" s="10">
        <v>0</v>
      </c>
      <c r="S529" s="9">
        <f t="shared" si="18"/>
        <v>173210.08</v>
      </c>
      <c r="T529" s="4" t="s">
        <v>53</v>
      </c>
      <c r="U529" s="4" t="s">
        <v>837</v>
      </c>
      <c r="V529" s="4"/>
      <c r="W529" s="4">
        <v>-1</v>
      </c>
      <c r="X529" s="4" t="s">
        <v>94</v>
      </c>
      <c r="Y529" s="4"/>
      <c r="Z529" s="7" t="s">
        <v>14</v>
      </c>
      <c r="AA529" s="36" t="s">
        <v>22</v>
      </c>
      <c r="AB529" s="4" t="s">
        <v>2835</v>
      </c>
      <c r="AC529" s="22">
        <f t="shared" si="17"/>
        <v>67.925521568627445</v>
      </c>
      <c r="AD529" s="23">
        <v>0</v>
      </c>
    </row>
    <row r="530" spans="1:30" x14ac:dyDescent="0.35">
      <c r="A530" s="7">
        <v>553</v>
      </c>
      <c r="B530" s="6">
        <v>45843</v>
      </c>
      <c r="C530" s="6">
        <v>45843</v>
      </c>
      <c r="D530" s="4" t="s">
        <v>836</v>
      </c>
      <c r="E530" s="4" t="s">
        <v>61</v>
      </c>
      <c r="F530" s="4" t="s">
        <v>835</v>
      </c>
      <c r="G530" s="4" t="s">
        <v>835</v>
      </c>
      <c r="H530" s="4"/>
      <c r="I530" s="4"/>
      <c r="J530" s="4" t="s">
        <v>59</v>
      </c>
      <c r="K530" s="4" t="s">
        <v>58</v>
      </c>
      <c r="L530" s="4" t="s">
        <v>57</v>
      </c>
      <c r="M530" s="4" t="s">
        <v>32</v>
      </c>
      <c r="N530" s="4" t="s">
        <v>266</v>
      </c>
      <c r="O530" s="4" t="s">
        <v>55</v>
      </c>
      <c r="P530" s="4" t="s">
        <v>54</v>
      </c>
      <c r="Q530" s="5">
        <v>32263.1</v>
      </c>
      <c r="R530" s="10">
        <v>0</v>
      </c>
      <c r="S530" s="9">
        <f t="shared" si="18"/>
        <v>32263.1</v>
      </c>
      <c r="T530" s="4" t="s">
        <v>53</v>
      </c>
      <c r="U530" s="4" t="s">
        <v>117</v>
      </c>
      <c r="V530" s="4"/>
      <c r="W530" s="4">
        <v>-10</v>
      </c>
      <c r="X530" s="4" t="s">
        <v>94</v>
      </c>
      <c r="Y530" s="4"/>
      <c r="Z530" s="7" t="s">
        <v>14</v>
      </c>
      <c r="AA530" s="36" t="s">
        <v>22</v>
      </c>
      <c r="AB530" s="4" t="s">
        <v>2835</v>
      </c>
      <c r="AC530" s="22">
        <f t="shared" si="17"/>
        <v>12.652196078431372</v>
      </c>
      <c r="AD530" s="23">
        <v>0</v>
      </c>
    </row>
    <row r="531" spans="1:30" x14ac:dyDescent="0.35">
      <c r="A531" s="7">
        <v>554</v>
      </c>
      <c r="B531" s="6">
        <v>45843</v>
      </c>
      <c r="C531" s="6">
        <v>45843</v>
      </c>
      <c r="D531" s="4" t="s">
        <v>834</v>
      </c>
      <c r="E531" s="4" t="s">
        <v>61</v>
      </c>
      <c r="F531" s="4" t="s">
        <v>833</v>
      </c>
      <c r="G531" s="4" t="s">
        <v>833</v>
      </c>
      <c r="H531" s="4"/>
      <c r="I531" s="4"/>
      <c r="J531" s="4" t="s">
        <v>59</v>
      </c>
      <c r="K531" s="4" t="s">
        <v>58</v>
      </c>
      <c r="L531" s="4" t="s">
        <v>57</v>
      </c>
      <c r="M531" s="4" t="s">
        <v>32</v>
      </c>
      <c r="N531" s="4" t="s">
        <v>266</v>
      </c>
      <c r="O531" s="4" t="s">
        <v>55</v>
      </c>
      <c r="P531" s="4" t="s">
        <v>54</v>
      </c>
      <c r="Q531" s="5">
        <v>245850.56</v>
      </c>
      <c r="R531" s="10">
        <v>0</v>
      </c>
      <c r="S531" s="9">
        <f t="shared" si="18"/>
        <v>245850.56</v>
      </c>
      <c r="T531" s="4" t="s">
        <v>53</v>
      </c>
      <c r="U531" s="4" t="s">
        <v>271</v>
      </c>
      <c r="V531" s="4"/>
      <c r="W531" s="4">
        <v>-60</v>
      </c>
      <c r="X531" s="4" t="s">
        <v>124</v>
      </c>
      <c r="Y531" s="4"/>
      <c r="Z531" s="7" t="s">
        <v>14</v>
      </c>
      <c r="AA531" s="36" t="s">
        <v>22</v>
      </c>
      <c r="AB531" s="4" t="s">
        <v>2835</v>
      </c>
      <c r="AC531" s="22">
        <f t="shared" si="17"/>
        <v>96.411984313725483</v>
      </c>
      <c r="AD531" s="23">
        <v>0</v>
      </c>
    </row>
    <row r="532" spans="1:30" hidden="1" x14ac:dyDescent="0.35">
      <c r="A532" s="7">
        <v>555</v>
      </c>
      <c r="B532" s="6">
        <v>45846.567291666666</v>
      </c>
      <c r="C532" s="6">
        <v>45846</v>
      </c>
      <c r="D532" s="7" t="s">
        <v>2206</v>
      </c>
      <c r="E532" s="7" t="s">
        <v>1819</v>
      </c>
      <c r="F532" s="7" t="s">
        <v>2205</v>
      </c>
      <c r="G532" s="7" t="s">
        <v>2204</v>
      </c>
      <c r="H532" s="7"/>
      <c r="I532" s="7"/>
      <c r="J532" s="7" t="s">
        <v>1816</v>
      </c>
      <c r="K532" s="7" t="s">
        <v>1815</v>
      </c>
      <c r="L532" s="7" t="s">
        <v>1814</v>
      </c>
      <c r="M532" s="7" t="s">
        <v>28</v>
      </c>
      <c r="N532" s="7" t="s">
        <v>1813</v>
      </c>
      <c r="O532" s="7" t="s">
        <v>105</v>
      </c>
      <c r="P532" s="7" t="s">
        <v>1775</v>
      </c>
      <c r="Q532" s="9">
        <v>538000</v>
      </c>
      <c r="R532" s="9">
        <v>0</v>
      </c>
      <c r="S532" s="9">
        <f t="shared" si="18"/>
        <v>538000</v>
      </c>
      <c r="T532" s="4" t="s">
        <v>53</v>
      </c>
      <c r="U532" s="7"/>
      <c r="V532" s="7"/>
      <c r="W532" s="9">
        <v>1</v>
      </c>
      <c r="X532" s="7"/>
      <c r="Y532" s="7"/>
      <c r="Z532" s="7" t="s">
        <v>14</v>
      </c>
      <c r="AA532" s="36" t="s">
        <v>28</v>
      </c>
      <c r="AB532" s="4"/>
      <c r="AC532" s="22">
        <f t="shared" si="17"/>
        <v>210.98039215686273</v>
      </c>
      <c r="AD532" s="23">
        <v>0</v>
      </c>
    </row>
    <row r="533" spans="1:30" x14ac:dyDescent="0.35">
      <c r="A533" s="7">
        <v>556</v>
      </c>
      <c r="B533" s="6">
        <v>45846</v>
      </c>
      <c r="C533" s="6">
        <v>45846</v>
      </c>
      <c r="D533" s="4" t="s">
        <v>1007</v>
      </c>
      <c r="E533" s="4" t="s">
        <v>61</v>
      </c>
      <c r="F533" s="4" t="s">
        <v>1006</v>
      </c>
      <c r="G533" s="4" t="s">
        <v>1006</v>
      </c>
      <c r="H533" s="4"/>
      <c r="I533" s="4"/>
      <c r="J533" s="4" t="s">
        <v>59</v>
      </c>
      <c r="K533" s="4" t="s">
        <v>58</v>
      </c>
      <c r="L533" s="4" t="s">
        <v>57</v>
      </c>
      <c r="M533" s="4" t="s">
        <v>32</v>
      </c>
      <c r="N533" s="4" t="s">
        <v>317</v>
      </c>
      <c r="O533" s="4" t="s">
        <v>68</v>
      </c>
      <c r="P533" s="4" t="s">
        <v>54</v>
      </c>
      <c r="Q533" s="5">
        <v>60000</v>
      </c>
      <c r="R533" s="10">
        <v>0</v>
      </c>
      <c r="S533" s="9">
        <f t="shared" si="18"/>
        <v>60000</v>
      </c>
      <c r="T533" s="4" t="s">
        <v>53</v>
      </c>
      <c r="U533" s="4" t="s">
        <v>121</v>
      </c>
      <c r="V533" s="4"/>
      <c r="W533" s="4">
        <v>-4</v>
      </c>
      <c r="X533" s="4" t="s">
        <v>94</v>
      </c>
      <c r="Y533" s="4"/>
      <c r="Z533" s="7" t="s">
        <v>14</v>
      </c>
      <c r="AA533" s="36" t="s">
        <v>23</v>
      </c>
      <c r="AB533" s="4" t="s">
        <v>2607</v>
      </c>
      <c r="AC533" s="22">
        <f t="shared" si="17"/>
        <v>23.529411764705884</v>
      </c>
      <c r="AD533" s="23">
        <v>0</v>
      </c>
    </row>
    <row r="534" spans="1:30" x14ac:dyDescent="0.35">
      <c r="A534" s="7">
        <v>557</v>
      </c>
      <c r="B534" s="6">
        <v>45846</v>
      </c>
      <c r="C534" s="6">
        <v>45846</v>
      </c>
      <c r="D534" s="4" t="s">
        <v>1005</v>
      </c>
      <c r="E534" s="4" t="s">
        <v>61</v>
      </c>
      <c r="F534" s="4" t="s">
        <v>1004</v>
      </c>
      <c r="G534" s="4" t="s">
        <v>1004</v>
      </c>
      <c r="H534" s="4"/>
      <c r="I534" s="4"/>
      <c r="J534" s="4" t="s">
        <v>59</v>
      </c>
      <c r="K534" s="4" t="s">
        <v>58</v>
      </c>
      <c r="L534" s="4" t="s">
        <v>57</v>
      </c>
      <c r="M534" s="4" t="s">
        <v>32</v>
      </c>
      <c r="N534" s="4" t="s">
        <v>317</v>
      </c>
      <c r="O534" s="4" t="s">
        <v>68</v>
      </c>
      <c r="P534" s="4" t="s">
        <v>54</v>
      </c>
      <c r="Q534" s="5">
        <v>48000</v>
      </c>
      <c r="R534" s="10">
        <v>0</v>
      </c>
      <c r="S534" s="9">
        <f t="shared" si="18"/>
        <v>48000</v>
      </c>
      <c r="T534" s="4" t="s">
        <v>53</v>
      </c>
      <c r="U534" s="4" t="s">
        <v>282</v>
      </c>
      <c r="V534" s="4"/>
      <c r="W534" s="4">
        <v>-1</v>
      </c>
      <c r="X534" s="4" t="s">
        <v>94</v>
      </c>
      <c r="Y534" s="4"/>
      <c r="Z534" s="7" t="s">
        <v>14</v>
      </c>
      <c r="AA534" s="36" t="s">
        <v>23</v>
      </c>
      <c r="AB534" s="4" t="s">
        <v>2607</v>
      </c>
      <c r="AC534" s="22">
        <f t="shared" si="17"/>
        <v>18.823529411764707</v>
      </c>
      <c r="AD534" s="23">
        <v>0</v>
      </c>
    </row>
    <row r="535" spans="1:30" x14ac:dyDescent="0.35">
      <c r="A535" s="7">
        <v>558</v>
      </c>
      <c r="B535" s="6">
        <v>45846</v>
      </c>
      <c r="C535" s="6">
        <v>45846</v>
      </c>
      <c r="D535" s="4" t="s">
        <v>1003</v>
      </c>
      <c r="E535" s="4" t="s">
        <v>61</v>
      </c>
      <c r="F535" s="4" t="s">
        <v>1002</v>
      </c>
      <c r="G535" s="4" t="s">
        <v>1002</v>
      </c>
      <c r="H535" s="4"/>
      <c r="I535" s="4"/>
      <c r="J535" s="4" t="s">
        <v>59</v>
      </c>
      <c r="K535" s="4" t="s">
        <v>58</v>
      </c>
      <c r="L535" s="4" t="s">
        <v>57</v>
      </c>
      <c r="M535" s="4" t="s">
        <v>32</v>
      </c>
      <c r="N535" s="4" t="s">
        <v>317</v>
      </c>
      <c r="O535" s="4" t="s">
        <v>68</v>
      </c>
      <c r="P535" s="4" t="s">
        <v>54</v>
      </c>
      <c r="Q535" s="5">
        <v>16131.55</v>
      </c>
      <c r="R535" s="10">
        <v>0</v>
      </c>
      <c r="S535" s="9">
        <f t="shared" si="18"/>
        <v>16131.55</v>
      </c>
      <c r="T535" s="4" t="s">
        <v>53</v>
      </c>
      <c r="U535" s="4" t="s">
        <v>117</v>
      </c>
      <c r="V535" s="4"/>
      <c r="W535" s="4">
        <v>-5</v>
      </c>
      <c r="X535" s="4" t="s">
        <v>94</v>
      </c>
      <c r="Y535" s="4"/>
      <c r="Z535" s="7" t="s">
        <v>14</v>
      </c>
      <c r="AA535" s="36" t="s">
        <v>23</v>
      </c>
      <c r="AB535" s="4" t="s">
        <v>2607</v>
      </c>
      <c r="AC535" s="22">
        <f t="shared" si="17"/>
        <v>6.3260980392156858</v>
      </c>
      <c r="AD535" s="23">
        <v>0</v>
      </c>
    </row>
    <row r="536" spans="1:30" x14ac:dyDescent="0.35">
      <c r="A536" s="7">
        <v>559</v>
      </c>
      <c r="B536" s="6">
        <v>45846</v>
      </c>
      <c r="C536" s="6">
        <v>45846</v>
      </c>
      <c r="D536" s="4" t="s">
        <v>1001</v>
      </c>
      <c r="E536" s="4" t="s">
        <v>61</v>
      </c>
      <c r="F536" s="4" t="s">
        <v>1000</v>
      </c>
      <c r="G536" s="4" t="s">
        <v>1000</v>
      </c>
      <c r="H536" s="4"/>
      <c r="I536" s="4"/>
      <c r="J536" s="4" t="s">
        <v>59</v>
      </c>
      <c r="K536" s="4" t="s">
        <v>58</v>
      </c>
      <c r="L536" s="4" t="s">
        <v>57</v>
      </c>
      <c r="M536" s="4" t="s">
        <v>32</v>
      </c>
      <c r="N536" s="4" t="s">
        <v>317</v>
      </c>
      <c r="O536" s="4" t="s">
        <v>68</v>
      </c>
      <c r="P536" s="4" t="s">
        <v>54</v>
      </c>
      <c r="Q536" s="5">
        <v>61462.64</v>
      </c>
      <c r="R536" s="10">
        <v>0</v>
      </c>
      <c r="S536" s="9">
        <f t="shared" si="18"/>
        <v>61462.64</v>
      </c>
      <c r="T536" s="4" t="s">
        <v>53</v>
      </c>
      <c r="U536" s="4" t="s">
        <v>271</v>
      </c>
      <c r="V536" s="4"/>
      <c r="W536" s="4">
        <v>-15</v>
      </c>
      <c r="X536" s="4" t="s">
        <v>124</v>
      </c>
      <c r="Y536" s="4"/>
      <c r="Z536" s="7" t="s">
        <v>14</v>
      </c>
      <c r="AA536" s="36" t="s">
        <v>23</v>
      </c>
      <c r="AB536" s="4" t="s">
        <v>2607</v>
      </c>
      <c r="AC536" s="22">
        <f t="shared" si="17"/>
        <v>24.102996078431371</v>
      </c>
      <c r="AD536" s="23">
        <v>0</v>
      </c>
    </row>
    <row r="537" spans="1:30" x14ac:dyDescent="0.35">
      <c r="A537" s="7">
        <v>560</v>
      </c>
      <c r="B537" s="6">
        <v>45846</v>
      </c>
      <c r="C537" s="6">
        <v>45846</v>
      </c>
      <c r="D537" s="4" t="s">
        <v>855</v>
      </c>
      <c r="E537" s="4" t="s">
        <v>61</v>
      </c>
      <c r="F537" s="4" t="s">
        <v>854</v>
      </c>
      <c r="G537" s="4" t="s">
        <v>854</v>
      </c>
      <c r="H537" s="4"/>
      <c r="I537" s="4"/>
      <c r="J537" s="4" t="s">
        <v>59</v>
      </c>
      <c r="K537" s="4" t="s">
        <v>58</v>
      </c>
      <c r="L537" s="4" t="s">
        <v>57</v>
      </c>
      <c r="M537" s="4" t="s">
        <v>32</v>
      </c>
      <c r="N537" s="4" t="s">
        <v>266</v>
      </c>
      <c r="O537" s="4" t="s">
        <v>55</v>
      </c>
      <c r="P537" s="4" t="s">
        <v>54</v>
      </c>
      <c r="Q537" s="5">
        <v>54962.94</v>
      </c>
      <c r="R537" s="10">
        <v>0</v>
      </c>
      <c r="S537" s="9">
        <f t="shared" si="18"/>
        <v>54962.94</v>
      </c>
      <c r="T537" s="4" t="s">
        <v>53</v>
      </c>
      <c r="U537" s="4" t="s">
        <v>320</v>
      </c>
      <c r="V537" s="4"/>
      <c r="W537" s="4">
        <v>-100</v>
      </c>
      <c r="X537" s="4" t="s">
        <v>94</v>
      </c>
      <c r="Y537" s="4"/>
      <c r="Z537" s="7" t="s">
        <v>14</v>
      </c>
      <c r="AA537" s="36" t="s">
        <v>22</v>
      </c>
      <c r="AB537" s="4" t="s">
        <v>2835</v>
      </c>
      <c r="AC537" s="22">
        <f t="shared" si="17"/>
        <v>21.554094117647061</v>
      </c>
      <c r="AD537" s="23">
        <v>0</v>
      </c>
    </row>
    <row r="538" spans="1:30" x14ac:dyDescent="0.35">
      <c r="A538" s="7">
        <v>561</v>
      </c>
      <c r="B538" s="6">
        <v>45846</v>
      </c>
      <c r="C538" s="6">
        <v>45846</v>
      </c>
      <c r="D538" s="4" t="s">
        <v>853</v>
      </c>
      <c r="E538" s="4" t="s">
        <v>61</v>
      </c>
      <c r="F538" s="4" t="s">
        <v>852</v>
      </c>
      <c r="G538" s="4" t="s">
        <v>852</v>
      </c>
      <c r="H538" s="4"/>
      <c r="I538" s="4"/>
      <c r="J538" s="4" t="s">
        <v>59</v>
      </c>
      <c r="K538" s="4" t="s">
        <v>58</v>
      </c>
      <c r="L538" s="4" t="s">
        <v>57</v>
      </c>
      <c r="M538" s="4" t="s">
        <v>32</v>
      </c>
      <c r="N538" s="4" t="s">
        <v>266</v>
      </c>
      <c r="O538" s="4" t="s">
        <v>55</v>
      </c>
      <c r="P538" s="4" t="s">
        <v>54</v>
      </c>
      <c r="Q538" s="5">
        <v>225000</v>
      </c>
      <c r="R538" s="10">
        <v>0</v>
      </c>
      <c r="S538" s="9">
        <f t="shared" si="18"/>
        <v>225000</v>
      </c>
      <c r="T538" s="4" t="s">
        <v>53</v>
      </c>
      <c r="U538" s="4" t="s">
        <v>121</v>
      </c>
      <c r="V538" s="4"/>
      <c r="W538" s="4">
        <v>-15</v>
      </c>
      <c r="X538" s="4" t="s">
        <v>94</v>
      </c>
      <c r="Y538" s="4"/>
      <c r="Z538" s="7" t="s">
        <v>14</v>
      </c>
      <c r="AA538" s="36" t="s">
        <v>22</v>
      </c>
      <c r="AB538" s="4" t="s">
        <v>2835</v>
      </c>
      <c r="AC538" s="22">
        <f t="shared" si="17"/>
        <v>88.235294117647058</v>
      </c>
      <c r="AD538" s="23">
        <v>0</v>
      </c>
    </row>
    <row r="539" spans="1:30" x14ac:dyDescent="0.35">
      <c r="A539" s="7">
        <v>562</v>
      </c>
      <c r="B539" s="6">
        <v>45846</v>
      </c>
      <c r="C539" s="6">
        <v>45846</v>
      </c>
      <c r="D539" s="4" t="s">
        <v>851</v>
      </c>
      <c r="E539" s="4" t="s">
        <v>61</v>
      </c>
      <c r="F539" s="4" t="s">
        <v>850</v>
      </c>
      <c r="G539" s="4" t="s">
        <v>850</v>
      </c>
      <c r="H539" s="4"/>
      <c r="I539" s="4"/>
      <c r="J539" s="4" t="s">
        <v>59</v>
      </c>
      <c r="K539" s="4" t="s">
        <v>58</v>
      </c>
      <c r="L539" s="4" t="s">
        <v>57</v>
      </c>
      <c r="M539" s="4" t="s">
        <v>32</v>
      </c>
      <c r="N539" s="4" t="s">
        <v>266</v>
      </c>
      <c r="O539" s="4" t="s">
        <v>55</v>
      </c>
      <c r="P539" s="4" t="s">
        <v>54</v>
      </c>
      <c r="Q539" s="5">
        <v>96000</v>
      </c>
      <c r="R539" s="10">
        <v>0</v>
      </c>
      <c r="S539" s="9">
        <f t="shared" si="18"/>
        <v>96000</v>
      </c>
      <c r="T539" s="4" t="s">
        <v>53</v>
      </c>
      <c r="U539" s="4" t="s">
        <v>282</v>
      </c>
      <c r="V539" s="4"/>
      <c r="W539" s="4">
        <v>-2</v>
      </c>
      <c r="X539" s="4" t="s">
        <v>94</v>
      </c>
      <c r="Y539" s="4"/>
      <c r="Z539" s="7" t="s">
        <v>14</v>
      </c>
      <c r="AA539" s="36" t="s">
        <v>22</v>
      </c>
      <c r="AB539" s="4" t="s">
        <v>2835</v>
      </c>
      <c r="AC539" s="22">
        <f t="shared" si="17"/>
        <v>37.647058823529413</v>
      </c>
      <c r="AD539" s="23">
        <v>0</v>
      </c>
    </row>
    <row r="540" spans="1:30" x14ac:dyDescent="0.35">
      <c r="A540" s="7">
        <v>563</v>
      </c>
      <c r="B540" s="6">
        <v>45846</v>
      </c>
      <c r="C540" s="6">
        <v>45846</v>
      </c>
      <c r="D540" s="4" t="s">
        <v>849</v>
      </c>
      <c r="E540" s="4" t="s">
        <v>61</v>
      </c>
      <c r="F540" s="4" t="s">
        <v>848</v>
      </c>
      <c r="G540" s="4" t="s">
        <v>848</v>
      </c>
      <c r="H540" s="4"/>
      <c r="I540" s="4"/>
      <c r="J540" s="4" t="s">
        <v>59</v>
      </c>
      <c r="K540" s="4" t="s">
        <v>58</v>
      </c>
      <c r="L540" s="4" t="s">
        <v>57</v>
      </c>
      <c r="M540" s="4" t="s">
        <v>32</v>
      </c>
      <c r="N540" s="4" t="s">
        <v>266</v>
      </c>
      <c r="O540" s="4" t="s">
        <v>55</v>
      </c>
      <c r="P540" s="4" t="s">
        <v>54</v>
      </c>
      <c r="Q540" s="5">
        <v>199996.73</v>
      </c>
      <c r="R540" s="10">
        <v>0</v>
      </c>
      <c r="S540" s="9">
        <f t="shared" si="18"/>
        <v>199996.73</v>
      </c>
      <c r="T540" s="4" t="s">
        <v>53</v>
      </c>
      <c r="U540" s="4" t="s">
        <v>307</v>
      </c>
      <c r="V540" s="4"/>
      <c r="W540" s="4">
        <v>-2</v>
      </c>
      <c r="X540" s="4" t="s">
        <v>94</v>
      </c>
      <c r="Y540" s="4"/>
      <c r="Z540" s="7" t="s">
        <v>14</v>
      </c>
      <c r="AA540" s="36" t="s">
        <v>22</v>
      </c>
      <c r="AB540" s="4" t="s">
        <v>2835</v>
      </c>
      <c r="AC540" s="22">
        <f t="shared" si="17"/>
        <v>78.430090196078439</v>
      </c>
      <c r="AD540" s="23">
        <v>0</v>
      </c>
    </row>
    <row r="541" spans="1:30" x14ac:dyDescent="0.35">
      <c r="A541" s="7">
        <v>564</v>
      </c>
      <c r="B541" s="6">
        <v>45846</v>
      </c>
      <c r="C541" s="6">
        <v>45846</v>
      </c>
      <c r="D541" s="4" t="s">
        <v>847</v>
      </c>
      <c r="E541" s="4" t="s">
        <v>61</v>
      </c>
      <c r="F541" s="4" t="s">
        <v>846</v>
      </c>
      <c r="G541" s="4" t="s">
        <v>846</v>
      </c>
      <c r="H541" s="4"/>
      <c r="I541" s="4"/>
      <c r="J541" s="4" t="s">
        <v>59</v>
      </c>
      <c r="K541" s="4" t="s">
        <v>58</v>
      </c>
      <c r="L541" s="4" t="s">
        <v>57</v>
      </c>
      <c r="M541" s="4" t="s">
        <v>32</v>
      </c>
      <c r="N541" s="4" t="s">
        <v>266</v>
      </c>
      <c r="O541" s="4" t="s">
        <v>55</v>
      </c>
      <c r="P541" s="4" t="s">
        <v>54</v>
      </c>
      <c r="Q541" s="5">
        <v>70760</v>
      </c>
      <c r="R541" s="10">
        <v>0</v>
      </c>
      <c r="S541" s="9">
        <f t="shared" si="18"/>
        <v>70760</v>
      </c>
      <c r="T541" s="4" t="s">
        <v>53</v>
      </c>
      <c r="U541" s="4" t="s">
        <v>214</v>
      </c>
      <c r="V541" s="4"/>
      <c r="W541" s="4">
        <v>-16</v>
      </c>
      <c r="X541" s="4" t="s">
        <v>51</v>
      </c>
      <c r="Y541" s="4"/>
      <c r="Z541" s="7" t="s">
        <v>14</v>
      </c>
      <c r="AA541" s="36" t="s">
        <v>22</v>
      </c>
      <c r="AB541" s="4" t="s">
        <v>2835</v>
      </c>
      <c r="AC541" s="22">
        <f t="shared" si="17"/>
        <v>27.749019607843138</v>
      </c>
      <c r="AD541" s="23">
        <v>0</v>
      </c>
    </row>
    <row r="542" spans="1:30" x14ac:dyDescent="0.35">
      <c r="A542" s="7">
        <v>565</v>
      </c>
      <c r="B542" s="6">
        <v>45846</v>
      </c>
      <c r="C542" s="6">
        <v>45846</v>
      </c>
      <c r="D542" s="4" t="s">
        <v>845</v>
      </c>
      <c r="E542" s="4" t="s">
        <v>61</v>
      </c>
      <c r="F542" s="4" t="s">
        <v>844</v>
      </c>
      <c r="G542" s="4" t="s">
        <v>844</v>
      </c>
      <c r="H542" s="4"/>
      <c r="I542" s="4"/>
      <c r="J542" s="4" t="s">
        <v>59</v>
      </c>
      <c r="K542" s="4" t="s">
        <v>58</v>
      </c>
      <c r="L542" s="4" t="s">
        <v>57</v>
      </c>
      <c r="M542" s="4" t="s">
        <v>32</v>
      </c>
      <c r="N542" s="4" t="s">
        <v>266</v>
      </c>
      <c r="O542" s="4" t="s">
        <v>55</v>
      </c>
      <c r="P542" s="4" t="s">
        <v>54</v>
      </c>
      <c r="Q542" s="5">
        <v>20183.86</v>
      </c>
      <c r="R542" s="10">
        <v>0</v>
      </c>
      <c r="S542" s="9">
        <f t="shared" si="18"/>
        <v>20183.86</v>
      </c>
      <c r="T542" s="4" t="s">
        <v>53</v>
      </c>
      <c r="U542" s="4" t="s">
        <v>423</v>
      </c>
      <c r="V542" s="4"/>
      <c r="W542" s="4">
        <v>-5</v>
      </c>
      <c r="X542" s="4" t="s">
        <v>51</v>
      </c>
      <c r="Y542" s="4"/>
      <c r="Z542" s="7" t="s">
        <v>14</v>
      </c>
      <c r="AA542" s="36" t="s">
        <v>22</v>
      </c>
      <c r="AB542" s="4" t="s">
        <v>2835</v>
      </c>
      <c r="AC542" s="22">
        <f t="shared" si="17"/>
        <v>7.9152392156862748</v>
      </c>
      <c r="AD542" s="23">
        <v>0</v>
      </c>
    </row>
    <row r="543" spans="1:30" x14ac:dyDescent="0.35">
      <c r="A543" s="7">
        <v>566</v>
      </c>
      <c r="B543" s="6">
        <v>45846</v>
      </c>
      <c r="C543" s="6">
        <v>45846</v>
      </c>
      <c r="D543" s="4" t="s">
        <v>843</v>
      </c>
      <c r="E543" s="4" t="s">
        <v>61</v>
      </c>
      <c r="F543" s="4" t="s">
        <v>842</v>
      </c>
      <c r="G543" s="4" t="s">
        <v>842</v>
      </c>
      <c r="H543" s="4"/>
      <c r="I543" s="4"/>
      <c r="J543" s="4" t="s">
        <v>59</v>
      </c>
      <c r="K543" s="4" t="s">
        <v>58</v>
      </c>
      <c r="L543" s="4" t="s">
        <v>57</v>
      </c>
      <c r="M543" s="4" t="s">
        <v>32</v>
      </c>
      <c r="N543" s="4" t="s">
        <v>266</v>
      </c>
      <c r="O543" s="4" t="s">
        <v>55</v>
      </c>
      <c r="P543" s="4" t="s">
        <v>54</v>
      </c>
      <c r="Q543" s="5">
        <v>32263.1</v>
      </c>
      <c r="R543" s="10">
        <v>0</v>
      </c>
      <c r="S543" s="9">
        <f t="shared" si="18"/>
        <v>32263.1</v>
      </c>
      <c r="T543" s="4" t="s">
        <v>53</v>
      </c>
      <c r="U543" s="4" t="s">
        <v>117</v>
      </c>
      <c r="V543" s="4"/>
      <c r="W543" s="4">
        <v>-10</v>
      </c>
      <c r="X543" s="4" t="s">
        <v>94</v>
      </c>
      <c r="Y543" s="4"/>
      <c r="Z543" s="7" t="s">
        <v>14</v>
      </c>
      <c r="AA543" s="36" t="s">
        <v>22</v>
      </c>
      <c r="AB543" s="4" t="s">
        <v>2835</v>
      </c>
      <c r="AC543" s="22">
        <f t="shared" si="17"/>
        <v>12.652196078431372</v>
      </c>
      <c r="AD543" s="23">
        <v>0</v>
      </c>
    </row>
    <row r="544" spans="1:30" x14ac:dyDescent="0.35">
      <c r="A544" s="7">
        <v>567</v>
      </c>
      <c r="B544" s="6">
        <v>45846</v>
      </c>
      <c r="C544" s="6">
        <v>45846</v>
      </c>
      <c r="D544" s="4" t="s">
        <v>841</v>
      </c>
      <c r="E544" s="4" t="s">
        <v>61</v>
      </c>
      <c r="F544" s="4" t="s">
        <v>840</v>
      </c>
      <c r="G544" s="4" t="s">
        <v>840</v>
      </c>
      <c r="H544" s="4"/>
      <c r="I544" s="4"/>
      <c r="J544" s="4" t="s">
        <v>59</v>
      </c>
      <c r="K544" s="4" t="s">
        <v>58</v>
      </c>
      <c r="L544" s="4" t="s">
        <v>57</v>
      </c>
      <c r="M544" s="4" t="s">
        <v>32</v>
      </c>
      <c r="N544" s="4" t="s">
        <v>266</v>
      </c>
      <c r="O544" s="4" t="s">
        <v>55</v>
      </c>
      <c r="P544" s="4" t="s">
        <v>54</v>
      </c>
      <c r="Q544" s="5">
        <v>163900.38</v>
      </c>
      <c r="R544" s="10">
        <v>0</v>
      </c>
      <c r="S544" s="9">
        <f t="shared" si="18"/>
        <v>163900.38</v>
      </c>
      <c r="T544" s="4" t="s">
        <v>53</v>
      </c>
      <c r="U544" s="4" t="s">
        <v>271</v>
      </c>
      <c r="V544" s="4"/>
      <c r="W544" s="4">
        <v>-40</v>
      </c>
      <c r="X544" s="4" t="s">
        <v>124</v>
      </c>
      <c r="Y544" s="4"/>
      <c r="Z544" s="7" t="s">
        <v>14</v>
      </c>
      <c r="AA544" s="36" t="s">
        <v>22</v>
      </c>
      <c r="AB544" s="4" t="s">
        <v>2835</v>
      </c>
      <c r="AC544" s="22">
        <f t="shared" si="17"/>
        <v>64.274658823529407</v>
      </c>
      <c r="AD544" s="23">
        <v>0</v>
      </c>
    </row>
    <row r="545" spans="1:30" x14ac:dyDescent="0.35">
      <c r="A545" s="7">
        <v>568</v>
      </c>
      <c r="B545" s="6">
        <v>45847.413784722223</v>
      </c>
      <c r="C545" s="6">
        <v>45847</v>
      </c>
      <c r="D545" s="7" t="s">
        <v>2201</v>
      </c>
      <c r="E545" s="7" t="s">
        <v>1331</v>
      </c>
      <c r="F545" s="7" t="s">
        <v>2203</v>
      </c>
      <c r="G545" s="7" t="s">
        <v>2199</v>
      </c>
      <c r="H545" s="7" t="s">
        <v>2012</v>
      </c>
      <c r="I545" s="7" t="s">
        <v>2011</v>
      </c>
      <c r="J545" s="7" t="s">
        <v>1816</v>
      </c>
      <c r="K545" s="7" t="s">
        <v>1815</v>
      </c>
      <c r="L545" s="7" t="s">
        <v>1905</v>
      </c>
      <c r="M545" s="7" t="s">
        <v>22</v>
      </c>
      <c r="N545" s="7" t="s">
        <v>266</v>
      </c>
      <c r="O545" s="7" t="s">
        <v>1065</v>
      </c>
      <c r="P545" s="7" t="s">
        <v>54</v>
      </c>
      <c r="Q545" s="9">
        <v>2400000</v>
      </c>
      <c r="R545" s="9">
        <v>0</v>
      </c>
      <c r="S545" s="9">
        <f t="shared" si="18"/>
        <v>2400000</v>
      </c>
      <c r="T545" s="4" t="s">
        <v>53</v>
      </c>
      <c r="U545" s="7" t="s">
        <v>1824</v>
      </c>
      <c r="V545" s="7" t="s">
        <v>1823</v>
      </c>
      <c r="W545" s="9">
        <v>2</v>
      </c>
      <c r="X545" s="7" t="s">
        <v>94</v>
      </c>
      <c r="Y545" s="7"/>
      <c r="Z545" s="7" t="s">
        <v>14</v>
      </c>
      <c r="AA545" s="36" t="s">
        <v>22</v>
      </c>
      <c r="AB545" s="4" t="s">
        <v>2835</v>
      </c>
      <c r="AC545" s="22">
        <f t="shared" si="17"/>
        <v>941.17647058823525</v>
      </c>
      <c r="AD545" s="23">
        <v>0</v>
      </c>
    </row>
    <row r="546" spans="1:30" x14ac:dyDescent="0.35">
      <c r="A546" s="7">
        <v>569</v>
      </c>
      <c r="B546" s="6">
        <v>45847.413784722223</v>
      </c>
      <c r="C546" s="6">
        <v>45847</v>
      </c>
      <c r="D546" s="7" t="s">
        <v>2201</v>
      </c>
      <c r="E546" s="7" t="s">
        <v>1331</v>
      </c>
      <c r="F546" s="7" t="s">
        <v>2202</v>
      </c>
      <c r="G546" s="7" t="s">
        <v>2199</v>
      </c>
      <c r="H546" s="7" t="s">
        <v>2012</v>
      </c>
      <c r="I546" s="7" t="s">
        <v>2011</v>
      </c>
      <c r="J546" s="7" t="s">
        <v>1816</v>
      </c>
      <c r="K546" s="7" t="s">
        <v>1815</v>
      </c>
      <c r="L546" s="7" t="s">
        <v>1905</v>
      </c>
      <c r="M546" s="7" t="s">
        <v>22</v>
      </c>
      <c r="N546" s="7" t="s">
        <v>266</v>
      </c>
      <c r="O546" s="7" t="s">
        <v>1065</v>
      </c>
      <c r="P546" s="7" t="s">
        <v>54</v>
      </c>
      <c r="Q546" s="9">
        <v>1800000</v>
      </c>
      <c r="R546" s="9">
        <v>0</v>
      </c>
      <c r="S546" s="9">
        <f t="shared" si="18"/>
        <v>1800000</v>
      </c>
      <c r="T546" s="4" t="s">
        <v>53</v>
      </c>
      <c r="U546" s="7" t="s">
        <v>1824</v>
      </c>
      <c r="V546" s="7" t="s">
        <v>1823</v>
      </c>
      <c r="W546" s="9">
        <v>1</v>
      </c>
      <c r="X546" s="7" t="s">
        <v>94</v>
      </c>
      <c r="Y546" s="7"/>
      <c r="Z546" s="7" t="s">
        <v>14</v>
      </c>
      <c r="AA546" s="36" t="s">
        <v>22</v>
      </c>
      <c r="AB546" s="4" t="s">
        <v>2835</v>
      </c>
      <c r="AC546" s="22">
        <f t="shared" si="17"/>
        <v>705.88235294117646</v>
      </c>
      <c r="AD546" s="23">
        <v>0</v>
      </c>
    </row>
    <row r="547" spans="1:30" x14ac:dyDescent="0.35">
      <c r="A547" s="7">
        <v>570</v>
      </c>
      <c r="B547" s="6">
        <v>45847.413784722223</v>
      </c>
      <c r="C547" s="6">
        <v>45847</v>
      </c>
      <c r="D547" s="7" t="s">
        <v>2201</v>
      </c>
      <c r="E547" s="7" t="s">
        <v>1331</v>
      </c>
      <c r="F547" s="7" t="s">
        <v>2200</v>
      </c>
      <c r="G547" s="7" t="s">
        <v>2199</v>
      </c>
      <c r="H547" s="7" t="s">
        <v>2012</v>
      </c>
      <c r="I547" s="7" t="s">
        <v>2011</v>
      </c>
      <c r="J547" s="7" t="s">
        <v>1816</v>
      </c>
      <c r="K547" s="7" t="s">
        <v>1815</v>
      </c>
      <c r="L547" s="7" t="s">
        <v>1905</v>
      </c>
      <c r="M547" s="7" t="s">
        <v>22</v>
      </c>
      <c r="N547" s="7" t="s">
        <v>266</v>
      </c>
      <c r="O547" s="7" t="s">
        <v>1065</v>
      </c>
      <c r="P547" s="7" t="s">
        <v>54</v>
      </c>
      <c r="Q547" s="9">
        <v>1200000</v>
      </c>
      <c r="R547" s="9">
        <v>0</v>
      </c>
      <c r="S547" s="9">
        <f t="shared" si="18"/>
        <v>1200000</v>
      </c>
      <c r="T547" s="4" t="s">
        <v>53</v>
      </c>
      <c r="U547" s="7" t="s">
        <v>1824</v>
      </c>
      <c r="V547" s="7" t="s">
        <v>1823</v>
      </c>
      <c r="W547" s="9">
        <v>1</v>
      </c>
      <c r="X547" s="7" t="s">
        <v>94</v>
      </c>
      <c r="Y547" s="7"/>
      <c r="Z547" s="7" t="s">
        <v>14</v>
      </c>
      <c r="AA547" s="36" t="s">
        <v>22</v>
      </c>
      <c r="AB547" s="4" t="s">
        <v>2835</v>
      </c>
      <c r="AC547" s="22">
        <f t="shared" si="17"/>
        <v>470.58823529411762</v>
      </c>
      <c r="AD547" s="23">
        <v>0</v>
      </c>
    </row>
    <row r="548" spans="1:30" x14ac:dyDescent="0.35">
      <c r="A548" s="7">
        <v>571</v>
      </c>
      <c r="B548" s="6">
        <v>45847.405347222222</v>
      </c>
      <c r="C548" s="6">
        <v>45847</v>
      </c>
      <c r="D548" s="7" t="s">
        <v>2191</v>
      </c>
      <c r="E548" s="7" t="s">
        <v>1331</v>
      </c>
      <c r="F548" s="7" t="s">
        <v>2198</v>
      </c>
      <c r="G548" s="7" t="s">
        <v>2189</v>
      </c>
      <c r="H548" s="7" t="s">
        <v>2012</v>
      </c>
      <c r="I548" s="7" t="s">
        <v>2011</v>
      </c>
      <c r="J548" s="7" t="s">
        <v>1816</v>
      </c>
      <c r="K548" s="7" t="s">
        <v>1815</v>
      </c>
      <c r="L548" s="7" t="s">
        <v>2128</v>
      </c>
      <c r="M548" s="7" t="s">
        <v>21</v>
      </c>
      <c r="N548" s="7" t="s">
        <v>518</v>
      </c>
      <c r="O548" s="7" t="s">
        <v>68</v>
      </c>
      <c r="P548" s="7" t="s">
        <v>54</v>
      </c>
      <c r="Q548" s="9">
        <v>469000</v>
      </c>
      <c r="R548" s="9">
        <v>0</v>
      </c>
      <c r="S548" s="9">
        <f t="shared" si="18"/>
        <v>469000</v>
      </c>
      <c r="T548" s="4" t="s">
        <v>53</v>
      </c>
      <c r="U548" s="7" t="s">
        <v>1882</v>
      </c>
      <c r="V548" s="7" t="s">
        <v>1823</v>
      </c>
      <c r="W548" s="9">
        <v>33.5</v>
      </c>
      <c r="X548" s="7" t="s">
        <v>1881</v>
      </c>
      <c r="Y548" s="7"/>
      <c r="Z548" s="7" t="s">
        <v>14</v>
      </c>
      <c r="AA548" s="36" t="s">
        <v>22</v>
      </c>
      <c r="AB548" s="4" t="s">
        <v>2835</v>
      </c>
      <c r="AC548" s="22">
        <f t="shared" si="17"/>
        <v>183.92156862745097</v>
      </c>
      <c r="AD548" s="23">
        <v>0</v>
      </c>
    </row>
    <row r="549" spans="1:30" x14ac:dyDescent="0.35">
      <c r="A549" s="7">
        <v>572</v>
      </c>
      <c r="B549" s="6">
        <v>45847.405347222222</v>
      </c>
      <c r="C549" s="6">
        <v>45847</v>
      </c>
      <c r="D549" s="7" t="s">
        <v>2191</v>
      </c>
      <c r="E549" s="7" t="s">
        <v>1331</v>
      </c>
      <c r="F549" s="7" t="s">
        <v>2197</v>
      </c>
      <c r="G549" s="7" t="s">
        <v>2189</v>
      </c>
      <c r="H549" s="7" t="s">
        <v>2012</v>
      </c>
      <c r="I549" s="7" t="s">
        <v>2011</v>
      </c>
      <c r="J549" s="7" t="s">
        <v>1816</v>
      </c>
      <c r="K549" s="7" t="s">
        <v>1815</v>
      </c>
      <c r="L549" s="7" t="s">
        <v>2128</v>
      </c>
      <c r="M549" s="7" t="s">
        <v>21</v>
      </c>
      <c r="N549" s="7" t="s">
        <v>518</v>
      </c>
      <c r="O549" s="7" t="s">
        <v>68</v>
      </c>
      <c r="P549" s="7" t="s">
        <v>54</v>
      </c>
      <c r="Q549" s="9">
        <v>581000</v>
      </c>
      <c r="R549" s="9">
        <v>0</v>
      </c>
      <c r="S549" s="9">
        <f t="shared" si="18"/>
        <v>581000</v>
      </c>
      <c r="T549" s="4" t="s">
        <v>53</v>
      </c>
      <c r="U549" s="7" t="s">
        <v>1882</v>
      </c>
      <c r="V549" s="7" t="s">
        <v>1823</v>
      </c>
      <c r="W549" s="9">
        <v>41.5</v>
      </c>
      <c r="X549" s="7" t="s">
        <v>1881</v>
      </c>
      <c r="Y549" s="7"/>
      <c r="Z549" s="7" t="s">
        <v>14</v>
      </c>
      <c r="AA549" s="36" t="s">
        <v>22</v>
      </c>
      <c r="AB549" s="4" t="s">
        <v>2835</v>
      </c>
      <c r="AC549" s="22">
        <f t="shared" si="17"/>
        <v>227.84313725490196</v>
      </c>
      <c r="AD549" s="23">
        <v>0</v>
      </c>
    </row>
    <row r="550" spans="1:30" x14ac:dyDescent="0.35">
      <c r="A550" s="7">
        <v>573</v>
      </c>
      <c r="B550" s="6">
        <v>45847.405347222222</v>
      </c>
      <c r="C550" s="6">
        <v>45847</v>
      </c>
      <c r="D550" s="7" t="s">
        <v>2191</v>
      </c>
      <c r="E550" s="7" t="s">
        <v>1331</v>
      </c>
      <c r="F550" s="7" t="s">
        <v>2196</v>
      </c>
      <c r="G550" s="7" t="s">
        <v>2189</v>
      </c>
      <c r="H550" s="7" t="s">
        <v>2012</v>
      </c>
      <c r="I550" s="7" t="s">
        <v>2011</v>
      </c>
      <c r="J550" s="7" t="s">
        <v>1816</v>
      </c>
      <c r="K550" s="7" t="s">
        <v>1815</v>
      </c>
      <c r="L550" s="7" t="s">
        <v>2128</v>
      </c>
      <c r="M550" s="7" t="s">
        <v>21</v>
      </c>
      <c r="N550" s="7" t="s">
        <v>518</v>
      </c>
      <c r="O550" s="7" t="s">
        <v>68</v>
      </c>
      <c r="P550" s="7" t="s">
        <v>54</v>
      </c>
      <c r="Q550" s="9">
        <v>30315000</v>
      </c>
      <c r="R550" s="9">
        <v>0</v>
      </c>
      <c r="S550" s="9">
        <f t="shared" si="18"/>
        <v>30315000</v>
      </c>
      <c r="T550" s="4" t="s">
        <v>53</v>
      </c>
      <c r="U550" s="7" t="s">
        <v>2010</v>
      </c>
      <c r="V550" s="7" t="s">
        <v>1823</v>
      </c>
      <c r="W550" s="9">
        <v>43</v>
      </c>
      <c r="X550" s="7" t="s">
        <v>1501</v>
      </c>
      <c r="Y550" s="7"/>
      <c r="Z550" s="7" t="s">
        <v>14</v>
      </c>
      <c r="AA550" s="36" t="s">
        <v>22</v>
      </c>
      <c r="AB550" s="4" t="s">
        <v>2835</v>
      </c>
      <c r="AC550" s="22">
        <f t="shared" si="17"/>
        <v>11888.235294117647</v>
      </c>
      <c r="AD550" s="23">
        <v>0</v>
      </c>
    </row>
    <row r="551" spans="1:30" x14ac:dyDescent="0.35">
      <c r="A551" s="7">
        <v>574</v>
      </c>
      <c r="B551" s="6">
        <v>45847.405347222222</v>
      </c>
      <c r="C551" s="6">
        <v>45847</v>
      </c>
      <c r="D551" s="7" t="s">
        <v>2191</v>
      </c>
      <c r="E551" s="7" t="s">
        <v>1331</v>
      </c>
      <c r="F551" s="7" t="s">
        <v>2195</v>
      </c>
      <c r="G551" s="7" t="s">
        <v>2189</v>
      </c>
      <c r="H551" s="7" t="s">
        <v>2012</v>
      </c>
      <c r="I551" s="7" t="s">
        <v>2011</v>
      </c>
      <c r="J551" s="7" t="s">
        <v>1816</v>
      </c>
      <c r="K551" s="7" t="s">
        <v>1815</v>
      </c>
      <c r="L551" s="7" t="s">
        <v>2128</v>
      </c>
      <c r="M551" s="7" t="s">
        <v>21</v>
      </c>
      <c r="N551" s="7" t="s">
        <v>518</v>
      </c>
      <c r="O551" s="7" t="s">
        <v>68</v>
      </c>
      <c r="P551" s="7" t="s">
        <v>54</v>
      </c>
      <c r="Q551" s="9">
        <v>3880000</v>
      </c>
      <c r="R551" s="9">
        <v>0</v>
      </c>
      <c r="S551" s="9">
        <f t="shared" si="18"/>
        <v>3880000</v>
      </c>
      <c r="T551" s="4" t="s">
        <v>53</v>
      </c>
      <c r="U551" s="7" t="s">
        <v>2188</v>
      </c>
      <c r="V551" s="7" t="s">
        <v>1823</v>
      </c>
      <c r="W551" s="9">
        <v>38.799999999999997</v>
      </c>
      <c r="X551" s="7" t="s">
        <v>338</v>
      </c>
      <c r="Y551" s="7"/>
      <c r="Z551" s="7" t="s">
        <v>14</v>
      </c>
      <c r="AA551" s="36" t="s">
        <v>22</v>
      </c>
      <c r="AB551" s="4" t="s">
        <v>2835</v>
      </c>
      <c r="AC551" s="22">
        <f t="shared" si="17"/>
        <v>1521.5686274509803</v>
      </c>
      <c r="AD551" s="23">
        <v>0</v>
      </c>
    </row>
    <row r="552" spans="1:30" x14ac:dyDescent="0.35">
      <c r="A552" s="7">
        <v>575</v>
      </c>
      <c r="B552" s="6">
        <v>45847.405347222222</v>
      </c>
      <c r="C552" s="6">
        <v>45847</v>
      </c>
      <c r="D552" s="7" t="s">
        <v>2191</v>
      </c>
      <c r="E552" s="7" t="s">
        <v>1331</v>
      </c>
      <c r="F552" s="7" t="s">
        <v>2194</v>
      </c>
      <c r="G552" s="7" t="s">
        <v>2189</v>
      </c>
      <c r="H552" s="7" t="s">
        <v>2012</v>
      </c>
      <c r="I552" s="7" t="s">
        <v>2011</v>
      </c>
      <c r="J552" s="7" t="s">
        <v>1816</v>
      </c>
      <c r="K552" s="7" t="s">
        <v>1815</v>
      </c>
      <c r="L552" s="7" t="s">
        <v>2128</v>
      </c>
      <c r="M552" s="7" t="s">
        <v>21</v>
      </c>
      <c r="N552" s="7" t="s">
        <v>518</v>
      </c>
      <c r="O552" s="7" t="s">
        <v>68</v>
      </c>
      <c r="P552" s="7" t="s">
        <v>54</v>
      </c>
      <c r="Q552" s="9">
        <v>3150000</v>
      </c>
      <c r="R552" s="9">
        <v>0</v>
      </c>
      <c r="S552" s="9">
        <f t="shared" si="18"/>
        <v>3150000</v>
      </c>
      <c r="T552" s="4" t="s">
        <v>53</v>
      </c>
      <c r="U552" s="7" t="s">
        <v>2010</v>
      </c>
      <c r="V552" s="7" t="s">
        <v>1823</v>
      </c>
      <c r="W552" s="9">
        <v>3.5</v>
      </c>
      <c r="X552" s="7" t="s">
        <v>1501</v>
      </c>
      <c r="Y552" s="7"/>
      <c r="Z552" s="7" t="s">
        <v>14</v>
      </c>
      <c r="AA552" s="36" t="s">
        <v>22</v>
      </c>
      <c r="AB552" s="4" t="s">
        <v>2835</v>
      </c>
      <c r="AC552" s="22">
        <f t="shared" si="17"/>
        <v>1235.2941176470588</v>
      </c>
      <c r="AD552" s="23">
        <v>0</v>
      </c>
    </row>
    <row r="553" spans="1:30" x14ac:dyDescent="0.35">
      <c r="A553" s="7">
        <v>576</v>
      </c>
      <c r="B553" s="6">
        <v>45847.405347222222</v>
      </c>
      <c r="C553" s="6">
        <v>45847</v>
      </c>
      <c r="D553" s="7" t="s">
        <v>2191</v>
      </c>
      <c r="E553" s="7" t="s">
        <v>1331</v>
      </c>
      <c r="F553" s="7" t="s">
        <v>2193</v>
      </c>
      <c r="G553" s="7" t="s">
        <v>2189</v>
      </c>
      <c r="H553" s="7" t="s">
        <v>2012</v>
      </c>
      <c r="I553" s="7" t="s">
        <v>2011</v>
      </c>
      <c r="J553" s="7" t="s">
        <v>1816</v>
      </c>
      <c r="K553" s="7" t="s">
        <v>1815</v>
      </c>
      <c r="L553" s="7" t="s">
        <v>2128</v>
      </c>
      <c r="M553" s="7" t="s">
        <v>21</v>
      </c>
      <c r="N553" s="7" t="s">
        <v>518</v>
      </c>
      <c r="O553" s="7" t="s">
        <v>68</v>
      </c>
      <c r="P553" s="7" t="s">
        <v>54</v>
      </c>
      <c r="Q553" s="9">
        <v>780000</v>
      </c>
      <c r="R553" s="9">
        <v>0</v>
      </c>
      <c r="S553" s="9">
        <f t="shared" si="18"/>
        <v>780000</v>
      </c>
      <c r="T553" s="4" t="s">
        <v>53</v>
      </c>
      <c r="U553" s="7" t="s">
        <v>2188</v>
      </c>
      <c r="V553" s="7" t="s">
        <v>1823</v>
      </c>
      <c r="W553" s="9">
        <v>7.8</v>
      </c>
      <c r="X553" s="7" t="s">
        <v>338</v>
      </c>
      <c r="Y553" s="7"/>
      <c r="Z553" s="7" t="s">
        <v>14</v>
      </c>
      <c r="AA553" s="36" t="s">
        <v>22</v>
      </c>
      <c r="AB553" s="4" t="s">
        <v>2835</v>
      </c>
      <c r="AC553" s="22">
        <f t="shared" si="17"/>
        <v>305.88235294117646</v>
      </c>
      <c r="AD553" s="23">
        <v>0</v>
      </c>
    </row>
    <row r="554" spans="1:30" x14ac:dyDescent="0.35">
      <c r="A554" s="7">
        <v>577</v>
      </c>
      <c r="B554" s="6">
        <v>45847.405347222222</v>
      </c>
      <c r="C554" s="6">
        <v>45847</v>
      </c>
      <c r="D554" s="7" t="s">
        <v>2191</v>
      </c>
      <c r="E554" s="7" t="s">
        <v>1331</v>
      </c>
      <c r="F554" s="7" t="s">
        <v>2192</v>
      </c>
      <c r="G554" s="7" t="s">
        <v>2189</v>
      </c>
      <c r="H554" s="7" t="s">
        <v>2012</v>
      </c>
      <c r="I554" s="7" t="s">
        <v>2011</v>
      </c>
      <c r="J554" s="7" t="s">
        <v>1816</v>
      </c>
      <c r="K554" s="7" t="s">
        <v>1815</v>
      </c>
      <c r="L554" s="7" t="s">
        <v>2128</v>
      </c>
      <c r="M554" s="7" t="s">
        <v>21</v>
      </c>
      <c r="N554" s="7" t="s">
        <v>518</v>
      </c>
      <c r="O554" s="7" t="s">
        <v>68</v>
      </c>
      <c r="P554" s="7" t="s">
        <v>54</v>
      </c>
      <c r="Q554" s="9">
        <v>29610000</v>
      </c>
      <c r="R554" s="9">
        <v>0</v>
      </c>
      <c r="S554" s="9">
        <f t="shared" si="18"/>
        <v>29610000</v>
      </c>
      <c r="T554" s="4" t="s">
        <v>53</v>
      </c>
      <c r="U554" s="7" t="s">
        <v>2010</v>
      </c>
      <c r="V554" s="7" t="s">
        <v>1823</v>
      </c>
      <c r="W554" s="9">
        <v>42</v>
      </c>
      <c r="X554" s="7" t="s">
        <v>1501</v>
      </c>
      <c r="Y554" s="7"/>
      <c r="Z554" s="7" t="s">
        <v>14</v>
      </c>
      <c r="AA554" s="36" t="s">
        <v>22</v>
      </c>
      <c r="AB554" s="4" t="s">
        <v>2835</v>
      </c>
      <c r="AC554" s="22">
        <f t="shared" si="17"/>
        <v>11611.764705882353</v>
      </c>
      <c r="AD554" s="23">
        <v>0</v>
      </c>
    </row>
    <row r="555" spans="1:30" x14ac:dyDescent="0.35">
      <c r="A555" s="7">
        <v>578</v>
      </c>
      <c r="B555" s="6">
        <v>45847.405347222222</v>
      </c>
      <c r="C555" s="6">
        <v>45847</v>
      </c>
      <c r="D555" s="7" t="s">
        <v>2191</v>
      </c>
      <c r="E555" s="7" t="s">
        <v>1331</v>
      </c>
      <c r="F555" s="7" t="s">
        <v>2190</v>
      </c>
      <c r="G555" s="7" t="s">
        <v>2189</v>
      </c>
      <c r="H555" s="7" t="s">
        <v>2012</v>
      </c>
      <c r="I555" s="7" t="s">
        <v>2011</v>
      </c>
      <c r="J555" s="7" t="s">
        <v>1816</v>
      </c>
      <c r="K555" s="7" t="s">
        <v>1815</v>
      </c>
      <c r="L555" s="7" t="s">
        <v>2128</v>
      </c>
      <c r="M555" s="7" t="s">
        <v>21</v>
      </c>
      <c r="N555" s="7" t="s">
        <v>518</v>
      </c>
      <c r="O555" s="7" t="s">
        <v>68</v>
      </c>
      <c r="P555" s="7" t="s">
        <v>54</v>
      </c>
      <c r="Q555" s="9">
        <v>320000</v>
      </c>
      <c r="R555" s="9">
        <v>0</v>
      </c>
      <c r="S555" s="9">
        <f t="shared" si="18"/>
        <v>320000</v>
      </c>
      <c r="T555" s="4" t="s">
        <v>53</v>
      </c>
      <c r="U555" s="7" t="s">
        <v>2188</v>
      </c>
      <c r="V555" s="7" t="s">
        <v>1823</v>
      </c>
      <c r="W555" s="9">
        <v>64</v>
      </c>
      <c r="X555" s="7" t="s">
        <v>338</v>
      </c>
      <c r="Y555" s="7"/>
      <c r="Z555" s="7" t="s">
        <v>14</v>
      </c>
      <c r="AA555" s="36" t="s">
        <v>22</v>
      </c>
      <c r="AB555" s="4" t="s">
        <v>2835</v>
      </c>
      <c r="AC555" s="22">
        <f t="shared" ref="AC555:AC618" si="19">+S555/$AC$1</f>
        <v>125.49019607843137</v>
      </c>
      <c r="AD555" s="23">
        <v>0</v>
      </c>
    </row>
    <row r="556" spans="1:30" x14ac:dyDescent="0.35">
      <c r="A556" s="7">
        <v>579</v>
      </c>
      <c r="B556" s="6">
        <v>45847</v>
      </c>
      <c r="C556" s="6">
        <v>45847</v>
      </c>
      <c r="D556" s="4" t="s">
        <v>866</v>
      </c>
      <c r="E556" s="4" t="s">
        <v>61</v>
      </c>
      <c r="F556" s="4" t="s">
        <v>865</v>
      </c>
      <c r="G556" s="4" t="s">
        <v>865</v>
      </c>
      <c r="H556" s="4"/>
      <c r="I556" s="4"/>
      <c r="J556" s="4" t="s">
        <v>59</v>
      </c>
      <c r="K556" s="4" t="s">
        <v>58</v>
      </c>
      <c r="L556" s="4" t="s">
        <v>57</v>
      </c>
      <c r="M556" s="4" t="s">
        <v>32</v>
      </c>
      <c r="N556" s="4" t="s">
        <v>266</v>
      </c>
      <c r="O556" s="4" t="s">
        <v>55</v>
      </c>
      <c r="P556" s="4" t="s">
        <v>54</v>
      </c>
      <c r="Q556" s="5">
        <v>3177758.66</v>
      </c>
      <c r="R556" s="10">
        <v>0</v>
      </c>
      <c r="S556" s="9">
        <f t="shared" si="18"/>
        <v>3177758.66</v>
      </c>
      <c r="T556" s="4" t="s">
        <v>53</v>
      </c>
      <c r="U556" s="4" t="s">
        <v>864</v>
      </c>
      <c r="V556" s="4"/>
      <c r="W556" s="4">
        <v>-2</v>
      </c>
      <c r="X556" s="4" t="s">
        <v>94</v>
      </c>
      <c r="Y556" s="4"/>
      <c r="Z556" s="7" t="s">
        <v>14</v>
      </c>
      <c r="AA556" s="36" t="s">
        <v>22</v>
      </c>
      <c r="AB556" s="4" t="s">
        <v>2835</v>
      </c>
      <c r="AC556" s="22">
        <f t="shared" si="19"/>
        <v>1246.1798666666666</v>
      </c>
      <c r="AD556" s="23">
        <v>0</v>
      </c>
    </row>
    <row r="557" spans="1:30" x14ac:dyDescent="0.35">
      <c r="A557" s="7">
        <v>580</v>
      </c>
      <c r="B557" s="6">
        <v>45847</v>
      </c>
      <c r="C557" s="6">
        <v>45847</v>
      </c>
      <c r="D557" s="4" t="s">
        <v>863</v>
      </c>
      <c r="E557" s="4" t="s">
        <v>61</v>
      </c>
      <c r="F557" s="4" t="s">
        <v>862</v>
      </c>
      <c r="G557" s="4" t="s">
        <v>862</v>
      </c>
      <c r="H557" s="4"/>
      <c r="I557" s="4"/>
      <c r="J557" s="4" t="s">
        <v>59</v>
      </c>
      <c r="K557" s="4" t="s">
        <v>58</v>
      </c>
      <c r="L557" s="4" t="s">
        <v>57</v>
      </c>
      <c r="M557" s="4" t="s">
        <v>32</v>
      </c>
      <c r="N557" s="4" t="s">
        <v>266</v>
      </c>
      <c r="O557" s="4" t="s">
        <v>55</v>
      </c>
      <c r="P557" s="4" t="s">
        <v>54</v>
      </c>
      <c r="Q557" s="5">
        <v>32263.09</v>
      </c>
      <c r="R557" s="10">
        <v>0</v>
      </c>
      <c r="S557" s="9">
        <f t="shared" si="18"/>
        <v>32263.09</v>
      </c>
      <c r="T557" s="4" t="s">
        <v>53</v>
      </c>
      <c r="U557" s="4" t="s">
        <v>117</v>
      </c>
      <c r="V557" s="4"/>
      <c r="W557" s="4">
        <v>-10</v>
      </c>
      <c r="X557" s="4" t="s">
        <v>94</v>
      </c>
      <c r="Y557" s="4"/>
      <c r="Z557" s="7" t="s">
        <v>14</v>
      </c>
      <c r="AA557" s="36" t="s">
        <v>22</v>
      </c>
      <c r="AB557" s="4" t="s">
        <v>2835</v>
      </c>
      <c r="AC557" s="22">
        <f t="shared" si="19"/>
        <v>12.652192156862744</v>
      </c>
      <c r="AD557" s="23">
        <v>0</v>
      </c>
    </row>
    <row r="558" spans="1:30" x14ac:dyDescent="0.35">
      <c r="A558" s="7">
        <v>581</v>
      </c>
      <c r="B558" s="6">
        <v>45847</v>
      </c>
      <c r="C558" s="6">
        <v>45847</v>
      </c>
      <c r="D558" s="4" t="s">
        <v>861</v>
      </c>
      <c r="E558" s="4" t="s">
        <v>61</v>
      </c>
      <c r="F558" s="4" t="s">
        <v>860</v>
      </c>
      <c r="G558" s="4" t="s">
        <v>860</v>
      </c>
      <c r="H558" s="4"/>
      <c r="I558" s="4"/>
      <c r="J558" s="4" t="s">
        <v>59</v>
      </c>
      <c r="K558" s="4" t="s">
        <v>58</v>
      </c>
      <c r="L558" s="4" t="s">
        <v>57</v>
      </c>
      <c r="M558" s="4" t="s">
        <v>32</v>
      </c>
      <c r="N558" s="4" t="s">
        <v>266</v>
      </c>
      <c r="O558" s="4" t="s">
        <v>55</v>
      </c>
      <c r="P558" s="4" t="s">
        <v>54</v>
      </c>
      <c r="Q558" s="5">
        <v>122925.28</v>
      </c>
      <c r="R558" s="10">
        <v>0</v>
      </c>
      <c r="S558" s="9">
        <f t="shared" si="18"/>
        <v>122925.28</v>
      </c>
      <c r="T558" s="4" t="s">
        <v>53</v>
      </c>
      <c r="U558" s="4" t="s">
        <v>271</v>
      </c>
      <c r="V558" s="4"/>
      <c r="W558" s="4">
        <v>-30</v>
      </c>
      <c r="X558" s="4" t="s">
        <v>124</v>
      </c>
      <c r="Y558" s="4"/>
      <c r="Z558" s="7" t="s">
        <v>14</v>
      </c>
      <c r="AA558" s="36" t="s">
        <v>22</v>
      </c>
      <c r="AB558" s="4" t="s">
        <v>2835</v>
      </c>
      <c r="AC558" s="22">
        <f t="shared" si="19"/>
        <v>48.205992156862742</v>
      </c>
      <c r="AD558" s="23">
        <v>0</v>
      </c>
    </row>
    <row r="559" spans="1:30" x14ac:dyDescent="0.35">
      <c r="A559" s="7">
        <v>582</v>
      </c>
      <c r="B559" s="6">
        <v>45847</v>
      </c>
      <c r="C559" s="6">
        <v>45847</v>
      </c>
      <c r="D559" s="4" t="s">
        <v>859</v>
      </c>
      <c r="E559" s="4" t="s">
        <v>61</v>
      </c>
      <c r="F559" s="4" t="s">
        <v>858</v>
      </c>
      <c r="G559" s="4" t="s">
        <v>858</v>
      </c>
      <c r="H559" s="4"/>
      <c r="I559" s="4"/>
      <c r="J559" s="4" t="s">
        <v>59</v>
      </c>
      <c r="K559" s="4" t="s">
        <v>58</v>
      </c>
      <c r="L559" s="4" t="s">
        <v>57</v>
      </c>
      <c r="M559" s="4" t="s">
        <v>32</v>
      </c>
      <c r="N559" s="4" t="s">
        <v>266</v>
      </c>
      <c r="O559" s="4" t="s">
        <v>55</v>
      </c>
      <c r="P559" s="4" t="s">
        <v>54</v>
      </c>
      <c r="Q559" s="5">
        <v>15972.54</v>
      </c>
      <c r="R559" s="10">
        <v>0</v>
      </c>
      <c r="S559" s="9">
        <f t="shared" si="18"/>
        <v>15972.54</v>
      </c>
      <c r="T559" s="4" t="s">
        <v>53</v>
      </c>
      <c r="U559" s="4" t="s">
        <v>617</v>
      </c>
      <c r="V559" s="4"/>
      <c r="W559" s="4">
        <v>-10</v>
      </c>
      <c r="X559" s="4" t="s">
        <v>94</v>
      </c>
      <c r="Y559" s="4"/>
      <c r="Z559" s="7" t="s">
        <v>14</v>
      </c>
      <c r="AA559" s="36" t="s">
        <v>22</v>
      </c>
      <c r="AB559" s="4" t="s">
        <v>2835</v>
      </c>
      <c r="AC559" s="22">
        <f t="shared" si="19"/>
        <v>6.2637411764705888</v>
      </c>
      <c r="AD559" s="23">
        <v>0</v>
      </c>
    </row>
    <row r="560" spans="1:30" x14ac:dyDescent="0.35">
      <c r="A560" s="7">
        <v>583</v>
      </c>
      <c r="B560" s="6">
        <v>45847</v>
      </c>
      <c r="C560" s="6">
        <v>45847</v>
      </c>
      <c r="D560" s="4" t="s">
        <v>857</v>
      </c>
      <c r="E560" s="4" t="s">
        <v>61</v>
      </c>
      <c r="F560" s="4" t="s">
        <v>856</v>
      </c>
      <c r="G560" s="4" t="s">
        <v>856</v>
      </c>
      <c r="H560" s="4"/>
      <c r="I560" s="4"/>
      <c r="J560" s="4" t="s">
        <v>59</v>
      </c>
      <c r="K560" s="4" t="s">
        <v>58</v>
      </c>
      <c r="L560" s="4" t="s">
        <v>57</v>
      </c>
      <c r="M560" s="4" t="s">
        <v>32</v>
      </c>
      <c r="N560" s="4" t="s">
        <v>266</v>
      </c>
      <c r="O560" s="4" t="s">
        <v>55</v>
      </c>
      <c r="P560" s="4" t="s">
        <v>54</v>
      </c>
      <c r="Q560" s="5">
        <v>28165</v>
      </c>
      <c r="R560" s="10">
        <v>0</v>
      </c>
      <c r="S560" s="9">
        <f t="shared" si="18"/>
        <v>28165</v>
      </c>
      <c r="T560" s="4" t="s">
        <v>53</v>
      </c>
      <c r="U560" s="4" t="s">
        <v>316</v>
      </c>
      <c r="V560" s="4"/>
      <c r="W560" s="4">
        <v>-10</v>
      </c>
      <c r="X560" s="4" t="s">
        <v>94</v>
      </c>
      <c r="Y560" s="4"/>
      <c r="Z560" s="7" t="s">
        <v>14</v>
      </c>
      <c r="AA560" s="36" t="s">
        <v>22</v>
      </c>
      <c r="AB560" s="4" t="s">
        <v>2835</v>
      </c>
      <c r="AC560" s="22">
        <f t="shared" si="19"/>
        <v>11.045098039215686</v>
      </c>
      <c r="AD560" s="23">
        <v>0</v>
      </c>
    </row>
    <row r="561" spans="1:30" x14ac:dyDescent="0.35">
      <c r="A561" s="7">
        <v>584</v>
      </c>
      <c r="B561" s="6">
        <v>45848.557800925926</v>
      </c>
      <c r="C561" s="6">
        <v>45848</v>
      </c>
      <c r="D561" s="7" t="s">
        <v>2187</v>
      </c>
      <c r="E561" s="7" t="s">
        <v>1331</v>
      </c>
      <c r="F561" s="7" t="s">
        <v>1499</v>
      </c>
      <c r="G561" s="7" t="s">
        <v>2186</v>
      </c>
      <c r="H561" s="7" t="s">
        <v>1497</v>
      </c>
      <c r="I561" s="7" t="s">
        <v>1496</v>
      </c>
      <c r="J561" s="7" t="s">
        <v>1816</v>
      </c>
      <c r="K561" s="7" t="s">
        <v>1815</v>
      </c>
      <c r="L561" s="7" t="s">
        <v>1915</v>
      </c>
      <c r="M561" s="7" t="s">
        <v>20</v>
      </c>
      <c r="N561" s="7" t="s">
        <v>1324</v>
      </c>
      <c r="O561" s="7" t="s">
        <v>68</v>
      </c>
      <c r="P561" s="7" t="s">
        <v>68</v>
      </c>
      <c r="Q561" s="11">
        <v>313957.5</v>
      </c>
      <c r="R561" s="9">
        <v>0</v>
      </c>
      <c r="S561" s="9">
        <f t="shared" si="18"/>
        <v>313957.5</v>
      </c>
      <c r="T561" s="4" t="s">
        <v>53</v>
      </c>
      <c r="U561" s="7"/>
      <c r="V561" s="7"/>
      <c r="W561" s="9">
        <v>1</v>
      </c>
      <c r="X561" s="7"/>
      <c r="Y561" s="7"/>
      <c r="Z561" s="7" t="s">
        <v>14</v>
      </c>
      <c r="AA561" s="36" t="s">
        <v>20</v>
      </c>
      <c r="AB561" s="4" t="s">
        <v>2602</v>
      </c>
      <c r="AC561" s="22">
        <f t="shared" si="19"/>
        <v>123.12058823529412</v>
      </c>
      <c r="AD561" s="23">
        <v>0</v>
      </c>
    </row>
    <row r="562" spans="1:30" x14ac:dyDescent="0.35">
      <c r="A562" s="7">
        <v>585</v>
      </c>
      <c r="B562" s="6">
        <v>45848.554039351853</v>
      </c>
      <c r="C562" s="6">
        <v>45848</v>
      </c>
      <c r="D562" s="7" t="s">
        <v>2185</v>
      </c>
      <c r="E562" s="7" t="s">
        <v>1331</v>
      </c>
      <c r="F562" s="7" t="s">
        <v>1499</v>
      </c>
      <c r="G562" s="7" t="s">
        <v>2184</v>
      </c>
      <c r="H562" s="7" t="s">
        <v>1497</v>
      </c>
      <c r="I562" s="7" t="s">
        <v>1496</v>
      </c>
      <c r="J562" s="7" t="s">
        <v>1816</v>
      </c>
      <c r="K562" s="7" t="s">
        <v>1815</v>
      </c>
      <c r="L562" s="7" t="s">
        <v>1915</v>
      </c>
      <c r="M562" s="7" t="s">
        <v>20</v>
      </c>
      <c r="N562" s="7" t="s">
        <v>1324</v>
      </c>
      <c r="O562" s="7" t="s">
        <v>68</v>
      </c>
      <c r="P562" s="7" t="s">
        <v>68</v>
      </c>
      <c r="Q562" s="11">
        <v>303237</v>
      </c>
      <c r="R562" s="9">
        <v>0</v>
      </c>
      <c r="S562" s="9">
        <f t="shared" si="18"/>
        <v>303237</v>
      </c>
      <c r="T562" s="4" t="s">
        <v>53</v>
      </c>
      <c r="U562" s="7"/>
      <c r="V562" s="7"/>
      <c r="W562" s="9">
        <v>1</v>
      </c>
      <c r="X562" s="7"/>
      <c r="Y562" s="7"/>
      <c r="Z562" s="7" t="s">
        <v>14</v>
      </c>
      <c r="AA562" s="36" t="s">
        <v>20</v>
      </c>
      <c r="AB562" s="4" t="s">
        <v>2602</v>
      </c>
      <c r="AC562" s="22">
        <f t="shared" si="19"/>
        <v>118.9164705882353</v>
      </c>
      <c r="AD562" s="23">
        <v>0</v>
      </c>
    </row>
    <row r="563" spans="1:30" x14ac:dyDescent="0.35">
      <c r="A563" s="7">
        <v>586</v>
      </c>
      <c r="B563" s="6">
        <v>45848.550995370373</v>
      </c>
      <c r="C563" s="6">
        <v>45848</v>
      </c>
      <c r="D563" s="7" t="s">
        <v>2183</v>
      </c>
      <c r="E563" s="7" t="s">
        <v>1331</v>
      </c>
      <c r="F563" s="7" t="s">
        <v>1499</v>
      </c>
      <c r="G563" s="7" t="s">
        <v>2182</v>
      </c>
      <c r="H563" s="7" t="s">
        <v>1497</v>
      </c>
      <c r="I563" s="7" t="s">
        <v>1496</v>
      </c>
      <c r="J563" s="7" t="s">
        <v>1816</v>
      </c>
      <c r="K563" s="7" t="s">
        <v>1815</v>
      </c>
      <c r="L563" s="7" t="s">
        <v>1915</v>
      </c>
      <c r="M563" s="7" t="s">
        <v>20</v>
      </c>
      <c r="N563" s="7" t="s">
        <v>1324</v>
      </c>
      <c r="O563" s="7" t="s">
        <v>68</v>
      </c>
      <c r="P563" s="7" t="s">
        <v>68</v>
      </c>
      <c r="Q563" s="11">
        <v>396658.5</v>
      </c>
      <c r="R563" s="9">
        <v>0</v>
      </c>
      <c r="S563" s="9">
        <f t="shared" si="18"/>
        <v>396658.5</v>
      </c>
      <c r="T563" s="4" t="s">
        <v>53</v>
      </c>
      <c r="U563" s="7"/>
      <c r="V563" s="7"/>
      <c r="W563" s="9">
        <v>1</v>
      </c>
      <c r="X563" s="7"/>
      <c r="Y563" s="7"/>
      <c r="Z563" s="7" t="s">
        <v>14</v>
      </c>
      <c r="AA563" s="36" t="s">
        <v>20</v>
      </c>
      <c r="AB563" s="4" t="s">
        <v>2602</v>
      </c>
      <c r="AC563" s="22">
        <f t="shared" si="19"/>
        <v>155.55235294117648</v>
      </c>
      <c r="AD563" s="23">
        <v>0</v>
      </c>
    </row>
    <row r="564" spans="1:30" x14ac:dyDescent="0.35">
      <c r="A564" s="7">
        <v>587</v>
      </c>
      <c r="B564" s="6">
        <v>45848.548206018517</v>
      </c>
      <c r="C564" s="6">
        <v>45848</v>
      </c>
      <c r="D564" s="7" t="s">
        <v>2181</v>
      </c>
      <c r="E564" s="7" t="s">
        <v>1331</v>
      </c>
      <c r="F564" s="7" t="s">
        <v>1499</v>
      </c>
      <c r="G564" s="7" t="s">
        <v>2180</v>
      </c>
      <c r="H564" s="7" t="s">
        <v>1497</v>
      </c>
      <c r="I564" s="7" t="s">
        <v>1496</v>
      </c>
      <c r="J564" s="7" t="s">
        <v>1816</v>
      </c>
      <c r="K564" s="7" t="s">
        <v>1815</v>
      </c>
      <c r="L564" s="7" t="s">
        <v>1915</v>
      </c>
      <c r="M564" s="7" t="s">
        <v>20</v>
      </c>
      <c r="N564" s="7" t="s">
        <v>1324</v>
      </c>
      <c r="O564" s="7" t="s">
        <v>68</v>
      </c>
      <c r="P564" s="7" t="s">
        <v>68</v>
      </c>
      <c r="Q564" s="11">
        <v>1646362.5</v>
      </c>
      <c r="R564" s="9">
        <v>0</v>
      </c>
      <c r="S564" s="9">
        <f t="shared" si="18"/>
        <v>1646362.5</v>
      </c>
      <c r="T564" s="4" t="s">
        <v>53</v>
      </c>
      <c r="U564" s="7"/>
      <c r="V564" s="7"/>
      <c r="W564" s="9">
        <v>1</v>
      </c>
      <c r="X564" s="7"/>
      <c r="Y564" s="7"/>
      <c r="Z564" s="7" t="s">
        <v>14</v>
      </c>
      <c r="AA564" s="36" t="s">
        <v>20</v>
      </c>
      <c r="AB564" s="4" t="s">
        <v>2602</v>
      </c>
      <c r="AC564" s="22">
        <f t="shared" si="19"/>
        <v>645.63235294117646</v>
      </c>
      <c r="AD564" s="23">
        <v>0</v>
      </c>
    </row>
    <row r="565" spans="1:30" x14ac:dyDescent="0.35">
      <c r="A565" s="7">
        <v>588</v>
      </c>
      <c r="B565" s="6">
        <v>45848.544224537036</v>
      </c>
      <c r="C565" s="6">
        <v>45848</v>
      </c>
      <c r="D565" s="7" t="s">
        <v>2179</v>
      </c>
      <c r="E565" s="7" t="s">
        <v>1331</v>
      </c>
      <c r="F565" s="7" t="s">
        <v>1499</v>
      </c>
      <c r="G565" s="7" t="s">
        <v>2178</v>
      </c>
      <c r="H565" s="7" t="s">
        <v>1497</v>
      </c>
      <c r="I565" s="7" t="s">
        <v>1496</v>
      </c>
      <c r="J565" s="7" t="s">
        <v>1816</v>
      </c>
      <c r="K565" s="7" t="s">
        <v>1815</v>
      </c>
      <c r="L565" s="7" t="s">
        <v>1915</v>
      </c>
      <c r="M565" s="7" t="s">
        <v>20</v>
      </c>
      <c r="N565" s="7" t="s">
        <v>1324</v>
      </c>
      <c r="O565" s="7" t="s">
        <v>68</v>
      </c>
      <c r="P565" s="7" t="s">
        <v>68</v>
      </c>
      <c r="Q565" s="11">
        <v>520097.4</v>
      </c>
      <c r="R565" s="9">
        <v>0</v>
      </c>
      <c r="S565" s="9">
        <f t="shared" si="18"/>
        <v>520097.4</v>
      </c>
      <c r="T565" s="4" t="s">
        <v>53</v>
      </c>
      <c r="U565" s="7"/>
      <c r="V565" s="7"/>
      <c r="W565" s="9">
        <v>1</v>
      </c>
      <c r="X565" s="7"/>
      <c r="Y565" s="7"/>
      <c r="Z565" s="7" t="s">
        <v>14</v>
      </c>
      <c r="AA565" s="36" t="s">
        <v>20</v>
      </c>
      <c r="AB565" s="4" t="s">
        <v>2602</v>
      </c>
      <c r="AC565" s="22">
        <f t="shared" si="19"/>
        <v>203.95976470588235</v>
      </c>
      <c r="AD565" s="23">
        <v>0</v>
      </c>
    </row>
    <row r="566" spans="1:30" x14ac:dyDescent="0.35">
      <c r="A566" s="7">
        <v>589</v>
      </c>
      <c r="B566" s="6">
        <v>45848.519270833334</v>
      </c>
      <c r="C566" s="6">
        <v>45848</v>
      </c>
      <c r="D566" s="7" t="s">
        <v>2177</v>
      </c>
      <c r="E566" s="7" t="s">
        <v>1331</v>
      </c>
      <c r="F566" s="7" t="s">
        <v>2176</v>
      </c>
      <c r="G566" s="7" t="s">
        <v>2175</v>
      </c>
      <c r="H566" s="7" t="s">
        <v>1497</v>
      </c>
      <c r="I566" s="7" t="s">
        <v>1496</v>
      </c>
      <c r="J566" s="7" t="s">
        <v>1816</v>
      </c>
      <c r="K566" s="7" t="s">
        <v>1815</v>
      </c>
      <c r="L566" s="7" t="s">
        <v>1915</v>
      </c>
      <c r="M566" s="7" t="s">
        <v>20</v>
      </c>
      <c r="N566" s="7" t="s">
        <v>1324</v>
      </c>
      <c r="O566" s="7" t="s">
        <v>68</v>
      </c>
      <c r="P566" s="7" t="s">
        <v>68</v>
      </c>
      <c r="Q566" s="11">
        <v>917368.5</v>
      </c>
      <c r="R566" s="9">
        <v>0</v>
      </c>
      <c r="S566" s="9">
        <f t="shared" si="18"/>
        <v>917368.5</v>
      </c>
      <c r="T566" s="4" t="s">
        <v>53</v>
      </c>
      <c r="U566" s="7"/>
      <c r="V566" s="7"/>
      <c r="W566" s="9">
        <v>1</v>
      </c>
      <c r="X566" s="7"/>
      <c r="Y566" s="7"/>
      <c r="Z566" s="7" t="s">
        <v>14</v>
      </c>
      <c r="AA566" s="36" t="s">
        <v>20</v>
      </c>
      <c r="AB566" s="4" t="s">
        <v>2602</v>
      </c>
      <c r="AC566" s="22">
        <f t="shared" si="19"/>
        <v>359.75235294117647</v>
      </c>
      <c r="AD566" s="23">
        <v>0</v>
      </c>
    </row>
    <row r="567" spans="1:30" x14ac:dyDescent="0.35">
      <c r="A567" s="7">
        <v>590</v>
      </c>
      <c r="B567" s="6">
        <v>45848.499097222222</v>
      </c>
      <c r="C567" s="6">
        <v>45848</v>
      </c>
      <c r="D567" s="7" t="s">
        <v>2174</v>
      </c>
      <c r="E567" s="7" t="s">
        <v>1331</v>
      </c>
      <c r="F567" s="7" t="s">
        <v>1499</v>
      </c>
      <c r="G567" s="7" t="s">
        <v>2173</v>
      </c>
      <c r="H567" s="7" t="s">
        <v>1497</v>
      </c>
      <c r="I567" s="7" t="s">
        <v>1496</v>
      </c>
      <c r="J567" s="7" t="s">
        <v>1816</v>
      </c>
      <c r="K567" s="7" t="s">
        <v>1815</v>
      </c>
      <c r="L567" s="7" t="s">
        <v>1915</v>
      </c>
      <c r="M567" s="7" t="s">
        <v>20</v>
      </c>
      <c r="N567" s="7" t="s">
        <v>1324</v>
      </c>
      <c r="O567" s="7" t="s">
        <v>68</v>
      </c>
      <c r="P567" s="7" t="s">
        <v>68</v>
      </c>
      <c r="Q567" s="11">
        <v>289453.5</v>
      </c>
      <c r="R567" s="9">
        <v>0</v>
      </c>
      <c r="S567" s="9">
        <f t="shared" si="18"/>
        <v>289453.5</v>
      </c>
      <c r="T567" s="4" t="s">
        <v>53</v>
      </c>
      <c r="U567" s="7"/>
      <c r="V567" s="7"/>
      <c r="W567" s="9">
        <v>1</v>
      </c>
      <c r="X567" s="7"/>
      <c r="Y567" s="7"/>
      <c r="Z567" s="7" t="s">
        <v>14</v>
      </c>
      <c r="AA567" s="36" t="s">
        <v>20</v>
      </c>
      <c r="AB567" s="4" t="s">
        <v>2602</v>
      </c>
      <c r="AC567" s="22">
        <f t="shared" si="19"/>
        <v>113.51117647058824</v>
      </c>
      <c r="AD567" s="23">
        <v>0</v>
      </c>
    </row>
    <row r="568" spans="1:30" x14ac:dyDescent="0.35">
      <c r="A568" s="7">
        <v>591</v>
      </c>
      <c r="B568" s="6">
        <v>45848</v>
      </c>
      <c r="C568" s="6">
        <v>45848</v>
      </c>
      <c r="D568" s="4" t="s">
        <v>1009</v>
      </c>
      <c r="E568" s="4" t="s">
        <v>61</v>
      </c>
      <c r="F568" s="4" t="s">
        <v>1008</v>
      </c>
      <c r="G568" s="4" t="s">
        <v>1008</v>
      </c>
      <c r="H568" s="4"/>
      <c r="I568" s="4"/>
      <c r="J568" s="4" t="s">
        <v>59</v>
      </c>
      <c r="K568" s="4" t="s">
        <v>58</v>
      </c>
      <c r="L568" s="4" t="s">
        <v>57</v>
      </c>
      <c r="M568" s="4" t="s">
        <v>32</v>
      </c>
      <c r="N568" s="4" t="s">
        <v>317</v>
      </c>
      <c r="O568" s="4" t="s">
        <v>68</v>
      </c>
      <c r="P568" s="4" t="s">
        <v>54</v>
      </c>
      <c r="Q568" s="5">
        <v>22584.17</v>
      </c>
      <c r="R568" s="10">
        <v>0</v>
      </c>
      <c r="S568" s="9">
        <f t="shared" si="18"/>
        <v>22584.17</v>
      </c>
      <c r="T568" s="4" t="s">
        <v>53</v>
      </c>
      <c r="U568" s="4" t="s">
        <v>117</v>
      </c>
      <c r="V568" s="4"/>
      <c r="W568" s="4">
        <v>-7</v>
      </c>
      <c r="X568" s="4" t="s">
        <v>94</v>
      </c>
      <c r="Y568" s="4"/>
      <c r="Z568" s="7" t="s">
        <v>14</v>
      </c>
      <c r="AA568" s="36" t="s">
        <v>23</v>
      </c>
      <c r="AB568" s="4" t="s">
        <v>2607</v>
      </c>
      <c r="AC568" s="22">
        <f t="shared" si="19"/>
        <v>8.8565372549019603</v>
      </c>
      <c r="AD568" s="23">
        <v>0</v>
      </c>
    </row>
    <row r="569" spans="1:30" x14ac:dyDescent="0.35">
      <c r="A569" s="7">
        <v>592</v>
      </c>
      <c r="B569" s="6">
        <v>45848</v>
      </c>
      <c r="C569" s="6">
        <v>45848</v>
      </c>
      <c r="D569" s="4" t="s">
        <v>876</v>
      </c>
      <c r="E569" s="4" t="s">
        <v>61</v>
      </c>
      <c r="F569" s="4" t="s">
        <v>875</v>
      </c>
      <c r="G569" s="4" t="s">
        <v>875</v>
      </c>
      <c r="H569" s="4"/>
      <c r="I569" s="4"/>
      <c r="J569" s="4" t="s">
        <v>59</v>
      </c>
      <c r="K569" s="4" t="s">
        <v>58</v>
      </c>
      <c r="L569" s="4" t="s">
        <v>57</v>
      </c>
      <c r="M569" s="4" t="s">
        <v>32</v>
      </c>
      <c r="N569" s="4" t="s">
        <v>266</v>
      </c>
      <c r="O569" s="4" t="s">
        <v>55</v>
      </c>
      <c r="P569" s="4" t="s">
        <v>54</v>
      </c>
      <c r="Q569" s="5">
        <v>16131.55</v>
      </c>
      <c r="R569" s="10">
        <v>0</v>
      </c>
      <c r="S569" s="9">
        <f t="shared" si="18"/>
        <v>16131.55</v>
      </c>
      <c r="T569" s="4" t="s">
        <v>53</v>
      </c>
      <c r="U569" s="4" t="s">
        <v>117</v>
      </c>
      <c r="V569" s="4"/>
      <c r="W569" s="4">
        <v>-5</v>
      </c>
      <c r="X569" s="4" t="s">
        <v>94</v>
      </c>
      <c r="Y569" s="4"/>
      <c r="Z569" s="7" t="s">
        <v>14</v>
      </c>
      <c r="AA569" s="36" t="s">
        <v>22</v>
      </c>
      <c r="AB569" s="4" t="s">
        <v>2835</v>
      </c>
      <c r="AC569" s="22">
        <f t="shared" si="19"/>
        <v>6.3260980392156858</v>
      </c>
      <c r="AD569" s="23">
        <v>0</v>
      </c>
    </row>
    <row r="570" spans="1:30" x14ac:dyDescent="0.35">
      <c r="A570" s="7">
        <v>593</v>
      </c>
      <c r="B570" s="6">
        <v>45848</v>
      </c>
      <c r="C570" s="6">
        <v>45848</v>
      </c>
      <c r="D570" s="4" t="s">
        <v>874</v>
      </c>
      <c r="E570" s="4" t="s">
        <v>61</v>
      </c>
      <c r="F570" s="4" t="s">
        <v>873</v>
      </c>
      <c r="G570" s="4" t="s">
        <v>873</v>
      </c>
      <c r="H570" s="4"/>
      <c r="I570" s="4"/>
      <c r="J570" s="4" t="s">
        <v>59</v>
      </c>
      <c r="K570" s="4" t="s">
        <v>58</v>
      </c>
      <c r="L570" s="4" t="s">
        <v>57</v>
      </c>
      <c r="M570" s="4" t="s">
        <v>32</v>
      </c>
      <c r="N570" s="4" t="s">
        <v>266</v>
      </c>
      <c r="O570" s="4" t="s">
        <v>55</v>
      </c>
      <c r="P570" s="4" t="s">
        <v>54</v>
      </c>
      <c r="Q570" s="5">
        <v>102437.74</v>
      </c>
      <c r="R570" s="10">
        <v>0</v>
      </c>
      <c r="S570" s="9">
        <f t="shared" si="18"/>
        <v>102437.74</v>
      </c>
      <c r="T570" s="4" t="s">
        <v>53</v>
      </c>
      <c r="U570" s="4" t="s">
        <v>271</v>
      </c>
      <c r="V570" s="4"/>
      <c r="W570" s="4">
        <v>-25</v>
      </c>
      <c r="X570" s="4" t="s">
        <v>124</v>
      </c>
      <c r="Y570" s="4"/>
      <c r="Z570" s="7" t="s">
        <v>14</v>
      </c>
      <c r="AA570" s="36" t="s">
        <v>22</v>
      </c>
      <c r="AB570" s="4" t="s">
        <v>2835</v>
      </c>
      <c r="AC570" s="22">
        <f t="shared" si="19"/>
        <v>40.17166274509804</v>
      </c>
      <c r="AD570" s="23">
        <v>0</v>
      </c>
    </row>
    <row r="571" spans="1:30" x14ac:dyDescent="0.35">
      <c r="A571" s="7">
        <v>594</v>
      </c>
      <c r="B571" s="6">
        <v>45848</v>
      </c>
      <c r="C571" s="6">
        <v>45848</v>
      </c>
      <c r="D571" s="4" t="s">
        <v>872</v>
      </c>
      <c r="E571" s="4" t="s">
        <v>61</v>
      </c>
      <c r="F571" s="4" t="s">
        <v>871</v>
      </c>
      <c r="G571" s="4" t="s">
        <v>871</v>
      </c>
      <c r="H571" s="4"/>
      <c r="I571" s="4"/>
      <c r="J571" s="4" t="s">
        <v>59</v>
      </c>
      <c r="K571" s="4" t="s">
        <v>58</v>
      </c>
      <c r="L571" s="4" t="s">
        <v>57</v>
      </c>
      <c r="M571" s="4" t="s">
        <v>32</v>
      </c>
      <c r="N571" s="4" t="s">
        <v>266</v>
      </c>
      <c r="O571" s="4" t="s">
        <v>55</v>
      </c>
      <c r="P571" s="4" t="s">
        <v>54</v>
      </c>
      <c r="Q571" s="5">
        <v>852664.72</v>
      </c>
      <c r="R571" s="10">
        <v>0</v>
      </c>
      <c r="S571" s="9">
        <f t="shared" si="18"/>
        <v>852664.72</v>
      </c>
      <c r="T571" s="4" t="s">
        <v>53</v>
      </c>
      <c r="U571" s="4" t="s">
        <v>870</v>
      </c>
      <c r="V571" s="4"/>
      <c r="W571" s="4">
        <v>-4</v>
      </c>
      <c r="X571" s="4" t="s">
        <v>94</v>
      </c>
      <c r="Y571" s="4"/>
      <c r="Z571" s="7" t="s">
        <v>14</v>
      </c>
      <c r="AA571" s="36" t="s">
        <v>22</v>
      </c>
      <c r="AB571" s="4" t="s">
        <v>2835</v>
      </c>
      <c r="AC571" s="22">
        <f t="shared" si="19"/>
        <v>334.37832156862743</v>
      </c>
      <c r="AD571" s="23">
        <v>0</v>
      </c>
    </row>
    <row r="572" spans="1:30" x14ac:dyDescent="0.35">
      <c r="A572" s="7">
        <v>595</v>
      </c>
      <c r="B572" s="6">
        <v>45848</v>
      </c>
      <c r="C572" s="6">
        <v>45848</v>
      </c>
      <c r="D572" s="4" t="s">
        <v>869</v>
      </c>
      <c r="E572" s="4" t="s">
        <v>61</v>
      </c>
      <c r="F572" s="4" t="s">
        <v>868</v>
      </c>
      <c r="G572" s="4" t="s">
        <v>868</v>
      </c>
      <c r="H572" s="4"/>
      <c r="I572" s="4"/>
      <c r="J572" s="4" t="s">
        <v>59</v>
      </c>
      <c r="K572" s="4" t="s">
        <v>58</v>
      </c>
      <c r="L572" s="4" t="s">
        <v>57</v>
      </c>
      <c r="M572" s="4" t="s">
        <v>32</v>
      </c>
      <c r="N572" s="4" t="s">
        <v>266</v>
      </c>
      <c r="O572" s="4" t="s">
        <v>55</v>
      </c>
      <c r="P572" s="4" t="s">
        <v>54</v>
      </c>
      <c r="Q572" s="5">
        <v>322886.5</v>
      </c>
      <c r="R572" s="10">
        <v>0</v>
      </c>
      <c r="S572" s="9">
        <f t="shared" si="18"/>
        <v>322886.5</v>
      </c>
      <c r="T572" s="4" t="s">
        <v>53</v>
      </c>
      <c r="U572" s="4" t="s">
        <v>867</v>
      </c>
      <c r="V572" s="4"/>
      <c r="W572" s="4">
        <v>-2</v>
      </c>
      <c r="X572" s="4" t="s">
        <v>94</v>
      </c>
      <c r="Y572" s="4"/>
      <c r="Z572" s="7" t="s">
        <v>14</v>
      </c>
      <c r="AA572" s="36" t="s">
        <v>22</v>
      </c>
      <c r="AB572" s="4" t="s">
        <v>2835</v>
      </c>
      <c r="AC572" s="22">
        <f t="shared" si="19"/>
        <v>126.6221568627451</v>
      </c>
      <c r="AD572" s="23">
        <v>0</v>
      </c>
    </row>
    <row r="573" spans="1:30" x14ac:dyDescent="0.35">
      <c r="A573" s="7">
        <v>596</v>
      </c>
      <c r="B573" s="6">
        <v>45848</v>
      </c>
      <c r="C573" s="6">
        <v>45848</v>
      </c>
      <c r="D573" s="4" t="s">
        <v>658</v>
      </c>
      <c r="E573" s="4" t="s">
        <v>61</v>
      </c>
      <c r="F573" s="4" t="s">
        <v>657</v>
      </c>
      <c r="G573" s="4" t="s">
        <v>657</v>
      </c>
      <c r="H573" s="4"/>
      <c r="I573" s="4"/>
      <c r="J573" s="4" t="s">
        <v>59</v>
      </c>
      <c r="K573" s="4" t="s">
        <v>58</v>
      </c>
      <c r="L573" s="4" t="s">
        <v>57</v>
      </c>
      <c r="M573" s="4" t="s">
        <v>32</v>
      </c>
      <c r="N573" s="4" t="s">
        <v>118</v>
      </c>
      <c r="O573" s="4" t="s">
        <v>55</v>
      </c>
      <c r="P573" s="4" t="s">
        <v>196</v>
      </c>
      <c r="Q573" s="5">
        <v>596772</v>
      </c>
      <c r="R573" s="10">
        <v>0</v>
      </c>
      <c r="S573" s="9">
        <f t="shared" si="18"/>
        <v>596772</v>
      </c>
      <c r="T573" s="4" t="s">
        <v>53</v>
      </c>
      <c r="U573" s="4" t="s">
        <v>656</v>
      </c>
      <c r="V573" s="4"/>
      <c r="W573" s="4">
        <v>-1</v>
      </c>
      <c r="X573" s="4" t="s">
        <v>94</v>
      </c>
      <c r="Y573" s="4"/>
      <c r="Z573" s="7" t="s">
        <v>14</v>
      </c>
      <c r="AA573" s="36" t="s">
        <v>22</v>
      </c>
      <c r="AB573" s="4" t="s">
        <v>2835</v>
      </c>
      <c r="AC573" s="22">
        <f t="shared" si="19"/>
        <v>234.02823529411765</v>
      </c>
      <c r="AD573" s="23">
        <v>0</v>
      </c>
    </row>
    <row r="574" spans="1:30" hidden="1" x14ac:dyDescent="0.35">
      <c r="A574" s="7">
        <v>597</v>
      </c>
      <c r="B574" s="6">
        <v>45849.410833333335</v>
      </c>
      <c r="C574" s="6">
        <v>45849</v>
      </c>
      <c r="D574" s="7" t="s">
        <v>2172</v>
      </c>
      <c r="E574" s="7" t="s">
        <v>1050</v>
      </c>
      <c r="F574" s="7"/>
      <c r="G574" s="7" t="s">
        <v>2171</v>
      </c>
      <c r="H574" s="7"/>
      <c r="I574" s="7"/>
      <c r="J574" s="7" t="s">
        <v>1816</v>
      </c>
      <c r="K574" s="7" t="s">
        <v>1815</v>
      </c>
      <c r="L574" s="7" t="s">
        <v>1956</v>
      </c>
      <c r="M574" s="7" t="s">
        <v>30</v>
      </c>
      <c r="N574" s="7" t="s">
        <v>211</v>
      </c>
      <c r="O574" s="7" t="s">
        <v>210</v>
      </c>
      <c r="P574" s="7" t="s">
        <v>210</v>
      </c>
      <c r="Q574" s="9">
        <v>500000</v>
      </c>
      <c r="R574" s="9">
        <v>0</v>
      </c>
      <c r="S574" s="9">
        <f t="shared" si="18"/>
        <v>500000</v>
      </c>
      <c r="T574" s="4" t="s">
        <v>53</v>
      </c>
      <c r="U574" s="7"/>
      <c r="V574" s="7"/>
      <c r="W574" s="9">
        <v>1</v>
      </c>
      <c r="X574" s="7"/>
      <c r="Y574" s="7"/>
      <c r="Z574" s="7" t="s">
        <v>14</v>
      </c>
      <c r="AA574" s="36" t="s">
        <v>30</v>
      </c>
      <c r="AB574" s="4"/>
      <c r="AC574" s="22">
        <f t="shared" si="19"/>
        <v>196.07843137254903</v>
      </c>
      <c r="AD574" s="23">
        <v>0</v>
      </c>
    </row>
    <row r="575" spans="1:30" hidden="1" x14ac:dyDescent="0.35">
      <c r="A575" s="7">
        <v>598</v>
      </c>
      <c r="B575" s="6">
        <v>45849</v>
      </c>
      <c r="C575" s="6">
        <v>45849</v>
      </c>
      <c r="D575" s="7" t="s">
        <v>1751</v>
      </c>
      <c r="E575" s="7" t="s">
        <v>61</v>
      </c>
      <c r="F575" s="7" t="s">
        <v>1750</v>
      </c>
      <c r="G575" s="7" t="s">
        <v>1750</v>
      </c>
      <c r="H575" s="7"/>
      <c r="I575" s="7"/>
      <c r="J575" s="7" t="s">
        <v>59</v>
      </c>
      <c r="K575" s="7" t="s">
        <v>58</v>
      </c>
      <c r="L575" s="7" t="s">
        <v>325</v>
      </c>
      <c r="M575" s="7" t="s">
        <v>33</v>
      </c>
      <c r="N575" s="7" t="s">
        <v>1699</v>
      </c>
      <c r="O575" s="7" t="s">
        <v>1704</v>
      </c>
      <c r="P575" s="7" t="s">
        <v>1703</v>
      </c>
      <c r="Q575" s="9">
        <v>1302542.3700000001</v>
      </c>
      <c r="R575" s="9">
        <v>0</v>
      </c>
      <c r="S575" s="9">
        <f t="shared" si="18"/>
        <v>1302542.3700000001</v>
      </c>
      <c r="T575" s="4" t="s">
        <v>53</v>
      </c>
      <c r="U575" s="7" t="s">
        <v>1702</v>
      </c>
      <c r="V575" s="4"/>
      <c r="W575" s="9">
        <v>-1</v>
      </c>
      <c r="X575" s="7" t="s">
        <v>94</v>
      </c>
      <c r="Y575" s="7"/>
      <c r="Z575" s="7" t="s">
        <v>7</v>
      </c>
      <c r="AA575" s="37" t="s">
        <v>9</v>
      </c>
      <c r="AB575" s="16"/>
      <c r="AC575" s="22">
        <f t="shared" si="19"/>
        <v>510.80092941176474</v>
      </c>
      <c r="AD575" s="23">
        <v>0</v>
      </c>
    </row>
    <row r="576" spans="1:30" x14ac:dyDescent="0.35">
      <c r="A576" s="7">
        <v>599</v>
      </c>
      <c r="B576" s="6">
        <v>45849</v>
      </c>
      <c r="C576" s="6">
        <v>45849</v>
      </c>
      <c r="D576" s="4" t="s">
        <v>1012</v>
      </c>
      <c r="E576" s="4" t="s">
        <v>61</v>
      </c>
      <c r="F576" s="4" t="s">
        <v>1011</v>
      </c>
      <c r="G576" s="4" t="s">
        <v>1011</v>
      </c>
      <c r="H576" s="4"/>
      <c r="I576" s="4"/>
      <c r="J576" s="4" t="s">
        <v>59</v>
      </c>
      <c r="K576" s="4" t="s">
        <v>58</v>
      </c>
      <c r="L576" s="4" t="s">
        <v>57</v>
      </c>
      <c r="M576" s="4" t="s">
        <v>32</v>
      </c>
      <c r="N576" s="4" t="s">
        <v>317</v>
      </c>
      <c r="O576" s="4" t="s">
        <v>68</v>
      </c>
      <c r="P576" s="4" t="s">
        <v>54</v>
      </c>
      <c r="Q576" s="5">
        <v>53460.08</v>
      </c>
      <c r="R576" s="10">
        <v>0</v>
      </c>
      <c r="S576" s="9">
        <f t="shared" si="18"/>
        <v>53460.08</v>
      </c>
      <c r="T576" s="4" t="s">
        <v>53</v>
      </c>
      <c r="U576" s="4" t="s">
        <v>1010</v>
      </c>
      <c r="V576" s="4"/>
      <c r="W576" s="4">
        <v>-61</v>
      </c>
      <c r="X576" s="4" t="s">
        <v>94</v>
      </c>
      <c r="Y576" s="4"/>
      <c r="Z576" s="7" t="s">
        <v>14</v>
      </c>
      <c r="AA576" s="36" t="s">
        <v>23</v>
      </c>
      <c r="AB576" s="4" t="s">
        <v>2607</v>
      </c>
      <c r="AC576" s="22">
        <f t="shared" si="19"/>
        <v>20.964737254901962</v>
      </c>
      <c r="AD576" s="23">
        <v>0</v>
      </c>
    </row>
    <row r="577" spans="1:30" x14ac:dyDescent="0.35">
      <c r="A577" s="7">
        <v>600</v>
      </c>
      <c r="B577" s="6">
        <v>45849</v>
      </c>
      <c r="C577" s="6">
        <v>45849</v>
      </c>
      <c r="D577" s="4" t="s">
        <v>883</v>
      </c>
      <c r="E577" s="4" t="s">
        <v>61</v>
      </c>
      <c r="F577" s="4" t="s">
        <v>882</v>
      </c>
      <c r="G577" s="4" t="s">
        <v>882</v>
      </c>
      <c r="H577" s="4"/>
      <c r="I577" s="4"/>
      <c r="J577" s="4" t="s">
        <v>59</v>
      </c>
      <c r="K577" s="4" t="s">
        <v>58</v>
      </c>
      <c r="L577" s="4" t="s">
        <v>57</v>
      </c>
      <c r="M577" s="4" t="s">
        <v>32</v>
      </c>
      <c r="N577" s="4" t="s">
        <v>266</v>
      </c>
      <c r="O577" s="4" t="s">
        <v>55</v>
      </c>
      <c r="P577" s="4" t="s">
        <v>54</v>
      </c>
      <c r="Q577" s="5">
        <v>16131.55</v>
      </c>
      <c r="R577" s="10">
        <v>0</v>
      </c>
      <c r="S577" s="9">
        <f t="shared" si="18"/>
        <v>16131.55</v>
      </c>
      <c r="T577" s="4" t="s">
        <v>53</v>
      </c>
      <c r="U577" s="4" t="s">
        <v>117</v>
      </c>
      <c r="V577" s="4"/>
      <c r="W577" s="4">
        <v>-5</v>
      </c>
      <c r="X577" s="4" t="s">
        <v>94</v>
      </c>
      <c r="Y577" s="4"/>
      <c r="Z577" s="7" t="s">
        <v>14</v>
      </c>
      <c r="AA577" s="36" t="s">
        <v>22</v>
      </c>
      <c r="AB577" s="4" t="s">
        <v>2835</v>
      </c>
      <c r="AC577" s="22">
        <f t="shared" si="19"/>
        <v>6.3260980392156858</v>
      </c>
      <c r="AD577" s="23">
        <v>0</v>
      </c>
    </row>
    <row r="578" spans="1:30" x14ac:dyDescent="0.35">
      <c r="A578" s="7">
        <v>601</v>
      </c>
      <c r="B578" s="6">
        <v>45849</v>
      </c>
      <c r="C578" s="6">
        <v>45849</v>
      </c>
      <c r="D578" s="4" t="s">
        <v>881</v>
      </c>
      <c r="E578" s="4" t="s">
        <v>61</v>
      </c>
      <c r="F578" s="4" t="s">
        <v>880</v>
      </c>
      <c r="G578" s="4" t="s">
        <v>880</v>
      </c>
      <c r="H578" s="4"/>
      <c r="I578" s="4"/>
      <c r="J578" s="4" t="s">
        <v>59</v>
      </c>
      <c r="K578" s="4" t="s">
        <v>58</v>
      </c>
      <c r="L578" s="4" t="s">
        <v>57</v>
      </c>
      <c r="M578" s="4" t="s">
        <v>32</v>
      </c>
      <c r="N578" s="4" t="s">
        <v>266</v>
      </c>
      <c r="O578" s="4" t="s">
        <v>55</v>
      </c>
      <c r="P578" s="4" t="s">
        <v>54</v>
      </c>
      <c r="Q578" s="5">
        <v>102437.74</v>
      </c>
      <c r="R578" s="10">
        <v>0</v>
      </c>
      <c r="S578" s="9">
        <f t="shared" si="18"/>
        <v>102437.74</v>
      </c>
      <c r="T578" s="4" t="s">
        <v>53</v>
      </c>
      <c r="U578" s="4" t="s">
        <v>271</v>
      </c>
      <c r="V578" s="4"/>
      <c r="W578" s="4">
        <v>-25</v>
      </c>
      <c r="X578" s="4" t="s">
        <v>124</v>
      </c>
      <c r="Y578" s="4"/>
      <c r="Z578" s="7" t="s">
        <v>14</v>
      </c>
      <c r="AA578" s="36" t="s">
        <v>22</v>
      </c>
      <c r="AB578" s="4" t="s">
        <v>2835</v>
      </c>
      <c r="AC578" s="22">
        <f t="shared" si="19"/>
        <v>40.17166274509804</v>
      </c>
      <c r="AD578" s="23">
        <v>0</v>
      </c>
    </row>
    <row r="579" spans="1:30" x14ac:dyDescent="0.35">
      <c r="A579" s="7">
        <v>602</v>
      </c>
      <c r="B579" s="6">
        <v>45849</v>
      </c>
      <c r="C579" s="6">
        <v>45849</v>
      </c>
      <c r="D579" s="4" t="s">
        <v>879</v>
      </c>
      <c r="E579" s="4" t="s">
        <v>61</v>
      </c>
      <c r="F579" s="4" t="s">
        <v>878</v>
      </c>
      <c r="G579" s="4" t="s">
        <v>878</v>
      </c>
      <c r="H579" s="4"/>
      <c r="I579" s="4"/>
      <c r="J579" s="4" t="s">
        <v>59</v>
      </c>
      <c r="K579" s="4" t="s">
        <v>58</v>
      </c>
      <c r="L579" s="4" t="s">
        <v>57</v>
      </c>
      <c r="M579" s="4" t="s">
        <v>32</v>
      </c>
      <c r="N579" s="4" t="s">
        <v>266</v>
      </c>
      <c r="O579" s="4" t="s">
        <v>55</v>
      </c>
      <c r="P579" s="4" t="s">
        <v>54</v>
      </c>
      <c r="Q579" s="5">
        <v>1447877.59</v>
      </c>
      <c r="R579" s="10">
        <v>0</v>
      </c>
      <c r="S579" s="9">
        <f t="shared" ref="S579:S642" si="20">+Q579-R579</f>
        <v>1447877.59</v>
      </c>
      <c r="T579" s="4" t="s">
        <v>53</v>
      </c>
      <c r="U579" s="4" t="s">
        <v>877</v>
      </c>
      <c r="V579" s="4"/>
      <c r="W579" s="4">
        <v>-2</v>
      </c>
      <c r="X579" s="4" t="s">
        <v>94</v>
      </c>
      <c r="Y579" s="4"/>
      <c r="Z579" s="7" t="s">
        <v>14</v>
      </c>
      <c r="AA579" s="36" t="s">
        <v>22</v>
      </c>
      <c r="AB579" s="4" t="s">
        <v>2835</v>
      </c>
      <c r="AC579" s="22">
        <f t="shared" si="19"/>
        <v>567.79513333333341</v>
      </c>
      <c r="AD579" s="23">
        <v>0</v>
      </c>
    </row>
    <row r="580" spans="1:30" x14ac:dyDescent="0.35">
      <c r="A580" s="7">
        <v>603</v>
      </c>
      <c r="B580" s="6">
        <v>45849</v>
      </c>
      <c r="C580" s="6">
        <v>45849</v>
      </c>
      <c r="D580" s="4" t="s">
        <v>765</v>
      </c>
      <c r="E580" s="4" t="s">
        <v>61</v>
      </c>
      <c r="F580" s="4" t="s">
        <v>764</v>
      </c>
      <c r="G580" s="4" t="s">
        <v>764</v>
      </c>
      <c r="H580" s="4"/>
      <c r="I580" s="4"/>
      <c r="J580" s="4" t="s">
        <v>59</v>
      </c>
      <c r="K580" s="4" t="s">
        <v>58</v>
      </c>
      <c r="L580" s="4" t="s">
        <v>57</v>
      </c>
      <c r="M580" s="4" t="s">
        <v>32</v>
      </c>
      <c r="N580" s="4" t="s">
        <v>197</v>
      </c>
      <c r="O580" s="4" t="s">
        <v>68</v>
      </c>
      <c r="P580" s="4" t="s">
        <v>54</v>
      </c>
      <c r="Q580" s="5">
        <v>71251.5</v>
      </c>
      <c r="R580" s="10">
        <v>0</v>
      </c>
      <c r="S580" s="9">
        <f t="shared" si="20"/>
        <v>71251.5</v>
      </c>
      <c r="T580" s="4" t="s">
        <v>53</v>
      </c>
      <c r="U580" s="4" t="s">
        <v>728</v>
      </c>
      <c r="V580" s="4"/>
      <c r="W580" s="4">
        <v>-16</v>
      </c>
      <c r="X580" s="4" t="s">
        <v>51</v>
      </c>
      <c r="Y580" s="4"/>
      <c r="Z580" s="7" t="s">
        <v>14</v>
      </c>
      <c r="AA580" s="36" t="s">
        <v>29</v>
      </c>
      <c r="AB580" s="4" t="s">
        <v>2607</v>
      </c>
      <c r="AC580" s="22">
        <f t="shared" si="19"/>
        <v>27.941764705882353</v>
      </c>
      <c r="AD580" s="23">
        <v>0</v>
      </c>
    </row>
    <row r="581" spans="1:30" x14ac:dyDescent="0.35">
      <c r="A581" s="7">
        <v>604</v>
      </c>
      <c r="B581" s="6">
        <v>45849</v>
      </c>
      <c r="C581" s="6">
        <v>45849</v>
      </c>
      <c r="D581" s="4" t="s">
        <v>763</v>
      </c>
      <c r="E581" s="4" t="s">
        <v>61</v>
      </c>
      <c r="F581" s="4" t="s">
        <v>762</v>
      </c>
      <c r="G581" s="4" t="s">
        <v>762</v>
      </c>
      <c r="H581" s="4"/>
      <c r="I581" s="4"/>
      <c r="J581" s="4" t="s">
        <v>59</v>
      </c>
      <c r="K581" s="4" t="s">
        <v>58</v>
      </c>
      <c r="L581" s="4" t="s">
        <v>57</v>
      </c>
      <c r="M581" s="4" t="s">
        <v>32</v>
      </c>
      <c r="N581" s="4" t="s">
        <v>197</v>
      </c>
      <c r="O581" s="4" t="s">
        <v>68</v>
      </c>
      <c r="P581" s="4" t="s">
        <v>54</v>
      </c>
      <c r="Q581" s="5">
        <v>41161.629999999997</v>
      </c>
      <c r="R581" s="10">
        <v>0</v>
      </c>
      <c r="S581" s="9">
        <f t="shared" si="20"/>
        <v>41161.629999999997</v>
      </c>
      <c r="T581" s="4" t="s">
        <v>53</v>
      </c>
      <c r="U581" s="4" t="s">
        <v>423</v>
      </c>
      <c r="V581" s="4"/>
      <c r="W581" s="4">
        <v>-10</v>
      </c>
      <c r="X581" s="4" t="s">
        <v>51</v>
      </c>
      <c r="Y581" s="4"/>
      <c r="Z581" s="7" t="s">
        <v>14</v>
      </c>
      <c r="AA581" s="36" t="s">
        <v>29</v>
      </c>
      <c r="AB581" s="4" t="s">
        <v>2607</v>
      </c>
      <c r="AC581" s="22">
        <f t="shared" si="19"/>
        <v>16.141815686274509</v>
      </c>
      <c r="AD581" s="23">
        <v>0</v>
      </c>
    </row>
    <row r="582" spans="1:30" x14ac:dyDescent="0.35">
      <c r="A582" s="7">
        <v>605</v>
      </c>
      <c r="B582" s="6">
        <v>45849</v>
      </c>
      <c r="C582" s="6">
        <v>45849</v>
      </c>
      <c r="D582" s="4" t="s">
        <v>761</v>
      </c>
      <c r="E582" s="4" t="s">
        <v>61</v>
      </c>
      <c r="F582" s="4" t="s">
        <v>760</v>
      </c>
      <c r="G582" s="4" t="s">
        <v>760</v>
      </c>
      <c r="H582" s="4"/>
      <c r="I582" s="4"/>
      <c r="J582" s="4" t="s">
        <v>59</v>
      </c>
      <c r="K582" s="4" t="s">
        <v>58</v>
      </c>
      <c r="L582" s="4" t="s">
        <v>57</v>
      </c>
      <c r="M582" s="4" t="s">
        <v>32</v>
      </c>
      <c r="N582" s="4" t="s">
        <v>197</v>
      </c>
      <c r="O582" s="4" t="s">
        <v>68</v>
      </c>
      <c r="P582" s="4" t="s">
        <v>54</v>
      </c>
      <c r="Q582" s="5">
        <v>134344.81</v>
      </c>
      <c r="R582" s="10">
        <v>0</v>
      </c>
      <c r="S582" s="9">
        <f t="shared" si="20"/>
        <v>134344.81</v>
      </c>
      <c r="T582" s="4" t="s">
        <v>53</v>
      </c>
      <c r="U582" s="4" t="s">
        <v>420</v>
      </c>
      <c r="V582" s="4"/>
      <c r="W582" s="4">
        <v>-100</v>
      </c>
      <c r="X582" s="4" t="s">
        <v>94</v>
      </c>
      <c r="Y582" s="4"/>
      <c r="Z582" s="7" t="s">
        <v>14</v>
      </c>
      <c r="AA582" s="36" t="s">
        <v>29</v>
      </c>
      <c r="AB582" s="4" t="s">
        <v>2607</v>
      </c>
      <c r="AC582" s="22">
        <f t="shared" si="19"/>
        <v>52.684239215686276</v>
      </c>
      <c r="AD582" s="23">
        <v>0</v>
      </c>
    </row>
    <row r="583" spans="1:30" x14ac:dyDescent="0.35">
      <c r="A583" s="7">
        <v>606</v>
      </c>
      <c r="B583" s="6">
        <v>45849</v>
      </c>
      <c r="C583" s="6">
        <v>45849</v>
      </c>
      <c r="D583" s="4" t="s">
        <v>66</v>
      </c>
      <c r="E583" s="4" t="s">
        <v>61</v>
      </c>
      <c r="F583" s="4" t="s">
        <v>65</v>
      </c>
      <c r="G583" s="4" t="s">
        <v>65</v>
      </c>
      <c r="H583" s="4"/>
      <c r="I583" s="4"/>
      <c r="J583" s="4" t="s">
        <v>59</v>
      </c>
      <c r="K583" s="4" t="s">
        <v>58</v>
      </c>
      <c r="L583" s="4" t="s">
        <v>57</v>
      </c>
      <c r="M583" s="4" t="s">
        <v>32</v>
      </c>
      <c r="N583" s="4" t="s">
        <v>56</v>
      </c>
      <c r="O583" s="4" t="s">
        <v>55</v>
      </c>
      <c r="P583" s="4" t="s">
        <v>54</v>
      </c>
      <c r="Q583" s="5">
        <v>5731854.8300000001</v>
      </c>
      <c r="R583" s="4">
        <v>0</v>
      </c>
      <c r="S583" s="9">
        <f t="shared" si="20"/>
        <v>5731854.8300000001</v>
      </c>
      <c r="T583" s="4" t="s">
        <v>53</v>
      </c>
      <c r="U583" s="4" t="s">
        <v>52</v>
      </c>
      <c r="V583" s="4"/>
      <c r="W583" s="4">
        <v>-800</v>
      </c>
      <c r="X583" s="4" t="s">
        <v>51</v>
      </c>
      <c r="Y583" s="4"/>
      <c r="Z583" s="7" t="s">
        <v>14</v>
      </c>
      <c r="AA583" s="36" t="s">
        <v>22</v>
      </c>
      <c r="AB583" s="4" t="s">
        <v>2835</v>
      </c>
      <c r="AC583" s="22">
        <f t="shared" si="19"/>
        <v>2247.7862078431372</v>
      </c>
      <c r="AD583" s="23">
        <v>0</v>
      </c>
    </row>
    <row r="584" spans="1:30" x14ac:dyDescent="0.35">
      <c r="A584" s="7">
        <v>607</v>
      </c>
      <c r="B584" s="6">
        <v>45850</v>
      </c>
      <c r="C584" s="6">
        <v>45850</v>
      </c>
      <c r="D584" s="4" t="s">
        <v>705</v>
      </c>
      <c r="E584" s="4" t="s">
        <v>61</v>
      </c>
      <c r="F584" s="4" t="s">
        <v>704</v>
      </c>
      <c r="G584" s="4" t="s">
        <v>704</v>
      </c>
      <c r="H584" s="4"/>
      <c r="I584" s="4"/>
      <c r="J584" s="4" t="s">
        <v>59</v>
      </c>
      <c r="K584" s="4" t="s">
        <v>58</v>
      </c>
      <c r="L584" s="4" t="s">
        <v>57</v>
      </c>
      <c r="M584" s="4" t="s">
        <v>32</v>
      </c>
      <c r="N584" s="4" t="s">
        <v>118</v>
      </c>
      <c r="O584" s="4" t="s">
        <v>55</v>
      </c>
      <c r="P584" s="4" t="s">
        <v>126</v>
      </c>
      <c r="Q584" s="5">
        <v>43846.31</v>
      </c>
      <c r="R584" s="10">
        <v>0</v>
      </c>
      <c r="S584" s="9">
        <f t="shared" si="20"/>
        <v>43846.31</v>
      </c>
      <c r="T584" s="4" t="s">
        <v>53</v>
      </c>
      <c r="U584" s="4" t="s">
        <v>703</v>
      </c>
      <c r="V584" s="4"/>
      <c r="W584" s="4">
        <v>-10</v>
      </c>
      <c r="X584" s="4" t="s">
        <v>124</v>
      </c>
      <c r="Y584" s="4"/>
      <c r="Z584" s="7" t="s">
        <v>14</v>
      </c>
      <c r="AA584" s="36" t="s">
        <v>22</v>
      </c>
      <c r="AB584" s="4" t="s">
        <v>2835</v>
      </c>
      <c r="AC584" s="22">
        <f t="shared" si="19"/>
        <v>17.194631372549019</v>
      </c>
      <c r="AD584" s="23">
        <v>0</v>
      </c>
    </row>
    <row r="585" spans="1:30" x14ac:dyDescent="0.35">
      <c r="A585" s="7">
        <v>608</v>
      </c>
      <c r="B585" s="6">
        <v>45850</v>
      </c>
      <c r="C585" s="6">
        <v>45850</v>
      </c>
      <c r="D585" s="4" t="s">
        <v>702</v>
      </c>
      <c r="E585" s="4" t="s">
        <v>61</v>
      </c>
      <c r="F585" s="4" t="s">
        <v>701</v>
      </c>
      <c r="G585" s="4" t="s">
        <v>701</v>
      </c>
      <c r="H585" s="4"/>
      <c r="I585" s="4"/>
      <c r="J585" s="4" t="s">
        <v>59</v>
      </c>
      <c r="K585" s="4" t="s">
        <v>58</v>
      </c>
      <c r="L585" s="4" t="s">
        <v>57</v>
      </c>
      <c r="M585" s="4" t="s">
        <v>32</v>
      </c>
      <c r="N585" s="4" t="s">
        <v>118</v>
      </c>
      <c r="O585" s="4" t="s">
        <v>55</v>
      </c>
      <c r="P585" s="4" t="s">
        <v>126</v>
      </c>
      <c r="Q585" s="5">
        <v>48394.63</v>
      </c>
      <c r="R585" s="10">
        <v>0</v>
      </c>
      <c r="S585" s="9">
        <f t="shared" si="20"/>
        <v>48394.63</v>
      </c>
      <c r="T585" s="4" t="s">
        <v>53</v>
      </c>
      <c r="U585" s="4" t="s">
        <v>117</v>
      </c>
      <c r="V585" s="4"/>
      <c r="W585" s="4">
        <v>-15</v>
      </c>
      <c r="X585" s="4" t="s">
        <v>94</v>
      </c>
      <c r="Y585" s="4"/>
      <c r="Z585" s="7" t="s">
        <v>14</v>
      </c>
      <c r="AA585" s="36" t="s">
        <v>22</v>
      </c>
      <c r="AB585" s="4" t="s">
        <v>2835</v>
      </c>
      <c r="AC585" s="22">
        <f t="shared" si="19"/>
        <v>18.978286274509802</v>
      </c>
      <c r="AD585" s="23">
        <v>0</v>
      </c>
    </row>
    <row r="586" spans="1:30" x14ac:dyDescent="0.35">
      <c r="A586" s="7">
        <v>609</v>
      </c>
      <c r="B586" s="6">
        <v>45850</v>
      </c>
      <c r="C586" s="6">
        <v>45850</v>
      </c>
      <c r="D586" s="4" t="s">
        <v>700</v>
      </c>
      <c r="E586" s="4" t="s">
        <v>61</v>
      </c>
      <c r="F586" s="4" t="s">
        <v>699</v>
      </c>
      <c r="G586" s="4" t="s">
        <v>699</v>
      </c>
      <c r="H586" s="4"/>
      <c r="I586" s="4"/>
      <c r="J586" s="4" t="s">
        <v>59</v>
      </c>
      <c r="K586" s="4" t="s">
        <v>58</v>
      </c>
      <c r="L586" s="4" t="s">
        <v>57</v>
      </c>
      <c r="M586" s="4" t="s">
        <v>32</v>
      </c>
      <c r="N586" s="4" t="s">
        <v>118</v>
      </c>
      <c r="O586" s="4" t="s">
        <v>55</v>
      </c>
      <c r="P586" s="4" t="s">
        <v>126</v>
      </c>
      <c r="Q586" s="5">
        <v>438292.55</v>
      </c>
      <c r="R586" s="10">
        <v>0</v>
      </c>
      <c r="S586" s="9">
        <f t="shared" si="20"/>
        <v>438292.55</v>
      </c>
      <c r="T586" s="4" t="s">
        <v>53</v>
      </c>
      <c r="U586" s="4" t="s">
        <v>698</v>
      </c>
      <c r="V586" s="4"/>
      <c r="W586" s="4">
        <v>-1</v>
      </c>
      <c r="X586" s="4" t="s">
        <v>94</v>
      </c>
      <c r="Y586" s="4"/>
      <c r="Z586" s="7" t="s">
        <v>14</v>
      </c>
      <c r="AA586" s="36" t="s">
        <v>22</v>
      </c>
      <c r="AB586" s="4" t="s">
        <v>2835</v>
      </c>
      <c r="AC586" s="22">
        <f t="shared" si="19"/>
        <v>171.87943137254902</v>
      </c>
      <c r="AD586" s="23">
        <v>0</v>
      </c>
    </row>
    <row r="587" spans="1:30" x14ac:dyDescent="0.35">
      <c r="A587" s="7">
        <v>610</v>
      </c>
      <c r="B587" s="6">
        <v>45850</v>
      </c>
      <c r="C587" s="6">
        <v>45850</v>
      </c>
      <c r="D587" s="4" t="s">
        <v>697</v>
      </c>
      <c r="E587" s="4" t="s">
        <v>61</v>
      </c>
      <c r="F587" s="4" t="s">
        <v>696</v>
      </c>
      <c r="G587" s="4" t="s">
        <v>696</v>
      </c>
      <c r="H587" s="4"/>
      <c r="I587" s="4"/>
      <c r="J587" s="4" t="s">
        <v>59</v>
      </c>
      <c r="K587" s="4" t="s">
        <v>58</v>
      </c>
      <c r="L587" s="4" t="s">
        <v>57</v>
      </c>
      <c r="M587" s="4" t="s">
        <v>32</v>
      </c>
      <c r="N587" s="4" t="s">
        <v>118</v>
      </c>
      <c r="O587" s="4" t="s">
        <v>55</v>
      </c>
      <c r="P587" s="4" t="s">
        <v>126</v>
      </c>
      <c r="Q587" s="5">
        <v>20325.990000000002</v>
      </c>
      <c r="R587" s="10">
        <v>0</v>
      </c>
      <c r="S587" s="9">
        <f t="shared" si="20"/>
        <v>20325.990000000002</v>
      </c>
      <c r="T587" s="4" t="s">
        <v>53</v>
      </c>
      <c r="U587" s="4" t="s">
        <v>695</v>
      </c>
      <c r="V587" s="4"/>
      <c r="W587" s="4">
        <v>-4</v>
      </c>
      <c r="X587" s="4" t="s">
        <v>94</v>
      </c>
      <c r="Y587" s="4"/>
      <c r="Z587" s="7" t="s">
        <v>14</v>
      </c>
      <c r="AA587" s="36" t="s">
        <v>22</v>
      </c>
      <c r="AB587" s="4" t="s">
        <v>2835</v>
      </c>
      <c r="AC587" s="22">
        <f t="shared" si="19"/>
        <v>7.9709764705882362</v>
      </c>
      <c r="AD587" s="23">
        <v>0</v>
      </c>
    </row>
    <row r="588" spans="1:30" x14ac:dyDescent="0.35">
      <c r="A588" s="7">
        <v>611</v>
      </c>
      <c r="B588" s="6">
        <v>45850</v>
      </c>
      <c r="C588" s="6">
        <v>45850</v>
      </c>
      <c r="D588" s="4" t="s">
        <v>694</v>
      </c>
      <c r="E588" s="4" t="s">
        <v>61</v>
      </c>
      <c r="F588" s="4" t="s">
        <v>693</v>
      </c>
      <c r="G588" s="4" t="s">
        <v>693</v>
      </c>
      <c r="H588" s="4"/>
      <c r="I588" s="4"/>
      <c r="J588" s="4" t="s">
        <v>59</v>
      </c>
      <c r="K588" s="4" t="s">
        <v>58</v>
      </c>
      <c r="L588" s="4" t="s">
        <v>57</v>
      </c>
      <c r="M588" s="4" t="s">
        <v>32</v>
      </c>
      <c r="N588" s="4" t="s">
        <v>118</v>
      </c>
      <c r="O588" s="4" t="s">
        <v>55</v>
      </c>
      <c r="P588" s="4" t="s">
        <v>126</v>
      </c>
      <c r="Q588" s="5">
        <v>20325.990000000002</v>
      </c>
      <c r="R588" s="10">
        <v>0</v>
      </c>
      <c r="S588" s="9">
        <f t="shared" si="20"/>
        <v>20325.990000000002</v>
      </c>
      <c r="T588" s="4" t="s">
        <v>53</v>
      </c>
      <c r="U588" s="4" t="s">
        <v>692</v>
      </c>
      <c r="V588" s="4"/>
      <c r="W588" s="4">
        <v>-4</v>
      </c>
      <c r="X588" s="4" t="s">
        <v>94</v>
      </c>
      <c r="Y588" s="4"/>
      <c r="Z588" s="7" t="s">
        <v>14</v>
      </c>
      <c r="AA588" s="36" t="s">
        <v>22</v>
      </c>
      <c r="AB588" s="4" t="s">
        <v>2835</v>
      </c>
      <c r="AC588" s="22">
        <f t="shared" si="19"/>
        <v>7.9709764705882362</v>
      </c>
      <c r="AD588" s="23">
        <v>0</v>
      </c>
    </row>
    <row r="589" spans="1:30" x14ac:dyDescent="0.35">
      <c r="A589" s="7">
        <v>612</v>
      </c>
      <c r="B589" s="6">
        <v>45850</v>
      </c>
      <c r="C589" s="6">
        <v>45850</v>
      </c>
      <c r="D589" s="4" t="s">
        <v>649</v>
      </c>
      <c r="E589" s="4" t="s">
        <v>61</v>
      </c>
      <c r="F589" s="4" t="s">
        <v>648</v>
      </c>
      <c r="G589" s="4" t="s">
        <v>648</v>
      </c>
      <c r="H589" s="4"/>
      <c r="I589" s="4"/>
      <c r="J589" s="4" t="s">
        <v>59</v>
      </c>
      <c r="K589" s="4" t="s">
        <v>58</v>
      </c>
      <c r="L589" s="4" t="s">
        <v>57</v>
      </c>
      <c r="M589" s="4" t="s">
        <v>32</v>
      </c>
      <c r="N589" s="4" t="s">
        <v>118</v>
      </c>
      <c r="O589" s="4" t="s">
        <v>55</v>
      </c>
      <c r="P589" s="4" t="s">
        <v>54</v>
      </c>
      <c r="Q589" s="5">
        <v>14495580.300000001</v>
      </c>
      <c r="R589" s="10">
        <v>0</v>
      </c>
      <c r="S589" s="9">
        <f t="shared" si="20"/>
        <v>14495580.300000001</v>
      </c>
      <c r="T589" s="4" t="s">
        <v>53</v>
      </c>
      <c r="U589" s="4" t="s">
        <v>647</v>
      </c>
      <c r="V589" s="4"/>
      <c r="W589" s="4">
        <v>-1</v>
      </c>
      <c r="X589" s="4" t="s">
        <v>94</v>
      </c>
      <c r="Y589" s="4"/>
      <c r="Z589" s="7" t="s">
        <v>14</v>
      </c>
      <c r="AA589" s="36" t="s">
        <v>22</v>
      </c>
      <c r="AB589" s="4" t="s">
        <v>2835</v>
      </c>
      <c r="AC589" s="22">
        <f t="shared" si="19"/>
        <v>5684.5412941176473</v>
      </c>
      <c r="AD589" s="23">
        <v>0</v>
      </c>
    </row>
    <row r="590" spans="1:30" x14ac:dyDescent="0.35">
      <c r="A590" s="7">
        <v>613</v>
      </c>
      <c r="B590" s="6">
        <v>45850</v>
      </c>
      <c r="C590" s="6">
        <v>45850</v>
      </c>
      <c r="D590" s="4" t="s">
        <v>64</v>
      </c>
      <c r="E590" s="4" t="s">
        <v>61</v>
      </c>
      <c r="F590" s="4" t="s">
        <v>63</v>
      </c>
      <c r="G590" s="4" t="s">
        <v>63</v>
      </c>
      <c r="H590" s="4"/>
      <c r="I590" s="4"/>
      <c r="J590" s="4" t="s">
        <v>59</v>
      </c>
      <c r="K590" s="4" t="s">
        <v>58</v>
      </c>
      <c r="L590" s="4" t="s">
        <v>57</v>
      </c>
      <c r="M590" s="4" t="s">
        <v>32</v>
      </c>
      <c r="N590" s="4" t="s">
        <v>56</v>
      </c>
      <c r="O590" s="4" t="s">
        <v>55</v>
      </c>
      <c r="P590" s="4" t="s">
        <v>54</v>
      </c>
      <c r="Q590" s="5">
        <v>1432963.72</v>
      </c>
      <c r="R590" s="4">
        <v>0</v>
      </c>
      <c r="S590" s="9">
        <f t="shared" si="20"/>
        <v>1432963.72</v>
      </c>
      <c r="T590" s="4" t="s">
        <v>53</v>
      </c>
      <c r="U590" s="4" t="s">
        <v>52</v>
      </c>
      <c r="V590" s="4"/>
      <c r="W590" s="4">
        <v>-200</v>
      </c>
      <c r="X590" s="4" t="s">
        <v>51</v>
      </c>
      <c r="Y590" s="4"/>
      <c r="Z590" s="7" t="s">
        <v>14</v>
      </c>
      <c r="AA590" s="36" t="s">
        <v>22</v>
      </c>
      <c r="AB590" s="4" t="s">
        <v>2835</v>
      </c>
      <c r="AC590" s="22">
        <f t="shared" si="19"/>
        <v>561.94655686274507</v>
      </c>
      <c r="AD590" s="23">
        <v>0</v>
      </c>
    </row>
    <row r="591" spans="1:30" hidden="1" x14ac:dyDescent="0.35">
      <c r="A591" s="7">
        <v>614</v>
      </c>
      <c r="B591" s="6">
        <v>45852.374305555553</v>
      </c>
      <c r="C591" s="6">
        <v>45852</v>
      </c>
      <c r="D591" s="7" t="s">
        <v>2170</v>
      </c>
      <c r="E591" s="7" t="s">
        <v>1050</v>
      </c>
      <c r="F591" s="7"/>
      <c r="G591" s="7" t="s">
        <v>2169</v>
      </c>
      <c r="H591" s="7"/>
      <c r="I591" s="7"/>
      <c r="J591" s="7" t="s">
        <v>1816</v>
      </c>
      <c r="K591" s="7" t="s">
        <v>1815</v>
      </c>
      <c r="L591" s="7" t="s">
        <v>1956</v>
      </c>
      <c r="M591" s="7" t="s">
        <v>30</v>
      </c>
      <c r="N591" s="7" t="s">
        <v>211</v>
      </c>
      <c r="O591" s="7" t="s">
        <v>210</v>
      </c>
      <c r="P591" s="7" t="s">
        <v>210</v>
      </c>
      <c r="Q591" s="9">
        <v>500000</v>
      </c>
      <c r="R591" s="9">
        <v>0</v>
      </c>
      <c r="S591" s="9">
        <f t="shared" si="20"/>
        <v>500000</v>
      </c>
      <c r="T591" s="4" t="s">
        <v>53</v>
      </c>
      <c r="U591" s="7"/>
      <c r="V591" s="7"/>
      <c r="W591" s="9">
        <v>1</v>
      </c>
      <c r="X591" s="7"/>
      <c r="Y591" s="7"/>
      <c r="Z591" s="7" t="s">
        <v>14</v>
      </c>
      <c r="AA591" s="36" t="s">
        <v>30</v>
      </c>
      <c r="AB591" s="4"/>
      <c r="AC591" s="22">
        <f t="shared" si="19"/>
        <v>196.07843137254903</v>
      </c>
      <c r="AD591" s="23">
        <v>0</v>
      </c>
    </row>
    <row r="592" spans="1:30" x14ac:dyDescent="0.35">
      <c r="A592" s="7">
        <v>615</v>
      </c>
      <c r="B592" s="6">
        <v>45852</v>
      </c>
      <c r="C592" s="6">
        <v>45852</v>
      </c>
      <c r="D592" s="4" t="s">
        <v>1014</v>
      </c>
      <c r="E592" s="4" t="s">
        <v>61</v>
      </c>
      <c r="F592" s="4" t="s">
        <v>1013</v>
      </c>
      <c r="G592" s="4" t="s">
        <v>1013</v>
      </c>
      <c r="H592" s="4"/>
      <c r="I592" s="4"/>
      <c r="J592" s="4" t="s">
        <v>59</v>
      </c>
      <c r="K592" s="4" t="s">
        <v>58</v>
      </c>
      <c r="L592" s="4" t="s">
        <v>57</v>
      </c>
      <c r="M592" s="4" t="s">
        <v>32</v>
      </c>
      <c r="N592" s="4" t="s">
        <v>317</v>
      </c>
      <c r="O592" s="4" t="s">
        <v>68</v>
      </c>
      <c r="P592" s="4" t="s">
        <v>54</v>
      </c>
      <c r="Q592" s="5">
        <v>22584.18</v>
      </c>
      <c r="R592" s="10">
        <v>0</v>
      </c>
      <c r="S592" s="9">
        <f t="shared" si="20"/>
        <v>22584.18</v>
      </c>
      <c r="T592" s="4" t="s">
        <v>53</v>
      </c>
      <c r="U592" s="4" t="s">
        <v>117</v>
      </c>
      <c r="V592" s="4"/>
      <c r="W592" s="4">
        <v>-7</v>
      </c>
      <c r="X592" s="4" t="s">
        <v>94</v>
      </c>
      <c r="Y592" s="4"/>
      <c r="Z592" s="7" t="s">
        <v>14</v>
      </c>
      <c r="AA592" s="36" t="s">
        <v>23</v>
      </c>
      <c r="AB592" s="4" t="s">
        <v>2607</v>
      </c>
      <c r="AC592" s="22">
        <f t="shared" si="19"/>
        <v>8.8565411764705875</v>
      </c>
      <c r="AD592" s="23">
        <v>0</v>
      </c>
    </row>
    <row r="593" spans="1:30" x14ac:dyDescent="0.35">
      <c r="A593" s="7">
        <v>616</v>
      </c>
      <c r="B593" s="6">
        <v>45852</v>
      </c>
      <c r="C593" s="6">
        <v>45852</v>
      </c>
      <c r="D593" s="4" t="s">
        <v>891</v>
      </c>
      <c r="E593" s="4" t="s">
        <v>61</v>
      </c>
      <c r="F593" s="4" t="s">
        <v>890</v>
      </c>
      <c r="G593" s="4" t="s">
        <v>890</v>
      </c>
      <c r="H593" s="4"/>
      <c r="I593" s="4"/>
      <c r="J593" s="4" t="s">
        <v>59</v>
      </c>
      <c r="K593" s="4" t="s">
        <v>58</v>
      </c>
      <c r="L593" s="4" t="s">
        <v>57</v>
      </c>
      <c r="M593" s="4" t="s">
        <v>32</v>
      </c>
      <c r="N593" s="4" t="s">
        <v>266</v>
      </c>
      <c r="O593" s="4" t="s">
        <v>55</v>
      </c>
      <c r="P593" s="4" t="s">
        <v>54</v>
      </c>
      <c r="Q593" s="5">
        <v>13740.75</v>
      </c>
      <c r="R593" s="10">
        <v>0</v>
      </c>
      <c r="S593" s="9">
        <f t="shared" si="20"/>
        <v>13740.75</v>
      </c>
      <c r="T593" s="4" t="s">
        <v>53</v>
      </c>
      <c r="U593" s="4" t="s">
        <v>320</v>
      </c>
      <c r="V593" s="4"/>
      <c r="W593" s="4">
        <v>-25</v>
      </c>
      <c r="X593" s="4" t="s">
        <v>94</v>
      </c>
      <c r="Y593" s="4"/>
      <c r="Z593" s="7" t="s">
        <v>14</v>
      </c>
      <c r="AA593" s="36" t="s">
        <v>22</v>
      </c>
      <c r="AB593" s="4" t="s">
        <v>2835</v>
      </c>
      <c r="AC593" s="22">
        <f t="shared" si="19"/>
        <v>5.388529411764706</v>
      </c>
      <c r="AD593" s="23">
        <v>0</v>
      </c>
    </row>
    <row r="594" spans="1:30" x14ac:dyDescent="0.35">
      <c r="A594" s="7">
        <v>617</v>
      </c>
      <c r="B594" s="6">
        <v>45852</v>
      </c>
      <c r="C594" s="6">
        <v>45852</v>
      </c>
      <c r="D594" s="4" t="s">
        <v>889</v>
      </c>
      <c r="E594" s="4" t="s">
        <v>61</v>
      </c>
      <c r="F594" s="4" t="s">
        <v>888</v>
      </c>
      <c r="G594" s="4" t="s">
        <v>888</v>
      </c>
      <c r="H594" s="4"/>
      <c r="I594" s="4"/>
      <c r="J594" s="4" t="s">
        <v>59</v>
      </c>
      <c r="K594" s="4" t="s">
        <v>58</v>
      </c>
      <c r="L594" s="4" t="s">
        <v>57</v>
      </c>
      <c r="M594" s="4" t="s">
        <v>32</v>
      </c>
      <c r="N594" s="4" t="s">
        <v>266</v>
      </c>
      <c r="O594" s="4" t="s">
        <v>55</v>
      </c>
      <c r="P594" s="4" t="s">
        <v>54</v>
      </c>
      <c r="Q594" s="5">
        <v>34120.35</v>
      </c>
      <c r="R594" s="10">
        <v>0</v>
      </c>
      <c r="S594" s="9">
        <f t="shared" si="20"/>
        <v>34120.35</v>
      </c>
      <c r="T594" s="4" t="s">
        <v>53</v>
      </c>
      <c r="U594" s="4" t="s">
        <v>887</v>
      </c>
      <c r="V594" s="4"/>
      <c r="W594" s="4">
        <v>-25</v>
      </c>
      <c r="X594" s="4" t="s">
        <v>94</v>
      </c>
      <c r="Y594" s="4"/>
      <c r="Z594" s="7" t="s">
        <v>14</v>
      </c>
      <c r="AA594" s="36" t="s">
        <v>22</v>
      </c>
      <c r="AB594" s="4" t="s">
        <v>2835</v>
      </c>
      <c r="AC594" s="22">
        <f t="shared" si="19"/>
        <v>13.380529411764705</v>
      </c>
      <c r="AD594" s="23">
        <v>0</v>
      </c>
    </row>
    <row r="595" spans="1:30" x14ac:dyDescent="0.35">
      <c r="A595" s="7">
        <v>618</v>
      </c>
      <c r="B595" s="6">
        <v>45852</v>
      </c>
      <c r="C595" s="6">
        <v>45852</v>
      </c>
      <c r="D595" s="4" t="s">
        <v>886</v>
      </c>
      <c r="E595" s="4" t="s">
        <v>61</v>
      </c>
      <c r="F595" s="4" t="s">
        <v>885</v>
      </c>
      <c r="G595" s="4" t="s">
        <v>885</v>
      </c>
      <c r="H595" s="4"/>
      <c r="I595" s="4"/>
      <c r="J595" s="4" t="s">
        <v>59</v>
      </c>
      <c r="K595" s="4" t="s">
        <v>58</v>
      </c>
      <c r="L595" s="4" t="s">
        <v>57</v>
      </c>
      <c r="M595" s="4" t="s">
        <v>32</v>
      </c>
      <c r="N595" s="4" t="s">
        <v>266</v>
      </c>
      <c r="O595" s="4" t="s">
        <v>55</v>
      </c>
      <c r="P595" s="4" t="s">
        <v>54</v>
      </c>
      <c r="Q595" s="5">
        <v>70792.52</v>
      </c>
      <c r="R595" s="10">
        <v>0</v>
      </c>
      <c r="S595" s="9">
        <f t="shared" si="20"/>
        <v>70792.52</v>
      </c>
      <c r="T595" s="4" t="s">
        <v>53</v>
      </c>
      <c r="U595" s="4" t="s">
        <v>884</v>
      </c>
      <c r="V595" s="4"/>
      <c r="W595" s="4">
        <v>-100</v>
      </c>
      <c r="X595" s="4" t="s">
        <v>94</v>
      </c>
      <c r="Y595" s="4"/>
      <c r="Z595" s="7" t="s">
        <v>14</v>
      </c>
      <c r="AA595" s="36" t="s">
        <v>22</v>
      </c>
      <c r="AB595" s="4" t="s">
        <v>2835</v>
      </c>
      <c r="AC595" s="22">
        <f t="shared" si="19"/>
        <v>27.761772549019611</v>
      </c>
      <c r="AD595" s="23">
        <v>0</v>
      </c>
    </row>
    <row r="596" spans="1:30" x14ac:dyDescent="0.35">
      <c r="A596" s="7">
        <v>619</v>
      </c>
      <c r="B596" s="6">
        <v>45852</v>
      </c>
      <c r="C596" s="6">
        <v>45852</v>
      </c>
      <c r="D596" s="4" t="s">
        <v>691</v>
      </c>
      <c r="E596" s="4" t="s">
        <v>61</v>
      </c>
      <c r="F596" s="4" t="s">
        <v>690</v>
      </c>
      <c r="G596" s="4" t="s">
        <v>690</v>
      </c>
      <c r="H596" s="4"/>
      <c r="I596" s="4"/>
      <c r="J596" s="4" t="s">
        <v>59</v>
      </c>
      <c r="K596" s="4" t="s">
        <v>58</v>
      </c>
      <c r="L596" s="4" t="s">
        <v>57</v>
      </c>
      <c r="M596" s="4" t="s">
        <v>32</v>
      </c>
      <c r="N596" s="4" t="s">
        <v>118</v>
      </c>
      <c r="O596" s="4" t="s">
        <v>55</v>
      </c>
      <c r="P596" s="4" t="s">
        <v>126</v>
      </c>
      <c r="Q596" s="5">
        <v>58645.33</v>
      </c>
      <c r="R596" s="10">
        <v>0</v>
      </c>
      <c r="S596" s="9">
        <f t="shared" si="20"/>
        <v>58645.33</v>
      </c>
      <c r="T596" s="4" t="s">
        <v>53</v>
      </c>
      <c r="U596" s="4" t="s">
        <v>689</v>
      </c>
      <c r="V596" s="4"/>
      <c r="W596" s="4">
        <v>-2</v>
      </c>
      <c r="X596" s="4" t="s">
        <v>94</v>
      </c>
      <c r="Y596" s="4"/>
      <c r="Z596" s="7" t="s">
        <v>14</v>
      </c>
      <c r="AA596" s="36" t="s">
        <v>22</v>
      </c>
      <c r="AB596" s="4" t="s">
        <v>2835</v>
      </c>
      <c r="AC596" s="22">
        <f t="shared" si="19"/>
        <v>22.99816862745098</v>
      </c>
      <c r="AD596" s="23">
        <v>0</v>
      </c>
    </row>
    <row r="597" spans="1:30" x14ac:dyDescent="0.35">
      <c r="A597" s="7">
        <v>620</v>
      </c>
      <c r="B597" s="6">
        <v>45853</v>
      </c>
      <c r="C597" s="6">
        <v>45853</v>
      </c>
      <c r="D597" s="4" t="s">
        <v>1017</v>
      </c>
      <c r="E597" s="4" t="s">
        <v>61</v>
      </c>
      <c r="F597" s="4" t="s">
        <v>1016</v>
      </c>
      <c r="G597" s="4" t="s">
        <v>1016</v>
      </c>
      <c r="H597" s="4"/>
      <c r="I597" s="4"/>
      <c r="J597" s="4" t="s">
        <v>59</v>
      </c>
      <c r="K597" s="4" t="s">
        <v>58</v>
      </c>
      <c r="L597" s="4" t="s">
        <v>57</v>
      </c>
      <c r="M597" s="4" t="s">
        <v>32</v>
      </c>
      <c r="N597" s="4" t="s">
        <v>317</v>
      </c>
      <c r="O597" s="4" t="s">
        <v>68</v>
      </c>
      <c r="P597" s="4" t="s">
        <v>54</v>
      </c>
      <c r="Q597" s="5">
        <v>1474368.25</v>
      </c>
      <c r="R597" s="10">
        <v>0</v>
      </c>
      <c r="S597" s="9">
        <f t="shared" si="20"/>
        <v>1474368.25</v>
      </c>
      <c r="T597" s="4" t="s">
        <v>53</v>
      </c>
      <c r="U597" s="4" t="s">
        <v>1015</v>
      </c>
      <c r="V597" s="4"/>
      <c r="W597" s="4">
        <v>-6</v>
      </c>
      <c r="X597" s="4" t="s">
        <v>94</v>
      </c>
      <c r="Y597" s="4"/>
      <c r="Z597" s="7" t="s">
        <v>14</v>
      </c>
      <c r="AA597" s="36" t="s">
        <v>23</v>
      </c>
      <c r="AB597" s="4" t="s">
        <v>2607</v>
      </c>
      <c r="AC597" s="22">
        <f t="shared" si="19"/>
        <v>578.18362745098034</v>
      </c>
      <c r="AD597" s="23">
        <v>0</v>
      </c>
    </row>
    <row r="598" spans="1:30" x14ac:dyDescent="0.35">
      <c r="A598" s="7">
        <v>621</v>
      </c>
      <c r="B598" s="6">
        <v>45853</v>
      </c>
      <c r="C598" s="6">
        <v>45853</v>
      </c>
      <c r="D598" s="4" t="s">
        <v>903</v>
      </c>
      <c r="E598" s="4" t="s">
        <v>61</v>
      </c>
      <c r="F598" s="4" t="s">
        <v>902</v>
      </c>
      <c r="G598" s="4" t="s">
        <v>902</v>
      </c>
      <c r="H598" s="4"/>
      <c r="I598" s="4"/>
      <c r="J598" s="4" t="s">
        <v>59</v>
      </c>
      <c r="K598" s="4" t="s">
        <v>58</v>
      </c>
      <c r="L598" s="4" t="s">
        <v>57</v>
      </c>
      <c r="M598" s="4" t="s">
        <v>32</v>
      </c>
      <c r="N598" s="4" t="s">
        <v>266</v>
      </c>
      <c r="O598" s="4" t="s">
        <v>55</v>
      </c>
      <c r="P598" s="4" t="s">
        <v>54</v>
      </c>
      <c r="Q598" s="5">
        <v>165000</v>
      </c>
      <c r="R598" s="10">
        <v>0</v>
      </c>
      <c r="S598" s="9">
        <f t="shared" si="20"/>
        <v>165000</v>
      </c>
      <c r="T598" s="4" t="s">
        <v>53</v>
      </c>
      <c r="U598" s="4" t="s">
        <v>121</v>
      </c>
      <c r="V598" s="4"/>
      <c r="W598" s="4">
        <v>-11</v>
      </c>
      <c r="X598" s="4" t="s">
        <v>94</v>
      </c>
      <c r="Y598" s="4"/>
      <c r="Z598" s="7" t="s">
        <v>14</v>
      </c>
      <c r="AA598" s="36" t="s">
        <v>22</v>
      </c>
      <c r="AB598" s="4" t="s">
        <v>2835</v>
      </c>
      <c r="AC598" s="22">
        <f t="shared" si="19"/>
        <v>64.705882352941174</v>
      </c>
      <c r="AD598" s="23">
        <v>0</v>
      </c>
    </row>
    <row r="599" spans="1:30" x14ac:dyDescent="0.35">
      <c r="A599" s="7">
        <v>622</v>
      </c>
      <c r="B599" s="6">
        <v>45853</v>
      </c>
      <c r="C599" s="6">
        <v>45853</v>
      </c>
      <c r="D599" s="4" t="s">
        <v>901</v>
      </c>
      <c r="E599" s="4" t="s">
        <v>61</v>
      </c>
      <c r="F599" s="4" t="s">
        <v>900</v>
      </c>
      <c r="G599" s="4" t="s">
        <v>900</v>
      </c>
      <c r="H599" s="4"/>
      <c r="I599" s="4"/>
      <c r="J599" s="4" t="s">
        <v>59</v>
      </c>
      <c r="K599" s="4" t="s">
        <v>58</v>
      </c>
      <c r="L599" s="4" t="s">
        <v>57</v>
      </c>
      <c r="M599" s="4" t="s">
        <v>32</v>
      </c>
      <c r="N599" s="4" t="s">
        <v>266</v>
      </c>
      <c r="O599" s="4" t="s">
        <v>55</v>
      </c>
      <c r="P599" s="4" t="s">
        <v>54</v>
      </c>
      <c r="Q599" s="5">
        <v>96000</v>
      </c>
      <c r="R599" s="10">
        <v>0</v>
      </c>
      <c r="S599" s="9">
        <f t="shared" si="20"/>
        <v>96000</v>
      </c>
      <c r="T599" s="4" t="s">
        <v>53</v>
      </c>
      <c r="U599" s="4" t="s">
        <v>282</v>
      </c>
      <c r="V599" s="4"/>
      <c r="W599" s="4">
        <v>-2</v>
      </c>
      <c r="X599" s="4" t="s">
        <v>94</v>
      </c>
      <c r="Y599" s="4"/>
      <c r="Z599" s="7" t="s">
        <v>14</v>
      </c>
      <c r="AA599" s="36" t="s">
        <v>22</v>
      </c>
      <c r="AB599" s="4" t="s">
        <v>2835</v>
      </c>
      <c r="AC599" s="22">
        <f t="shared" si="19"/>
        <v>37.647058823529413</v>
      </c>
      <c r="AD599" s="23">
        <v>0</v>
      </c>
    </row>
    <row r="600" spans="1:30" x14ac:dyDescent="0.35">
      <c r="A600" s="7">
        <v>623</v>
      </c>
      <c r="B600" s="6">
        <v>45853</v>
      </c>
      <c r="C600" s="6">
        <v>45853</v>
      </c>
      <c r="D600" s="4" t="s">
        <v>899</v>
      </c>
      <c r="E600" s="4" t="s">
        <v>61</v>
      </c>
      <c r="F600" s="4" t="s">
        <v>898</v>
      </c>
      <c r="G600" s="4" t="s">
        <v>898</v>
      </c>
      <c r="H600" s="4"/>
      <c r="I600" s="4"/>
      <c r="J600" s="4" t="s">
        <v>59</v>
      </c>
      <c r="K600" s="4" t="s">
        <v>58</v>
      </c>
      <c r="L600" s="4" t="s">
        <v>57</v>
      </c>
      <c r="M600" s="4" t="s">
        <v>32</v>
      </c>
      <c r="N600" s="4" t="s">
        <v>266</v>
      </c>
      <c r="O600" s="4" t="s">
        <v>55</v>
      </c>
      <c r="P600" s="4" t="s">
        <v>54</v>
      </c>
      <c r="Q600" s="5">
        <v>32263.1</v>
      </c>
      <c r="R600" s="10">
        <v>0</v>
      </c>
      <c r="S600" s="9">
        <f t="shared" si="20"/>
        <v>32263.1</v>
      </c>
      <c r="T600" s="4" t="s">
        <v>53</v>
      </c>
      <c r="U600" s="4" t="s">
        <v>117</v>
      </c>
      <c r="V600" s="4"/>
      <c r="W600" s="4">
        <v>-10</v>
      </c>
      <c r="X600" s="4" t="s">
        <v>94</v>
      </c>
      <c r="Y600" s="4"/>
      <c r="Z600" s="7" t="s">
        <v>14</v>
      </c>
      <c r="AA600" s="36" t="s">
        <v>22</v>
      </c>
      <c r="AB600" s="4" t="s">
        <v>2835</v>
      </c>
      <c r="AC600" s="22">
        <f t="shared" si="19"/>
        <v>12.652196078431372</v>
      </c>
      <c r="AD600" s="23">
        <v>0</v>
      </c>
    </row>
    <row r="601" spans="1:30" x14ac:dyDescent="0.35">
      <c r="A601" s="7">
        <v>624</v>
      </c>
      <c r="B601" s="6">
        <v>45853</v>
      </c>
      <c r="C601" s="6">
        <v>45853</v>
      </c>
      <c r="D601" s="4" t="s">
        <v>897</v>
      </c>
      <c r="E601" s="4" t="s">
        <v>61</v>
      </c>
      <c r="F601" s="4" t="s">
        <v>896</v>
      </c>
      <c r="G601" s="4" t="s">
        <v>896</v>
      </c>
      <c r="H601" s="4"/>
      <c r="I601" s="4"/>
      <c r="J601" s="4" t="s">
        <v>59</v>
      </c>
      <c r="K601" s="4" t="s">
        <v>58</v>
      </c>
      <c r="L601" s="4" t="s">
        <v>57</v>
      </c>
      <c r="M601" s="4" t="s">
        <v>32</v>
      </c>
      <c r="N601" s="4" t="s">
        <v>266</v>
      </c>
      <c r="O601" s="4" t="s">
        <v>55</v>
      </c>
      <c r="P601" s="4" t="s">
        <v>54</v>
      </c>
      <c r="Q601" s="5">
        <v>163900.37</v>
      </c>
      <c r="R601" s="10">
        <v>0</v>
      </c>
      <c r="S601" s="9">
        <f t="shared" si="20"/>
        <v>163900.37</v>
      </c>
      <c r="T601" s="4" t="s">
        <v>53</v>
      </c>
      <c r="U601" s="4" t="s">
        <v>271</v>
      </c>
      <c r="V601" s="4"/>
      <c r="W601" s="4">
        <v>-40</v>
      </c>
      <c r="X601" s="4" t="s">
        <v>124</v>
      </c>
      <c r="Y601" s="4"/>
      <c r="Z601" s="7" t="s">
        <v>14</v>
      </c>
      <c r="AA601" s="36" t="s">
        <v>22</v>
      </c>
      <c r="AB601" s="4" t="s">
        <v>2835</v>
      </c>
      <c r="AC601" s="22">
        <f t="shared" si="19"/>
        <v>64.274654901960787</v>
      </c>
      <c r="AD601" s="23">
        <v>0</v>
      </c>
    </row>
    <row r="602" spans="1:30" x14ac:dyDescent="0.35">
      <c r="A602" s="7">
        <v>625</v>
      </c>
      <c r="B602" s="6">
        <v>45853</v>
      </c>
      <c r="C602" s="6">
        <v>45853</v>
      </c>
      <c r="D602" s="4" t="s">
        <v>895</v>
      </c>
      <c r="E602" s="4" t="s">
        <v>61</v>
      </c>
      <c r="F602" s="4" t="s">
        <v>894</v>
      </c>
      <c r="G602" s="4" t="s">
        <v>894</v>
      </c>
      <c r="H602" s="4"/>
      <c r="I602" s="4"/>
      <c r="J602" s="4" t="s">
        <v>59</v>
      </c>
      <c r="K602" s="4" t="s">
        <v>58</v>
      </c>
      <c r="L602" s="4" t="s">
        <v>57</v>
      </c>
      <c r="M602" s="4" t="s">
        <v>32</v>
      </c>
      <c r="N602" s="4" t="s">
        <v>266</v>
      </c>
      <c r="O602" s="4" t="s">
        <v>55</v>
      </c>
      <c r="P602" s="4" t="s">
        <v>54</v>
      </c>
      <c r="Q602" s="5">
        <v>12778.04</v>
      </c>
      <c r="R602" s="10">
        <v>0</v>
      </c>
      <c r="S602" s="9">
        <f t="shared" si="20"/>
        <v>12778.04</v>
      </c>
      <c r="T602" s="4" t="s">
        <v>53</v>
      </c>
      <c r="U602" s="4" t="s">
        <v>617</v>
      </c>
      <c r="V602" s="4"/>
      <c r="W602" s="4">
        <v>-8</v>
      </c>
      <c r="X602" s="4" t="s">
        <v>94</v>
      </c>
      <c r="Y602" s="4"/>
      <c r="Z602" s="7" t="s">
        <v>14</v>
      </c>
      <c r="AA602" s="36" t="s">
        <v>22</v>
      </c>
      <c r="AB602" s="4" t="s">
        <v>2835</v>
      </c>
      <c r="AC602" s="22">
        <f t="shared" si="19"/>
        <v>5.010996078431373</v>
      </c>
      <c r="AD602" s="23">
        <v>0</v>
      </c>
    </row>
    <row r="603" spans="1:30" x14ac:dyDescent="0.35">
      <c r="A603" s="7">
        <v>626</v>
      </c>
      <c r="B603" s="6">
        <v>45853</v>
      </c>
      <c r="C603" s="6">
        <v>45853</v>
      </c>
      <c r="D603" s="4" t="s">
        <v>893</v>
      </c>
      <c r="E603" s="4" t="s">
        <v>61</v>
      </c>
      <c r="F603" s="4" t="s">
        <v>892</v>
      </c>
      <c r="G603" s="4" t="s">
        <v>892</v>
      </c>
      <c r="H603" s="4"/>
      <c r="I603" s="4"/>
      <c r="J603" s="4" t="s">
        <v>59</v>
      </c>
      <c r="K603" s="4" t="s">
        <v>58</v>
      </c>
      <c r="L603" s="4" t="s">
        <v>57</v>
      </c>
      <c r="M603" s="4" t="s">
        <v>32</v>
      </c>
      <c r="N603" s="4" t="s">
        <v>266</v>
      </c>
      <c r="O603" s="4" t="s">
        <v>55</v>
      </c>
      <c r="P603" s="4" t="s">
        <v>54</v>
      </c>
      <c r="Q603" s="5">
        <v>22532.01</v>
      </c>
      <c r="R603" s="10">
        <v>0</v>
      </c>
      <c r="S603" s="9">
        <f t="shared" si="20"/>
        <v>22532.01</v>
      </c>
      <c r="T603" s="4" t="s">
        <v>53</v>
      </c>
      <c r="U603" s="4" t="s">
        <v>316</v>
      </c>
      <c r="V603" s="4"/>
      <c r="W603" s="4">
        <v>-8</v>
      </c>
      <c r="X603" s="4" t="s">
        <v>94</v>
      </c>
      <c r="Y603" s="4"/>
      <c r="Z603" s="7" t="s">
        <v>14</v>
      </c>
      <c r="AA603" s="36" t="s">
        <v>22</v>
      </c>
      <c r="AB603" s="4" t="s">
        <v>2835</v>
      </c>
      <c r="AC603" s="22">
        <f t="shared" si="19"/>
        <v>8.8360823529411761</v>
      </c>
      <c r="AD603" s="23">
        <v>0</v>
      </c>
    </row>
    <row r="604" spans="1:30" x14ac:dyDescent="0.35">
      <c r="A604" s="7">
        <v>627</v>
      </c>
      <c r="B604" s="6">
        <v>45854.465787037036</v>
      </c>
      <c r="C604" s="6">
        <v>45854</v>
      </c>
      <c r="D604" s="7" t="s">
        <v>2166</v>
      </c>
      <c r="E604" s="7" t="s">
        <v>1331</v>
      </c>
      <c r="F604" s="7" t="s">
        <v>2168</v>
      </c>
      <c r="G604" s="7" t="s">
        <v>2164</v>
      </c>
      <c r="H604" s="7" t="s">
        <v>2012</v>
      </c>
      <c r="I604" s="7" t="s">
        <v>2011</v>
      </c>
      <c r="J604" s="7" t="s">
        <v>1816</v>
      </c>
      <c r="K604" s="7" t="s">
        <v>1815</v>
      </c>
      <c r="L604" s="7" t="s">
        <v>1905</v>
      </c>
      <c r="M604" s="7" t="s">
        <v>22</v>
      </c>
      <c r="N604" s="7" t="s">
        <v>266</v>
      </c>
      <c r="O604" s="7" t="s">
        <v>68</v>
      </c>
      <c r="P604" s="7" t="s">
        <v>68</v>
      </c>
      <c r="Q604" s="9">
        <v>4200000</v>
      </c>
      <c r="R604" s="9">
        <v>0</v>
      </c>
      <c r="S604" s="9">
        <f t="shared" si="20"/>
        <v>4200000</v>
      </c>
      <c r="T604" s="4" t="s">
        <v>53</v>
      </c>
      <c r="U604" s="7" t="s">
        <v>1904</v>
      </c>
      <c r="V604" s="7" t="s">
        <v>1823</v>
      </c>
      <c r="W604" s="9">
        <v>60</v>
      </c>
      <c r="X604" s="7" t="s">
        <v>1903</v>
      </c>
      <c r="Y604" s="7"/>
      <c r="Z604" s="7" t="s">
        <v>14</v>
      </c>
      <c r="AA604" s="36" t="s">
        <v>22</v>
      </c>
      <c r="AB604" s="4" t="s">
        <v>2835</v>
      </c>
      <c r="AC604" s="22">
        <f t="shared" si="19"/>
        <v>1647.0588235294117</v>
      </c>
      <c r="AD604" s="23">
        <v>0</v>
      </c>
    </row>
    <row r="605" spans="1:30" x14ac:dyDescent="0.35">
      <c r="A605" s="7">
        <v>628</v>
      </c>
      <c r="B605" s="6">
        <v>45854.465787037036</v>
      </c>
      <c r="C605" s="6">
        <v>45854</v>
      </c>
      <c r="D605" s="7" t="s">
        <v>2166</v>
      </c>
      <c r="E605" s="7" t="s">
        <v>1331</v>
      </c>
      <c r="F605" s="7" t="s">
        <v>2167</v>
      </c>
      <c r="G605" s="7" t="s">
        <v>2164</v>
      </c>
      <c r="H605" s="7" t="s">
        <v>2012</v>
      </c>
      <c r="I605" s="7" t="s">
        <v>2011</v>
      </c>
      <c r="J605" s="7" t="s">
        <v>1816</v>
      </c>
      <c r="K605" s="7" t="s">
        <v>1815</v>
      </c>
      <c r="L605" s="7" t="s">
        <v>1905</v>
      </c>
      <c r="M605" s="7" t="s">
        <v>22</v>
      </c>
      <c r="N605" s="7" t="s">
        <v>266</v>
      </c>
      <c r="O605" s="7" t="s">
        <v>68</v>
      </c>
      <c r="P605" s="7" t="s">
        <v>68</v>
      </c>
      <c r="Q605" s="9">
        <v>2100000</v>
      </c>
      <c r="R605" s="9">
        <v>0</v>
      </c>
      <c r="S605" s="9">
        <f t="shared" si="20"/>
        <v>2100000</v>
      </c>
      <c r="T605" s="4" t="s">
        <v>53</v>
      </c>
      <c r="U605" s="7" t="s">
        <v>1904</v>
      </c>
      <c r="V605" s="7" t="s">
        <v>1823</v>
      </c>
      <c r="W605" s="9">
        <v>30</v>
      </c>
      <c r="X605" s="7" t="s">
        <v>1903</v>
      </c>
      <c r="Y605" s="7"/>
      <c r="Z605" s="7" t="s">
        <v>14</v>
      </c>
      <c r="AA605" s="36" t="s">
        <v>22</v>
      </c>
      <c r="AB605" s="4" t="s">
        <v>2835</v>
      </c>
      <c r="AC605" s="22">
        <f t="shared" si="19"/>
        <v>823.52941176470586</v>
      </c>
      <c r="AD605" s="23">
        <v>0</v>
      </c>
    </row>
    <row r="606" spans="1:30" x14ac:dyDescent="0.35">
      <c r="A606" s="7">
        <v>629</v>
      </c>
      <c r="B606" s="6">
        <v>45854.465787037036</v>
      </c>
      <c r="C606" s="6">
        <v>45854</v>
      </c>
      <c r="D606" s="7" t="s">
        <v>2166</v>
      </c>
      <c r="E606" s="7" t="s">
        <v>1331</v>
      </c>
      <c r="F606" s="7" t="s">
        <v>2165</v>
      </c>
      <c r="G606" s="7" t="s">
        <v>2164</v>
      </c>
      <c r="H606" s="7" t="s">
        <v>2012</v>
      </c>
      <c r="I606" s="7" t="s">
        <v>2011</v>
      </c>
      <c r="J606" s="7" t="s">
        <v>1816</v>
      </c>
      <c r="K606" s="7" t="s">
        <v>1815</v>
      </c>
      <c r="L606" s="7" t="s">
        <v>1905</v>
      </c>
      <c r="M606" s="7" t="s">
        <v>22</v>
      </c>
      <c r="N606" s="7" t="s">
        <v>266</v>
      </c>
      <c r="O606" s="7" t="s">
        <v>68</v>
      </c>
      <c r="P606" s="7" t="s">
        <v>68</v>
      </c>
      <c r="Q606" s="9">
        <v>3731000</v>
      </c>
      <c r="R606" s="9">
        <v>0</v>
      </c>
      <c r="S606" s="9">
        <f t="shared" si="20"/>
        <v>3731000</v>
      </c>
      <c r="T606" s="4" t="s">
        <v>53</v>
      </c>
      <c r="U606" s="7" t="s">
        <v>1904</v>
      </c>
      <c r="V606" s="7" t="s">
        <v>1823</v>
      </c>
      <c r="W606" s="9">
        <v>287</v>
      </c>
      <c r="X606" s="7" t="s">
        <v>1903</v>
      </c>
      <c r="Y606" s="7"/>
      <c r="Z606" s="7" t="s">
        <v>14</v>
      </c>
      <c r="AA606" s="36" t="s">
        <v>22</v>
      </c>
      <c r="AB606" s="4" t="s">
        <v>2835</v>
      </c>
      <c r="AC606" s="22">
        <f t="shared" si="19"/>
        <v>1463.1372549019609</v>
      </c>
      <c r="AD606" s="23">
        <v>0</v>
      </c>
    </row>
    <row r="607" spans="1:30" x14ac:dyDescent="0.35">
      <c r="A607" s="7">
        <v>630</v>
      </c>
      <c r="B607" s="6">
        <v>45854</v>
      </c>
      <c r="C607" s="6">
        <v>45854</v>
      </c>
      <c r="D607" s="4" t="s">
        <v>1022</v>
      </c>
      <c r="E607" s="4" t="s">
        <v>61</v>
      </c>
      <c r="F607" s="4" t="s">
        <v>1021</v>
      </c>
      <c r="G607" s="4" t="s">
        <v>1021</v>
      </c>
      <c r="H607" s="4"/>
      <c r="I607" s="4"/>
      <c r="J607" s="4" t="s">
        <v>59</v>
      </c>
      <c r="K607" s="4" t="s">
        <v>58</v>
      </c>
      <c r="L607" s="4" t="s">
        <v>57</v>
      </c>
      <c r="M607" s="4" t="s">
        <v>32</v>
      </c>
      <c r="N607" s="4" t="s">
        <v>317</v>
      </c>
      <c r="O607" s="4" t="s">
        <v>68</v>
      </c>
      <c r="P607" s="4" t="s">
        <v>54</v>
      </c>
      <c r="Q607" s="5">
        <v>15685.15</v>
      </c>
      <c r="R607" s="10">
        <v>0</v>
      </c>
      <c r="S607" s="9">
        <f t="shared" si="20"/>
        <v>15685.15</v>
      </c>
      <c r="T607" s="4" t="s">
        <v>53</v>
      </c>
      <c r="U607" s="4" t="s">
        <v>1020</v>
      </c>
      <c r="V607" s="4"/>
      <c r="W607" s="4">
        <v>-5</v>
      </c>
      <c r="X607" s="4" t="s">
        <v>94</v>
      </c>
      <c r="Y607" s="4"/>
      <c r="Z607" s="7" t="s">
        <v>14</v>
      </c>
      <c r="AA607" s="36" t="s">
        <v>23</v>
      </c>
      <c r="AB607" s="4" t="s">
        <v>2607</v>
      </c>
      <c r="AC607" s="22">
        <f t="shared" si="19"/>
        <v>6.1510392156862741</v>
      </c>
      <c r="AD607" s="23">
        <v>0</v>
      </c>
    </row>
    <row r="608" spans="1:30" x14ac:dyDescent="0.35">
      <c r="A608" s="7">
        <v>631</v>
      </c>
      <c r="B608" s="6">
        <v>45854</v>
      </c>
      <c r="C608" s="6">
        <v>45854</v>
      </c>
      <c r="D608" s="4" t="s">
        <v>1019</v>
      </c>
      <c r="E608" s="4" t="s">
        <v>61</v>
      </c>
      <c r="F608" s="4" t="s">
        <v>1018</v>
      </c>
      <c r="G608" s="4" t="s">
        <v>1018</v>
      </c>
      <c r="H608" s="4"/>
      <c r="I608" s="4"/>
      <c r="J608" s="4" t="s">
        <v>59</v>
      </c>
      <c r="K608" s="4" t="s">
        <v>58</v>
      </c>
      <c r="L608" s="4" t="s">
        <v>57</v>
      </c>
      <c r="M608" s="4" t="s">
        <v>32</v>
      </c>
      <c r="N608" s="4" t="s">
        <v>317</v>
      </c>
      <c r="O608" s="4" t="s">
        <v>68</v>
      </c>
      <c r="P608" s="4" t="s">
        <v>54</v>
      </c>
      <c r="Q608" s="5">
        <v>40975.089999999997</v>
      </c>
      <c r="R608" s="10">
        <v>0</v>
      </c>
      <c r="S608" s="9">
        <f t="shared" si="20"/>
        <v>40975.089999999997</v>
      </c>
      <c r="T608" s="4" t="s">
        <v>53</v>
      </c>
      <c r="U608" s="4" t="s">
        <v>271</v>
      </c>
      <c r="V608" s="4"/>
      <c r="W608" s="4">
        <v>-10</v>
      </c>
      <c r="X608" s="4" t="s">
        <v>124</v>
      </c>
      <c r="Y608" s="4"/>
      <c r="Z608" s="7" t="s">
        <v>14</v>
      </c>
      <c r="AA608" s="36" t="s">
        <v>23</v>
      </c>
      <c r="AB608" s="4" t="s">
        <v>2607</v>
      </c>
      <c r="AC608" s="22">
        <f t="shared" si="19"/>
        <v>16.068662745098038</v>
      </c>
      <c r="AD608" s="23">
        <v>0</v>
      </c>
    </row>
    <row r="609" spans="1:30" x14ac:dyDescent="0.35">
      <c r="A609" s="7">
        <v>632</v>
      </c>
      <c r="B609" s="6">
        <v>45854</v>
      </c>
      <c r="C609" s="6">
        <v>45854</v>
      </c>
      <c r="D609" s="4" t="s">
        <v>907</v>
      </c>
      <c r="E609" s="4" t="s">
        <v>61</v>
      </c>
      <c r="F609" s="4" t="s">
        <v>906</v>
      </c>
      <c r="G609" s="4" t="s">
        <v>906</v>
      </c>
      <c r="H609" s="4"/>
      <c r="I609" s="4"/>
      <c r="J609" s="4" t="s">
        <v>59</v>
      </c>
      <c r="K609" s="4" t="s">
        <v>58</v>
      </c>
      <c r="L609" s="4" t="s">
        <v>57</v>
      </c>
      <c r="M609" s="4" t="s">
        <v>32</v>
      </c>
      <c r="N609" s="4" t="s">
        <v>266</v>
      </c>
      <c r="O609" s="4" t="s">
        <v>55</v>
      </c>
      <c r="P609" s="4" t="s">
        <v>54</v>
      </c>
      <c r="Q609" s="5">
        <v>32263.1</v>
      </c>
      <c r="R609" s="10">
        <v>0</v>
      </c>
      <c r="S609" s="9">
        <f t="shared" si="20"/>
        <v>32263.1</v>
      </c>
      <c r="T609" s="4" t="s">
        <v>53</v>
      </c>
      <c r="U609" s="4" t="s">
        <v>117</v>
      </c>
      <c r="V609" s="4"/>
      <c r="W609" s="4">
        <v>-10</v>
      </c>
      <c r="X609" s="4" t="s">
        <v>94</v>
      </c>
      <c r="Y609" s="4"/>
      <c r="Z609" s="7" t="s">
        <v>14</v>
      </c>
      <c r="AA609" s="36" t="s">
        <v>22</v>
      </c>
      <c r="AB609" s="4" t="s">
        <v>2835</v>
      </c>
      <c r="AC609" s="22">
        <f t="shared" si="19"/>
        <v>12.652196078431372</v>
      </c>
      <c r="AD609" s="23">
        <v>0</v>
      </c>
    </row>
    <row r="610" spans="1:30" x14ac:dyDescent="0.35">
      <c r="A610" s="7">
        <v>633</v>
      </c>
      <c r="B610" s="6">
        <v>45854</v>
      </c>
      <c r="C610" s="6">
        <v>45854</v>
      </c>
      <c r="D610" s="4" t="s">
        <v>905</v>
      </c>
      <c r="E610" s="4" t="s">
        <v>61</v>
      </c>
      <c r="F610" s="4" t="s">
        <v>904</v>
      </c>
      <c r="G610" s="4" t="s">
        <v>904</v>
      </c>
      <c r="H610" s="4"/>
      <c r="I610" s="4"/>
      <c r="J610" s="4" t="s">
        <v>59</v>
      </c>
      <c r="K610" s="4" t="s">
        <v>58</v>
      </c>
      <c r="L610" s="4" t="s">
        <v>57</v>
      </c>
      <c r="M610" s="4" t="s">
        <v>32</v>
      </c>
      <c r="N610" s="4" t="s">
        <v>266</v>
      </c>
      <c r="O610" s="4" t="s">
        <v>55</v>
      </c>
      <c r="P610" s="4" t="s">
        <v>54</v>
      </c>
      <c r="Q610" s="5">
        <v>122925.28</v>
      </c>
      <c r="R610" s="10">
        <v>0</v>
      </c>
      <c r="S610" s="9">
        <f t="shared" si="20"/>
        <v>122925.28</v>
      </c>
      <c r="T610" s="4" t="s">
        <v>53</v>
      </c>
      <c r="U610" s="4" t="s">
        <v>271</v>
      </c>
      <c r="V610" s="4"/>
      <c r="W610" s="4">
        <v>-30</v>
      </c>
      <c r="X610" s="4" t="s">
        <v>124</v>
      </c>
      <c r="Y610" s="4"/>
      <c r="Z610" s="7" t="s">
        <v>14</v>
      </c>
      <c r="AA610" s="36" t="s">
        <v>22</v>
      </c>
      <c r="AB610" s="4" t="s">
        <v>2835</v>
      </c>
      <c r="AC610" s="22">
        <f t="shared" si="19"/>
        <v>48.205992156862742</v>
      </c>
      <c r="AD610" s="23">
        <v>0</v>
      </c>
    </row>
    <row r="611" spans="1:30" hidden="1" x14ac:dyDescent="0.35">
      <c r="A611" s="7">
        <v>634</v>
      </c>
      <c r="B611" s="6">
        <v>45854</v>
      </c>
      <c r="C611" s="6">
        <v>45854</v>
      </c>
      <c r="D611" s="4" t="s">
        <v>775</v>
      </c>
      <c r="E611" s="4" t="s">
        <v>61</v>
      </c>
      <c r="F611" s="4" t="s">
        <v>774</v>
      </c>
      <c r="G611" s="4" t="s">
        <v>774</v>
      </c>
      <c r="H611" s="4"/>
      <c r="I611" s="4"/>
      <c r="J611" s="4" t="s">
        <v>59</v>
      </c>
      <c r="K611" s="4" t="s">
        <v>58</v>
      </c>
      <c r="L611" s="4" t="s">
        <v>57</v>
      </c>
      <c r="M611" s="4" t="s">
        <v>32</v>
      </c>
      <c r="N611" s="4" t="s">
        <v>211</v>
      </c>
      <c r="O611" s="4" t="s">
        <v>210</v>
      </c>
      <c r="P611" s="4" t="s">
        <v>210</v>
      </c>
      <c r="Q611" s="5">
        <v>14237.28</v>
      </c>
      <c r="R611" s="10">
        <v>0</v>
      </c>
      <c r="S611" s="9">
        <f t="shared" si="20"/>
        <v>14237.28</v>
      </c>
      <c r="T611" s="4" t="s">
        <v>53</v>
      </c>
      <c r="U611" s="4" t="s">
        <v>238</v>
      </c>
      <c r="V611" s="4"/>
      <c r="W611" s="4">
        <v>-4</v>
      </c>
      <c r="X611" s="4" t="s">
        <v>94</v>
      </c>
      <c r="Y611" s="4"/>
      <c r="Z611" s="7" t="s">
        <v>14</v>
      </c>
      <c r="AA611" s="36" t="s">
        <v>30</v>
      </c>
      <c r="AB611" s="4"/>
      <c r="AC611" s="22">
        <f t="shared" si="19"/>
        <v>5.5832470588235292</v>
      </c>
      <c r="AD611" s="23">
        <v>0</v>
      </c>
    </row>
    <row r="612" spans="1:30" x14ac:dyDescent="0.35">
      <c r="A612" s="7">
        <v>635</v>
      </c>
      <c r="B612" s="6">
        <v>45855.599988425929</v>
      </c>
      <c r="C612" s="6">
        <v>45855</v>
      </c>
      <c r="D612" s="7" t="s">
        <v>2163</v>
      </c>
      <c r="E612" s="7" t="s">
        <v>61</v>
      </c>
      <c r="F612" s="7" t="s">
        <v>2162</v>
      </c>
      <c r="G612" s="7" t="s">
        <v>2162</v>
      </c>
      <c r="H612" s="7"/>
      <c r="I612" s="7"/>
      <c r="J612" s="7" t="s">
        <v>1816</v>
      </c>
      <c r="K612" s="7" t="s">
        <v>1815</v>
      </c>
      <c r="L612" s="7" t="s">
        <v>1992</v>
      </c>
      <c r="M612" s="7" t="s">
        <v>18</v>
      </c>
      <c r="N612" s="7" t="s">
        <v>118</v>
      </c>
      <c r="O612" s="7" t="s">
        <v>2161</v>
      </c>
      <c r="P612" s="7" t="s">
        <v>54</v>
      </c>
      <c r="Q612" s="9">
        <v>5605600</v>
      </c>
      <c r="R612" s="9">
        <v>0</v>
      </c>
      <c r="S612" s="9">
        <f t="shared" si="20"/>
        <v>5605600</v>
      </c>
      <c r="T612" s="4" t="s">
        <v>53</v>
      </c>
      <c r="U612" s="7" t="s">
        <v>1991</v>
      </c>
      <c r="V612" s="7" t="s">
        <v>1990</v>
      </c>
      <c r="W612" s="9">
        <v>-325</v>
      </c>
      <c r="X612" s="7" t="s">
        <v>124</v>
      </c>
      <c r="Y612" s="7"/>
      <c r="Z612" s="7" t="s">
        <v>14</v>
      </c>
      <c r="AA612" s="36" t="s">
        <v>22</v>
      </c>
      <c r="AB612" s="4" t="s">
        <v>2835</v>
      </c>
      <c r="AC612" s="22">
        <f t="shared" si="19"/>
        <v>2198.2745098039218</v>
      </c>
      <c r="AD612" s="23">
        <v>0</v>
      </c>
    </row>
    <row r="613" spans="1:30" hidden="1" x14ac:dyDescent="0.35">
      <c r="A613" s="7">
        <v>636</v>
      </c>
      <c r="B613" s="6">
        <v>45855</v>
      </c>
      <c r="C613" s="6">
        <v>45855</v>
      </c>
      <c r="D613" s="7" t="s">
        <v>1749</v>
      </c>
      <c r="E613" s="7" t="s">
        <v>61</v>
      </c>
      <c r="F613" s="7" t="s">
        <v>1748</v>
      </c>
      <c r="G613" s="7" t="s">
        <v>1748</v>
      </c>
      <c r="H613" s="7"/>
      <c r="I613" s="7"/>
      <c r="J613" s="7" t="s">
        <v>59</v>
      </c>
      <c r="K613" s="7" t="s">
        <v>58</v>
      </c>
      <c r="L613" s="7" t="s">
        <v>325</v>
      </c>
      <c r="M613" s="7" t="s">
        <v>1764</v>
      </c>
      <c r="N613" s="7" t="s">
        <v>1699</v>
      </c>
      <c r="O613" s="7" t="s">
        <v>1703</v>
      </c>
      <c r="P613" s="7" t="s">
        <v>1712</v>
      </c>
      <c r="Q613" s="11">
        <v>4475702.04</v>
      </c>
      <c r="R613" s="9">
        <v>0</v>
      </c>
      <c r="S613" s="9">
        <f t="shared" si="20"/>
        <v>4475702.04</v>
      </c>
      <c r="T613" s="4" t="s">
        <v>53</v>
      </c>
      <c r="U613" s="7" t="s">
        <v>1747</v>
      </c>
      <c r="V613" s="4"/>
      <c r="W613" s="9">
        <v>-6</v>
      </c>
      <c r="X613" s="7" t="s">
        <v>94</v>
      </c>
      <c r="Y613" s="7"/>
      <c r="Z613" s="7" t="s">
        <v>5</v>
      </c>
      <c r="AA613" s="37" t="s">
        <v>6</v>
      </c>
      <c r="AB613" s="16"/>
      <c r="AC613" s="22">
        <f t="shared" si="19"/>
        <v>1755.1772705882354</v>
      </c>
      <c r="AD613" s="23">
        <v>0</v>
      </c>
    </row>
    <row r="614" spans="1:30" hidden="1" x14ac:dyDescent="0.35">
      <c r="A614" s="7">
        <v>637</v>
      </c>
      <c r="B614" s="6">
        <v>45855</v>
      </c>
      <c r="C614" s="6">
        <v>45855</v>
      </c>
      <c r="D614" s="4" t="s">
        <v>777</v>
      </c>
      <c r="E614" s="4" t="s">
        <v>61</v>
      </c>
      <c r="F614" s="4" t="s">
        <v>776</v>
      </c>
      <c r="G614" s="4" t="s">
        <v>776</v>
      </c>
      <c r="H614" s="4"/>
      <c r="I614" s="4"/>
      <c r="J614" s="4" t="s">
        <v>59</v>
      </c>
      <c r="K614" s="4" t="s">
        <v>58</v>
      </c>
      <c r="L614" s="4" t="s">
        <v>57</v>
      </c>
      <c r="M614" s="4" t="s">
        <v>32</v>
      </c>
      <c r="N614" s="4" t="s">
        <v>211</v>
      </c>
      <c r="O614" s="4" t="s">
        <v>210</v>
      </c>
      <c r="P614" s="4" t="s">
        <v>210</v>
      </c>
      <c r="Q614" s="5">
        <v>204875.47</v>
      </c>
      <c r="R614" s="10">
        <v>0</v>
      </c>
      <c r="S614" s="9">
        <f t="shared" si="20"/>
        <v>204875.47</v>
      </c>
      <c r="T614" s="4" t="s">
        <v>53</v>
      </c>
      <c r="U614" s="4" t="s">
        <v>271</v>
      </c>
      <c r="V614" s="4"/>
      <c r="W614" s="4">
        <v>-50</v>
      </c>
      <c r="X614" s="4" t="s">
        <v>124</v>
      </c>
      <c r="Y614" s="4"/>
      <c r="Z614" s="7" t="s">
        <v>14</v>
      </c>
      <c r="AA614" s="36" t="s">
        <v>30</v>
      </c>
      <c r="AB614" s="4"/>
      <c r="AC614" s="22">
        <f t="shared" si="19"/>
        <v>80.343321568627445</v>
      </c>
      <c r="AD614" s="23">
        <v>0</v>
      </c>
    </row>
    <row r="615" spans="1:30" x14ac:dyDescent="0.35">
      <c r="A615" s="7">
        <v>638</v>
      </c>
      <c r="B615" s="6">
        <v>45855</v>
      </c>
      <c r="C615" s="6">
        <v>45855</v>
      </c>
      <c r="D615" s="4" t="s">
        <v>771</v>
      </c>
      <c r="E615" s="4" t="s">
        <v>61</v>
      </c>
      <c r="F615" s="4" t="s">
        <v>770</v>
      </c>
      <c r="G615" s="4" t="s">
        <v>770</v>
      </c>
      <c r="H615" s="4"/>
      <c r="I615" s="4"/>
      <c r="J615" s="4" t="s">
        <v>59</v>
      </c>
      <c r="K615" s="4" t="s">
        <v>58</v>
      </c>
      <c r="L615" s="4" t="s">
        <v>57</v>
      </c>
      <c r="M615" s="4" t="s">
        <v>32</v>
      </c>
      <c r="N615" s="4" t="s">
        <v>197</v>
      </c>
      <c r="O615" s="4" t="s">
        <v>68</v>
      </c>
      <c r="P615" s="4" t="s">
        <v>54</v>
      </c>
      <c r="Q615" s="5">
        <v>45000</v>
      </c>
      <c r="R615" s="10">
        <v>0</v>
      </c>
      <c r="S615" s="9">
        <f t="shared" si="20"/>
        <v>45000</v>
      </c>
      <c r="T615" s="4" t="s">
        <v>53</v>
      </c>
      <c r="U615" s="4" t="s">
        <v>121</v>
      </c>
      <c r="V615" s="4"/>
      <c r="W615" s="4">
        <v>-3</v>
      </c>
      <c r="X615" s="4" t="s">
        <v>94</v>
      </c>
      <c r="Y615" s="4"/>
      <c r="Z615" s="7" t="s">
        <v>14</v>
      </c>
      <c r="AA615" s="36" t="s">
        <v>29</v>
      </c>
      <c r="AB615" s="4" t="s">
        <v>2607</v>
      </c>
      <c r="AC615" s="22">
        <f t="shared" si="19"/>
        <v>17.647058823529413</v>
      </c>
      <c r="AD615" s="23">
        <v>0</v>
      </c>
    </row>
    <row r="616" spans="1:30" x14ac:dyDescent="0.35">
      <c r="A616" s="7">
        <v>639</v>
      </c>
      <c r="B616" s="6">
        <v>45855</v>
      </c>
      <c r="C616" s="6">
        <v>45855</v>
      </c>
      <c r="D616" s="4" t="s">
        <v>769</v>
      </c>
      <c r="E616" s="4" t="s">
        <v>61</v>
      </c>
      <c r="F616" s="4" t="s">
        <v>768</v>
      </c>
      <c r="G616" s="4" t="s">
        <v>768</v>
      </c>
      <c r="H616" s="4"/>
      <c r="I616" s="4"/>
      <c r="J616" s="4" t="s">
        <v>59</v>
      </c>
      <c r="K616" s="4" t="s">
        <v>58</v>
      </c>
      <c r="L616" s="4" t="s">
        <v>57</v>
      </c>
      <c r="M616" s="4" t="s">
        <v>32</v>
      </c>
      <c r="N616" s="4" t="s">
        <v>197</v>
      </c>
      <c r="O616" s="4" t="s">
        <v>68</v>
      </c>
      <c r="P616" s="4" t="s">
        <v>54</v>
      </c>
      <c r="Q616" s="5">
        <v>71251.5</v>
      </c>
      <c r="R616" s="10">
        <v>0</v>
      </c>
      <c r="S616" s="9">
        <f t="shared" si="20"/>
        <v>71251.5</v>
      </c>
      <c r="T616" s="4" t="s">
        <v>53</v>
      </c>
      <c r="U616" s="4" t="s">
        <v>728</v>
      </c>
      <c r="V616" s="4"/>
      <c r="W616" s="4">
        <v>-16</v>
      </c>
      <c r="X616" s="4" t="s">
        <v>51</v>
      </c>
      <c r="Y616" s="4"/>
      <c r="Z616" s="7" t="s">
        <v>14</v>
      </c>
      <c r="AA616" s="36" t="s">
        <v>29</v>
      </c>
      <c r="AB616" s="4" t="s">
        <v>2607</v>
      </c>
      <c r="AC616" s="22">
        <f t="shared" si="19"/>
        <v>27.941764705882353</v>
      </c>
      <c r="AD616" s="23">
        <v>0</v>
      </c>
    </row>
    <row r="617" spans="1:30" x14ac:dyDescent="0.35">
      <c r="A617" s="7">
        <v>640</v>
      </c>
      <c r="B617" s="6">
        <v>45855</v>
      </c>
      <c r="C617" s="6">
        <v>45855</v>
      </c>
      <c r="D617" s="4" t="s">
        <v>767</v>
      </c>
      <c r="E617" s="4" t="s">
        <v>61</v>
      </c>
      <c r="F617" s="4" t="s">
        <v>766</v>
      </c>
      <c r="G617" s="4" t="s">
        <v>766</v>
      </c>
      <c r="H617" s="4"/>
      <c r="I617" s="4"/>
      <c r="J617" s="4" t="s">
        <v>59</v>
      </c>
      <c r="K617" s="4" t="s">
        <v>58</v>
      </c>
      <c r="L617" s="4" t="s">
        <v>57</v>
      </c>
      <c r="M617" s="4" t="s">
        <v>32</v>
      </c>
      <c r="N617" s="4" t="s">
        <v>197</v>
      </c>
      <c r="O617" s="4" t="s">
        <v>68</v>
      </c>
      <c r="P617" s="4" t="s">
        <v>54</v>
      </c>
      <c r="Q617" s="5">
        <v>20580.810000000001</v>
      </c>
      <c r="R617" s="10">
        <v>0</v>
      </c>
      <c r="S617" s="9">
        <f t="shared" si="20"/>
        <v>20580.810000000001</v>
      </c>
      <c r="T617" s="4" t="s">
        <v>53</v>
      </c>
      <c r="U617" s="4" t="s">
        <v>423</v>
      </c>
      <c r="V617" s="4"/>
      <c r="W617" s="4">
        <v>-5</v>
      </c>
      <c r="X617" s="4" t="s">
        <v>51</v>
      </c>
      <c r="Y617" s="4"/>
      <c r="Z617" s="7" t="s">
        <v>14</v>
      </c>
      <c r="AA617" s="36" t="s">
        <v>29</v>
      </c>
      <c r="AB617" s="4" t="s">
        <v>2607</v>
      </c>
      <c r="AC617" s="22">
        <f t="shared" si="19"/>
        <v>8.0709058823529425</v>
      </c>
      <c r="AD617" s="23">
        <v>0</v>
      </c>
    </row>
    <row r="618" spans="1:30" x14ac:dyDescent="0.35">
      <c r="A618" s="7">
        <v>641</v>
      </c>
      <c r="B618" s="6">
        <v>45855</v>
      </c>
      <c r="C618" s="6">
        <v>45855</v>
      </c>
      <c r="D618" s="4" t="s">
        <v>743</v>
      </c>
      <c r="E618" s="4" t="s">
        <v>61</v>
      </c>
      <c r="F618" s="4" t="s">
        <v>742</v>
      </c>
      <c r="G618" s="4" t="s">
        <v>742</v>
      </c>
      <c r="H618" s="4"/>
      <c r="I618" s="4"/>
      <c r="J618" s="4" t="s">
        <v>59</v>
      </c>
      <c r="K618" s="4" t="s">
        <v>58</v>
      </c>
      <c r="L618" s="4" t="s">
        <v>57</v>
      </c>
      <c r="M618" s="4" t="s">
        <v>32</v>
      </c>
      <c r="N618" s="4" t="s">
        <v>197</v>
      </c>
      <c r="O618" s="4" t="s">
        <v>105</v>
      </c>
      <c r="P618" s="4" t="s">
        <v>54</v>
      </c>
      <c r="Q618" s="5">
        <v>17100</v>
      </c>
      <c r="R618" s="10">
        <v>0</v>
      </c>
      <c r="S618" s="9">
        <f t="shared" si="20"/>
        <v>17100</v>
      </c>
      <c r="T618" s="4" t="s">
        <v>53</v>
      </c>
      <c r="U618" s="4" t="s">
        <v>151</v>
      </c>
      <c r="V618" s="4"/>
      <c r="W618" s="4">
        <v>-3</v>
      </c>
      <c r="X618" s="4" t="s">
        <v>124</v>
      </c>
      <c r="Y618" s="4"/>
      <c r="Z618" s="7" t="s">
        <v>14</v>
      </c>
      <c r="AA618" s="36" t="s">
        <v>29</v>
      </c>
      <c r="AB618" s="4" t="s">
        <v>2607</v>
      </c>
      <c r="AC618" s="22">
        <f t="shared" si="19"/>
        <v>6.7058823529411766</v>
      </c>
      <c r="AD618" s="23">
        <v>0</v>
      </c>
    </row>
    <row r="619" spans="1:30" x14ac:dyDescent="0.35">
      <c r="A619" s="7">
        <v>642</v>
      </c>
      <c r="B619" s="6">
        <v>45855</v>
      </c>
      <c r="C619" s="6">
        <v>45855</v>
      </c>
      <c r="D619" s="4" t="s">
        <v>741</v>
      </c>
      <c r="E619" s="4" t="s">
        <v>61</v>
      </c>
      <c r="F619" s="4" t="s">
        <v>740</v>
      </c>
      <c r="G619" s="4" t="s">
        <v>740</v>
      </c>
      <c r="H619" s="4"/>
      <c r="I619" s="4"/>
      <c r="J619" s="4" t="s">
        <v>59</v>
      </c>
      <c r="K619" s="4" t="s">
        <v>58</v>
      </c>
      <c r="L619" s="4" t="s">
        <v>57</v>
      </c>
      <c r="M619" s="4" t="s">
        <v>32</v>
      </c>
      <c r="N619" s="4" t="s">
        <v>197</v>
      </c>
      <c r="O619" s="4" t="s">
        <v>105</v>
      </c>
      <c r="P619" s="4" t="s">
        <v>54</v>
      </c>
      <c r="Q619" s="5">
        <v>9951.27</v>
      </c>
      <c r="R619" s="10">
        <v>0</v>
      </c>
      <c r="S619" s="9">
        <f t="shared" si="20"/>
        <v>9951.27</v>
      </c>
      <c r="T619" s="4" t="s">
        <v>53</v>
      </c>
      <c r="U619" s="4" t="s">
        <v>739</v>
      </c>
      <c r="V619" s="4"/>
      <c r="W619" s="4">
        <v>-1</v>
      </c>
      <c r="X619" s="4" t="s">
        <v>124</v>
      </c>
      <c r="Y619" s="4"/>
      <c r="Z619" s="7" t="s">
        <v>14</v>
      </c>
      <c r="AA619" s="36" t="s">
        <v>29</v>
      </c>
      <c r="AB619" s="4" t="s">
        <v>2607</v>
      </c>
      <c r="AC619" s="22">
        <f t="shared" ref="AC619:AC682" si="21">+S619/$AC$1</f>
        <v>3.902458823529412</v>
      </c>
      <c r="AD619" s="23">
        <v>0</v>
      </c>
    </row>
    <row r="620" spans="1:30" x14ac:dyDescent="0.35">
      <c r="A620" s="7">
        <v>643</v>
      </c>
      <c r="B620" s="6">
        <v>45855</v>
      </c>
      <c r="C620" s="6">
        <v>45855</v>
      </c>
      <c r="D620" s="4" t="s">
        <v>738</v>
      </c>
      <c r="E620" s="4" t="s">
        <v>61</v>
      </c>
      <c r="F620" s="4" t="s">
        <v>737</v>
      </c>
      <c r="G620" s="4" t="s">
        <v>737</v>
      </c>
      <c r="H620" s="4"/>
      <c r="I620" s="4"/>
      <c r="J620" s="4" t="s">
        <v>59</v>
      </c>
      <c r="K620" s="4" t="s">
        <v>58</v>
      </c>
      <c r="L620" s="4" t="s">
        <v>57</v>
      </c>
      <c r="M620" s="4" t="s">
        <v>32</v>
      </c>
      <c r="N620" s="4" t="s">
        <v>197</v>
      </c>
      <c r="O620" s="4" t="s">
        <v>105</v>
      </c>
      <c r="P620" s="4" t="s">
        <v>54</v>
      </c>
      <c r="Q620" s="5">
        <v>72500</v>
      </c>
      <c r="R620" s="10">
        <v>0</v>
      </c>
      <c r="S620" s="9">
        <f t="shared" si="20"/>
        <v>72500</v>
      </c>
      <c r="T620" s="4" t="s">
        <v>53</v>
      </c>
      <c r="U620" s="4" t="s">
        <v>133</v>
      </c>
      <c r="V620" s="4"/>
      <c r="W620" s="4">
        <v>-14.5</v>
      </c>
      <c r="X620" s="4" t="s">
        <v>124</v>
      </c>
      <c r="Y620" s="4"/>
      <c r="Z620" s="7" t="s">
        <v>14</v>
      </c>
      <c r="AA620" s="36" t="s">
        <v>29</v>
      </c>
      <c r="AB620" s="4" t="s">
        <v>2607</v>
      </c>
      <c r="AC620" s="22">
        <f t="shared" si="21"/>
        <v>28.431372549019606</v>
      </c>
      <c r="AD620" s="23">
        <v>0</v>
      </c>
    </row>
    <row r="621" spans="1:30" x14ac:dyDescent="0.35">
      <c r="A621" s="7">
        <v>644</v>
      </c>
      <c r="B621" s="6">
        <v>45855</v>
      </c>
      <c r="C621" s="6">
        <v>45855</v>
      </c>
      <c r="D621" s="4" t="s">
        <v>736</v>
      </c>
      <c r="E621" s="4" t="s">
        <v>61</v>
      </c>
      <c r="F621" s="4" t="s">
        <v>735</v>
      </c>
      <c r="G621" s="4" t="s">
        <v>735</v>
      </c>
      <c r="H621" s="4"/>
      <c r="I621" s="4"/>
      <c r="J621" s="4" t="s">
        <v>59</v>
      </c>
      <c r="K621" s="4" t="s">
        <v>58</v>
      </c>
      <c r="L621" s="4" t="s">
        <v>57</v>
      </c>
      <c r="M621" s="4" t="s">
        <v>32</v>
      </c>
      <c r="N621" s="4" t="s">
        <v>197</v>
      </c>
      <c r="O621" s="4" t="s">
        <v>105</v>
      </c>
      <c r="P621" s="4" t="s">
        <v>54</v>
      </c>
      <c r="Q621" s="5">
        <v>588815.53</v>
      </c>
      <c r="R621" s="10">
        <v>0</v>
      </c>
      <c r="S621" s="9">
        <f t="shared" si="20"/>
        <v>588815.53</v>
      </c>
      <c r="T621" s="4" t="s">
        <v>53</v>
      </c>
      <c r="U621" s="4" t="s">
        <v>130</v>
      </c>
      <c r="V621" s="4"/>
      <c r="W621" s="4">
        <v>-40</v>
      </c>
      <c r="X621" s="4" t="s">
        <v>129</v>
      </c>
      <c r="Y621" s="4"/>
      <c r="Z621" s="7" t="s">
        <v>14</v>
      </c>
      <c r="AA621" s="36" t="s">
        <v>29</v>
      </c>
      <c r="AB621" s="4" t="s">
        <v>2607</v>
      </c>
      <c r="AC621" s="22">
        <f t="shared" si="21"/>
        <v>230.90805098039218</v>
      </c>
      <c r="AD621" s="23">
        <v>0</v>
      </c>
    </row>
    <row r="622" spans="1:30" x14ac:dyDescent="0.35">
      <c r="A622" s="7">
        <v>645</v>
      </c>
      <c r="B622" s="6">
        <v>45855</v>
      </c>
      <c r="C622" s="6">
        <v>45855</v>
      </c>
      <c r="D622" s="4" t="s">
        <v>734</v>
      </c>
      <c r="E622" s="4" t="s">
        <v>61</v>
      </c>
      <c r="F622" s="4" t="s">
        <v>733</v>
      </c>
      <c r="G622" s="4" t="s">
        <v>733</v>
      </c>
      <c r="H622" s="4"/>
      <c r="I622" s="4"/>
      <c r="J622" s="4" t="s">
        <v>59</v>
      </c>
      <c r="K622" s="4" t="s">
        <v>58</v>
      </c>
      <c r="L622" s="4" t="s">
        <v>57</v>
      </c>
      <c r="M622" s="4" t="s">
        <v>32</v>
      </c>
      <c r="N622" s="4" t="s">
        <v>197</v>
      </c>
      <c r="O622" s="4" t="s">
        <v>105</v>
      </c>
      <c r="P622" s="4" t="s">
        <v>54</v>
      </c>
      <c r="Q622" s="5">
        <v>1472415.6</v>
      </c>
      <c r="R622" s="10">
        <v>0</v>
      </c>
      <c r="S622" s="9">
        <f t="shared" si="20"/>
        <v>1472415.6</v>
      </c>
      <c r="T622" s="4" t="s">
        <v>53</v>
      </c>
      <c r="U622" s="4" t="s">
        <v>172</v>
      </c>
      <c r="V622" s="4"/>
      <c r="W622" s="4">
        <v>-40</v>
      </c>
      <c r="X622" s="4" t="s">
        <v>129</v>
      </c>
      <c r="Y622" s="4"/>
      <c r="Z622" s="7" t="s">
        <v>14</v>
      </c>
      <c r="AA622" s="36" t="s">
        <v>29</v>
      </c>
      <c r="AB622" s="4" t="s">
        <v>2607</v>
      </c>
      <c r="AC622" s="22">
        <f t="shared" si="21"/>
        <v>577.41788235294121</v>
      </c>
      <c r="AD622" s="23">
        <v>0</v>
      </c>
    </row>
    <row r="623" spans="1:30" x14ac:dyDescent="0.35">
      <c r="A623" s="7">
        <v>646</v>
      </c>
      <c r="B623" s="6">
        <v>45855</v>
      </c>
      <c r="C623" s="6">
        <v>45855</v>
      </c>
      <c r="D623" s="4" t="s">
        <v>688</v>
      </c>
      <c r="E623" s="4" t="s">
        <v>61</v>
      </c>
      <c r="F623" s="4" t="s">
        <v>687</v>
      </c>
      <c r="G623" s="4" t="s">
        <v>687</v>
      </c>
      <c r="H623" s="4"/>
      <c r="I623" s="4"/>
      <c r="J623" s="4" t="s">
        <v>59</v>
      </c>
      <c r="K623" s="4" t="s">
        <v>58</v>
      </c>
      <c r="L623" s="4" t="s">
        <v>57</v>
      </c>
      <c r="M623" s="4" t="s">
        <v>32</v>
      </c>
      <c r="N623" s="4" t="s">
        <v>118</v>
      </c>
      <c r="O623" s="4" t="s">
        <v>55</v>
      </c>
      <c r="P623" s="4" t="s">
        <v>126</v>
      </c>
      <c r="Q623" s="5">
        <v>118816.69</v>
      </c>
      <c r="R623" s="10">
        <v>0</v>
      </c>
      <c r="S623" s="9">
        <f t="shared" si="20"/>
        <v>118816.69</v>
      </c>
      <c r="T623" s="4" t="s">
        <v>53</v>
      </c>
      <c r="U623" s="4" t="s">
        <v>686</v>
      </c>
      <c r="V623" s="4"/>
      <c r="W623" s="4">
        <v>-4</v>
      </c>
      <c r="X623" s="4" t="s">
        <v>94</v>
      </c>
      <c r="Y623" s="4"/>
      <c r="Z623" s="7" t="s">
        <v>14</v>
      </c>
      <c r="AA623" s="36" t="s">
        <v>22</v>
      </c>
      <c r="AB623" s="4" t="s">
        <v>2835</v>
      </c>
      <c r="AC623" s="22">
        <f t="shared" si="21"/>
        <v>46.594780392156864</v>
      </c>
      <c r="AD623" s="23">
        <v>0</v>
      </c>
    </row>
    <row r="624" spans="1:30" x14ac:dyDescent="0.35">
      <c r="A624" s="7">
        <v>647</v>
      </c>
      <c r="B624" s="6">
        <v>45855</v>
      </c>
      <c r="C624" s="6">
        <v>45855</v>
      </c>
      <c r="D624" s="4" t="s">
        <v>685</v>
      </c>
      <c r="E624" s="4" t="s">
        <v>61</v>
      </c>
      <c r="F624" s="4" t="s">
        <v>684</v>
      </c>
      <c r="G624" s="4" t="s">
        <v>684</v>
      </c>
      <c r="H624" s="4"/>
      <c r="I624" s="4"/>
      <c r="J624" s="4" t="s">
        <v>59</v>
      </c>
      <c r="K624" s="4" t="s">
        <v>58</v>
      </c>
      <c r="L624" s="4" t="s">
        <v>57</v>
      </c>
      <c r="M624" s="4" t="s">
        <v>32</v>
      </c>
      <c r="N624" s="4" t="s">
        <v>118</v>
      </c>
      <c r="O624" s="4" t="s">
        <v>55</v>
      </c>
      <c r="P624" s="4" t="s">
        <v>126</v>
      </c>
      <c r="Q624" s="5">
        <v>438292.55</v>
      </c>
      <c r="R624" s="10">
        <v>0</v>
      </c>
      <c r="S624" s="9">
        <f t="shared" si="20"/>
        <v>438292.55</v>
      </c>
      <c r="T624" s="4" t="s">
        <v>53</v>
      </c>
      <c r="U624" s="4" t="s">
        <v>683</v>
      </c>
      <c r="V624" s="4"/>
      <c r="W624" s="4">
        <v>-1</v>
      </c>
      <c r="X624" s="4" t="s">
        <v>94</v>
      </c>
      <c r="Y624" s="4"/>
      <c r="Z624" s="7" t="s">
        <v>14</v>
      </c>
      <c r="AA624" s="36" t="s">
        <v>22</v>
      </c>
      <c r="AB624" s="4" t="s">
        <v>2835</v>
      </c>
      <c r="AC624" s="22">
        <f t="shared" si="21"/>
        <v>171.87943137254902</v>
      </c>
      <c r="AD624" s="23">
        <v>0</v>
      </c>
    </row>
    <row r="625" spans="1:30" x14ac:dyDescent="0.35">
      <c r="A625" s="7">
        <v>648</v>
      </c>
      <c r="B625" s="6">
        <v>45855</v>
      </c>
      <c r="C625" s="6">
        <v>45855</v>
      </c>
      <c r="D625" s="4" t="s">
        <v>682</v>
      </c>
      <c r="E625" s="4" t="s">
        <v>61</v>
      </c>
      <c r="F625" s="4" t="s">
        <v>681</v>
      </c>
      <c r="G625" s="4" t="s">
        <v>681</v>
      </c>
      <c r="H625" s="4"/>
      <c r="I625" s="4"/>
      <c r="J625" s="4" t="s">
        <v>59</v>
      </c>
      <c r="K625" s="4" t="s">
        <v>58</v>
      </c>
      <c r="L625" s="4" t="s">
        <v>57</v>
      </c>
      <c r="M625" s="4" t="s">
        <v>32</v>
      </c>
      <c r="N625" s="4" t="s">
        <v>118</v>
      </c>
      <c r="O625" s="4" t="s">
        <v>55</v>
      </c>
      <c r="P625" s="4" t="s">
        <v>126</v>
      </c>
      <c r="Q625" s="5">
        <v>7257.78</v>
      </c>
      <c r="R625" s="10">
        <v>0</v>
      </c>
      <c r="S625" s="9">
        <f t="shared" si="20"/>
        <v>7257.78</v>
      </c>
      <c r="T625" s="4" t="s">
        <v>53</v>
      </c>
      <c r="U625" s="4" t="s">
        <v>680</v>
      </c>
      <c r="V625" s="4"/>
      <c r="W625" s="4">
        <v>-1</v>
      </c>
      <c r="X625" s="4" t="s">
        <v>94</v>
      </c>
      <c r="Y625" s="4"/>
      <c r="Z625" s="7" t="s">
        <v>14</v>
      </c>
      <c r="AA625" s="36" t="s">
        <v>22</v>
      </c>
      <c r="AB625" s="4" t="s">
        <v>2835</v>
      </c>
      <c r="AC625" s="22">
        <f t="shared" si="21"/>
        <v>2.8461882352941177</v>
      </c>
      <c r="AD625" s="23">
        <v>0</v>
      </c>
    </row>
    <row r="626" spans="1:30" hidden="1" x14ac:dyDescent="0.35">
      <c r="A626" s="7">
        <v>649</v>
      </c>
      <c r="B626" s="6">
        <v>45856.267372685186</v>
      </c>
      <c r="C626" s="6">
        <v>45856</v>
      </c>
      <c r="D626" s="7" t="s">
        <v>2159</v>
      </c>
      <c r="E626" s="7" t="s">
        <v>1819</v>
      </c>
      <c r="F626" s="7" t="s">
        <v>2160</v>
      </c>
      <c r="G626" s="7" t="s">
        <v>2083</v>
      </c>
      <c r="H626" s="7"/>
      <c r="I626" s="7"/>
      <c r="J626" s="7" t="s">
        <v>1816</v>
      </c>
      <c r="K626" s="7" t="s">
        <v>1815</v>
      </c>
      <c r="L626" s="7" t="s">
        <v>1814</v>
      </c>
      <c r="M626" s="7" t="s">
        <v>28</v>
      </c>
      <c r="N626" s="7" t="s">
        <v>1813</v>
      </c>
      <c r="O626" s="7" t="s">
        <v>1704</v>
      </c>
      <c r="P626" s="7" t="s">
        <v>1703</v>
      </c>
      <c r="Q626" s="9">
        <v>50000</v>
      </c>
      <c r="R626" s="9">
        <v>0</v>
      </c>
      <c r="S626" s="9">
        <f t="shared" si="20"/>
        <v>50000</v>
      </c>
      <c r="T626" s="4" t="s">
        <v>53</v>
      </c>
      <c r="U626" s="7"/>
      <c r="V626" s="7"/>
      <c r="W626" s="9">
        <v>1</v>
      </c>
      <c r="X626" s="7"/>
      <c r="Y626" s="7"/>
      <c r="Z626" s="7" t="s">
        <v>14</v>
      </c>
      <c r="AA626" s="36" t="s">
        <v>28</v>
      </c>
      <c r="AB626" s="4"/>
      <c r="AC626" s="22">
        <f t="shared" si="21"/>
        <v>19.607843137254903</v>
      </c>
      <c r="AD626" s="23">
        <v>0</v>
      </c>
    </row>
    <row r="627" spans="1:30" hidden="1" x14ac:dyDescent="0.35">
      <c r="A627" s="7">
        <v>650</v>
      </c>
      <c r="B627" s="6">
        <v>45856.267372685186</v>
      </c>
      <c r="C627" s="6">
        <v>45856</v>
      </c>
      <c r="D627" s="7" t="s">
        <v>2159</v>
      </c>
      <c r="E627" s="7" t="s">
        <v>1819</v>
      </c>
      <c r="F627" s="7" t="s">
        <v>2160</v>
      </c>
      <c r="G627" s="7" t="s">
        <v>2083</v>
      </c>
      <c r="H627" s="7"/>
      <c r="I627" s="7"/>
      <c r="J627" s="7" t="s">
        <v>1816</v>
      </c>
      <c r="K627" s="7" t="s">
        <v>1815</v>
      </c>
      <c r="L627" s="7" t="s">
        <v>1814</v>
      </c>
      <c r="M627" s="7" t="s">
        <v>28</v>
      </c>
      <c r="N627" s="7" t="s">
        <v>1813</v>
      </c>
      <c r="O627" s="7" t="s">
        <v>1704</v>
      </c>
      <c r="P627" s="7" t="s">
        <v>1703</v>
      </c>
      <c r="Q627" s="9">
        <v>2700000</v>
      </c>
      <c r="R627" s="9">
        <v>0</v>
      </c>
      <c r="S627" s="9">
        <f t="shared" si="20"/>
        <v>2700000</v>
      </c>
      <c r="T627" s="4" t="s">
        <v>53</v>
      </c>
      <c r="U627" s="7"/>
      <c r="V627" s="7"/>
      <c r="W627" s="9">
        <v>1</v>
      </c>
      <c r="X627" s="7"/>
      <c r="Y627" s="7"/>
      <c r="Z627" s="7" t="s">
        <v>14</v>
      </c>
      <c r="AA627" s="36" t="s">
        <v>28</v>
      </c>
      <c r="AB627" s="4"/>
      <c r="AC627" s="22">
        <f t="shared" si="21"/>
        <v>1058.8235294117646</v>
      </c>
      <c r="AD627" s="23">
        <v>0</v>
      </c>
    </row>
    <row r="628" spans="1:30" hidden="1" x14ac:dyDescent="0.35">
      <c r="A628" s="7">
        <v>651</v>
      </c>
      <c r="B628" s="6">
        <v>45856.267372685186</v>
      </c>
      <c r="C628" s="6">
        <v>45856</v>
      </c>
      <c r="D628" s="7" t="s">
        <v>2159</v>
      </c>
      <c r="E628" s="7" t="s">
        <v>1819</v>
      </c>
      <c r="F628" s="7" t="s">
        <v>2158</v>
      </c>
      <c r="G628" s="7" t="s">
        <v>2083</v>
      </c>
      <c r="H628" s="7"/>
      <c r="I628" s="7"/>
      <c r="J628" s="7" t="s">
        <v>1816</v>
      </c>
      <c r="K628" s="7" t="s">
        <v>1815</v>
      </c>
      <c r="L628" s="7" t="s">
        <v>1814</v>
      </c>
      <c r="M628" s="7" t="s">
        <v>28</v>
      </c>
      <c r="N628" s="7" t="s">
        <v>1813</v>
      </c>
      <c r="O628" s="7" t="s">
        <v>1704</v>
      </c>
      <c r="P628" s="7" t="s">
        <v>1703</v>
      </c>
      <c r="Q628" s="9">
        <v>370000</v>
      </c>
      <c r="R628" s="9">
        <v>0</v>
      </c>
      <c r="S628" s="9">
        <f t="shared" si="20"/>
        <v>370000</v>
      </c>
      <c r="T628" s="4" t="s">
        <v>53</v>
      </c>
      <c r="U628" s="7"/>
      <c r="V628" s="7"/>
      <c r="W628" s="9">
        <v>1</v>
      </c>
      <c r="X628" s="7"/>
      <c r="Y628" s="7"/>
      <c r="Z628" s="7" t="s">
        <v>14</v>
      </c>
      <c r="AA628" s="36" t="s">
        <v>28</v>
      </c>
      <c r="AB628" s="4"/>
      <c r="AC628" s="22">
        <f t="shared" si="21"/>
        <v>145.09803921568627</v>
      </c>
      <c r="AD628" s="23">
        <v>0</v>
      </c>
    </row>
    <row r="629" spans="1:30" x14ac:dyDescent="0.35">
      <c r="A629" s="7">
        <v>652</v>
      </c>
      <c r="B629" s="6">
        <v>45856</v>
      </c>
      <c r="C629" s="6">
        <v>45856</v>
      </c>
      <c r="D629" s="4" t="s">
        <v>1025</v>
      </c>
      <c r="E629" s="4" t="s">
        <v>61</v>
      </c>
      <c r="F629" s="4" t="s">
        <v>1024</v>
      </c>
      <c r="G629" s="4" t="s">
        <v>1024</v>
      </c>
      <c r="H629" s="4"/>
      <c r="I629" s="4"/>
      <c r="J629" s="4" t="s">
        <v>59</v>
      </c>
      <c r="K629" s="4" t="s">
        <v>58</v>
      </c>
      <c r="L629" s="4" t="s">
        <v>57</v>
      </c>
      <c r="M629" s="4" t="s">
        <v>32</v>
      </c>
      <c r="N629" s="4" t="s">
        <v>317</v>
      </c>
      <c r="O629" s="4" t="s">
        <v>68</v>
      </c>
      <c r="P629" s="4" t="s">
        <v>54</v>
      </c>
      <c r="Q629" s="5">
        <v>27973.55</v>
      </c>
      <c r="R629" s="10">
        <v>0</v>
      </c>
      <c r="S629" s="9">
        <f t="shared" si="20"/>
        <v>27973.55</v>
      </c>
      <c r="T629" s="4" t="s">
        <v>53</v>
      </c>
      <c r="U629" s="4" t="s">
        <v>1023</v>
      </c>
      <c r="V629" s="4"/>
      <c r="W629" s="4">
        <v>-8</v>
      </c>
      <c r="X629" s="4" t="s">
        <v>94</v>
      </c>
      <c r="Y629" s="4"/>
      <c r="Z629" s="7" t="s">
        <v>14</v>
      </c>
      <c r="AA629" s="36" t="s">
        <v>23</v>
      </c>
      <c r="AB629" s="4" t="s">
        <v>2607</v>
      </c>
      <c r="AC629" s="22">
        <f t="shared" si="21"/>
        <v>10.970019607843136</v>
      </c>
      <c r="AD629" s="23">
        <v>0</v>
      </c>
    </row>
    <row r="630" spans="1:30" x14ac:dyDescent="0.35">
      <c r="A630" s="7">
        <v>653</v>
      </c>
      <c r="B630" s="6">
        <v>45856</v>
      </c>
      <c r="C630" s="6">
        <v>45856</v>
      </c>
      <c r="D630" s="4" t="s">
        <v>911</v>
      </c>
      <c r="E630" s="4" t="s">
        <v>61</v>
      </c>
      <c r="F630" s="4" t="s">
        <v>910</v>
      </c>
      <c r="G630" s="4" t="s">
        <v>910</v>
      </c>
      <c r="H630" s="4"/>
      <c r="I630" s="4"/>
      <c r="J630" s="4" t="s">
        <v>59</v>
      </c>
      <c r="K630" s="4" t="s">
        <v>58</v>
      </c>
      <c r="L630" s="4" t="s">
        <v>57</v>
      </c>
      <c r="M630" s="4" t="s">
        <v>32</v>
      </c>
      <c r="N630" s="4" t="s">
        <v>266</v>
      </c>
      <c r="O630" s="4" t="s">
        <v>55</v>
      </c>
      <c r="P630" s="4" t="s">
        <v>54</v>
      </c>
      <c r="Q630" s="5">
        <v>150000</v>
      </c>
      <c r="R630" s="10">
        <v>0</v>
      </c>
      <c r="S630" s="9">
        <f t="shared" si="20"/>
        <v>150000</v>
      </c>
      <c r="T630" s="4" t="s">
        <v>53</v>
      </c>
      <c r="U630" s="4" t="s">
        <v>121</v>
      </c>
      <c r="V630" s="4"/>
      <c r="W630" s="4">
        <v>-10</v>
      </c>
      <c r="X630" s="4" t="s">
        <v>94</v>
      </c>
      <c r="Y630" s="4"/>
      <c r="Z630" s="7" t="s">
        <v>14</v>
      </c>
      <c r="AA630" s="36" t="s">
        <v>22</v>
      </c>
      <c r="AB630" s="4" t="s">
        <v>2835</v>
      </c>
      <c r="AC630" s="22">
        <f t="shared" si="21"/>
        <v>58.823529411764703</v>
      </c>
      <c r="AD630" s="23">
        <v>0</v>
      </c>
    </row>
    <row r="631" spans="1:30" x14ac:dyDescent="0.35">
      <c r="A631" s="7">
        <v>654</v>
      </c>
      <c r="B631" s="6">
        <v>45856</v>
      </c>
      <c r="C631" s="6">
        <v>45856</v>
      </c>
      <c r="D631" s="4" t="s">
        <v>909</v>
      </c>
      <c r="E631" s="4" t="s">
        <v>61</v>
      </c>
      <c r="F631" s="4" t="s">
        <v>908</v>
      </c>
      <c r="G631" s="4" t="s">
        <v>908</v>
      </c>
      <c r="H631" s="4"/>
      <c r="I631" s="4"/>
      <c r="J631" s="4" t="s">
        <v>59</v>
      </c>
      <c r="K631" s="4" t="s">
        <v>58</v>
      </c>
      <c r="L631" s="4" t="s">
        <v>57</v>
      </c>
      <c r="M631" s="4" t="s">
        <v>32</v>
      </c>
      <c r="N631" s="4" t="s">
        <v>266</v>
      </c>
      <c r="O631" s="4" t="s">
        <v>55</v>
      </c>
      <c r="P631" s="4" t="s">
        <v>54</v>
      </c>
      <c r="Q631" s="5">
        <v>122925.28</v>
      </c>
      <c r="R631" s="10">
        <v>0</v>
      </c>
      <c r="S631" s="9">
        <f t="shared" si="20"/>
        <v>122925.28</v>
      </c>
      <c r="T631" s="4" t="s">
        <v>53</v>
      </c>
      <c r="U631" s="4" t="s">
        <v>271</v>
      </c>
      <c r="V631" s="4"/>
      <c r="W631" s="4">
        <v>-30</v>
      </c>
      <c r="X631" s="4" t="s">
        <v>124</v>
      </c>
      <c r="Y631" s="4"/>
      <c r="Z631" s="7" t="s">
        <v>14</v>
      </c>
      <c r="AA631" s="36" t="s">
        <v>22</v>
      </c>
      <c r="AB631" s="4" t="s">
        <v>2835</v>
      </c>
      <c r="AC631" s="22">
        <f t="shared" si="21"/>
        <v>48.205992156862742</v>
      </c>
      <c r="AD631" s="23">
        <v>0</v>
      </c>
    </row>
    <row r="632" spans="1:30" x14ac:dyDescent="0.35">
      <c r="A632" s="7">
        <v>655</v>
      </c>
      <c r="B632" s="6">
        <v>45857</v>
      </c>
      <c r="C632" s="6">
        <v>45857</v>
      </c>
      <c r="D632" s="4" t="s">
        <v>1028</v>
      </c>
      <c r="E632" s="4" t="s">
        <v>61</v>
      </c>
      <c r="F632" s="4" t="s">
        <v>1027</v>
      </c>
      <c r="G632" s="4" t="s">
        <v>1027</v>
      </c>
      <c r="H632" s="4"/>
      <c r="I632" s="4"/>
      <c r="J632" s="4" t="s">
        <v>59</v>
      </c>
      <c r="K632" s="4" t="s">
        <v>58</v>
      </c>
      <c r="L632" s="4" t="s">
        <v>57</v>
      </c>
      <c r="M632" s="4" t="s">
        <v>32</v>
      </c>
      <c r="N632" s="4" t="s">
        <v>317</v>
      </c>
      <c r="O632" s="4" t="s">
        <v>68</v>
      </c>
      <c r="P632" s="4" t="s">
        <v>54</v>
      </c>
      <c r="Q632" s="5">
        <v>7550400</v>
      </c>
      <c r="R632" s="10">
        <v>0</v>
      </c>
      <c r="S632" s="9">
        <f t="shared" si="20"/>
        <v>7550400</v>
      </c>
      <c r="T632" s="4" t="s">
        <v>53</v>
      </c>
      <c r="U632" s="4" t="s">
        <v>1026</v>
      </c>
      <c r="V632" s="4"/>
      <c r="W632" s="4">
        <v>-30</v>
      </c>
      <c r="X632" s="4" t="s">
        <v>94</v>
      </c>
      <c r="Y632" s="4"/>
      <c r="Z632" s="7" t="s">
        <v>14</v>
      </c>
      <c r="AA632" s="36" t="s">
        <v>23</v>
      </c>
      <c r="AB632" s="4" t="s">
        <v>2607</v>
      </c>
      <c r="AC632" s="22">
        <f t="shared" si="21"/>
        <v>2960.9411764705883</v>
      </c>
      <c r="AD632" s="23">
        <v>0</v>
      </c>
    </row>
    <row r="633" spans="1:30" x14ac:dyDescent="0.35">
      <c r="A633" s="7">
        <v>656</v>
      </c>
      <c r="B633" s="6">
        <v>45857</v>
      </c>
      <c r="C633" s="6">
        <v>45857</v>
      </c>
      <c r="D633" s="4" t="s">
        <v>984</v>
      </c>
      <c r="E633" s="4" t="s">
        <v>61</v>
      </c>
      <c r="F633" s="4" t="s">
        <v>983</v>
      </c>
      <c r="G633" s="4" t="s">
        <v>983</v>
      </c>
      <c r="H633" s="4"/>
      <c r="I633" s="4"/>
      <c r="J633" s="4" t="s">
        <v>59</v>
      </c>
      <c r="K633" s="4" t="s">
        <v>58</v>
      </c>
      <c r="L633" s="4" t="s">
        <v>57</v>
      </c>
      <c r="M633" s="4" t="s">
        <v>32</v>
      </c>
      <c r="N633" s="4" t="s">
        <v>266</v>
      </c>
      <c r="O633" s="4" t="s">
        <v>68</v>
      </c>
      <c r="P633" s="4" t="s">
        <v>54</v>
      </c>
      <c r="Q633" s="5">
        <v>76204</v>
      </c>
      <c r="R633" s="10">
        <v>0</v>
      </c>
      <c r="S633" s="9">
        <f t="shared" si="20"/>
        <v>76204</v>
      </c>
      <c r="T633" s="4" t="s">
        <v>53</v>
      </c>
      <c r="U633" s="4" t="s">
        <v>214</v>
      </c>
      <c r="V633" s="4"/>
      <c r="W633" s="4">
        <v>-16</v>
      </c>
      <c r="X633" s="4" t="s">
        <v>51</v>
      </c>
      <c r="Y633" s="4"/>
      <c r="Z633" s="7" t="s">
        <v>14</v>
      </c>
      <c r="AA633" s="36" t="s">
        <v>22</v>
      </c>
      <c r="AB633" s="4" t="s">
        <v>2835</v>
      </c>
      <c r="AC633" s="22">
        <f t="shared" si="21"/>
        <v>29.88392156862745</v>
      </c>
      <c r="AD633" s="23">
        <v>0</v>
      </c>
    </row>
    <row r="634" spans="1:30" x14ac:dyDescent="0.35">
      <c r="A634" s="7">
        <v>657</v>
      </c>
      <c r="B634" s="6">
        <v>45857</v>
      </c>
      <c r="C634" s="6">
        <v>45857</v>
      </c>
      <c r="D634" s="4" t="s">
        <v>982</v>
      </c>
      <c r="E634" s="4" t="s">
        <v>61</v>
      </c>
      <c r="F634" s="4" t="s">
        <v>981</v>
      </c>
      <c r="G634" s="4" t="s">
        <v>981</v>
      </c>
      <c r="H634" s="4"/>
      <c r="I634" s="4"/>
      <c r="J634" s="4" t="s">
        <v>59</v>
      </c>
      <c r="K634" s="4" t="s">
        <v>58</v>
      </c>
      <c r="L634" s="4" t="s">
        <v>57</v>
      </c>
      <c r="M634" s="4" t="s">
        <v>32</v>
      </c>
      <c r="N634" s="4" t="s">
        <v>266</v>
      </c>
      <c r="O634" s="4" t="s">
        <v>68</v>
      </c>
      <c r="P634" s="4" t="s">
        <v>54</v>
      </c>
      <c r="Q634" s="5">
        <v>20580.810000000001</v>
      </c>
      <c r="R634" s="10">
        <v>0</v>
      </c>
      <c r="S634" s="9">
        <f t="shared" si="20"/>
        <v>20580.810000000001</v>
      </c>
      <c r="T634" s="4" t="s">
        <v>53</v>
      </c>
      <c r="U634" s="4" t="s">
        <v>423</v>
      </c>
      <c r="V634" s="4"/>
      <c r="W634" s="4">
        <v>-5</v>
      </c>
      <c r="X634" s="4" t="s">
        <v>51</v>
      </c>
      <c r="Y634" s="4"/>
      <c r="Z634" s="7" t="s">
        <v>14</v>
      </c>
      <c r="AA634" s="36" t="s">
        <v>22</v>
      </c>
      <c r="AB634" s="4" t="s">
        <v>2835</v>
      </c>
      <c r="AC634" s="22">
        <f t="shared" si="21"/>
        <v>8.0709058823529425</v>
      </c>
      <c r="AD634" s="23">
        <v>0</v>
      </c>
    </row>
    <row r="635" spans="1:30" x14ac:dyDescent="0.35">
      <c r="A635" s="7">
        <v>658</v>
      </c>
      <c r="B635" s="6">
        <v>45857</v>
      </c>
      <c r="C635" s="6">
        <v>45857</v>
      </c>
      <c r="D635" s="4" t="s">
        <v>915</v>
      </c>
      <c r="E635" s="4" t="s">
        <v>61</v>
      </c>
      <c r="F635" s="4" t="s">
        <v>914</v>
      </c>
      <c r="G635" s="4" t="s">
        <v>914</v>
      </c>
      <c r="H635" s="4"/>
      <c r="I635" s="4"/>
      <c r="J635" s="4" t="s">
        <v>59</v>
      </c>
      <c r="K635" s="4" t="s">
        <v>58</v>
      </c>
      <c r="L635" s="4" t="s">
        <v>57</v>
      </c>
      <c r="M635" s="4" t="s">
        <v>32</v>
      </c>
      <c r="N635" s="4" t="s">
        <v>266</v>
      </c>
      <c r="O635" s="4" t="s">
        <v>55</v>
      </c>
      <c r="P635" s="4" t="s">
        <v>54</v>
      </c>
      <c r="Q635" s="5">
        <v>32263.09</v>
      </c>
      <c r="R635" s="10">
        <v>0</v>
      </c>
      <c r="S635" s="9">
        <f t="shared" si="20"/>
        <v>32263.09</v>
      </c>
      <c r="T635" s="4" t="s">
        <v>53</v>
      </c>
      <c r="U635" s="4" t="s">
        <v>117</v>
      </c>
      <c r="V635" s="4"/>
      <c r="W635" s="4">
        <v>-10</v>
      </c>
      <c r="X635" s="4" t="s">
        <v>94</v>
      </c>
      <c r="Y635" s="4"/>
      <c r="Z635" s="7" t="s">
        <v>14</v>
      </c>
      <c r="AA635" s="36" t="s">
        <v>22</v>
      </c>
      <c r="AB635" s="4" t="s">
        <v>2835</v>
      </c>
      <c r="AC635" s="22">
        <f t="shared" si="21"/>
        <v>12.652192156862744</v>
      </c>
      <c r="AD635" s="23">
        <v>0</v>
      </c>
    </row>
    <row r="636" spans="1:30" x14ac:dyDescent="0.35">
      <c r="A636" s="7">
        <v>659</v>
      </c>
      <c r="B636" s="6">
        <v>45857</v>
      </c>
      <c r="C636" s="6">
        <v>45857</v>
      </c>
      <c r="D636" s="4" t="s">
        <v>913</v>
      </c>
      <c r="E636" s="4" t="s">
        <v>61</v>
      </c>
      <c r="F636" s="4" t="s">
        <v>912</v>
      </c>
      <c r="G636" s="4" t="s">
        <v>912</v>
      </c>
      <c r="H636" s="4"/>
      <c r="I636" s="4"/>
      <c r="J636" s="4" t="s">
        <v>59</v>
      </c>
      <c r="K636" s="4" t="s">
        <v>58</v>
      </c>
      <c r="L636" s="4" t="s">
        <v>57</v>
      </c>
      <c r="M636" s="4" t="s">
        <v>32</v>
      </c>
      <c r="N636" s="4" t="s">
        <v>266</v>
      </c>
      <c r="O636" s="4" t="s">
        <v>55</v>
      </c>
      <c r="P636" s="4" t="s">
        <v>54</v>
      </c>
      <c r="Q636" s="5">
        <v>245850.56</v>
      </c>
      <c r="R636" s="10">
        <v>0</v>
      </c>
      <c r="S636" s="9">
        <f t="shared" si="20"/>
        <v>245850.56</v>
      </c>
      <c r="T636" s="4" t="s">
        <v>53</v>
      </c>
      <c r="U636" s="4" t="s">
        <v>271</v>
      </c>
      <c r="V636" s="4"/>
      <c r="W636" s="4">
        <v>-60</v>
      </c>
      <c r="X636" s="4" t="s">
        <v>124</v>
      </c>
      <c r="Y636" s="4"/>
      <c r="Z636" s="7" t="s">
        <v>14</v>
      </c>
      <c r="AA636" s="36" t="s">
        <v>22</v>
      </c>
      <c r="AB636" s="4" t="s">
        <v>2835</v>
      </c>
      <c r="AC636" s="22">
        <f t="shared" si="21"/>
        <v>96.411984313725483</v>
      </c>
      <c r="AD636" s="23">
        <v>0</v>
      </c>
    </row>
    <row r="637" spans="1:30" hidden="1" x14ac:dyDescent="0.35">
      <c r="A637" s="7">
        <v>660</v>
      </c>
      <c r="B637" s="6">
        <v>45857</v>
      </c>
      <c r="C637" s="6">
        <v>45857</v>
      </c>
      <c r="D637" s="4" t="s">
        <v>781</v>
      </c>
      <c r="E637" s="4" t="s">
        <v>61</v>
      </c>
      <c r="F637" s="4" t="s">
        <v>780</v>
      </c>
      <c r="G637" s="4" t="s">
        <v>780</v>
      </c>
      <c r="H637" s="4"/>
      <c r="I637" s="4"/>
      <c r="J637" s="4" t="s">
        <v>59</v>
      </c>
      <c r="K637" s="4" t="s">
        <v>58</v>
      </c>
      <c r="L637" s="4" t="s">
        <v>57</v>
      </c>
      <c r="M637" s="4" t="s">
        <v>32</v>
      </c>
      <c r="N637" s="4" t="s">
        <v>211</v>
      </c>
      <c r="O637" s="4" t="s">
        <v>210</v>
      </c>
      <c r="P637" s="4" t="s">
        <v>210</v>
      </c>
      <c r="Q637" s="5">
        <v>17796.599999999999</v>
      </c>
      <c r="R637" s="10">
        <v>0</v>
      </c>
      <c r="S637" s="9">
        <f t="shared" si="20"/>
        <v>17796.599999999999</v>
      </c>
      <c r="T637" s="4" t="s">
        <v>53</v>
      </c>
      <c r="U637" s="4" t="s">
        <v>238</v>
      </c>
      <c r="V637" s="4"/>
      <c r="W637" s="4">
        <v>-5</v>
      </c>
      <c r="X637" s="4" t="s">
        <v>94</v>
      </c>
      <c r="Y637" s="4"/>
      <c r="Z637" s="7" t="s">
        <v>14</v>
      </c>
      <c r="AA637" s="36" t="s">
        <v>30</v>
      </c>
      <c r="AB637" s="4"/>
      <c r="AC637" s="22">
        <f t="shared" si="21"/>
        <v>6.9790588235294111</v>
      </c>
      <c r="AD637" s="23">
        <v>0</v>
      </c>
    </row>
    <row r="638" spans="1:30" hidden="1" x14ac:dyDescent="0.35">
      <c r="A638" s="7">
        <v>661</v>
      </c>
      <c r="B638" s="6">
        <v>45857</v>
      </c>
      <c r="C638" s="6">
        <v>45857</v>
      </c>
      <c r="D638" s="4" t="s">
        <v>779</v>
      </c>
      <c r="E638" s="4" t="s">
        <v>61</v>
      </c>
      <c r="F638" s="4" t="s">
        <v>778</v>
      </c>
      <c r="G638" s="4" t="s">
        <v>778</v>
      </c>
      <c r="H638" s="4"/>
      <c r="I638" s="4"/>
      <c r="J638" s="4" t="s">
        <v>59</v>
      </c>
      <c r="K638" s="4" t="s">
        <v>58</v>
      </c>
      <c r="L638" s="4" t="s">
        <v>57</v>
      </c>
      <c r="M638" s="4" t="s">
        <v>32</v>
      </c>
      <c r="N638" s="4" t="s">
        <v>211</v>
      </c>
      <c r="O638" s="4" t="s">
        <v>210</v>
      </c>
      <c r="P638" s="4" t="s">
        <v>210</v>
      </c>
      <c r="Q638" s="5">
        <v>39152.519999999997</v>
      </c>
      <c r="R638" s="10">
        <v>0</v>
      </c>
      <c r="S638" s="9">
        <f t="shared" si="20"/>
        <v>39152.519999999997</v>
      </c>
      <c r="T638" s="4" t="s">
        <v>53</v>
      </c>
      <c r="U638" s="4" t="s">
        <v>238</v>
      </c>
      <c r="V638" s="4"/>
      <c r="W638" s="4">
        <v>-11</v>
      </c>
      <c r="X638" s="4" t="s">
        <v>94</v>
      </c>
      <c r="Y638" s="4"/>
      <c r="Z638" s="7" t="s">
        <v>14</v>
      </c>
      <c r="AA638" s="36" t="s">
        <v>30</v>
      </c>
      <c r="AB638" s="4"/>
      <c r="AC638" s="22">
        <f t="shared" si="21"/>
        <v>15.353929411764705</v>
      </c>
      <c r="AD638" s="23">
        <v>0</v>
      </c>
    </row>
    <row r="639" spans="1:30" x14ac:dyDescent="0.35">
      <c r="A639" s="7">
        <v>662</v>
      </c>
      <c r="B639" s="6">
        <v>45860</v>
      </c>
      <c r="C639" s="6">
        <v>45860</v>
      </c>
      <c r="D639" s="4" t="s">
        <v>1036</v>
      </c>
      <c r="E639" s="4" t="s">
        <v>61</v>
      </c>
      <c r="F639" s="4" t="s">
        <v>1035</v>
      </c>
      <c r="G639" s="4" t="s">
        <v>1035</v>
      </c>
      <c r="H639" s="4"/>
      <c r="I639" s="4"/>
      <c r="J639" s="4" t="s">
        <v>59</v>
      </c>
      <c r="K639" s="4" t="s">
        <v>58</v>
      </c>
      <c r="L639" s="4" t="s">
        <v>57</v>
      </c>
      <c r="M639" s="4" t="s">
        <v>32</v>
      </c>
      <c r="N639" s="4" t="s">
        <v>317</v>
      </c>
      <c r="O639" s="4" t="s">
        <v>68</v>
      </c>
      <c r="P639" s="4" t="s">
        <v>54</v>
      </c>
      <c r="Q639" s="5">
        <v>29277.55</v>
      </c>
      <c r="R639" s="10">
        <v>0</v>
      </c>
      <c r="S639" s="9">
        <f t="shared" si="20"/>
        <v>29277.55</v>
      </c>
      <c r="T639" s="4" t="s">
        <v>53</v>
      </c>
      <c r="U639" s="4" t="s">
        <v>409</v>
      </c>
      <c r="V639" s="4"/>
      <c r="W639" s="4">
        <v>-30</v>
      </c>
      <c r="X639" s="4" t="s">
        <v>94</v>
      </c>
      <c r="Y639" s="4"/>
      <c r="Z639" s="7" t="s">
        <v>14</v>
      </c>
      <c r="AA639" s="36" t="s">
        <v>23</v>
      </c>
      <c r="AB639" s="4" t="s">
        <v>2607</v>
      </c>
      <c r="AC639" s="22">
        <f t="shared" si="21"/>
        <v>11.481392156862745</v>
      </c>
      <c r="AD639" s="23">
        <v>0</v>
      </c>
    </row>
    <row r="640" spans="1:30" x14ac:dyDescent="0.35">
      <c r="A640" s="7">
        <v>663</v>
      </c>
      <c r="B640" s="6">
        <v>45860</v>
      </c>
      <c r="C640" s="6">
        <v>45860</v>
      </c>
      <c r="D640" s="4" t="s">
        <v>1034</v>
      </c>
      <c r="E640" s="4" t="s">
        <v>61</v>
      </c>
      <c r="F640" s="4" t="s">
        <v>1033</v>
      </c>
      <c r="G640" s="4" t="s">
        <v>1033</v>
      </c>
      <c r="H640" s="4"/>
      <c r="I640" s="4"/>
      <c r="J640" s="4" t="s">
        <v>59</v>
      </c>
      <c r="K640" s="4" t="s">
        <v>58</v>
      </c>
      <c r="L640" s="4" t="s">
        <v>57</v>
      </c>
      <c r="M640" s="4" t="s">
        <v>32</v>
      </c>
      <c r="N640" s="4" t="s">
        <v>317</v>
      </c>
      <c r="O640" s="4" t="s">
        <v>68</v>
      </c>
      <c r="P640" s="4" t="s">
        <v>54</v>
      </c>
      <c r="Q640" s="5">
        <v>45000</v>
      </c>
      <c r="R640" s="10">
        <v>0</v>
      </c>
      <c r="S640" s="9">
        <f t="shared" si="20"/>
        <v>45000</v>
      </c>
      <c r="T640" s="4" t="s">
        <v>53</v>
      </c>
      <c r="U640" s="4" t="s">
        <v>121</v>
      </c>
      <c r="V640" s="4"/>
      <c r="W640" s="4">
        <v>-3</v>
      </c>
      <c r="X640" s="4" t="s">
        <v>94</v>
      </c>
      <c r="Y640" s="4"/>
      <c r="Z640" s="7" t="s">
        <v>14</v>
      </c>
      <c r="AA640" s="36" t="s">
        <v>23</v>
      </c>
      <c r="AB640" s="4" t="s">
        <v>2607</v>
      </c>
      <c r="AC640" s="22">
        <f t="shared" si="21"/>
        <v>17.647058823529413</v>
      </c>
      <c r="AD640" s="23">
        <v>0</v>
      </c>
    </row>
    <row r="641" spans="1:30" x14ac:dyDescent="0.35">
      <c r="A641" s="7">
        <v>664</v>
      </c>
      <c r="B641" s="6">
        <v>45860</v>
      </c>
      <c r="C641" s="6">
        <v>45860</v>
      </c>
      <c r="D641" s="4" t="s">
        <v>1032</v>
      </c>
      <c r="E641" s="4" t="s">
        <v>61</v>
      </c>
      <c r="F641" s="4" t="s">
        <v>1031</v>
      </c>
      <c r="G641" s="4" t="s">
        <v>1031</v>
      </c>
      <c r="H641" s="4"/>
      <c r="I641" s="4"/>
      <c r="J641" s="4" t="s">
        <v>59</v>
      </c>
      <c r="K641" s="4" t="s">
        <v>58</v>
      </c>
      <c r="L641" s="4" t="s">
        <v>57</v>
      </c>
      <c r="M641" s="4" t="s">
        <v>32</v>
      </c>
      <c r="N641" s="4" t="s">
        <v>317</v>
      </c>
      <c r="O641" s="4" t="s">
        <v>68</v>
      </c>
      <c r="P641" s="4" t="s">
        <v>54</v>
      </c>
      <c r="Q641" s="5">
        <v>48000</v>
      </c>
      <c r="R641" s="10">
        <v>0</v>
      </c>
      <c r="S641" s="9">
        <f t="shared" si="20"/>
        <v>48000</v>
      </c>
      <c r="T641" s="4" t="s">
        <v>53</v>
      </c>
      <c r="U641" s="4" t="s">
        <v>282</v>
      </c>
      <c r="V641" s="4"/>
      <c r="W641" s="4">
        <v>-1</v>
      </c>
      <c r="X641" s="4" t="s">
        <v>94</v>
      </c>
      <c r="Y641" s="4"/>
      <c r="Z641" s="7" t="s">
        <v>14</v>
      </c>
      <c r="AA641" s="36" t="s">
        <v>23</v>
      </c>
      <c r="AB641" s="4" t="s">
        <v>2607</v>
      </c>
      <c r="AC641" s="22">
        <f t="shared" si="21"/>
        <v>18.823529411764707</v>
      </c>
      <c r="AD641" s="23">
        <v>0</v>
      </c>
    </row>
    <row r="642" spans="1:30" x14ac:dyDescent="0.35">
      <c r="A642" s="7">
        <v>665</v>
      </c>
      <c r="B642" s="6">
        <v>45860</v>
      </c>
      <c r="C642" s="6">
        <v>45860</v>
      </c>
      <c r="D642" s="4" t="s">
        <v>1030</v>
      </c>
      <c r="E642" s="4" t="s">
        <v>61</v>
      </c>
      <c r="F642" s="4" t="s">
        <v>1029</v>
      </c>
      <c r="G642" s="4" t="s">
        <v>1029</v>
      </c>
      <c r="H642" s="4"/>
      <c r="I642" s="4"/>
      <c r="J642" s="4" t="s">
        <v>59</v>
      </c>
      <c r="K642" s="4" t="s">
        <v>58</v>
      </c>
      <c r="L642" s="4" t="s">
        <v>57</v>
      </c>
      <c r="M642" s="4" t="s">
        <v>32</v>
      </c>
      <c r="N642" s="4" t="s">
        <v>317</v>
      </c>
      <c r="O642" s="4" t="s">
        <v>68</v>
      </c>
      <c r="P642" s="4" t="s">
        <v>54</v>
      </c>
      <c r="Q642" s="5">
        <v>40975.1</v>
      </c>
      <c r="R642" s="10">
        <v>0</v>
      </c>
      <c r="S642" s="9">
        <f t="shared" si="20"/>
        <v>40975.1</v>
      </c>
      <c r="T642" s="4" t="s">
        <v>53</v>
      </c>
      <c r="U642" s="4" t="s">
        <v>271</v>
      </c>
      <c r="V642" s="4"/>
      <c r="W642" s="4">
        <v>-10</v>
      </c>
      <c r="X642" s="4" t="s">
        <v>124</v>
      </c>
      <c r="Y642" s="4"/>
      <c r="Z642" s="7" t="s">
        <v>14</v>
      </c>
      <c r="AA642" s="36" t="s">
        <v>23</v>
      </c>
      <c r="AB642" s="4" t="s">
        <v>2607</v>
      </c>
      <c r="AC642" s="22">
        <f t="shared" si="21"/>
        <v>16.068666666666665</v>
      </c>
      <c r="AD642" s="23">
        <v>0</v>
      </c>
    </row>
    <row r="643" spans="1:30" x14ac:dyDescent="0.35">
      <c r="A643" s="7">
        <v>666</v>
      </c>
      <c r="B643" s="6">
        <v>45860</v>
      </c>
      <c r="C643" s="6">
        <v>45860</v>
      </c>
      <c r="D643" s="4" t="s">
        <v>927</v>
      </c>
      <c r="E643" s="4" t="s">
        <v>61</v>
      </c>
      <c r="F643" s="4" t="s">
        <v>926</v>
      </c>
      <c r="G643" s="4" t="s">
        <v>926</v>
      </c>
      <c r="H643" s="4"/>
      <c r="I643" s="4"/>
      <c r="J643" s="4" t="s">
        <v>59</v>
      </c>
      <c r="K643" s="4" t="s">
        <v>58</v>
      </c>
      <c r="L643" s="4" t="s">
        <v>57</v>
      </c>
      <c r="M643" s="4" t="s">
        <v>32</v>
      </c>
      <c r="N643" s="4" t="s">
        <v>266</v>
      </c>
      <c r="O643" s="4" t="s">
        <v>55</v>
      </c>
      <c r="P643" s="4" t="s">
        <v>54</v>
      </c>
      <c r="Q643" s="5">
        <v>30567.84</v>
      </c>
      <c r="R643" s="10">
        <v>0</v>
      </c>
      <c r="S643" s="9">
        <f t="shared" ref="S643:S706" si="22">+Q643-R643</f>
        <v>30567.84</v>
      </c>
      <c r="T643" s="4" t="s">
        <v>53</v>
      </c>
      <c r="U643" s="4" t="s">
        <v>925</v>
      </c>
      <c r="V643" s="4"/>
      <c r="W643" s="4">
        <v>-50</v>
      </c>
      <c r="X643" s="4" t="s">
        <v>94</v>
      </c>
      <c r="Y643" s="4"/>
      <c r="Z643" s="7" t="s">
        <v>14</v>
      </c>
      <c r="AA643" s="36" t="s">
        <v>22</v>
      </c>
      <c r="AB643" s="4" t="s">
        <v>2835</v>
      </c>
      <c r="AC643" s="22">
        <f t="shared" si="21"/>
        <v>11.987388235294118</v>
      </c>
      <c r="AD643" s="23">
        <v>0</v>
      </c>
    </row>
    <row r="644" spans="1:30" x14ac:dyDescent="0.35">
      <c r="A644" s="7">
        <v>667</v>
      </c>
      <c r="B644" s="6">
        <v>45860</v>
      </c>
      <c r="C644" s="6">
        <v>45860</v>
      </c>
      <c r="D644" s="4" t="s">
        <v>924</v>
      </c>
      <c r="E644" s="4" t="s">
        <v>61</v>
      </c>
      <c r="F644" s="4" t="s">
        <v>923</v>
      </c>
      <c r="G644" s="4" t="s">
        <v>923</v>
      </c>
      <c r="H644" s="4"/>
      <c r="I644" s="4"/>
      <c r="J644" s="4" t="s">
        <v>59</v>
      </c>
      <c r="K644" s="4" t="s">
        <v>58</v>
      </c>
      <c r="L644" s="4" t="s">
        <v>57</v>
      </c>
      <c r="M644" s="4" t="s">
        <v>32</v>
      </c>
      <c r="N644" s="4" t="s">
        <v>266</v>
      </c>
      <c r="O644" s="4" t="s">
        <v>55</v>
      </c>
      <c r="P644" s="4" t="s">
        <v>54</v>
      </c>
      <c r="Q644" s="5">
        <v>37006.480000000003</v>
      </c>
      <c r="R644" s="10">
        <v>0</v>
      </c>
      <c r="S644" s="9">
        <f t="shared" si="22"/>
        <v>37006.480000000003</v>
      </c>
      <c r="T644" s="4" t="s">
        <v>53</v>
      </c>
      <c r="U644" s="4" t="s">
        <v>922</v>
      </c>
      <c r="V644" s="4"/>
      <c r="W644" s="4">
        <v>-100</v>
      </c>
      <c r="X644" s="4" t="s">
        <v>94</v>
      </c>
      <c r="Y644" s="4"/>
      <c r="Z644" s="7" t="s">
        <v>14</v>
      </c>
      <c r="AA644" s="36" t="s">
        <v>22</v>
      </c>
      <c r="AB644" s="4" t="s">
        <v>2835</v>
      </c>
      <c r="AC644" s="22">
        <f t="shared" si="21"/>
        <v>14.512345098039217</v>
      </c>
      <c r="AD644" s="23">
        <v>0</v>
      </c>
    </row>
    <row r="645" spans="1:30" x14ac:dyDescent="0.35">
      <c r="A645" s="7">
        <v>668</v>
      </c>
      <c r="B645" s="6">
        <v>45860</v>
      </c>
      <c r="C645" s="6">
        <v>45860</v>
      </c>
      <c r="D645" s="4" t="s">
        <v>921</v>
      </c>
      <c r="E645" s="4" t="s">
        <v>61</v>
      </c>
      <c r="F645" s="4" t="s">
        <v>920</v>
      </c>
      <c r="G645" s="4" t="s">
        <v>920</v>
      </c>
      <c r="H645" s="4"/>
      <c r="I645" s="4"/>
      <c r="J645" s="4" t="s">
        <v>59</v>
      </c>
      <c r="K645" s="4" t="s">
        <v>58</v>
      </c>
      <c r="L645" s="4" t="s">
        <v>57</v>
      </c>
      <c r="M645" s="4" t="s">
        <v>32</v>
      </c>
      <c r="N645" s="4" t="s">
        <v>266</v>
      </c>
      <c r="O645" s="4" t="s">
        <v>55</v>
      </c>
      <c r="P645" s="4" t="s">
        <v>54</v>
      </c>
      <c r="Q645" s="5">
        <v>150000</v>
      </c>
      <c r="R645" s="10">
        <v>0</v>
      </c>
      <c r="S645" s="9">
        <f t="shared" si="22"/>
        <v>150000</v>
      </c>
      <c r="T645" s="4" t="s">
        <v>53</v>
      </c>
      <c r="U645" s="4" t="s">
        <v>121</v>
      </c>
      <c r="V645" s="4"/>
      <c r="W645" s="4">
        <v>-10</v>
      </c>
      <c r="X645" s="4" t="s">
        <v>94</v>
      </c>
      <c r="Y645" s="4"/>
      <c r="Z645" s="7" t="s">
        <v>14</v>
      </c>
      <c r="AA645" s="36" t="s">
        <v>22</v>
      </c>
      <c r="AB645" s="4" t="s">
        <v>2835</v>
      </c>
      <c r="AC645" s="22">
        <f t="shared" si="21"/>
        <v>58.823529411764703</v>
      </c>
      <c r="AD645" s="23">
        <v>0</v>
      </c>
    </row>
    <row r="646" spans="1:30" x14ac:dyDescent="0.35">
      <c r="A646" s="7">
        <v>669</v>
      </c>
      <c r="B646" s="6">
        <v>45860</v>
      </c>
      <c r="C646" s="6">
        <v>45860</v>
      </c>
      <c r="D646" s="4" t="s">
        <v>919</v>
      </c>
      <c r="E646" s="4" t="s">
        <v>61</v>
      </c>
      <c r="F646" s="4" t="s">
        <v>918</v>
      </c>
      <c r="G646" s="4" t="s">
        <v>918</v>
      </c>
      <c r="H646" s="4"/>
      <c r="I646" s="4"/>
      <c r="J646" s="4" t="s">
        <v>59</v>
      </c>
      <c r="K646" s="4" t="s">
        <v>58</v>
      </c>
      <c r="L646" s="4" t="s">
        <v>57</v>
      </c>
      <c r="M646" s="4" t="s">
        <v>32</v>
      </c>
      <c r="N646" s="4" t="s">
        <v>266</v>
      </c>
      <c r="O646" s="4" t="s">
        <v>55</v>
      </c>
      <c r="P646" s="4" t="s">
        <v>54</v>
      </c>
      <c r="Q646" s="5">
        <v>16131.55</v>
      </c>
      <c r="R646" s="10">
        <v>0</v>
      </c>
      <c r="S646" s="9">
        <f t="shared" si="22"/>
        <v>16131.55</v>
      </c>
      <c r="T646" s="4" t="s">
        <v>53</v>
      </c>
      <c r="U646" s="4" t="s">
        <v>117</v>
      </c>
      <c r="V646" s="4"/>
      <c r="W646" s="4">
        <v>-5</v>
      </c>
      <c r="X646" s="4" t="s">
        <v>94</v>
      </c>
      <c r="Y646" s="4"/>
      <c r="Z646" s="7" t="s">
        <v>14</v>
      </c>
      <c r="AA646" s="36" t="s">
        <v>22</v>
      </c>
      <c r="AB646" s="4" t="s">
        <v>2835</v>
      </c>
      <c r="AC646" s="22">
        <f t="shared" si="21"/>
        <v>6.3260980392156858</v>
      </c>
      <c r="AD646" s="23">
        <v>0</v>
      </c>
    </row>
    <row r="647" spans="1:30" x14ac:dyDescent="0.35">
      <c r="A647" s="7">
        <v>670</v>
      </c>
      <c r="B647" s="6">
        <v>45860</v>
      </c>
      <c r="C647" s="6">
        <v>45860</v>
      </c>
      <c r="D647" s="4" t="s">
        <v>917</v>
      </c>
      <c r="E647" s="4" t="s">
        <v>61</v>
      </c>
      <c r="F647" s="4" t="s">
        <v>916</v>
      </c>
      <c r="G647" s="4" t="s">
        <v>916</v>
      </c>
      <c r="H647" s="4"/>
      <c r="I647" s="4"/>
      <c r="J647" s="4" t="s">
        <v>59</v>
      </c>
      <c r="K647" s="4" t="s">
        <v>58</v>
      </c>
      <c r="L647" s="4" t="s">
        <v>57</v>
      </c>
      <c r="M647" s="4" t="s">
        <v>32</v>
      </c>
      <c r="N647" s="4" t="s">
        <v>266</v>
      </c>
      <c r="O647" s="4" t="s">
        <v>55</v>
      </c>
      <c r="P647" s="4" t="s">
        <v>54</v>
      </c>
      <c r="Q647" s="5">
        <v>40975.089999999997</v>
      </c>
      <c r="R647" s="10">
        <v>0</v>
      </c>
      <c r="S647" s="9">
        <f t="shared" si="22"/>
        <v>40975.089999999997</v>
      </c>
      <c r="T647" s="4" t="s">
        <v>53</v>
      </c>
      <c r="U647" s="4" t="s">
        <v>271</v>
      </c>
      <c r="V647" s="4"/>
      <c r="W647" s="4">
        <v>-10</v>
      </c>
      <c r="X647" s="4" t="s">
        <v>124</v>
      </c>
      <c r="Y647" s="4"/>
      <c r="Z647" s="7" t="s">
        <v>14</v>
      </c>
      <c r="AA647" s="36" t="s">
        <v>22</v>
      </c>
      <c r="AB647" s="4" t="s">
        <v>2835</v>
      </c>
      <c r="AC647" s="22">
        <f t="shared" si="21"/>
        <v>16.068662745098038</v>
      </c>
      <c r="AD647" s="23">
        <v>0</v>
      </c>
    </row>
    <row r="648" spans="1:30" x14ac:dyDescent="0.35">
      <c r="A648" s="7">
        <v>671</v>
      </c>
      <c r="B648" s="6">
        <v>45860</v>
      </c>
      <c r="C648" s="6">
        <v>45860</v>
      </c>
      <c r="D648" s="4" t="s">
        <v>719</v>
      </c>
      <c r="E648" s="4" t="s">
        <v>61</v>
      </c>
      <c r="F648" s="4" t="s">
        <v>718</v>
      </c>
      <c r="G648" s="4" t="s">
        <v>718</v>
      </c>
      <c r="H648" s="4"/>
      <c r="I648" s="4"/>
      <c r="J648" s="4" t="s">
        <v>59</v>
      </c>
      <c r="K648" s="4" t="s">
        <v>58</v>
      </c>
      <c r="L648" s="4" t="s">
        <v>97</v>
      </c>
      <c r="M648" s="4" t="s">
        <v>34</v>
      </c>
      <c r="N648" s="4" t="s">
        <v>197</v>
      </c>
      <c r="O648" s="4" t="s">
        <v>105</v>
      </c>
      <c r="P648" s="4" t="s">
        <v>54</v>
      </c>
      <c r="Q648" s="5">
        <v>33600.400000000001</v>
      </c>
      <c r="R648" s="10">
        <v>0</v>
      </c>
      <c r="S648" s="9">
        <f t="shared" si="22"/>
        <v>33600.400000000001</v>
      </c>
      <c r="T648" s="4" t="s">
        <v>53</v>
      </c>
      <c r="U648" s="4" t="s">
        <v>111</v>
      </c>
      <c r="V648" s="4"/>
      <c r="W648" s="4">
        <v>-80</v>
      </c>
      <c r="X648" s="4" t="s">
        <v>94</v>
      </c>
      <c r="Y648" s="4"/>
      <c r="Z648" s="7" t="s">
        <v>14</v>
      </c>
      <c r="AA648" s="36" t="s">
        <v>29</v>
      </c>
      <c r="AB648" s="4" t="s">
        <v>2607</v>
      </c>
      <c r="AC648" s="22">
        <f t="shared" si="21"/>
        <v>13.176627450980392</v>
      </c>
      <c r="AD648" s="23">
        <v>0</v>
      </c>
    </row>
    <row r="649" spans="1:30" x14ac:dyDescent="0.35">
      <c r="A649" s="7">
        <v>672</v>
      </c>
      <c r="B649" s="6">
        <v>45860</v>
      </c>
      <c r="C649" s="6">
        <v>45860</v>
      </c>
      <c r="D649" s="4" t="s">
        <v>679</v>
      </c>
      <c r="E649" s="4" t="s">
        <v>61</v>
      </c>
      <c r="F649" s="4" t="s">
        <v>678</v>
      </c>
      <c r="G649" s="4" t="s">
        <v>678</v>
      </c>
      <c r="H649" s="4"/>
      <c r="I649" s="4"/>
      <c r="J649" s="4" t="s">
        <v>59</v>
      </c>
      <c r="K649" s="4" t="s">
        <v>58</v>
      </c>
      <c r="L649" s="4" t="s">
        <v>57</v>
      </c>
      <c r="M649" s="4" t="s">
        <v>32</v>
      </c>
      <c r="N649" s="4" t="s">
        <v>118</v>
      </c>
      <c r="O649" s="4" t="s">
        <v>55</v>
      </c>
      <c r="P649" s="4" t="s">
        <v>126</v>
      </c>
      <c r="Q649" s="5">
        <v>440052.77</v>
      </c>
      <c r="R649" s="10">
        <v>0</v>
      </c>
      <c r="S649" s="9">
        <f t="shared" si="22"/>
        <v>440052.77</v>
      </c>
      <c r="T649" s="4" t="s">
        <v>53</v>
      </c>
      <c r="U649" s="4" t="s">
        <v>677</v>
      </c>
      <c r="V649" s="4"/>
      <c r="W649" s="4">
        <v>-6</v>
      </c>
      <c r="X649" s="4" t="s">
        <v>94</v>
      </c>
      <c r="Y649" s="4"/>
      <c r="Z649" s="7" t="s">
        <v>14</v>
      </c>
      <c r="AA649" s="36" t="s">
        <v>22</v>
      </c>
      <c r="AB649" s="4" t="s">
        <v>2835</v>
      </c>
      <c r="AC649" s="22">
        <f t="shared" si="21"/>
        <v>172.5697137254902</v>
      </c>
      <c r="AD649" s="23">
        <v>0</v>
      </c>
    </row>
    <row r="650" spans="1:30" x14ac:dyDescent="0.35">
      <c r="A650" s="7">
        <v>673</v>
      </c>
      <c r="B650" s="6">
        <v>45861</v>
      </c>
      <c r="C650" s="6">
        <v>45861</v>
      </c>
      <c r="D650" s="4" t="s">
        <v>930</v>
      </c>
      <c r="E650" s="4" t="s">
        <v>61</v>
      </c>
      <c r="F650" s="4" t="s">
        <v>929</v>
      </c>
      <c r="G650" s="4" t="s">
        <v>929</v>
      </c>
      <c r="H650" s="4"/>
      <c r="I650" s="4"/>
      <c r="J650" s="4" t="s">
        <v>59</v>
      </c>
      <c r="K650" s="4" t="s">
        <v>58</v>
      </c>
      <c r="L650" s="4" t="s">
        <v>57</v>
      </c>
      <c r="M650" s="4" t="s">
        <v>32</v>
      </c>
      <c r="N650" s="4" t="s">
        <v>266</v>
      </c>
      <c r="O650" s="4" t="s">
        <v>55</v>
      </c>
      <c r="P650" s="4" t="s">
        <v>54</v>
      </c>
      <c r="Q650" s="5">
        <v>1021550.54</v>
      </c>
      <c r="R650" s="10">
        <v>0</v>
      </c>
      <c r="S650" s="9">
        <f t="shared" si="22"/>
        <v>1021550.54</v>
      </c>
      <c r="T650" s="4" t="s">
        <v>53</v>
      </c>
      <c r="U650" s="4" t="s">
        <v>928</v>
      </c>
      <c r="V650" s="4"/>
      <c r="W650" s="4">
        <v>-63</v>
      </c>
      <c r="X650" s="4" t="s">
        <v>94</v>
      </c>
      <c r="Y650" s="4"/>
      <c r="Z650" s="7" t="s">
        <v>14</v>
      </c>
      <c r="AA650" s="36" t="s">
        <v>22</v>
      </c>
      <c r="AB650" s="4" t="s">
        <v>2835</v>
      </c>
      <c r="AC650" s="22">
        <f t="shared" si="21"/>
        <v>400.60805490196083</v>
      </c>
      <c r="AD650" s="23">
        <v>0</v>
      </c>
    </row>
    <row r="651" spans="1:30" hidden="1" x14ac:dyDescent="0.35">
      <c r="A651" s="7">
        <v>674</v>
      </c>
      <c r="B651" s="6">
        <v>45861</v>
      </c>
      <c r="C651" s="6">
        <v>45861</v>
      </c>
      <c r="D651" s="4" t="s">
        <v>785</v>
      </c>
      <c r="E651" s="4" t="s">
        <v>61</v>
      </c>
      <c r="F651" s="4" t="s">
        <v>784</v>
      </c>
      <c r="G651" s="4" t="s">
        <v>784</v>
      </c>
      <c r="H651" s="4"/>
      <c r="I651" s="4"/>
      <c r="J651" s="4" t="s">
        <v>59</v>
      </c>
      <c r="K651" s="4" t="s">
        <v>58</v>
      </c>
      <c r="L651" s="4" t="s">
        <v>57</v>
      </c>
      <c r="M651" s="4" t="s">
        <v>32</v>
      </c>
      <c r="N651" s="4" t="s">
        <v>211</v>
      </c>
      <c r="O651" s="4" t="s">
        <v>210</v>
      </c>
      <c r="P651" s="4" t="s">
        <v>210</v>
      </c>
      <c r="Q651" s="5">
        <v>7118.64</v>
      </c>
      <c r="R651" s="10">
        <v>0</v>
      </c>
      <c r="S651" s="9">
        <f t="shared" si="22"/>
        <v>7118.64</v>
      </c>
      <c r="T651" s="4" t="s">
        <v>53</v>
      </c>
      <c r="U651" s="4" t="s">
        <v>238</v>
      </c>
      <c r="V651" s="4"/>
      <c r="W651" s="4">
        <v>-2</v>
      </c>
      <c r="X651" s="4" t="s">
        <v>94</v>
      </c>
      <c r="Y651" s="4"/>
      <c r="Z651" s="7" t="s">
        <v>14</v>
      </c>
      <c r="AA651" s="36" t="s">
        <v>30</v>
      </c>
      <c r="AB651" s="4"/>
      <c r="AC651" s="22">
        <f t="shared" si="21"/>
        <v>2.7916235294117646</v>
      </c>
      <c r="AD651" s="23">
        <v>0</v>
      </c>
    </row>
    <row r="652" spans="1:30" hidden="1" x14ac:dyDescent="0.35">
      <c r="A652" s="7">
        <v>675</v>
      </c>
      <c r="B652" s="6">
        <v>45861</v>
      </c>
      <c r="C652" s="6">
        <v>45861</v>
      </c>
      <c r="D652" s="4" t="s">
        <v>783</v>
      </c>
      <c r="E652" s="4" t="s">
        <v>61</v>
      </c>
      <c r="F652" s="4" t="s">
        <v>782</v>
      </c>
      <c r="G652" s="4" t="s">
        <v>782</v>
      </c>
      <c r="H652" s="4"/>
      <c r="I652" s="4"/>
      <c r="J652" s="4" t="s">
        <v>59</v>
      </c>
      <c r="K652" s="4" t="s">
        <v>58</v>
      </c>
      <c r="L652" s="4" t="s">
        <v>57</v>
      </c>
      <c r="M652" s="4" t="s">
        <v>32</v>
      </c>
      <c r="N652" s="4" t="s">
        <v>211</v>
      </c>
      <c r="O652" s="4" t="s">
        <v>210</v>
      </c>
      <c r="P652" s="4" t="s">
        <v>210</v>
      </c>
      <c r="Q652" s="5">
        <v>7118.64</v>
      </c>
      <c r="R652" s="10">
        <v>0</v>
      </c>
      <c r="S652" s="9">
        <f t="shared" si="22"/>
        <v>7118.64</v>
      </c>
      <c r="T652" s="4" t="s">
        <v>53</v>
      </c>
      <c r="U652" s="4" t="s">
        <v>238</v>
      </c>
      <c r="V652" s="4"/>
      <c r="W652" s="4">
        <v>-2</v>
      </c>
      <c r="X652" s="4" t="s">
        <v>94</v>
      </c>
      <c r="Y652" s="4"/>
      <c r="Z652" s="7" t="s">
        <v>14</v>
      </c>
      <c r="AA652" s="36" t="s">
        <v>30</v>
      </c>
      <c r="AB652" s="4"/>
      <c r="AC652" s="22">
        <f t="shared" si="21"/>
        <v>2.7916235294117646</v>
      </c>
      <c r="AD652" s="23">
        <v>0</v>
      </c>
    </row>
    <row r="653" spans="1:30" x14ac:dyDescent="0.35">
      <c r="A653" s="7">
        <v>676</v>
      </c>
      <c r="B653" s="6">
        <v>45861</v>
      </c>
      <c r="C653" s="6">
        <v>45861</v>
      </c>
      <c r="D653" s="4" t="s">
        <v>747</v>
      </c>
      <c r="E653" s="4" t="s">
        <v>61</v>
      </c>
      <c r="F653" s="4" t="s">
        <v>746</v>
      </c>
      <c r="G653" s="4" t="s">
        <v>746</v>
      </c>
      <c r="H653" s="4"/>
      <c r="I653" s="4"/>
      <c r="J653" s="4" t="s">
        <v>59</v>
      </c>
      <c r="K653" s="4" t="s">
        <v>58</v>
      </c>
      <c r="L653" s="4" t="s">
        <v>57</v>
      </c>
      <c r="M653" s="4" t="s">
        <v>32</v>
      </c>
      <c r="N653" s="4" t="s">
        <v>197</v>
      </c>
      <c r="O653" s="4" t="s">
        <v>105</v>
      </c>
      <c r="P653" s="4" t="s">
        <v>54</v>
      </c>
      <c r="Q653" s="5">
        <v>30000</v>
      </c>
      <c r="R653" s="10">
        <v>0</v>
      </c>
      <c r="S653" s="9">
        <f t="shared" si="22"/>
        <v>30000</v>
      </c>
      <c r="T653" s="4" t="s">
        <v>53</v>
      </c>
      <c r="U653" s="4" t="s">
        <v>121</v>
      </c>
      <c r="V653" s="4"/>
      <c r="W653" s="4">
        <v>-2</v>
      </c>
      <c r="X653" s="4" t="s">
        <v>94</v>
      </c>
      <c r="Y653" s="4"/>
      <c r="Z653" s="7" t="s">
        <v>14</v>
      </c>
      <c r="AA653" s="36" t="s">
        <v>29</v>
      </c>
      <c r="AB653" s="4" t="s">
        <v>2607</v>
      </c>
      <c r="AC653" s="22">
        <f t="shared" si="21"/>
        <v>11.764705882352942</v>
      </c>
      <c r="AD653" s="23">
        <v>0</v>
      </c>
    </row>
    <row r="654" spans="1:30" x14ac:dyDescent="0.35">
      <c r="A654" s="7">
        <v>677</v>
      </c>
      <c r="B654" s="6">
        <v>45861</v>
      </c>
      <c r="C654" s="6">
        <v>45861</v>
      </c>
      <c r="D654" s="4" t="s">
        <v>745</v>
      </c>
      <c r="E654" s="4" t="s">
        <v>61</v>
      </c>
      <c r="F654" s="4" t="s">
        <v>744</v>
      </c>
      <c r="G654" s="4" t="s">
        <v>744</v>
      </c>
      <c r="H654" s="4"/>
      <c r="I654" s="4"/>
      <c r="J654" s="4" t="s">
        <v>59</v>
      </c>
      <c r="K654" s="4" t="s">
        <v>58</v>
      </c>
      <c r="L654" s="4" t="s">
        <v>57</v>
      </c>
      <c r="M654" s="4" t="s">
        <v>32</v>
      </c>
      <c r="N654" s="4" t="s">
        <v>197</v>
      </c>
      <c r="O654" s="4" t="s">
        <v>105</v>
      </c>
      <c r="P654" s="4" t="s">
        <v>54</v>
      </c>
      <c r="Q654" s="5">
        <v>48000</v>
      </c>
      <c r="R654" s="10">
        <v>0</v>
      </c>
      <c r="S654" s="9">
        <f t="shared" si="22"/>
        <v>48000</v>
      </c>
      <c r="T654" s="4" t="s">
        <v>53</v>
      </c>
      <c r="U654" s="4" t="s">
        <v>282</v>
      </c>
      <c r="V654" s="4"/>
      <c r="W654" s="4">
        <v>-1</v>
      </c>
      <c r="X654" s="4" t="s">
        <v>94</v>
      </c>
      <c r="Y654" s="4"/>
      <c r="Z654" s="7" t="s">
        <v>14</v>
      </c>
      <c r="AA654" s="36" t="s">
        <v>29</v>
      </c>
      <c r="AB654" s="4" t="s">
        <v>2607</v>
      </c>
      <c r="AC654" s="22">
        <f t="shared" si="21"/>
        <v>18.823529411764707</v>
      </c>
      <c r="AD654" s="23">
        <v>0</v>
      </c>
    </row>
    <row r="655" spans="1:30" x14ac:dyDescent="0.35">
      <c r="A655" s="7">
        <v>678</v>
      </c>
      <c r="B655" s="6">
        <v>45861</v>
      </c>
      <c r="C655" s="6">
        <v>45861</v>
      </c>
      <c r="D655" s="4" t="s">
        <v>676</v>
      </c>
      <c r="E655" s="4" t="s">
        <v>61</v>
      </c>
      <c r="F655" s="4" t="s">
        <v>675</v>
      </c>
      <c r="G655" s="4" t="s">
        <v>675</v>
      </c>
      <c r="H655" s="4"/>
      <c r="I655" s="4"/>
      <c r="J655" s="4" t="s">
        <v>59</v>
      </c>
      <c r="K655" s="4" t="s">
        <v>58</v>
      </c>
      <c r="L655" s="4" t="s">
        <v>57</v>
      </c>
      <c r="M655" s="4" t="s">
        <v>32</v>
      </c>
      <c r="N655" s="4" t="s">
        <v>118</v>
      </c>
      <c r="O655" s="4" t="s">
        <v>55</v>
      </c>
      <c r="P655" s="4" t="s">
        <v>126</v>
      </c>
      <c r="Q655" s="5">
        <v>116568</v>
      </c>
      <c r="R655" s="10">
        <v>0</v>
      </c>
      <c r="S655" s="9">
        <f t="shared" si="22"/>
        <v>116568</v>
      </c>
      <c r="T655" s="4" t="s">
        <v>53</v>
      </c>
      <c r="U655" s="4" t="s">
        <v>674</v>
      </c>
      <c r="V655" s="4"/>
      <c r="W655" s="4">
        <v>-1</v>
      </c>
      <c r="X655" s="4" t="s">
        <v>94</v>
      </c>
      <c r="Y655" s="4"/>
      <c r="Z655" s="7" t="s">
        <v>14</v>
      </c>
      <c r="AA655" s="36" t="s">
        <v>22</v>
      </c>
      <c r="AB655" s="4" t="s">
        <v>2835</v>
      </c>
      <c r="AC655" s="22">
        <f t="shared" si="21"/>
        <v>45.712941176470586</v>
      </c>
      <c r="AD655" s="23">
        <v>0</v>
      </c>
    </row>
    <row r="656" spans="1:30" x14ac:dyDescent="0.35">
      <c r="A656" s="7">
        <v>679</v>
      </c>
      <c r="B656" s="6">
        <v>45862</v>
      </c>
      <c r="C656" s="6">
        <v>45862</v>
      </c>
      <c r="D656" s="4" t="s">
        <v>1038</v>
      </c>
      <c r="E656" s="4" t="s">
        <v>61</v>
      </c>
      <c r="F656" s="4" t="s">
        <v>1037</v>
      </c>
      <c r="G656" s="4" t="s">
        <v>1037</v>
      </c>
      <c r="H656" s="4"/>
      <c r="I656" s="4"/>
      <c r="J656" s="4" t="s">
        <v>59</v>
      </c>
      <c r="K656" s="4" t="s">
        <v>58</v>
      </c>
      <c r="L656" s="4" t="s">
        <v>57</v>
      </c>
      <c r="M656" s="4" t="s">
        <v>32</v>
      </c>
      <c r="N656" s="4" t="s">
        <v>317</v>
      </c>
      <c r="O656" s="4" t="s">
        <v>68</v>
      </c>
      <c r="P656" s="4" t="s">
        <v>54</v>
      </c>
      <c r="Q656" s="5">
        <v>36681.42</v>
      </c>
      <c r="R656" s="10">
        <v>0</v>
      </c>
      <c r="S656" s="9">
        <f t="shared" si="22"/>
        <v>36681.42</v>
      </c>
      <c r="T656" s="4" t="s">
        <v>53</v>
      </c>
      <c r="U656" s="4" t="s">
        <v>925</v>
      </c>
      <c r="V656" s="4"/>
      <c r="W656" s="4">
        <v>-60</v>
      </c>
      <c r="X656" s="4" t="s">
        <v>94</v>
      </c>
      <c r="Y656" s="4"/>
      <c r="Z656" s="7" t="s">
        <v>14</v>
      </c>
      <c r="AA656" s="36" t="s">
        <v>23</v>
      </c>
      <c r="AB656" s="4" t="s">
        <v>2607</v>
      </c>
      <c r="AC656" s="22">
        <f t="shared" si="21"/>
        <v>14.384870588235293</v>
      </c>
      <c r="AD656" s="23">
        <v>0</v>
      </c>
    </row>
    <row r="657" spans="1:30" x14ac:dyDescent="0.35">
      <c r="A657" s="7">
        <v>680</v>
      </c>
      <c r="B657" s="6">
        <v>45862</v>
      </c>
      <c r="C657" s="6">
        <v>45862</v>
      </c>
      <c r="D657" s="4" t="s">
        <v>945</v>
      </c>
      <c r="E657" s="4" t="s">
        <v>61</v>
      </c>
      <c r="F657" s="4" t="s">
        <v>944</v>
      </c>
      <c r="G657" s="4" t="s">
        <v>944</v>
      </c>
      <c r="H657" s="4"/>
      <c r="I657" s="4"/>
      <c r="J657" s="4" t="s">
        <v>59</v>
      </c>
      <c r="K657" s="4" t="s">
        <v>58</v>
      </c>
      <c r="L657" s="4" t="s">
        <v>57</v>
      </c>
      <c r="M657" s="4" t="s">
        <v>32</v>
      </c>
      <c r="N657" s="4" t="s">
        <v>266</v>
      </c>
      <c r="O657" s="4" t="s">
        <v>55</v>
      </c>
      <c r="P657" s="4" t="s">
        <v>54</v>
      </c>
      <c r="Q657" s="5">
        <v>36000</v>
      </c>
      <c r="R657" s="10">
        <v>0</v>
      </c>
      <c r="S657" s="9">
        <f t="shared" si="22"/>
        <v>36000</v>
      </c>
      <c r="T657" s="4" t="s">
        <v>53</v>
      </c>
      <c r="U657" s="4" t="s">
        <v>943</v>
      </c>
      <c r="V657" s="4"/>
      <c r="W657" s="4">
        <v>-2</v>
      </c>
      <c r="X657" s="4" t="s">
        <v>94</v>
      </c>
      <c r="Y657" s="4"/>
      <c r="Z657" s="7" t="s">
        <v>14</v>
      </c>
      <c r="AA657" s="36" t="s">
        <v>22</v>
      </c>
      <c r="AB657" s="4" t="s">
        <v>2835</v>
      </c>
      <c r="AC657" s="22">
        <f t="shared" si="21"/>
        <v>14.117647058823529</v>
      </c>
      <c r="AD657" s="23">
        <v>0</v>
      </c>
    </row>
    <row r="658" spans="1:30" x14ac:dyDescent="0.35">
      <c r="A658" s="7">
        <v>681</v>
      </c>
      <c r="B658" s="6">
        <v>45862</v>
      </c>
      <c r="C658" s="6">
        <v>45862</v>
      </c>
      <c r="D658" s="4" t="s">
        <v>942</v>
      </c>
      <c r="E658" s="4" t="s">
        <v>61</v>
      </c>
      <c r="F658" s="4" t="s">
        <v>941</v>
      </c>
      <c r="G658" s="4" t="s">
        <v>941</v>
      </c>
      <c r="H658" s="4"/>
      <c r="I658" s="4"/>
      <c r="J658" s="4" t="s">
        <v>59</v>
      </c>
      <c r="K658" s="4" t="s">
        <v>58</v>
      </c>
      <c r="L658" s="4" t="s">
        <v>57</v>
      </c>
      <c r="M658" s="4" t="s">
        <v>32</v>
      </c>
      <c r="N658" s="4" t="s">
        <v>266</v>
      </c>
      <c r="O658" s="4" t="s">
        <v>55</v>
      </c>
      <c r="P658" s="4" t="s">
        <v>54</v>
      </c>
      <c r="Q658" s="5">
        <v>45000</v>
      </c>
      <c r="R658" s="10">
        <v>0</v>
      </c>
      <c r="S658" s="9">
        <f t="shared" si="22"/>
        <v>45000</v>
      </c>
      <c r="T658" s="4" t="s">
        <v>53</v>
      </c>
      <c r="U658" s="4" t="s">
        <v>940</v>
      </c>
      <c r="V658" s="4"/>
      <c r="W658" s="4">
        <v>-1</v>
      </c>
      <c r="X658" s="4" t="s">
        <v>94</v>
      </c>
      <c r="Y658" s="4"/>
      <c r="Z658" s="7" t="s">
        <v>14</v>
      </c>
      <c r="AA658" s="36" t="s">
        <v>22</v>
      </c>
      <c r="AB658" s="4" t="s">
        <v>2835</v>
      </c>
      <c r="AC658" s="22">
        <f t="shared" si="21"/>
        <v>17.647058823529413</v>
      </c>
      <c r="AD658" s="23">
        <v>0</v>
      </c>
    </row>
    <row r="659" spans="1:30" x14ac:dyDescent="0.35">
      <c r="A659" s="7">
        <v>682</v>
      </c>
      <c r="B659" s="6">
        <v>45862</v>
      </c>
      <c r="C659" s="6">
        <v>45862</v>
      </c>
      <c r="D659" s="4" t="s">
        <v>939</v>
      </c>
      <c r="E659" s="4" t="s">
        <v>61</v>
      </c>
      <c r="F659" s="4" t="s">
        <v>938</v>
      </c>
      <c r="G659" s="4" t="s">
        <v>938</v>
      </c>
      <c r="H659" s="4"/>
      <c r="I659" s="4"/>
      <c r="J659" s="4" t="s">
        <v>59</v>
      </c>
      <c r="K659" s="4" t="s">
        <v>58</v>
      </c>
      <c r="L659" s="4" t="s">
        <v>57</v>
      </c>
      <c r="M659" s="4" t="s">
        <v>32</v>
      </c>
      <c r="N659" s="4" t="s">
        <v>266</v>
      </c>
      <c r="O659" s="4" t="s">
        <v>55</v>
      </c>
      <c r="P659" s="4" t="s">
        <v>54</v>
      </c>
      <c r="Q659" s="5">
        <v>118562.38</v>
      </c>
      <c r="R659" s="10">
        <v>0</v>
      </c>
      <c r="S659" s="9">
        <f t="shared" si="22"/>
        <v>118562.38</v>
      </c>
      <c r="T659" s="4" t="s">
        <v>53</v>
      </c>
      <c r="U659" s="4" t="s">
        <v>937</v>
      </c>
      <c r="V659" s="4"/>
      <c r="W659" s="4">
        <v>-50</v>
      </c>
      <c r="X659" s="4" t="s">
        <v>94</v>
      </c>
      <c r="Y659" s="4"/>
      <c r="Z659" s="7" t="s">
        <v>14</v>
      </c>
      <c r="AA659" s="36" t="s">
        <v>22</v>
      </c>
      <c r="AB659" s="4" t="s">
        <v>2835</v>
      </c>
      <c r="AC659" s="22">
        <f t="shared" si="21"/>
        <v>46.495050980392158</v>
      </c>
      <c r="AD659" s="23">
        <v>0</v>
      </c>
    </row>
    <row r="660" spans="1:30" x14ac:dyDescent="0.35">
      <c r="A660" s="7">
        <v>683</v>
      </c>
      <c r="B660" s="6">
        <v>45862</v>
      </c>
      <c r="C660" s="6">
        <v>45862</v>
      </c>
      <c r="D660" s="4" t="s">
        <v>936</v>
      </c>
      <c r="E660" s="4" t="s">
        <v>61</v>
      </c>
      <c r="F660" s="4" t="s">
        <v>935</v>
      </c>
      <c r="G660" s="4" t="s">
        <v>935</v>
      </c>
      <c r="H660" s="4"/>
      <c r="I660" s="4"/>
      <c r="J660" s="4" t="s">
        <v>59</v>
      </c>
      <c r="K660" s="4" t="s">
        <v>58</v>
      </c>
      <c r="L660" s="4" t="s">
        <v>57</v>
      </c>
      <c r="M660" s="4" t="s">
        <v>32</v>
      </c>
      <c r="N660" s="4" t="s">
        <v>266</v>
      </c>
      <c r="O660" s="4" t="s">
        <v>55</v>
      </c>
      <c r="P660" s="4" t="s">
        <v>54</v>
      </c>
      <c r="Q660" s="5">
        <v>90000</v>
      </c>
      <c r="R660" s="10">
        <v>0</v>
      </c>
      <c r="S660" s="9">
        <f t="shared" si="22"/>
        <v>90000</v>
      </c>
      <c r="T660" s="4" t="s">
        <v>53</v>
      </c>
      <c r="U660" s="4" t="s">
        <v>121</v>
      </c>
      <c r="V660" s="4"/>
      <c r="W660" s="4">
        <v>-6</v>
      </c>
      <c r="X660" s="4" t="s">
        <v>94</v>
      </c>
      <c r="Y660" s="4"/>
      <c r="Z660" s="7" t="s">
        <v>14</v>
      </c>
      <c r="AA660" s="36" t="s">
        <v>22</v>
      </c>
      <c r="AB660" s="4" t="s">
        <v>2835</v>
      </c>
      <c r="AC660" s="22">
        <f t="shared" si="21"/>
        <v>35.294117647058826</v>
      </c>
      <c r="AD660" s="23">
        <v>0</v>
      </c>
    </row>
    <row r="661" spans="1:30" x14ac:dyDescent="0.35">
      <c r="A661" s="7">
        <v>684</v>
      </c>
      <c r="B661" s="6">
        <v>45862</v>
      </c>
      <c r="C661" s="6">
        <v>45862</v>
      </c>
      <c r="D661" s="4" t="s">
        <v>934</v>
      </c>
      <c r="E661" s="4" t="s">
        <v>61</v>
      </c>
      <c r="F661" s="4" t="s">
        <v>933</v>
      </c>
      <c r="G661" s="4" t="s">
        <v>933</v>
      </c>
      <c r="H661" s="4"/>
      <c r="I661" s="4"/>
      <c r="J661" s="4" t="s">
        <v>59</v>
      </c>
      <c r="K661" s="4" t="s">
        <v>58</v>
      </c>
      <c r="L661" s="4" t="s">
        <v>57</v>
      </c>
      <c r="M661" s="4" t="s">
        <v>32</v>
      </c>
      <c r="N661" s="4" t="s">
        <v>266</v>
      </c>
      <c r="O661" s="4" t="s">
        <v>55</v>
      </c>
      <c r="P661" s="4" t="s">
        <v>54</v>
      </c>
      <c r="Q661" s="5">
        <v>96000</v>
      </c>
      <c r="R661" s="10">
        <v>0</v>
      </c>
      <c r="S661" s="9">
        <f t="shared" si="22"/>
        <v>96000</v>
      </c>
      <c r="T661" s="4" t="s">
        <v>53</v>
      </c>
      <c r="U661" s="4" t="s">
        <v>282</v>
      </c>
      <c r="V661" s="4"/>
      <c r="W661" s="4">
        <v>-2</v>
      </c>
      <c r="X661" s="4" t="s">
        <v>94</v>
      </c>
      <c r="Y661" s="4"/>
      <c r="Z661" s="7" t="s">
        <v>14</v>
      </c>
      <c r="AA661" s="36" t="s">
        <v>22</v>
      </c>
      <c r="AB661" s="4" t="s">
        <v>2835</v>
      </c>
      <c r="AC661" s="22">
        <f t="shared" si="21"/>
        <v>37.647058823529413</v>
      </c>
      <c r="AD661" s="23">
        <v>0</v>
      </c>
    </row>
    <row r="662" spans="1:30" x14ac:dyDescent="0.35">
      <c r="A662" s="7">
        <v>685</v>
      </c>
      <c r="B662" s="6">
        <v>45862</v>
      </c>
      <c r="C662" s="6">
        <v>45862</v>
      </c>
      <c r="D662" s="4" t="s">
        <v>932</v>
      </c>
      <c r="E662" s="4" t="s">
        <v>61</v>
      </c>
      <c r="F662" s="4" t="s">
        <v>931</v>
      </c>
      <c r="G662" s="4" t="s">
        <v>931</v>
      </c>
      <c r="H662" s="4"/>
      <c r="I662" s="4"/>
      <c r="J662" s="4" t="s">
        <v>59</v>
      </c>
      <c r="K662" s="4" t="s">
        <v>58</v>
      </c>
      <c r="L662" s="4" t="s">
        <v>57</v>
      </c>
      <c r="M662" s="4" t="s">
        <v>32</v>
      </c>
      <c r="N662" s="4" t="s">
        <v>266</v>
      </c>
      <c r="O662" s="4" t="s">
        <v>55</v>
      </c>
      <c r="P662" s="4" t="s">
        <v>54</v>
      </c>
      <c r="Q662" s="5">
        <v>40975.089999999997</v>
      </c>
      <c r="R662" s="10">
        <v>0</v>
      </c>
      <c r="S662" s="9">
        <f t="shared" si="22"/>
        <v>40975.089999999997</v>
      </c>
      <c r="T662" s="4" t="s">
        <v>53</v>
      </c>
      <c r="U662" s="4" t="s">
        <v>271</v>
      </c>
      <c r="V662" s="4"/>
      <c r="W662" s="4">
        <v>-10</v>
      </c>
      <c r="X662" s="4" t="s">
        <v>124</v>
      </c>
      <c r="Y662" s="4"/>
      <c r="Z662" s="7" t="s">
        <v>14</v>
      </c>
      <c r="AA662" s="36" t="s">
        <v>22</v>
      </c>
      <c r="AB662" s="4" t="s">
        <v>2835</v>
      </c>
      <c r="AC662" s="22">
        <f t="shared" si="21"/>
        <v>16.068662745098038</v>
      </c>
      <c r="AD662" s="23">
        <v>0</v>
      </c>
    </row>
    <row r="663" spans="1:30" x14ac:dyDescent="0.35">
      <c r="A663" s="7">
        <v>686</v>
      </c>
      <c r="B663" s="6">
        <v>45862</v>
      </c>
      <c r="C663" s="6">
        <v>45862</v>
      </c>
      <c r="D663" s="4" t="s">
        <v>753</v>
      </c>
      <c r="E663" s="4" t="s">
        <v>61</v>
      </c>
      <c r="F663" s="4" t="s">
        <v>752</v>
      </c>
      <c r="G663" s="4" t="s">
        <v>752</v>
      </c>
      <c r="H663" s="4"/>
      <c r="I663" s="4"/>
      <c r="J663" s="4" t="s">
        <v>59</v>
      </c>
      <c r="K663" s="4" t="s">
        <v>58</v>
      </c>
      <c r="L663" s="4" t="s">
        <v>57</v>
      </c>
      <c r="M663" s="4" t="s">
        <v>32</v>
      </c>
      <c r="N663" s="4" t="s">
        <v>197</v>
      </c>
      <c r="O663" s="4" t="s">
        <v>105</v>
      </c>
      <c r="P663" s="4" t="s">
        <v>54</v>
      </c>
      <c r="Q663" s="5">
        <v>9951.27</v>
      </c>
      <c r="R663" s="10">
        <v>0</v>
      </c>
      <c r="S663" s="9">
        <f t="shared" si="22"/>
        <v>9951.27</v>
      </c>
      <c r="T663" s="4" t="s">
        <v>53</v>
      </c>
      <c r="U663" s="4" t="s">
        <v>739</v>
      </c>
      <c r="V663" s="4"/>
      <c r="W663" s="4">
        <v>-1</v>
      </c>
      <c r="X663" s="4" t="s">
        <v>124</v>
      </c>
      <c r="Y663" s="4"/>
      <c r="Z663" s="7" t="s">
        <v>14</v>
      </c>
      <c r="AA663" s="36" t="s">
        <v>29</v>
      </c>
      <c r="AB663" s="4" t="s">
        <v>2607</v>
      </c>
      <c r="AC663" s="22">
        <f t="shared" si="21"/>
        <v>3.902458823529412</v>
      </c>
      <c r="AD663" s="23">
        <v>0</v>
      </c>
    </row>
    <row r="664" spans="1:30" x14ac:dyDescent="0.35">
      <c r="A664" s="7">
        <v>687</v>
      </c>
      <c r="B664" s="6">
        <v>45862</v>
      </c>
      <c r="C664" s="6">
        <v>45862</v>
      </c>
      <c r="D664" s="4" t="s">
        <v>751</v>
      </c>
      <c r="E664" s="4" t="s">
        <v>61</v>
      </c>
      <c r="F664" s="4" t="s">
        <v>750</v>
      </c>
      <c r="G664" s="4" t="s">
        <v>750</v>
      </c>
      <c r="H664" s="4"/>
      <c r="I664" s="4"/>
      <c r="J664" s="4" t="s">
        <v>59</v>
      </c>
      <c r="K664" s="4" t="s">
        <v>58</v>
      </c>
      <c r="L664" s="4" t="s">
        <v>57</v>
      </c>
      <c r="M664" s="4" t="s">
        <v>32</v>
      </c>
      <c r="N664" s="4" t="s">
        <v>197</v>
      </c>
      <c r="O664" s="4" t="s">
        <v>105</v>
      </c>
      <c r="P664" s="4" t="s">
        <v>54</v>
      </c>
      <c r="Q664" s="5">
        <v>77481.84</v>
      </c>
      <c r="R664" s="10">
        <v>0</v>
      </c>
      <c r="S664" s="9">
        <f t="shared" si="22"/>
        <v>77481.84</v>
      </c>
      <c r="T664" s="4" t="s">
        <v>53</v>
      </c>
      <c r="U664" s="4" t="s">
        <v>257</v>
      </c>
      <c r="V664" s="4"/>
      <c r="W664" s="4">
        <v>-8</v>
      </c>
      <c r="X664" s="4" t="s">
        <v>129</v>
      </c>
      <c r="Y664" s="4"/>
      <c r="Z664" s="7" t="s">
        <v>14</v>
      </c>
      <c r="AA664" s="36" t="s">
        <v>29</v>
      </c>
      <c r="AB664" s="4" t="s">
        <v>2607</v>
      </c>
      <c r="AC664" s="22">
        <f t="shared" si="21"/>
        <v>30.385035294117646</v>
      </c>
      <c r="AD664" s="23">
        <v>0</v>
      </c>
    </row>
    <row r="665" spans="1:30" x14ac:dyDescent="0.35">
      <c r="A665" s="7">
        <v>688</v>
      </c>
      <c r="B665" s="6">
        <v>45862</v>
      </c>
      <c r="C665" s="6">
        <v>45862</v>
      </c>
      <c r="D665" s="4" t="s">
        <v>749</v>
      </c>
      <c r="E665" s="4" t="s">
        <v>61</v>
      </c>
      <c r="F665" s="4" t="s">
        <v>748</v>
      </c>
      <c r="G665" s="4" t="s">
        <v>748</v>
      </c>
      <c r="H665" s="4"/>
      <c r="I665" s="4"/>
      <c r="J665" s="4" t="s">
        <v>59</v>
      </c>
      <c r="K665" s="4" t="s">
        <v>58</v>
      </c>
      <c r="L665" s="4" t="s">
        <v>57</v>
      </c>
      <c r="M665" s="4" t="s">
        <v>32</v>
      </c>
      <c r="N665" s="4" t="s">
        <v>197</v>
      </c>
      <c r="O665" s="4" t="s">
        <v>105</v>
      </c>
      <c r="P665" s="4" t="s">
        <v>54</v>
      </c>
      <c r="Q665" s="5">
        <v>117763.11</v>
      </c>
      <c r="R665" s="10">
        <v>0</v>
      </c>
      <c r="S665" s="9">
        <f t="shared" si="22"/>
        <v>117763.11</v>
      </c>
      <c r="T665" s="4" t="s">
        <v>53</v>
      </c>
      <c r="U665" s="4" t="s">
        <v>130</v>
      </c>
      <c r="V665" s="4"/>
      <c r="W665" s="4">
        <v>-8</v>
      </c>
      <c r="X665" s="4" t="s">
        <v>129</v>
      </c>
      <c r="Y665" s="4"/>
      <c r="Z665" s="7" t="s">
        <v>14</v>
      </c>
      <c r="AA665" s="36" t="s">
        <v>29</v>
      </c>
      <c r="AB665" s="4" t="s">
        <v>2607</v>
      </c>
      <c r="AC665" s="22">
        <f t="shared" si="21"/>
        <v>46.181611764705885</v>
      </c>
      <c r="AD665" s="23">
        <v>0</v>
      </c>
    </row>
    <row r="666" spans="1:30" x14ac:dyDescent="0.35">
      <c r="A666" s="7">
        <v>689</v>
      </c>
      <c r="B666" s="6">
        <v>45862</v>
      </c>
      <c r="C666" s="6">
        <v>45862</v>
      </c>
      <c r="D666" s="4" t="s">
        <v>655</v>
      </c>
      <c r="E666" s="4" t="s">
        <v>61</v>
      </c>
      <c r="F666" s="4" t="s">
        <v>654</v>
      </c>
      <c r="G666" s="4" t="s">
        <v>654</v>
      </c>
      <c r="H666" s="4"/>
      <c r="I666" s="4"/>
      <c r="J666" s="4" t="s">
        <v>59</v>
      </c>
      <c r="K666" s="4" t="s">
        <v>58</v>
      </c>
      <c r="L666" s="4" t="s">
        <v>57</v>
      </c>
      <c r="M666" s="4" t="s">
        <v>32</v>
      </c>
      <c r="N666" s="4" t="s">
        <v>118</v>
      </c>
      <c r="O666" s="4" t="s">
        <v>55</v>
      </c>
      <c r="P666" s="4" t="s">
        <v>196</v>
      </c>
      <c r="Q666" s="5">
        <v>918096.07</v>
      </c>
      <c r="R666" s="10">
        <v>0</v>
      </c>
      <c r="S666" s="9">
        <f t="shared" si="22"/>
        <v>918096.07</v>
      </c>
      <c r="T666" s="4" t="s">
        <v>53</v>
      </c>
      <c r="U666" s="4" t="s">
        <v>653</v>
      </c>
      <c r="V666" s="4"/>
      <c r="W666" s="4">
        <v>-4</v>
      </c>
      <c r="X666" s="4" t="s">
        <v>94</v>
      </c>
      <c r="Y666" s="4"/>
      <c r="Z666" s="7" t="s">
        <v>14</v>
      </c>
      <c r="AA666" s="36" t="s">
        <v>22</v>
      </c>
      <c r="AB666" s="4" t="s">
        <v>2835</v>
      </c>
      <c r="AC666" s="22">
        <f t="shared" si="21"/>
        <v>360.03767450980388</v>
      </c>
      <c r="AD666" s="23">
        <v>0</v>
      </c>
    </row>
    <row r="667" spans="1:30" x14ac:dyDescent="0.35">
      <c r="A667" s="7">
        <v>690</v>
      </c>
      <c r="B667" s="6">
        <v>45863</v>
      </c>
      <c r="C667" s="6">
        <v>45863</v>
      </c>
      <c r="D667" s="4" t="s">
        <v>953</v>
      </c>
      <c r="E667" s="4" t="s">
        <v>61</v>
      </c>
      <c r="F667" s="4" t="s">
        <v>952</v>
      </c>
      <c r="G667" s="4" t="s">
        <v>952</v>
      </c>
      <c r="H667" s="4"/>
      <c r="I667" s="4"/>
      <c r="J667" s="4" t="s">
        <v>59</v>
      </c>
      <c r="K667" s="4" t="s">
        <v>58</v>
      </c>
      <c r="L667" s="4" t="s">
        <v>57</v>
      </c>
      <c r="M667" s="4" t="s">
        <v>32</v>
      </c>
      <c r="N667" s="4" t="s">
        <v>266</v>
      </c>
      <c r="O667" s="4" t="s">
        <v>55</v>
      </c>
      <c r="P667" s="4" t="s">
        <v>54</v>
      </c>
      <c r="Q667" s="5">
        <v>4263886</v>
      </c>
      <c r="R667" s="10">
        <v>0</v>
      </c>
      <c r="S667" s="9">
        <f t="shared" si="22"/>
        <v>4263886</v>
      </c>
      <c r="T667" s="4" t="s">
        <v>53</v>
      </c>
      <c r="U667" s="4" t="s">
        <v>951</v>
      </c>
      <c r="V667" s="4"/>
      <c r="W667" s="4">
        <v>-1</v>
      </c>
      <c r="X667" s="4" t="s">
        <v>94</v>
      </c>
      <c r="Y667" s="4"/>
      <c r="Z667" s="7" t="s">
        <v>14</v>
      </c>
      <c r="AA667" s="36" t="s">
        <v>22</v>
      </c>
      <c r="AB667" s="4" t="s">
        <v>2835</v>
      </c>
      <c r="AC667" s="22">
        <f t="shared" si="21"/>
        <v>1672.112156862745</v>
      </c>
      <c r="AD667" s="23">
        <v>0</v>
      </c>
    </row>
    <row r="668" spans="1:30" x14ac:dyDescent="0.35">
      <c r="A668" s="7">
        <v>691</v>
      </c>
      <c r="B668" s="6">
        <v>45863</v>
      </c>
      <c r="C668" s="6">
        <v>45863</v>
      </c>
      <c r="D668" s="4" t="s">
        <v>950</v>
      </c>
      <c r="E668" s="4" t="s">
        <v>61</v>
      </c>
      <c r="F668" s="4" t="s">
        <v>949</v>
      </c>
      <c r="G668" s="4" t="s">
        <v>949</v>
      </c>
      <c r="H668" s="4"/>
      <c r="I668" s="4"/>
      <c r="J668" s="4" t="s">
        <v>59</v>
      </c>
      <c r="K668" s="4" t="s">
        <v>58</v>
      </c>
      <c r="L668" s="4" t="s">
        <v>57</v>
      </c>
      <c r="M668" s="4" t="s">
        <v>32</v>
      </c>
      <c r="N668" s="4" t="s">
        <v>266</v>
      </c>
      <c r="O668" s="4" t="s">
        <v>55</v>
      </c>
      <c r="P668" s="4" t="s">
        <v>54</v>
      </c>
      <c r="Q668" s="5">
        <v>512883</v>
      </c>
      <c r="R668" s="10">
        <v>0</v>
      </c>
      <c r="S668" s="9">
        <f t="shared" si="22"/>
        <v>512883</v>
      </c>
      <c r="T668" s="4" t="s">
        <v>53</v>
      </c>
      <c r="U668" s="4" t="s">
        <v>948</v>
      </c>
      <c r="V668" s="4"/>
      <c r="W668" s="4">
        <v>-1</v>
      </c>
      <c r="X668" s="4" t="s">
        <v>94</v>
      </c>
      <c r="Y668" s="4"/>
      <c r="Z668" s="7" t="s">
        <v>14</v>
      </c>
      <c r="AA668" s="36" t="s">
        <v>22</v>
      </c>
      <c r="AB668" s="4" t="s">
        <v>2835</v>
      </c>
      <c r="AC668" s="22">
        <f t="shared" si="21"/>
        <v>201.13058823529411</v>
      </c>
      <c r="AD668" s="23">
        <v>0</v>
      </c>
    </row>
    <row r="669" spans="1:30" x14ac:dyDescent="0.35">
      <c r="A669" s="7">
        <v>692</v>
      </c>
      <c r="B669" s="6">
        <v>45863</v>
      </c>
      <c r="C669" s="6">
        <v>45863</v>
      </c>
      <c r="D669" s="4" t="s">
        <v>947</v>
      </c>
      <c r="E669" s="4" t="s">
        <v>61</v>
      </c>
      <c r="F669" s="4" t="s">
        <v>946</v>
      </c>
      <c r="G669" s="4" t="s">
        <v>946</v>
      </c>
      <c r="H669" s="4"/>
      <c r="I669" s="4"/>
      <c r="J669" s="4" t="s">
        <v>59</v>
      </c>
      <c r="K669" s="4" t="s">
        <v>58</v>
      </c>
      <c r="L669" s="4" t="s">
        <v>57</v>
      </c>
      <c r="M669" s="4" t="s">
        <v>32</v>
      </c>
      <c r="N669" s="4" t="s">
        <v>266</v>
      </c>
      <c r="O669" s="4" t="s">
        <v>55</v>
      </c>
      <c r="P669" s="4" t="s">
        <v>54</v>
      </c>
      <c r="Q669" s="5">
        <v>49554.76</v>
      </c>
      <c r="R669" s="10">
        <v>0</v>
      </c>
      <c r="S669" s="9">
        <f t="shared" si="22"/>
        <v>49554.76</v>
      </c>
      <c r="T669" s="4" t="s">
        <v>53</v>
      </c>
      <c r="U669" s="4" t="s">
        <v>884</v>
      </c>
      <c r="V669" s="4"/>
      <c r="W669" s="4">
        <v>-70</v>
      </c>
      <c r="X669" s="4" t="s">
        <v>94</v>
      </c>
      <c r="Y669" s="4"/>
      <c r="Z669" s="7" t="s">
        <v>14</v>
      </c>
      <c r="AA669" s="36" t="s">
        <v>22</v>
      </c>
      <c r="AB669" s="4" t="s">
        <v>2835</v>
      </c>
      <c r="AC669" s="22">
        <f t="shared" si="21"/>
        <v>19.433239215686275</v>
      </c>
      <c r="AD669" s="23">
        <v>0</v>
      </c>
    </row>
    <row r="670" spans="1:30" hidden="1" x14ac:dyDescent="0.35">
      <c r="A670" s="7">
        <v>693</v>
      </c>
      <c r="B670" s="6">
        <v>45863</v>
      </c>
      <c r="C670" s="6">
        <v>45863</v>
      </c>
      <c r="D670" s="4" t="s">
        <v>787</v>
      </c>
      <c r="E670" s="4" t="s">
        <v>61</v>
      </c>
      <c r="F670" s="4" t="s">
        <v>786</v>
      </c>
      <c r="G670" s="4" t="s">
        <v>786</v>
      </c>
      <c r="H670" s="4"/>
      <c r="I670" s="4"/>
      <c r="J670" s="4" t="s">
        <v>59</v>
      </c>
      <c r="K670" s="4" t="s">
        <v>58</v>
      </c>
      <c r="L670" s="4" t="s">
        <v>57</v>
      </c>
      <c r="M670" s="4" t="s">
        <v>32</v>
      </c>
      <c r="N670" s="4" t="s">
        <v>211</v>
      </c>
      <c r="O670" s="4" t="s">
        <v>210</v>
      </c>
      <c r="P670" s="4" t="s">
        <v>210</v>
      </c>
      <c r="Q670" s="5">
        <v>204875.47</v>
      </c>
      <c r="R670" s="10">
        <v>0</v>
      </c>
      <c r="S670" s="9">
        <f t="shared" si="22"/>
        <v>204875.47</v>
      </c>
      <c r="T670" s="4" t="s">
        <v>53</v>
      </c>
      <c r="U670" s="4" t="s">
        <v>271</v>
      </c>
      <c r="V670" s="4"/>
      <c r="W670" s="4">
        <v>-50</v>
      </c>
      <c r="X670" s="4" t="s">
        <v>124</v>
      </c>
      <c r="Y670" s="4"/>
      <c r="Z670" s="7" t="s">
        <v>14</v>
      </c>
      <c r="AA670" s="36" t="s">
        <v>30</v>
      </c>
      <c r="AB670" s="4"/>
      <c r="AC670" s="22">
        <f t="shared" si="21"/>
        <v>80.343321568627445</v>
      </c>
      <c r="AD670" s="23">
        <v>0</v>
      </c>
    </row>
    <row r="671" spans="1:30" x14ac:dyDescent="0.35">
      <c r="A671" s="7">
        <v>694</v>
      </c>
      <c r="B671" s="6">
        <v>45864</v>
      </c>
      <c r="C671" s="6">
        <v>45864</v>
      </c>
      <c r="D671" s="4" t="s">
        <v>987</v>
      </c>
      <c r="E671" s="4" t="s">
        <v>61</v>
      </c>
      <c r="F671" s="4" t="s">
        <v>986</v>
      </c>
      <c r="G671" s="4" t="s">
        <v>986</v>
      </c>
      <c r="H671" s="4"/>
      <c r="I671" s="4"/>
      <c r="J671" s="4" t="s">
        <v>59</v>
      </c>
      <c r="K671" s="4" t="s">
        <v>58</v>
      </c>
      <c r="L671" s="4" t="s">
        <v>57</v>
      </c>
      <c r="M671" s="4" t="s">
        <v>32</v>
      </c>
      <c r="N671" s="4" t="s">
        <v>317</v>
      </c>
      <c r="O671" s="4" t="s">
        <v>55</v>
      </c>
      <c r="P671" s="4" t="s">
        <v>54</v>
      </c>
      <c r="Q671" s="5">
        <v>21147.49</v>
      </c>
      <c r="R671" s="10">
        <v>0</v>
      </c>
      <c r="S671" s="9">
        <f t="shared" si="22"/>
        <v>21147.49</v>
      </c>
      <c r="T671" s="4" t="s">
        <v>53</v>
      </c>
      <c r="U671" s="4" t="s">
        <v>985</v>
      </c>
      <c r="V671" s="4"/>
      <c r="W671" s="4">
        <v>-1</v>
      </c>
      <c r="X671" s="4" t="s">
        <v>94</v>
      </c>
      <c r="Y671" s="4"/>
      <c r="Z671" s="7" t="s">
        <v>14</v>
      </c>
      <c r="AA671" s="36" t="s">
        <v>23</v>
      </c>
      <c r="AB671" s="4" t="s">
        <v>2607</v>
      </c>
      <c r="AC671" s="22">
        <f t="shared" si="21"/>
        <v>8.2931333333333335</v>
      </c>
      <c r="AD671" s="23">
        <v>0</v>
      </c>
    </row>
    <row r="672" spans="1:30" x14ac:dyDescent="0.35">
      <c r="A672" s="7">
        <v>695</v>
      </c>
      <c r="B672" s="6">
        <v>45864</v>
      </c>
      <c r="C672" s="6">
        <v>45864</v>
      </c>
      <c r="D672" s="4" t="s">
        <v>959</v>
      </c>
      <c r="E672" s="4" t="s">
        <v>61</v>
      </c>
      <c r="F672" s="4" t="s">
        <v>958</v>
      </c>
      <c r="G672" s="4" t="s">
        <v>958</v>
      </c>
      <c r="H672" s="4"/>
      <c r="I672" s="4"/>
      <c r="J672" s="4" t="s">
        <v>59</v>
      </c>
      <c r="K672" s="4" t="s">
        <v>58</v>
      </c>
      <c r="L672" s="4" t="s">
        <v>57</v>
      </c>
      <c r="M672" s="4" t="s">
        <v>32</v>
      </c>
      <c r="N672" s="4" t="s">
        <v>266</v>
      </c>
      <c r="O672" s="4" t="s">
        <v>55</v>
      </c>
      <c r="P672" s="4" t="s">
        <v>54</v>
      </c>
      <c r="Q672" s="5">
        <v>1897858</v>
      </c>
      <c r="R672" s="10">
        <v>0</v>
      </c>
      <c r="S672" s="9">
        <f t="shared" si="22"/>
        <v>1897858</v>
      </c>
      <c r="T672" s="4" t="s">
        <v>53</v>
      </c>
      <c r="U672" s="4" t="s">
        <v>957</v>
      </c>
      <c r="V672" s="4"/>
      <c r="W672" s="4">
        <v>-21</v>
      </c>
      <c r="X672" s="4" t="s">
        <v>94</v>
      </c>
      <c r="Y672" s="4"/>
      <c r="Z672" s="7" t="s">
        <v>14</v>
      </c>
      <c r="AA672" s="36" t="s">
        <v>22</v>
      </c>
      <c r="AB672" s="4" t="s">
        <v>2835</v>
      </c>
      <c r="AC672" s="22">
        <f t="shared" si="21"/>
        <v>744.25803921568627</v>
      </c>
      <c r="AD672" s="23">
        <v>0</v>
      </c>
    </row>
    <row r="673" spans="1:30" x14ac:dyDescent="0.35">
      <c r="A673" s="7">
        <v>696</v>
      </c>
      <c r="B673" s="6">
        <v>45864</v>
      </c>
      <c r="C673" s="6">
        <v>45864</v>
      </c>
      <c r="D673" s="4" t="s">
        <v>956</v>
      </c>
      <c r="E673" s="4" t="s">
        <v>61</v>
      </c>
      <c r="F673" s="4" t="s">
        <v>955</v>
      </c>
      <c r="G673" s="4" t="s">
        <v>955</v>
      </c>
      <c r="H673" s="4"/>
      <c r="I673" s="4"/>
      <c r="J673" s="4" t="s">
        <v>59</v>
      </c>
      <c r="K673" s="4" t="s">
        <v>58</v>
      </c>
      <c r="L673" s="4" t="s">
        <v>57</v>
      </c>
      <c r="M673" s="4" t="s">
        <v>32</v>
      </c>
      <c r="N673" s="4" t="s">
        <v>266</v>
      </c>
      <c r="O673" s="4" t="s">
        <v>55</v>
      </c>
      <c r="P673" s="4" t="s">
        <v>54</v>
      </c>
      <c r="Q673" s="5">
        <v>360292.35</v>
      </c>
      <c r="R673" s="10">
        <v>0</v>
      </c>
      <c r="S673" s="9">
        <f t="shared" si="22"/>
        <v>360292.35</v>
      </c>
      <c r="T673" s="4" t="s">
        <v>53</v>
      </c>
      <c r="U673" s="4" t="s">
        <v>954</v>
      </c>
      <c r="V673" s="4"/>
      <c r="W673" s="4">
        <v>-21</v>
      </c>
      <c r="X673" s="4" t="s">
        <v>94</v>
      </c>
      <c r="Y673" s="4"/>
      <c r="Z673" s="7" t="s">
        <v>14</v>
      </c>
      <c r="AA673" s="36" t="s">
        <v>22</v>
      </c>
      <c r="AB673" s="4" t="s">
        <v>2835</v>
      </c>
      <c r="AC673" s="22">
        <f t="shared" si="21"/>
        <v>141.29111764705883</v>
      </c>
      <c r="AD673" s="23">
        <v>0</v>
      </c>
    </row>
    <row r="674" spans="1:30" hidden="1" x14ac:dyDescent="0.35">
      <c r="A674" s="7">
        <v>697</v>
      </c>
      <c r="B674" s="6">
        <v>45864</v>
      </c>
      <c r="C674" s="6">
        <v>45864</v>
      </c>
      <c r="D674" s="4" t="s">
        <v>789</v>
      </c>
      <c r="E674" s="4" t="s">
        <v>61</v>
      </c>
      <c r="F674" s="4" t="s">
        <v>788</v>
      </c>
      <c r="G674" s="4" t="s">
        <v>788</v>
      </c>
      <c r="H674" s="4"/>
      <c r="I674" s="4"/>
      <c r="J674" s="4" t="s">
        <v>59</v>
      </c>
      <c r="K674" s="4" t="s">
        <v>58</v>
      </c>
      <c r="L674" s="4" t="s">
        <v>57</v>
      </c>
      <c r="M674" s="4" t="s">
        <v>32</v>
      </c>
      <c r="N674" s="4" t="s">
        <v>211</v>
      </c>
      <c r="O674" s="4" t="s">
        <v>210</v>
      </c>
      <c r="P674" s="4" t="s">
        <v>210</v>
      </c>
      <c r="Q674" s="5">
        <v>54025.35</v>
      </c>
      <c r="R674" s="10">
        <v>0</v>
      </c>
      <c r="S674" s="9">
        <f t="shared" si="22"/>
        <v>54025.35</v>
      </c>
      <c r="T674" s="4" t="s">
        <v>53</v>
      </c>
      <c r="U674" s="4" t="s">
        <v>490</v>
      </c>
      <c r="V674" s="4"/>
      <c r="W674" s="4">
        <v>-15</v>
      </c>
      <c r="X674" s="4" t="s">
        <v>94</v>
      </c>
      <c r="Y674" s="4"/>
      <c r="Z674" s="7" t="s">
        <v>14</v>
      </c>
      <c r="AA674" s="36" t="s">
        <v>30</v>
      </c>
      <c r="AB674" s="4"/>
      <c r="AC674" s="22">
        <f t="shared" si="21"/>
        <v>21.186411764705881</v>
      </c>
      <c r="AD674" s="23">
        <v>0</v>
      </c>
    </row>
    <row r="675" spans="1:30" hidden="1" x14ac:dyDescent="0.35">
      <c r="A675" s="7">
        <v>698</v>
      </c>
      <c r="B675" s="6">
        <v>45866.407361111109</v>
      </c>
      <c r="C675" s="6">
        <v>45866</v>
      </c>
      <c r="D675" s="7" t="s">
        <v>2157</v>
      </c>
      <c r="E675" s="7" t="s">
        <v>1050</v>
      </c>
      <c r="F675" s="7"/>
      <c r="G675" s="7" t="s">
        <v>2156</v>
      </c>
      <c r="H675" s="7"/>
      <c r="I675" s="7"/>
      <c r="J675" s="7" t="s">
        <v>1816</v>
      </c>
      <c r="K675" s="7" t="s">
        <v>1815</v>
      </c>
      <c r="L675" s="7" t="s">
        <v>1956</v>
      </c>
      <c r="M675" s="7" t="s">
        <v>30</v>
      </c>
      <c r="N675" s="7" t="s">
        <v>211</v>
      </c>
      <c r="O675" s="7" t="s">
        <v>210</v>
      </c>
      <c r="P675" s="7" t="s">
        <v>210</v>
      </c>
      <c r="Q675" s="9">
        <v>600000</v>
      </c>
      <c r="R675" s="9">
        <v>0</v>
      </c>
      <c r="S675" s="9">
        <f t="shared" si="22"/>
        <v>600000</v>
      </c>
      <c r="T675" s="4" t="s">
        <v>53</v>
      </c>
      <c r="U675" s="7"/>
      <c r="V675" s="7"/>
      <c r="W675" s="9">
        <v>1</v>
      </c>
      <c r="X675" s="7"/>
      <c r="Y675" s="7"/>
      <c r="Z675" s="7" t="s">
        <v>14</v>
      </c>
      <c r="AA675" s="36" t="s">
        <v>30</v>
      </c>
      <c r="AB675" s="4"/>
      <c r="AC675" s="22">
        <f t="shared" si="21"/>
        <v>235.29411764705881</v>
      </c>
      <c r="AD675" s="23">
        <v>0</v>
      </c>
    </row>
    <row r="676" spans="1:30" hidden="1" x14ac:dyDescent="0.35">
      <c r="A676" s="7">
        <v>699</v>
      </c>
      <c r="B676" s="6">
        <v>45866.346805555557</v>
      </c>
      <c r="C676" s="6">
        <v>45866</v>
      </c>
      <c r="D676" s="7" t="s">
        <v>2155</v>
      </c>
      <c r="E676" s="7" t="s">
        <v>1050</v>
      </c>
      <c r="F676" s="7"/>
      <c r="G676" s="7" t="s">
        <v>2154</v>
      </c>
      <c r="H676" s="7"/>
      <c r="I676" s="7"/>
      <c r="J676" s="7" t="s">
        <v>1816</v>
      </c>
      <c r="K676" s="7" t="s">
        <v>1815</v>
      </c>
      <c r="L676" s="7" t="s">
        <v>1956</v>
      </c>
      <c r="M676" s="7" t="s">
        <v>30</v>
      </c>
      <c r="N676" s="7" t="s">
        <v>211</v>
      </c>
      <c r="O676" s="7" t="s">
        <v>210</v>
      </c>
      <c r="P676" s="7" t="s">
        <v>210</v>
      </c>
      <c r="Q676" s="9">
        <v>36000</v>
      </c>
      <c r="R676" s="9">
        <v>0</v>
      </c>
      <c r="S676" s="9">
        <f t="shared" si="22"/>
        <v>36000</v>
      </c>
      <c r="T676" s="4" t="s">
        <v>53</v>
      </c>
      <c r="U676" s="7"/>
      <c r="V676" s="7"/>
      <c r="W676" s="9">
        <v>1</v>
      </c>
      <c r="X676" s="7"/>
      <c r="Y676" s="7"/>
      <c r="Z676" s="7" t="s">
        <v>14</v>
      </c>
      <c r="AA676" s="36" t="s">
        <v>30</v>
      </c>
      <c r="AB676" s="4"/>
      <c r="AC676" s="22">
        <f t="shared" si="21"/>
        <v>14.117647058823529</v>
      </c>
      <c r="AD676" s="23">
        <v>0</v>
      </c>
    </row>
    <row r="677" spans="1:30" hidden="1" x14ac:dyDescent="0.35">
      <c r="A677" s="7">
        <v>700</v>
      </c>
      <c r="B677" s="6">
        <v>45866.335277777776</v>
      </c>
      <c r="C677" s="6">
        <v>45866</v>
      </c>
      <c r="D677" s="7" t="s">
        <v>2153</v>
      </c>
      <c r="E677" s="7" t="s">
        <v>1050</v>
      </c>
      <c r="F677" s="7"/>
      <c r="G677" s="7" t="s">
        <v>2152</v>
      </c>
      <c r="H677" s="7"/>
      <c r="I677" s="7"/>
      <c r="J677" s="7" t="s">
        <v>1816</v>
      </c>
      <c r="K677" s="7" t="s">
        <v>1815</v>
      </c>
      <c r="L677" s="7" t="s">
        <v>1956</v>
      </c>
      <c r="M677" s="7" t="s">
        <v>30</v>
      </c>
      <c r="N677" s="7" t="s">
        <v>211</v>
      </c>
      <c r="O677" s="7" t="s">
        <v>210</v>
      </c>
      <c r="P677" s="7" t="s">
        <v>210</v>
      </c>
      <c r="Q677" s="9">
        <v>800000</v>
      </c>
      <c r="R677" s="9">
        <v>0</v>
      </c>
      <c r="S677" s="9">
        <f t="shared" si="22"/>
        <v>800000</v>
      </c>
      <c r="T677" s="4" t="s">
        <v>53</v>
      </c>
      <c r="U677" s="7"/>
      <c r="V677" s="7"/>
      <c r="W677" s="9">
        <v>1</v>
      </c>
      <c r="X677" s="7"/>
      <c r="Y677" s="7"/>
      <c r="Z677" s="7" t="s">
        <v>14</v>
      </c>
      <c r="AA677" s="36" t="s">
        <v>30</v>
      </c>
      <c r="AB677" s="4"/>
      <c r="AC677" s="22">
        <f t="shared" si="21"/>
        <v>313.72549019607845</v>
      </c>
      <c r="AD677" s="23">
        <v>0</v>
      </c>
    </row>
    <row r="678" spans="1:30" hidden="1" x14ac:dyDescent="0.35">
      <c r="A678" s="7">
        <v>701</v>
      </c>
      <c r="B678" s="6">
        <v>45866</v>
      </c>
      <c r="C678" s="6">
        <v>45866</v>
      </c>
      <c r="D678" s="7" t="s">
        <v>1746</v>
      </c>
      <c r="E678" s="7" t="s">
        <v>61</v>
      </c>
      <c r="F678" s="7" t="s">
        <v>1745</v>
      </c>
      <c r="G678" s="7" t="s">
        <v>1744</v>
      </c>
      <c r="H678" s="7"/>
      <c r="I678" s="7"/>
      <c r="J678" s="7" t="s">
        <v>59</v>
      </c>
      <c r="K678" s="7" t="s">
        <v>58</v>
      </c>
      <c r="L678" s="7" t="s">
        <v>325</v>
      </c>
      <c r="M678" s="7" t="s">
        <v>1764</v>
      </c>
      <c r="N678" s="7" t="s">
        <v>1699</v>
      </c>
      <c r="O678" s="7" t="s">
        <v>1704</v>
      </c>
      <c r="P678" s="7" t="s">
        <v>1743</v>
      </c>
      <c r="Q678" s="9">
        <v>1150000</v>
      </c>
      <c r="R678" s="9">
        <v>0</v>
      </c>
      <c r="S678" s="9">
        <f t="shared" si="22"/>
        <v>1150000</v>
      </c>
      <c r="T678" s="4" t="s">
        <v>53</v>
      </c>
      <c r="U678" s="7" t="s">
        <v>1711</v>
      </c>
      <c r="V678" s="4"/>
      <c r="W678" s="9">
        <v>-1</v>
      </c>
      <c r="X678" s="7" t="s">
        <v>94</v>
      </c>
      <c r="Y678" s="7"/>
      <c r="Z678" s="7" t="s">
        <v>7</v>
      </c>
      <c r="AA678" s="37" t="s">
        <v>8</v>
      </c>
      <c r="AB678" s="16"/>
      <c r="AC678" s="22">
        <f t="shared" si="21"/>
        <v>450.98039215686276</v>
      </c>
      <c r="AD678" s="23">
        <v>0</v>
      </c>
    </row>
    <row r="679" spans="1:30" hidden="1" x14ac:dyDescent="0.35">
      <c r="A679" s="7">
        <v>702</v>
      </c>
      <c r="B679" s="6">
        <v>45866</v>
      </c>
      <c r="C679" s="6">
        <v>45866</v>
      </c>
      <c r="D679" s="7" t="s">
        <v>1742</v>
      </c>
      <c r="E679" s="7" t="s">
        <v>61</v>
      </c>
      <c r="F679" s="7" t="s">
        <v>1741</v>
      </c>
      <c r="G679" s="7" t="s">
        <v>1740</v>
      </c>
      <c r="H679" s="7"/>
      <c r="I679" s="7"/>
      <c r="J679" s="7" t="s">
        <v>59</v>
      </c>
      <c r="K679" s="7" t="s">
        <v>58</v>
      </c>
      <c r="L679" s="7" t="s">
        <v>325</v>
      </c>
      <c r="M679" s="7" t="s">
        <v>1764</v>
      </c>
      <c r="N679" s="7" t="s">
        <v>1699</v>
      </c>
      <c r="O679" s="7" t="s">
        <v>1704</v>
      </c>
      <c r="P679" s="7" t="s">
        <v>1703</v>
      </c>
      <c r="Q679" s="9">
        <v>1150000</v>
      </c>
      <c r="R679" s="9">
        <v>0</v>
      </c>
      <c r="S679" s="9">
        <f t="shared" si="22"/>
        <v>1150000</v>
      </c>
      <c r="T679" s="4" t="s">
        <v>53</v>
      </c>
      <c r="U679" s="7" t="s">
        <v>1711</v>
      </c>
      <c r="V679" s="4"/>
      <c r="W679" s="9">
        <v>-1</v>
      </c>
      <c r="X679" s="7" t="s">
        <v>94</v>
      </c>
      <c r="Y679" s="7"/>
      <c r="Z679" s="7" t="s">
        <v>7</v>
      </c>
      <c r="AA679" s="37" t="s">
        <v>8</v>
      </c>
      <c r="AB679" s="16"/>
      <c r="AC679" s="22">
        <f t="shared" si="21"/>
        <v>450.98039215686276</v>
      </c>
      <c r="AD679" s="23">
        <v>0</v>
      </c>
    </row>
    <row r="680" spans="1:30" hidden="1" x14ac:dyDescent="0.35">
      <c r="A680" s="7">
        <v>703</v>
      </c>
      <c r="B680" s="6">
        <v>45866</v>
      </c>
      <c r="C680" s="6">
        <v>45866</v>
      </c>
      <c r="D680" s="7" t="s">
        <v>1739</v>
      </c>
      <c r="E680" s="7" t="s">
        <v>61</v>
      </c>
      <c r="F680" s="7" t="s">
        <v>1738</v>
      </c>
      <c r="G680" s="7" t="s">
        <v>1738</v>
      </c>
      <c r="H680" s="7"/>
      <c r="I680" s="7"/>
      <c r="J680" s="7" t="s">
        <v>59</v>
      </c>
      <c r="K680" s="7" t="s">
        <v>58</v>
      </c>
      <c r="L680" s="7" t="s">
        <v>325</v>
      </c>
      <c r="M680" s="7" t="s">
        <v>1764</v>
      </c>
      <c r="N680" s="7" t="s">
        <v>1699</v>
      </c>
      <c r="O680" s="7" t="s">
        <v>1704</v>
      </c>
      <c r="P680" s="7" t="s">
        <v>1703</v>
      </c>
      <c r="Q680" s="11">
        <v>338983.05</v>
      </c>
      <c r="R680" s="9">
        <v>0</v>
      </c>
      <c r="S680" s="9">
        <f t="shared" si="22"/>
        <v>338983.05</v>
      </c>
      <c r="T680" s="4" t="s">
        <v>53</v>
      </c>
      <c r="U680" s="7" t="s">
        <v>1737</v>
      </c>
      <c r="V680" s="4"/>
      <c r="W680" s="9">
        <v>-1</v>
      </c>
      <c r="X680" s="7" t="s">
        <v>94</v>
      </c>
      <c r="Y680" s="7"/>
      <c r="Z680" s="7" t="s">
        <v>5</v>
      </c>
      <c r="AA680" s="37" t="s">
        <v>6</v>
      </c>
      <c r="AB680" s="16"/>
      <c r="AC680" s="22">
        <f t="shared" si="21"/>
        <v>132.93452941176471</v>
      </c>
      <c r="AD680" s="23">
        <v>0</v>
      </c>
    </row>
    <row r="681" spans="1:30" hidden="1" x14ac:dyDescent="0.35">
      <c r="A681" s="7">
        <v>704</v>
      </c>
      <c r="B681" s="6">
        <v>45866</v>
      </c>
      <c r="C681" s="6">
        <v>45866</v>
      </c>
      <c r="D681" s="7" t="s">
        <v>1736</v>
      </c>
      <c r="E681" s="7" t="s">
        <v>61</v>
      </c>
      <c r="F681" s="7" t="s">
        <v>1735</v>
      </c>
      <c r="G681" s="7" t="s">
        <v>1735</v>
      </c>
      <c r="H681" s="7"/>
      <c r="I681" s="7"/>
      <c r="J681" s="7" t="s">
        <v>59</v>
      </c>
      <c r="K681" s="7" t="s">
        <v>58</v>
      </c>
      <c r="L681" s="7" t="s">
        <v>325</v>
      </c>
      <c r="M681" s="7" t="s">
        <v>33</v>
      </c>
      <c r="N681" s="7" t="s">
        <v>1699</v>
      </c>
      <c r="O681" s="7" t="s">
        <v>1704</v>
      </c>
      <c r="P681" s="7" t="s">
        <v>1703</v>
      </c>
      <c r="Q681" s="9">
        <v>2605084.7400000002</v>
      </c>
      <c r="R681" s="9">
        <v>0</v>
      </c>
      <c r="S681" s="9">
        <f t="shared" si="22"/>
        <v>2605084.7400000002</v>
      </c>
      <c r="T681" s="4" t="s">
        <v>53</v>
      </c>
      <c r="U681" s="7" t="s">
        <v>1702</v>
      </c>
      <c r="V681" s="4"/>
      <c r="W681" s="9">
        <v>-2</v>
      </c>
      <c r="X681" s="7" t="s">
        <v>94</v>
      </c>
      <c r="Y681" s="7"/>
      <c r="Z681" s="7" t="s">
        <v>7</v>
      </c>
      <c r="AA681" s="37" t="s">
        <v>9</v>
      </c>
      <c r="AB681" s="16"/>
      <c r="AC681" s="22">
        <f t="shared" si="21"/>
        <v>1021.6018588235295</v>
      </c>
      <c r="AD681" s="23">
        <v>0</v>
      </c>
    </row>
    <row r="682" spans="1:30" x14ac:dyDescent="0.35">
      <c r="A682" s="7">
        <v>705</v>
      </c>
      <c r="B682" s="6">
        <v>45866</v>
      </c>
      <c r="C682" s="6">
        <v>45866</v>
      </c>
      <c r="D682" s="4" t="s">
        <v>1042</v>
      </c>
      <c r="E682" s="4" t="s">
        <v>61</v>
      </c>
      <c r="F682" s="4" t="s">
        <v>1041</v>
      </c>
      <c r="G682" s="4" t="s">
        <v>1041</v>
      </c>
      <c r="H682" s="4"/>
      <c r="I682" s="4"/>
      <c r="J682" s="4" t="s">
        <v>59</v>
      </c>
      <c r="K682" s="4" t="s">
        <v>58</v>
      </c>
      <c r="L682" s="4" t="s">
        <v>57</v>
      </c>
      <c r="M682" s="4" t="s">
        <v>32</v>
      </c>
      <c r="N682" s="4" t="s">
        <v>317</v>
      </c>
      <c r="O682" s="4" t="s">
        <v>68</v>
      </c>
      <c r="P682" s="4" t="s">
        <v>54</v>
      </c>
      <c r="Q682" s="5">
        <v>22584.16</v>
      </c>
      <c r="R682" s="10">
        <v>0</v>
      </c>
      <c r="S682" s="9">
        <f t="shared" si="22"/>
        <v>22584.16</v>
      </c>
      <c r="T682" s="4" t="s">
        <v>53</v>
      </c>
      <c r="U682" s="4" t="s">
        <v>117</v>
      </c>
      <c r="V682" s="4"/>
      <c r="W682" s="4">
        <v>-7</v>
      </c>
      <c r="X682" s="4" t="s">
        <v>94</v>
      </c>
      <c r="Y682" s="4"/>
      <c r="Z682" s="7" t="s">
        <v>14</v>
      </c>
      <c r="AA682" s="36" t="s">
        <v>23</v>
      </c>
      <c r="AB682" s="4" t="s">
        <v>2607</v>
      </c>
      <c r="AC682" s="22">
        <f t="shared" si="21"/>
        <v>8.8565333333333331</v>
      </c>
      <c r="AD682" s="23">
        <v>0</v>
      </c>
    </row>
    <row r="683" spans="1:30" x14ac:dyDescent="0.35">
      <c r="A683" s="7">
        <v>706</v>
      </c>
      <c r="B683" s="6">
        <v>45866</v>
      </c>
      <c r="C683" s="6">
        <v>45866</v>
      </c>
      <c r="D683" s="4" t="s">
        <v>1040</v>
      </c>
      <c r="E683" s="4" t="s">
        <v>61</v>
      </c>
      <c r="F683" s="4" t="s">
        <v>1039</v>
      </c>
      <c r="G683" s="4" t="s">
        <v>1039</v>
      </c>
      <c r="H683" s="4"/>
      <c r="I683" s="4"/>
      <c r="J683" s="4" t="s">
        <v>59</v>
      </c>
      <c r="K683" s="4" t="s">
        <v>58</v>
      </c>
      <c r="L683" s="4" t="s">
        <v>57</v>
      </c>
      <c r="M683" s="4" t="s">
        <v>32</v>
      </c>
      <c r="N683" s="4" t="s">
        <v>317</v>
      </c>
      <c r="O683" s="4" t="s">
        <v>68</v>
      </c>
      <c r="P683" s="4" t="s">
        <v>54</v>
      </c>
      <c r="Q683" s="5">
        <v>40975.1</v>
      </c>
      <c r="R683" s="10">
        <v>0</v>
      </c>
      <c r="S683" s="9">
        <f t="shared" si="22"/>
        <v>40975.1</v>
      </c>
      <c r="T683" s="4" t="s">
        <v>53</v>
      </c>
      <c r="U683" s="4" t="s">
        <v>271</v>
      </c>
      <c r="V683" s="4"/>
      <c r="W683" s="4">
        <v>-10</v>
      </c>
      <c r="X683" s="4" t="s">
        <v>124</v>
      </c>
      <c r="Y683" s="4"/>
      <c r="Z683" s="7" t="s">
        <v>14</v>
      </c>
      <c r="AA683" s="36" t="s">
        <v>23</v>
      </c>
      <c r="AB683" s="4" t="s">
        <v>2607</v>
      </c>
      <c r="AC683" s="22">
        <f t="shared" ref="AC683:AC746" si="23">+S683/$AC$1</f>
        <v>16.068666666666665</v>
      </c>
      <c r="AD683" s="23">
        <v>0</v>
      </c>
    </row>
    <row r="684" spans="1:30" x14ac:dyDescent="0.35">
      <c r="A684" s="7">
        <v>707</v>
      </c>
      <c r="B684" s="6">
        <v>45866</v>
      </c>
      <c r="C684" s="6">
        <v>45866</v>
      </c>
      <c r="D684" s="4" t="s">
        <v>964</v>
      </c>
      <c r="E684" s="4" t="s">
        <v>61</v>
      </c>
      <c r="F684" s="4" t="s">
        <v>963</v>
      </c>
      <c r="G684" s="4" t="s">
        <v>963</v>
      </c>
      <c r="H684" s="4"/>
      <c r="I684" s="4"/>
      <c r="J684" s="4" t="s">
        <v>59</v>
      </c>
      <c r="K684" s="4" t="s">
        <v>58</v>
      </c>
      <c r="L684" s="4" t="s">
        <v>57</v>
      </c>
      <c r="M684" s="4" t="s">
        <v>32</v>
      </c>
      <c r="N684" s="4" t="s">
        <v>266</v>
      </c>
      <c r="O684" s="4" t="s">
        <v>55</v>
      </c>
      <c r="P684" s="4" t="s">
        <v>54</v>
      </c>
      <c r="Q684" s="5">
        <v>4946.66</v>
      </c>
      <c r="R684" s="10">
        <v>0</v>
      </c>
      <c r="S684" s="9">
        <f t="shared" si="22"/>
        <v>4946.66</v>
      </c>
      <c r="T684" s="4" t="s">
        <v>53</v>
      </c>
      <c r="U684" s="4" t="s">
        <v>320</v>
      </c>
      <c r="V684" s="4"/>
      <c r="W684" s="4">
        <v>-9</v>
      </c>
      <c r="X684" s="4" t="s">
        <v>94</v>
      </c>
      <c r="Y684" s="4"/>
      <c r="Z684" s="7" t="s">
        <v>14</v>
      </c>
      <c r="AA684" s="36" t="s">
        <v>22</v>
      </c>
      <c r="AB684" s="4" t="s">
        <v>2835</v>
      </c>
      <c r="AC684" s="22">
        <f t="shared" si="23"/>
        <v>1.9398666666666666</v>
      </c>
      <c r="AD684" s="23">
        <v>0</v>
      </c>
    </row>
    <row r="685" spans="1:30" x14ac:dyDescent="0.35">
      <c r="A685" s="7">
        <v>708</v>
      </c>
      <c r="B685" s="6">
        <v>45866</v>
      </c>
      <c r="C685" s="6">
        <v>45866</v>
      </c>
      <c r="D685" s="4" t="s">
        <v>962</v>
      </c>
      <c r="E685" s="4" t="s">
        <v>61</v>
      </c>
      <c r="F685" s="4" t="s">
        <v>961</v>
      </c>
      <c r="G685" s="4" t="s">
        <v>961</v>
      </c>
      <c r="H685" s="4"/>
      <c r="I685" s="4"/>
      <c r="J685" s="4" t="s">
        <v>59</v>
      </c>
      <c r="K685" s="4" t="s">
        <v>58</v>
      </c>
      <c r="L685" s="4" t="s">
        <v>57</v>
      </c>
      <c r="M685" s="4" t="s">
        <v>32</v>
      </c>
      <c r="N685" s="4" t="s">
        <v>266</v>
      </c>
      <c r="O685" s="4" t="s">
        <v>55</v>
      </c>
      <c r="P685" s="4" t="s">
        <v>54</v>
      </c>
      <c r="Q685" s="5">
        <v>180991.8</v>
      </c>
      <c r="R685" s="10">
        <v>0</v>
      </c>
      <c r="S685" s="9">
        <f t="shared" si="22"/>
        <v>180991.8</v>
      </c>
      <c r="T685" s="4" t="s">
        <v>53</v>
      </c>
      <c r="U685" s="4" t="s">
        <v>960</v>
      </c>
      <c r="V685" s="4"/>
      <c r="W685" s="4">
        <v>-10</v>
      </c>
      <c r="X685" s="4" t="s">
        <v>124</v>
      </c>
      <c r="Y685" s="4"/>
      <c r="Z685" s="7" t="s">
        <v>14</v>
      </c>
      <c r="AA685" s="36" t="s">
        <v>22</v>
      </c>
      <c r="AB685" s="4" t="s">
        <v>2835</v>
      </c>
      <c r="AC685" s="22">
        <f t="shared" si="23"/>
        <v>70.977176470588233</v>
      </c>
      <c r="AD685" s="23">
        <v>0</v>
      </c>
    </row>
    <row r="686" spans="1:30" hidden="1" x14ac:dyDescent="0.35">
      <c r="A686" s="7">
        <v>709</v>
      </c>
      <c r="B686" s="6">
        <v>45866</v>
      </c>
      <c r="C686" s="6">
        <v>45866</v>
      </c>
      <c r="D686" s="4" t="s">
        <v>791</v>
      </c>
      <c r="E686" s="4" t="s">
        <v>61</v>
      </c>
      <c r="F686" s="4" t="s">
        <v>790</v>
      </c>
      <c r="G686" s="4" t="s">
        <v>790</v>
      </c>
      <c r="H686" s="4"/>
      <c r="I686" s="4"/>
      <c r="J686" s="4" t="s">
        <v>59</v>
      </c>
      <c r="K686" s="4" t="s">
        <v>58</v>
      </c>
      <c r="L686" s="4" t="s">
        <v>57</v>
      </c>
      <c r="M686" s="4" t="s">
        <v>32</v>
      </c>
      <c r="N686" s="4" t="s">
        <v>211</v>
      </c>
      <c r="O686" s="4" t="s">
        <v>210</v>
      </c>
      <c r="P686" s="4" t="s">
        <v>210</v>
      </c>
      <c r="Q686" s="5">
        <v>7118.64</v>
      </c>
      <c r="R686" s="10">
        <v>0</v>
      </c>
      <c r="S686" s="9">
        <f t="shared" si="22"/>
        <v>7118.64</v>
      </c>
      <c r="T686" s="4" t="s">
        <v>53</v>
      </c>
      <c r="U686" s="4" t="s">
        <v>238</v>
      </c>
      <c r="V686" s="4"/>
      <c r="W686" s="4">
        <v>-2</v>
      </c>
      <c r="X686" s="4" t="s">
        <v>94</v>
      </c>
      <c r="Y686" s="4"/>
      <c r="Z686" s="7" t="s">
        <v>14</v>
      </c>
      <c r="AA686" s="36" t="s">
        <v>30</v>
      </c>
      <c r="AB686" s="4"/>
      <c r="AC686" s="22">
        <f t="shared" si="23"/>
        <v>2.7916235294117646</v>
      </c>
      <c r="AD686" s="23">
        <v>0</v>
      </c>
    </row>
    <row r="687" spans="1:30" x14ac:dyDescent="0.35">
      <c r="A687" s="7">
        <v>710</v>
      </c>
      <c r="B687" s="6">
        <v>45866</v>
      </c>
      <c r="C687" s="6">
        <v>45866</v>
      </c>
      <c r="D687" s="4" t="s">
        <v>673</v>
      </c>
      <c r="E687" s="4" t="s">
        <v>61</v>
      </c>
      <c r="F687" s="4" t="s">
        <v>672</v>
      </c>
      <c r="G687" s="4" t="s">
        <v>672</v>
      </c>
      <c r="H687" s="4"/>
      <c r="I687" s="4"/>
      <c r="J687" s="4" t="s">
        <v>59</v>
      </c>
      <c r="K687" s="4" t="s">
        <v>58</v>
      </c>
      <c r="L687" s="4" t="s">
        <v>57</v>
      </c>
      <c r="M687" s="4" t="s">
        <v>32</v>
      </c>
      <c r="N687" s="4" t="s">
        <v>118</v>
      </c>
      <c r="O687" s="4" t="s">
        <v>55</v>
      </c>
      <c r="P687" s="4" t="s">
        <v>126</v>
      </c>
      <c r="Q687" s="5">
        <v>1084.8</v>
      </c>
      <c r="R687" s="10">
        <v>0</v>
      </c>
      <c r="S687" s="9">
        <f t="shared" si="22"/>
        <v>1084.8</v>
      </c>
      <c r="T687" s="4" t="s">
        <v>53</v>
      </c>
      <c r="U687" s="4" t="s">
        <v>671</v>
      </c>
      <c r="V687" s="4"/>
      <c r="W687" s="4">
        <v>-20</v>
      </c>
      <c r="X687" s="4" t="s">
        <v>94</v>
      </c>
      <c r="Y687" s="4"/>
      <c r="Z687" s="7" t="s">
        <v>14</v>
      </c>
      <c r="AA687" s="36" t="s">
        <v>22</v>
      </c>
      <c r="AB687" s="4" t="s">
        <v>2835</v>
      </c>
      <c r="AC687" s="22">
        <f t="shared" si="23"/>
        <v>0.42541176470588232</v>
      </c>
      <c r="AD687" s="23">
        <v>0</v>
      </c>
    </row>
    <row r="688" spans="1:30" x14ac:dyDescent="0.35">
      <c r="A688" s="7">
        <v>711</v>
      </c>
      <c r="B688" s="6">
        <v>45866</v>
      </c>
      <c r="C688" s="6">
        <v>45866</v>
      </c>
      <c r="D688" s="4" t="s">
        <v>670</v>
      </c>
      <c r="E688" s="4" t="s">
        <v>61</v>
      </c>
      <c r="F688" s="4" t="s">
        <v>669</v>
      </c>
      <c r="G688" s="4" t="s">
        <v>669</v>
      </c>
      <c r="H688" s="4"/>
      <c r="I688" s="4"/>
      <c r="J688" s="4" t="s">
        <v>59</v>
      </c>
      <c r="K688" s="4" t="s">
        <v>58</v>
      </c>
      <c r="L688" s="4" t="s">
        <v>57</v>
      </c>
      <c r="M688" s="4" t="s">
        <v>32</v>
      </c>
      <c r="N688" s="4" t="s">
        <v>118</v>
      </c>
      <c r="O688" s="4" t="s">
        <v>55</v>
      </c>
      <c r="P688" s="4" t="s">
        <v>126</v>
      </c>
      <c r="Q688" s="5">
        <v>2760</v>
      </c>
      <c r="R688" s="10">
        <v>0</v>
      </c>
      <c r="S688" s="9">
        <f t="shared" si="22"/>
        <v>2760</v>
      </c>
      <c r="T688" s="4" t="s">
        <v>53</v>
      </c>
      <c r="U688" s="4" t="s">
        <v>668</v>
      </c>
      <c r="V688" s="4"/>
      <c r="W688" s="4">
        <v>-20</v>
      </c>
      <c r="X688" s="4" t="s">
        <v>94</v>
      </c>
      <c r="Y688" s="4"/>
      <c r="Z688" s="7" t="s">
        <v>14</v>
      </c>
      <c r="AA688" s="36" t="s">
        <v>22</v>
      </c>
      <c r="AB688" s="4" t="s">
        <v>2835</v>
      </c>
      <c r="AC688" s="22">
        <f t="shared" si="23"/>
        <v>1.0823529411764705</v>
      </c>
      <c r="AD688" s="23">
        <v>0</v>
      </c>
    </row>
    <row r="689" spans="1:30" x14ac:dyDescent="0.35">
      <c r="A689" s="7">
        <v>712</v>
      </c>
      <c r="B689" s="6">
        <v>45866</v>
      </c>
      <c r="C689" s="6">
        <v>45866</v>
      </c>
      <c r="D689" s="4" t="s">
        <v>667</v>
      </c>
      <c r="E689" s="4" t="s">
        <v>61</v>
      </c>
      <c r="F689" s="4" t="s">
        <v>666</v>
      </c>
      <c r="G689" s="4" t="s">
        <v>666</v>
      </c>
      <c r="H689" s="4"/>
      <c r="I689" s="4"/>
      <c r="J689" s="4" t="s">
        <v>59</v>
      </c>
      <c r="K689" s="4" t="s">
        <v>58</v>
      </c>
      <c r="L689" s="4" t="s">
        <v>57</v>
      </c>
      <c r="M689" s="4" t="s">
        <v>32</v>
      </c>
      <c r="N689" s="4" t="s">
        <v>118</v>
      </c>
      <c r="O689" s="4" t="s">
        <v>55</v>
      </c>
      <c r="P689" s="4" t="s">
        <v>126</v>
      </c>
      <c r="Q689" s="5">
        <v>322618.11</v>
      </c>
      <c r="R689" s="10">
        <v>0</v>
      </c>
      <c r="S689" s="9">
        <f t="shared" si="22"/>
        <v>322618.11</v>
      </c>
      <c r="T689" s="4" t="s">
        <v>53</v>
      </c>
      <c r="U689" s="4" t="s">
        <v>665</v>
      </c>
      <c r="V689" s="4"/>
      <c r="W689" s="4">
        <v>-20</v>
      </c>
      <c r="X689" s="4" t="s">
        <v>94</v>
      </c>
      <c r="Y689" s="4"/>
      <c r="Z689" s="7" t="s">
        <v>14</v>
      </c>
      <c r="AA689" s="36" t="s">
        <v>22</v>
      </c>
      <c r="AB689" s="4" t="s">
        <v>2835</v>
      </c>
      <c r="AC689" s="22">
        <f t="shared" si="23"/>
        <v>126.51690588235293</v>
      </c>
      <c r="AD689" s="23">
        <v>0</v>
      </c>
    </row>
    <row r="690" spans="1:30" x14ac:dyDescent="0.35">
      <c r="A690" s="7">
        <v>713</v>
      </c>
      <c r="B690" s="6">
        <v>45866</v>
      </c>
      <c r="C690" s="6">
        <v>45866</v>
      </c>
      <c r="D690" s="4" t="s">
        <v>664</v>
      </c>
      <c r="E690" s="4" t="s">
        <v>61</v>
      </c>
      <c r="F690" s="4" t="s">
        <v>663</v>
      </c>
      <c r="G690" s="4" t="s">
        <v>663</v>
      </c>
      <c r="H690" s="4"/>
      <c r="I690" s="4"/>
      <c r="J690" s="4" t="s">
        <v>59</v>
      </c>
      <c r="K690" s="4" t="s">
        <v>58</v>
      </c>
      <c r="L690" s="4" t="s">
        <v>57</v>
      </c>
      <c r="M690" s="4" t="s">
        <v>32</v>
      </c>
      <c r="N690" s="4" t="s">
        <v>118</v>
      </c>
      <c r="O690" s="4" t="s">
        <v>55</v>
      </c>
      <c r="P690" s="4" t="s">
        <v>126</v>
      </c>
      <c r="Q690" s="5">
        <v>2750</v>
      </c>
      <c r="R690" s="10">
        <v>0</v>
      </c>
      <c r="S690" s="9">
        <f t="shared" si="22"/>
        <v>2750</v>
      </c>
      <c r="T690" s="4" t="s">
        <v>53</v>
      </c>
      <c r="U690" s="4" t="s">
        <v>662</v>
      </c>
      <c r="V690" s="4"/>
      <c r="W690" s="4">
        <v>-11</v>
      </c>
      <c r="X690" s="4" t="s">
        <v>94</v>
      </c>
      <c r="Y690" s="4"/>
      <c r="Z690" s="7" t="s">
        <v>14</v>
      </c>
      <c r="AA690" s="36" t="s">
        <v>22</v>
      </c>
      <c r="AB690" s="4" t="s">
        <v>2835</v>
      </c>
      <c r="AC690" s="22">
        <f t="shared" si="23"/>
        <v>1.0784313725490196</v>
      </c>
      <c r="AD690" s="23">
        <v>0</v>
      </c>
    </row>
    <row r="691" spans="1:30" x14ac:dyDescent="0.35">
      <c r="A691" s="7">
        <v>714</v>
      </c>
      <c r="B691" s="6">
        <v>45866</v>
      </c>
      <c r="C691" s="6">
        <v>45866</v>
      </c>
      <c r="D691" s="4" t="s">
        <v>661</v>
      </c>
      <c r="E691" s="4" t="s">
        <v>61</v>
      </c>
      <c r="F691" s="4" t="s">
        <v>660</v>
      </c>
      <c r="G691" s="4" t="s">
        <v>660</v>
      </c>
      <c r="H691" s="4"/>
      <c r="I691" s="4"/>
      <c r="J691" s="4" t="s">
        <v>59</v>
      </c>
      <c r="K691" s="4" t="s">
        <v>58</v>
      </c>
      <c r="L691" s="4" t="s">
        <v>57</v>
      </c>
      <c r="M691" s="4" t="s">
        <v>32</v>
      </c>
      <c r="N691" s="4" t="s">
        <v>118</v>
      </c>
      <c r="O691" s="4" t="s">
        <v>55</v>
      </c>
      <c r="P691" s="4" t="s">
        <v>126</v>
      </c>
      <c r="Q691" s="5">
        <v>146255.16</v>
      </c>
      <c r="R691" s="10">
        <v>0</v>
      </c>
      <c r="S691" s="9">
        <f t="shared" si="22"/>
        <v>146255.16</v>
      </c>
      <c r="T691" s="4" t="s">
        <v>53</v>
      </c>
      <c r="U691" s="4" t="s">
        <v>659</v>
      </c>
      <c r="V691" s="4"/>
      <c r="W691" s="4">
        <v>-3</v>
      </c>
      <c r="X691" s="4" t="s">
        <v>94</v>
      </c>
      <c r="Y691" s="4"/>
      <c r="Z691" s="7" t="s">
        <v>14</v>
      </c>
      <c r="AA691" s="36" t="s">
        <v>22</v>
      </c>
      <c r="AB691" s="4" t="s">
        <v>2835</v>
      </c>
      <c r="AC691" s="22">
        <f t="shared" si="23"/>
        <v>57.354964705882352</v>
      </c>
      <c r="AD691" s="23">
        <v>0</v>
      </c>
    </row>
    <row r="692" spans="1:30" x14ac:dyDescent="0.35">
      <c r="A692" s="7">
        <v>715</v>
      </c>
      <c r="B692" s="6">
        <v>45867.570856481485</v>
      </c>
      <c r="C692" s="6">
        <v>45867</v>
      </c>
      <c r="D692" s="7" t="s">
        <v>2151</v>
      </c>
      <c r="E692" s="7" t="s">
        <v>1819</v>
      </c>
      <c r="F692" s="7" t="s">
        <v>2150</v>
      </c>
      <c r="G692" s="7" t="s">
        <v>2149</v>
      </c>
      <c r="H692" s="7"/>
      <c r="I692" s="7"/>
      <c r="J692" s="7" t="s">
        <v>2148</v>
      </c>
      <c r="K692" s="7" t="s">
        <v>1815</v>
      </c>
      <c r="L692" s="7" t="s">
        <v>2147</v>
      </c>
      <c r="M692" s="7" t="s">
        <v>4</v>
      </c>
      <c r="N692" s="7" t="s">
        <v>2146</v>
      </c>
      <c r="O692" s="7" t="s">
        <v>105</v>
      </c>
      <c r="P692" s="7" t="s">
        <v>1775</v>
      </c>
      <c r="Q692" s="9">
        <v>4500000</v>
      </c>
      <c r="R692" s="9">
        <v>0</v>
      </c>
      <c r="S692" s="9">
        <f t="shared" si="22"/>
        <v>4500000</v>
      </c>
      <c r="T692" s="4" t="s">
        <v>53</v>
      </c>
      <c r="U692" s="7"/>
      <c r="V692" s="7"/>
      <c r="W692" s="9">
        <v>1</v>
      </c>
      <c r="X692" s="7"/>
      <c r="Y692" s="7"/>
      <c r="Z692" s="7" t="s">
        <v>2</v>
      </c>
      <c r="AA692" s="36" t="s">
        <v>4</v>
      </c>
      <c r="AB692" s="4" t="s">
        <v>2604</v>
      </c>
      <c r="AC692" s="22">
        <f t="shared" si="23"/>
        <v>1764.7058823529412</v>
      </c>
      <c r="AD692" s="23">
        <v>0</v>
      </c>
    </row>
    <row r="693" spans="1:30" hidden="1" x14ac:dyDescent="0.35">
      <c r="A693" s="7">
        <v>716</v>
      </c>
      <c r="B693" s="6">
        <v>45867.567048611112</v>
      </c>
      <c r="C693" s="6">
        <v>45867</v>
      </c>
      <c r="D693" s="7" t="s">
        <v>2145</v>
      </c>
      <c r="E693" s="7" t="s">
        <v>1819</v>
      </c>
      <c r="F693" s="7" t="s">
        <v>1818</v>
      </c>
      <c r="G693" s="7" t="s">
        <v>2144</v>
      </c>
      <c r="H693" s="7"/>
      <c r="I693" s="7"/>
      <c r="J693" s="7" t="s">
        <v>1816</v>
      </c>
      <c r="K693" s="7" t="s">
        <v>1815</v>
      </c>
      <c r="L693" s="7" t="s">
        <v>1814</v>
      </c>
      <c r="M693" s="7" t="s">
        <v>28</v>
      </c>
      <c r="N693" s="7" t="s">
        <v>1813</v>
      </c>
      <c r="O693" s="7" t="s">
        <v>1704</v>
      </c>
      <c r="P693" s="7" t="s">
        <v>1703</v>
      </c>
      <c r="Q693" s="9">
        <v>743000</v>
      </c>
      <c r="R693" s="9">
        <v>0</v>
      </c>
      <c r="S693" s="9">
        <f t="shared" si="22"/>
        <v>743000</v>
      </c>
      <c r="T693" s="4" t="s">
        <v>53</v>
      </c>
      <c r="U693" s="7"/>
      <c r="V693" s="7"/>
      <c r="W693" s="9">
        <v>1</v>
      </c>
      <c r="X693" s="7"/>
      <c r="Y693" s="7"/>
      <c r="Z693" s="7" t="s">
        <v>14</v>
      </c>
      <c r="AA693" s="36" t="s">
        <v>28</v>
      </c>
      <c r="AB693" s="4"/>
      <c r="AC693" s="22">
        <f t="shared" si="23"/>
        <v>291.37254901960785</v>
      </c>
      <c r="AD693" s="23">
        <v>0</v>
      </c>
    </row>
    <row r="694" spans="1:30" x14ac:dyDescent="0.35">
      <c r="A694" s="7">
        <v>717</v>
      </c>
      <c r="B694" s="6">
        <v>45867</v>
      </c>
      <c r="C694" s="6">
        <v>45867</v>
      </c>
      <c r="D694" s="4" t="s">
        <v>1046</v>
      </c>
      <c r="E694" s="4" t="s">
        <v>61</v>
      </c>
      <c r="F694" s="4" t="s">
        <v>1045</v>
      </c>
      <c r="G694" s="4" t="s">
        <v>1045</v>
      </c>
      <c r="H694" s="4"/>
      <c r="I694" s="4"/>
      <c r="J694" s="4" t="s">
        <v>59</v>
      </c>
      <c r="K694" s="4" t="s">
        <v>58</v>
      </c>
      <c r="L694" s="4" t="s">
        <v>57</v>
      </c>
      <c r="M694" s="4" t="s">
        <v>32</v>
      </c>
      <c r="N694" s="4" t="s">
        <v>317</v>
      </c>
      <c r="O694" s="4" t="s">
        <v>68</v>
      </c>
      <c r="P694" s="4" t="s">
        <v>54</v>
      </c>
      <c r="Q694" s="5">
        <v>48000</v>
      </c>
      <c r="R694" s="10">
        <v>0</v>
      </c>
      <c r="S694" s="9">
        <f t="shared" si="22"/>
        <v>48000</v>
      </c>
      <c r="T694" s="4" t="s">
        <v>53</v>
      </c>
      <c r="U694" s="4" t="s">
        <v>282</v>
      </c>
      <c r="V694" s="4"/>
      <c r="W694" s="4">
        <v>-1</v>
      </c>
      <c r="X694" s="4" t="s">
        <v>94</v>
      </c>
      <c r="Y694" s="4"/>
      <c r="Z694" s="7" t="s">
        <v>14</v>
      </c>
      <c r="AA694" s="36" t="s">
        <v>23</v>
      </c>
      <c r="AB694" s="4" t="s">
        <v>2607</v>
      </c>
      <c r="AC694" s="22">
        <f t="shared" si="23"/>
        <v>18.823529411764707</v>
      </c>
      <c r="AD694" s="23">
        <v>0</v>
      </c>
    </row>
    <row r="695" spans="1:30" x14ac:dyDescent="0.35">
      <c r="A695" s="7">
        <v>718</v>
      </c>
      <c r="B695" s="6">
        <v>45867</v>
      </c>
      <c r="C695" s="6">
        <v>45867</v>
      </c>
      <c r="D695" s="4" t="s">
        <v>1044</v>
      </c>
      <c r="E695" s="4" t="s">
        <v>61</v>
      </c>
      <c r="F695" s="4" t="s">
        <v>1043</v>
      </c>
      <c r="G695" s="4" t="s">
        <v>1043</v>
      </c>
      <c r="H695" s="4"/>
      <c r="I695" s="4"/>
      <c r="J695" s="4" t="s">
        <v>59</v>
      </c>
      <c r="K695" s="4" t="s">
        <v>58</v>
      </c>
      <c r="L695" s="4" t="s">
        <v>57</v>
      </c>
      <c r="M695" s="4" t="s">
        <v>32</v>
      </c>
      <c r="N695" s="4" t="s">
        <v>317</v>
      </c>
      <c r="O695" s="4" t="s">
        <v>68</v>
      </c>
      <c r="P695" s="4" t="s">
        <v>54</v>
      </c>
      <c r="Q695" s="5">
        <v>9678.93</v>
      </c>
      <c r="R695" s="10">
        <v>0</v>
      </c>
      <c r="S695" s="9">
        <f t="shared" si="22"/>
        <v>9678.93</v>
      </c>
      <c r="T695" s="4" t="s">
        <v>53</v>
      </c>
      <c r="U695" s="4" t="s">
        <v>117</v>
      </c>
      <c r="V695" s="4"/>
      <c r="W695" s="4">
        <v>-3</v>
      </c>
      <c r="X695" s="4" t="s">
        <v>94</v>
      </c>
      <c r="Y695" s="4"/>
      <c r="Z695" s="7" t="s">
        <v>14</v>
      </c>
      <c r="AA695" s="36" t="s">
        <v>23</v>
      </c>
      <c r="AB695" s="4" t="s">
        <v>2607</v>
      </c>
      <c r="AC695" s="22">
        <f t="shared" si="23"/>
        <v>3.7956588235294118</v>
      </c>
      <c r="AD695" s="23">
        <v>0</v>
      </c>
    </row>
    <row r="696" spans="1:30" x14ac:dyDescent="0.35">
      <c r="A696" s="7">
        <v>719</v>
      </c>
      <c r="B696" s="6">
        <v>45867</v>
      </c>
      <c r="C696" s="6">
        <v>45867</v>
      </c>
      <c r="D696" s="4" t="s">
        <v>967</v>
      </c>
      <c r="E696" s="4" t="s">
        <v>61</v>
      </c>
      <c r="F696" s="4" t="s">
        <v>966</v>
      </c>
      <c r="G696" s="4" t="s">
        <v>966</v>
      </c>
      <c r="H696" s="4"/>
      <c r="I696" s="4"/>
      <c r="J696" s="4" t="s">
        <v>59</v>
      </c>
      <c r="K696" s="4" t="s">
        <v>58</v>
      </c>
      <c r="L696" s="4" t="s">
        <v>57</v>
      </c>
      <c r="M696" s="4" t="s">
        <v>32</v>
      </c>
      <c r="N696" s="4" t="s">
        <v>266</v>
      </c>
      <c r="O696" s="4" t="s">
        <v>55</v>
      </c>
      <c r="P696" s="4" t="s">
        <v>54</v>
      </c>
      <c r="Q696" s="5">
        <v>69659.87</v>
      </c>
      <c r="R696" s="10">
        <v>0</v>
      </c>
      <c r="S696" s="9">
        <f t="shared" si="22"/>
        <v>69659.87</v>
      </c>
      <c r="T696" s="4" t="s">
        <v>53</v>
      </c>
      <c r="U696" s="4" t="s">
        <v>965</v>
      </c>
      <c r="V696" s="4"/>
      <c r="W696" s="4">
        <v>-1</v>
      </c>
      <c r="X696" s="4" t="s">
        <v>94</v>
      </c>
      <c r="Y696" s="4"/>
      <c r="Z696" s="7" t="s">
        <v>14</v>
      </c>
      <c r="AA696" s="36" t="s">
        <v>22</v>
      </c>
      <c r="AB696" s="4" t="s">
        <v>2835</v>
      </c>
      <c r="AC696" s="22">
        <f t="shared" si="23"/>
        <v>27.317596078431372</v>
      </c>
      <c r="AD696" s="23">
        <v>0</v>
      </c>
    </row>
    <row r="697" spans="1:30" hidden="1" x14ac:dyDescent="0.35">
      <c r="A697" s="7">
        <v>720</v>
      </c>
      <c r="B697" s="6">
        <v>45867</v>
      </c>
      <c r="C697" s="6">
        <v>45867</v>
      </c>
      <c r="D697" s="4" t="s">
        <v>799</v>
      </c>
      <c r="E697" s="4" t="s">
        <v>61</v>
      </c>
      <c r="F697" s="4" t="s">
        <v>798</v>
      </c>
      <c r="G697" s="4" t="s">
        <v>798</v>
      </c>
      <c r="H697" s="4"/>
      <c r="I697" s="4"/>
      <c r="J697" s="4" t="s">
        <v>59</v>
      </c>
      <c r="K697" s="4" t="s">
        <v>58</v>
      </c>
      <c r="L697" s="4" t="s">
        <v>57</v>
      </c>
      <c r="M697" s="4" t="s">
        <v>32</v>
      </c>
      <c r="N697" s="4" t="s">
        <v>211</v>
      </c>
      <c r="O697" s="4" t="s">
        <v>210</v>
      </c>
      <c r="P697" s="4" t="s">
        <v>210</v>
      </c>
      <c r="Q697" s="5">
        <v>8000</v>
      </c>
      <c r="R697" s="10">
        <v>0</v>
      </c>
      <c r="S697" s="9">
        <f t="shared" si="22"/>
        <v>8000</v>
      </c>
      <c r="T697" s="4" t="s">
        <v>53</v>
      </c>
      <c r="U697" s="4" t="s">
        <v>797</v>
      </c>
      <c r="V697" s="4"/>
      <c r="W697" s="4">
        <v>-4</v>
      </c>
      <c r="X697" s="4" t="s">
        <v>94</v>
      </c>
      <c r="Y697" s="4"/>
      <c r="Z697" s="7" t="s">
        <v>14</v>
      </c>
      <c r="AA697" s="36" t="s">
        <v>30</v>
      </c>
      <c r="AB697" s="4"/>
      <c r="AC697" s="22">
        <f t="shared" si="23"/>
        <v>3.1372549019607843</v>
      </c>
      <c r="AD697" s="23">
        <v>0</v>
      </c>
    </row>
    <row r="698" spans="1:30" hidden="1" x14ac:dyDescent="0.35">
      <c r="A698" s="7">
        <v>721</v>
      </c>
      <c r="B698" s="6">
        <v>45867</v>
      </c>
      <c r="C698" s="6">
        <v>45867</v>
      </c>
      <c r="D698" s="4" t="s">
        <v>796</v>
      </c>
      <c r="E698" s="4" t="s">
        <v>61</v>
      </c>
      <c r="F698" s="4" t="s">
        <v>795</v>
      </c>
      <c r="G698" s="4" t="s">
        <v>795</v>
      </c>
      <c r="H698" s="4"/>
      <c r="I698" s="4"/>
      <c r="J698" s="4" t="s">
        <v>59</v>
      </c>
      <c r="K698" s="4" t="s">
        <v>58</v>
      </c>
      <c r="L698" s="4" t="s">
        <v>57</v>
      </c>
      <c r="M698" s="4" t="s">
        <v>32</v>
      </c>
      <c r="N698" s="4" t="s">
        <v>211</v>
      </c>
      <c r="O698" s="4" t="s">
        <v>210</v>
      </c>
      <c r="P698" s="4" t="s">
        <v>210</v>
      </c>
      <c r="Q698" s="5">
        <v>4034.94</v>
      </c>
      <c r="R698" s="10">
        <v>0</v>
      </c>
      <c r="S698" s="9">
        <f t="shared" si="22"/>
        <v>4034.94</v>
      </c>
      <c r="T698" s="4" t="s">
        <v>53</v>
      </c>
      <c r="U698" s="4" t="s">
        <v>794</v>
      </c>
      <c r="V698" s="4"/>
      <c r="W698" s="4">
        <v>-4</v>
      </c>
      <c r="X698" s="4" t="s">
        <v>205</v>
      </c>
      <c r="Y698" s="4"/>
      <c r="Z698" s="7" t="s">
        <v>14</v>
      </c>
      <c r="AA698" s="36" t="s">
        <v>30</v>
      </c>
      <c r="AB698" s="4"/>
      <c r="AC698" s="22">
        <f t="shared" si="23"/>
        <v>1.582329411764706</v>
      </c>
      <c r="AD698" s="23">
        <v>0</v>
      </c>
    </row>
    <row r="699" spans="1:30" hidden="1" x14ac:dyDescent="0.35">
      <c r="A699" s="7">
        <v>722</v>
      </c>
      <c r="B699" s="6">
        <v>45867</v>
      </c>
      <c r="C699" s="6">
        <v>45867</v>
      </c>
      <c r="D699" s="4" t="s">
        <v>793</v>
      </c>
      <c r="E699" s="4" t="s">
        <v>61</v>
      </c>
      <c r="F699" s="4" t="s">
        <v>792</v>
      </c>
      <c r="G699" s="4" t="s">
        <v>792</v>
      </c>
      <c r="H699" s="4"/>
      <c r="I699" s="4"/>
      <c r="J699" s="4" t="s">
        <v>59</v>
      </c>
      <c r="K699" s="4" t="s">
        <v>58</v>
      </c>
      <c r="L699" s="4" t="s">
        <v>57</v>
      </c>
      <c r="M699" s="4" t="s">
        <v>32</v>
      </c>
      <c r="N699" s="4" t="s">
        <v>211</v>
      </c>
      <c r="O699" s="4" t="s">
        <v>210</v>
      </c>
      <c r="P699" s="4" t="s">
        <v>210</v>
      </c>
      <c r="Q699" s="5">
        <v>10677.96</v>
      </c>
      <c r="R699" s="10">
        <v>0</v>
      </c>
      <c r="S699" s="9">
        <f t="shared" si="22"/>
        <v>10677.96</v>
      </c>
      <c r="T699" s="4" t="s">
        <v>53</v>
      </c>
      <c r="U699" s="4" t="s">
        <v>238</v>
      </c>
      <c r="V699" s="4"/>
      <c r="W699" s="4">
        <v>-3</v>
      </c>
      <c r="X699" s="4" t="s">
        <v>94</v>
      </c>
      <c r="Y699" s="4"/>
      <c r="Z699" s="7" t="s">
        <v>14</v>
      </c>
      <c r="AA699" s="36" t="s">
        <v>30</v>
      </c>
      <c r="AB699" s="4"/>
      <c r="AC699" s="22">
        <f t="shared" si="23"/>
        <v>4.1874352941176465</v>
      </c>
      <c r="AD699" s="23">
        <v>0</v>
      </c>
    </row>
    <row r="700" spans="1:30" x14ac:dyDescent="0.35">
      <c r="A700" s="7">
        <v>723</v>
      </c>
      <c r="B700" s="6">
        <v>45867</v>
      </c>
      <c r="C700" s="6">
        <v>45867</v>
      </c>
      <c r="D700" s="4" t="s">
        <v>773</v>
      </c>
      <c r="E700" s="4" t="s">
        <v>61</v>
      </c>
      <c r="F700" s="4" t="s">
        <v>772</v>
      </c>
      <c r="G700" s="4" t="s">
        <v>772</v>
      </c>
      <c r="H700" s="4"/>
      <c r="I700" s="4"/>
      <c r="J700" s="4" t="s">
        <v>59</v>
      </c>
      <c r="K700" s="4" t="s">
        <v>58</v>
      </c>
      <c r="L700" s="4" t="s">
        <v>57</v>
      </c>
      <c r="M700" s="4" t="s">
        <v>32</v>
      </c>
      <c r="N700" s="4" t="s">
        <v>197</v>
      </c>
      <c r="O700" s="4" t="s">
        <v>68</v>
      </c>
      <c r="P700" s="4" t="s">
        <v>54</v>
      </c>
      <c r="Q700" s="5">
        <v>75000</v>
      </c>
      <c r="R700" s="10">
        <v>0</v>
      </c>
      <c r="S700" s="9">
        <f t="shared" si="22"/>
        <v>75000</v>
      </c>
      <c r="T700" s="4" t="s">
        <v>53</v>
      </c>
      <c r="U700" s="4" t="s">
        <v>121</v>
      </c>
      <c r="V700" s="4"/>
      <c r="W700" s="4">
        <v>-5</v>
      </c>
      <c r="X700" s="4" t="s">
        <v>94</v>
      </c>
      <c r="Y700" s="4"/>
      <c r="Z700" s="7" t="s">
        <v>14</v>
      </c>
      <c r="AA700" s="36" t="s">
        <v>29</v>
      </c>
      <c r="AB700" s="4" t="s">
        <v>2607</v>
      </c>
      <c r="AC700" s="22">
        <f t="shared" si="23"/>
        <v>29.411764705882351</v>
      </c>
      <c r="AD700" s="23">
        <v>0</v>
      </c>
    </row>
    <row r="701" spans="1:30" x14ac:dyDescent="0.35">
      <c r="A701" s="7">
        <v>724</v>
      </c>
      <c r="B701" s="6">
        <v>45867</v>
      </c>
      <c r="C701" s="6">
        <v>45867</v>
      </c>
      <c r="D701" s="4" t="s">
        <v>755</v>
      </c>
      <c r="E701" s="4" t="s">
        <v>61</v>
      </c>
      <c r="F701" s="4" t="s">
        <v>754</v>
      </c>
      <c r="G701" s="4" t="s">
        <v>754</v>
      </c>
      <c r="H701" s="4"/>
      <c r="I701" s="4"/>
      <c r="J701" s="4" t="s">
        <v>59</v>
      </c>
      <c r="K701" s="4" t="s">
        <v>58</v>
      </c>
      <c r="L701" s="4" t="s">
        <v>57</v>
      </c>
      <c r="M701" s="4" t="s">
        <v>32</v>
      </c>
      <c r="N701" s="4" t="s">
        <v>197</v>
      </c>
      <c r="O701" s="4" t="s">
        <v>105</v>
      </c>
      <c r="P701" s="4" t="s">
        <v>54</v>
      </c>
      <c r="Q701" s="5">
        <v>2725000</v>
      </c>
      <c r="R701" s="10">
        <v>0</v>
      </c>
      <c r="S701" s="9">
        <f t="shared" si="22"/>
        <v>2725000</v>
      </c>
      <c r="T701" s="4" t="s">
        <v>53</v>
      </c>
      <c r="U701" s="4" t="s">
        <v>339</v>
      </c>
      <c r="V701" s="4"/>
      <c r="W701" s="4">
        <v>-25</v>
      </c>
      <c r="X701" s="4" t="s">
        <v>338</v>
      </c>
      <c r="Y701" s="4"/>
      <c r="Z701" s="7" t="s">
        <v>14</v>
      </c>
      <c r="AA701" s="36" t="s">
        <v>29</v>
      </c>
      <c r="AB701" s="4" t="s">
        <v>2607</v>
      </c>
      <c r="AC701" s="22">
        <f t="shared" si="23"/>
        <v>1068.6274509803923</v>
      </c>
      <c r="AD701" s="23">
        <v>0</v>
      </c>
    </row>
    <row r="702" spans="1:30" x14ac:dyDescent="0.35">
      <c r="A702" s="7">
        <v>725</v>
      </c>
      <c r="B702" s="6">
        <v>45867</v>
      </c>
      <c r="C702" s="6">
        <v>45867</v>
      </c>
      <c r="D702" s="4" t="s">
        <v>725</v>
      </c>
      <c r="E702" s="4" t="s">
        <v>61</v>
      </c>
      <c r="F702" s="4" t="s">
        <v>724</v>
      </c>
      <c r="G702" s="4" t="s">
        <v>724</v>
      </c>
      <c r="H702" s="4"/>
      <c r="I702" s="4"/>
      <c r="J702" s="4" t="s">
        <v>59</v>
      </c>
      <c r="K702" s="4" t="s">
        <v>58</v>
      </c>
      <c r="L702" s="4" t="s">
        <v>57</v>
      </c>
      <c r="M702" s="4" t="s">
        <v>32</v>
      </c>
      <c r="N702" s="4" t="s">
        <v>96</v>
      </c>
      <c r="O702" s="4" t="s">
        <v>68</v>
      </c>
      <c r="P702" s="4" t="s">
        <v>54</v>
      </c>
      <c r="Q702" s="5">
        <v>8087800</v>
      </c>
      <c r="R702" s="10">
        <v>0</v>
      </c>
      <c r="S702" s="9">
        <f t="shared" si="22"/>
        <v>8087800</v>
      </c>
      <c r="T702" s="4" t="s">
        <v>53</v>
      </c>
      <c r="U702" s="4" t="s">
        <v>339</v>
      </c>
      <c r="V702" s="4"/>
      <c r="W702" s="4">
        <v>-74.2</v>
      </c>
      <c r="X702" s="4" t="s">
        <v>338</v>
      </c>
      <c r="Y702" s="4"/>
      <c r="Z702" s="7" t="s">
        <v>14</v>
      </c>
      <c r="AA702" s="36" t="s">
        <v>27</v>
      </c>
      <c r="AB702" s="4" t="s">
        <v>2603</v>
      </c>
      <c r="AC702" s="22">
        <f t="shared" si="23"/>
        <v>3171.6862745098038</v>
      </c>
      <c r="AD702" s="23">
        <v>0</v>
      </c>
    </row>
    <row r="703" spans="1:30" x14ac:dyDescent="0.35">
      <c r="A703" s="7">
        <v>726</v>
      </c>
      <c r="B703" s="6">
        <v>45867</v>
      </c>
      <c r="C703" s="6">
        <v>45867</v>
      </c>
      <c r="D703" s="4" t="s">
        <v>652</v>
      </c>
      <c r="E703" s="4" t="s">
        <v>61</v>
      </c>
      <c r="F703" s="4" t="s">
        <v>651</v>
      </c>
      <c r="G703" s="4" t="s">
        <v>651</v>
      </c>
      <c r="H703" s="4"/>
      <c r="I703" s="4"/>
      <c r="J703" s="4" t="s">
        <v>59</v>
      </c>
      <c r="K703" s="4" t="s">
        <v>58</v>
      </c>
      <c r="L703" s="4" t="s">
        <v>57</v>
      </c>
      <c r="M703" s="4" t="s">
        <v>32</v>
      </c>
      <c r="N703" s="4" t="s">
        <v>118</v>
      </c>
      <c r="O703" s="4" t="s">
        <v>55</v>
      </c>
      <c r="P703" s="4" t="s">
        <v>196</v>
      </c>
      <c r="Q703" s="5">
        <v>168827.87</v>
      </c>
      <c r="R703" s="10">
        <v>0</v>
      </c>
      <c r="S703" s="9">
        <f t="shared" si="22"/>
        <v>168827.87</v>
      </c>
      <c r="T703" s="4" t="s">
        <v>53</v>
      </c>
      <c r="U703" s="4" t="s">
        <v>650</v>
      </c>
      <c r="V703" s="4"/>
      <c r="W703" s="4">
        <v>-1</v>
      </c>
      <c r="X703" s="4" t="s">
        <v>94</v>
      </c>
      <c r="Y703" s="4"/>
      <c r="Z703" s="7" t="s">
        <v>14</v>
      </c>
      <c r="AA703" s="36" t="s">
        <v>22</v>
      </c>
      <c r="AB703" s="4" t="s">
        <v>2835</v>
      </c>
      <c r="AC703" s="22">
        <f t="shared" si="23"/>
        <v>66.207007843137248</v>
      </c>
      <c r="AD703" s="23">
        <v>0</v>
      </c>
    </row>
    <row r="704" spans="1:30" x14ac:dyDescent="0.35">
      <c r="A704" s="7">
        <v>727</v>
      </c>
      <c r="B704" s="6">
        <v>45867</v>
      </c>
      <c r="C704" s="6">
        <v>45867</v>
      </c>
      <c r="D704" s="4" t="s">
        <v>62</v>
      </c>
      <c r="E704" s="4" t="s">
        <v>61</v>
      </c>
      <c r="F704" s="4" t="s">
        <v>60</v>
      </c>
      <c r="G704" s="4" t="s">
        <v>60</v>
      </c>
      <c r="H704" s="4"/>
      <c r="I704" s="4"/>
      <c r="J704" s="4" t="s">
        <v>59</v>
      </c>
      <c r="K704" s="4" t="s">
        <v>58</v>
      </c>
      <c r="L704" s="4" t="s">
        <v>57</v>
      </c>
      <c r="M704" s="4" t="s">
        <v>32</v>
      </c>
      <c r="N704" s="4" t="s">
        <v>56</v>
      </c>
      <c r="O704" s="4" t="s">
        <v>55</v>
      </c>
      <c r="P704" s="4" t="s">
        <v>54</v>
      </c>
      <c r="Q704" s="5">
        <v>1432736.25</v>
      </c>
      <c r="R704" s="4">
        <v>0</v>
      </c>
      <c r="S704" s="9">
        <f t="shared" si="22"/>
        <v>1432736.25</v>
      </c>
      <c r="T704" s="4" t="s">
        <v>53</v>
      </c>
      <c r="U704" s="4" t="s">
        <v>52</v>
      </c>
      <c r="V704" s="4"/>
      <c r="W704" s="4">
        <v>-200</v>
      </c>
      <c r="X704" s="4" t="s">
        <v>51</v>
      </c>
      <c r="Y704" s="4"/>
      <c r="Z704" s="7" t="s">
        <v>14</v>
      </c>
      <c r="AA704" s="36" t="s">
        <v>22</v>
      </c>
      <c r="AB704" s="4" t="s">
        <v>2835</v>
      </c>
      <c r="AC704" s="22">
        <f t="shared" si="23"/>
        <v>561.85735294117649</v>
      </c>
      <c r="AD704" s="23">
        <v>0</v>
      </c>
    </row>
    <row r="705" spans="1:30" x14ac:dyDescent="0.35">
      <c r="A705" s="7">
        <v>728</v>
      </c>
      <c r="B705" s="6">
        <v>45868.594201388885</v>
      </c>
      <c r="C705" s="6">
        <v>45868</v>
      </c>
      <c r="D705" s="7" t="s">
        <v>2143</v>
      </c>
      <c r="E705" s="7" t="s">
        <v>61</v>
      </c>
      <c r="F705" s="7" t="s">
        <v>2142</v>
      </c>
      <c r="G705" s="7" t="s">
        <v>2142</v>
      </c>
      <c r="H705" s="7"/>
      <c r="I705" s="7"/>
      <c r="J705" s="7" t="s">
        <v>1816</v>
      </c>
      <c r="K705" s="7" t="s">
        <v>1815</v>
      </c>
      <c r="L705" s="7" t="s">
        <v>1992</v>
      </c>
      <c r="M705" s="7" t="s">
        <v>18</v>
      </c>
      <c r="N705" s="7" t="s">
        <v>118</v>
      </c>
      <c r="O705" s="7" t="s">
        <v>105</v>
      </c>
      <c r="P705" s="7" t="s">
        <v>1775</v>
      </c>
      <c r="Q705" s="9">
        <v>145000</v>
      </c>
      <c r="R705" s="9">
        <v>0</v>
      </c>
      <c r="S705" s="9">
        <f t="shared" si="22"/>
        <v>145000</v>
      </c>
      <c r="T705" s="4" t="s">
        <v>53</v>
      </c>
      <c r="U705" s="7" t="s">
        <v>2141</v>
      </c>
      <c r="V705" s="7" t="s">
        <v>1990</v>
      </c>
      <c r="W705" s="9">
        <v>-1</v>
      </c>
      <c r="X705" s="7" t="s">
        <v>94</v>
      </c>
      <c r="Y705" s="7"/>
      <c r="Z705" s="7" t="s">
        <v>14</v>
      </c>
      <c r="AA705" s="36" t="s">
        <v>22</v>
      </c>
      <c r="AB705" s="4" t="s">
        <v>2835</v>
      </c>
      <c r="AC705" s="22">
        <f t="shared" si="23"/>
        <v>56.862745098039213</v>
      </c>
      <c r="AD705" s="23">
        <v>0</v>
      </c>
    </row>
    <row r="706" spans="1:30" x14ac:dyDescent="0.35">
      <c r="A706" s="7">
        <v>729</v>
      </c>
      <c r="B706" s="6">
        <v>45868.589270833334</v>
      </c>
      <c r="C706" s="6">
        <v>45868</v>
      </c>
      <c r="D706" s="7" t="s">
        <v>2140</v>
      </c>
      <c r="E706" s="7" t="s">
        <v>61</v>
      </c>
      <c r="F706" s="7" t="s">
        <v>2139</v>
      </c>
      <c r="G706" s="7" t="s">
        <v>2139</v>
      </c>
      <c r="H706" s="7"/>
      <c r="I706" s="7"/>
      <c r="J706" s="7" t="s">
        <v>1816</v>
      </c>
      <c r="K706" s="7" t="s">
        <v>1815</v>
      </c>
      <c r="L706" s="7" t="s">
        <v>1992</v>
      </c>
      <c r="M706" s="7" t="s">
        <v>18</v>
      </c>
      <c r="N706" s="7" t="s">
        <v>118</v>
      </c>
      <c r="O706" s="7" t="s">
        <v>1065</v>
      </c>
      <c r="P706" s="7" t="s">
        <v>54</v>
      </c>
      <c r="Q706" s="9">
        <v>5605600</v>
      </c>
      <c r="R706" s="9">
        <v>0</v>
      </c>
      <c r="S706" s="9">
        <f t="shared" si="22"/>
        <v>5605600</v>
      </c>
      <c r="T706" s="4" t="s">
        <v>53</v>
      </c>
      <c r="U706" s="7" t="s">
        <v>1991</v>
      </c>
      <c r="V706" s="7" t="s">
        <v>1990</v>
      </c>
      <c r="W706" s="9">
        <v>-325</v>
      </c>
      <c r="X706" s="7" t="s">
        <v>124</v>
      </c>
      <c r="Y706" s="7"/>
      <c r="Z706" s="7" t="s">
        <v>14</v>
      </c>
      <c r="AA706" s="36" t="s">
        <v>22</v>
      </c>
      <c r="AB706" s="4" t="s">
        <v>2835</v>
      </c>
      <c r="AC706" s="22">
        <f t="shared" si="23"/>
        <v>2198.2745098039218</v>
      </c>
      <c r="AD706" s="23">
        <v>0</v>
      </c>
    </row>
    <row r="707" spans="1:30" x14ac:dyDescent="0.35">
      <c r="A707" s="7">
        <v>730</v>
      </c>
      <c r="B707" s="6">
        <v>45868</v>
      </c>
      <c r="C707" s="6">
        <v>45868</v>
      </c>
      <c r="D707" s="4" t="s">
        <v>976</v>
      </c>
      <c r="E707" s="4" t="s">
        <v>61</v>
      </c>
      <c r="F707" s="4" t="s">
        <v>975</v>
      </c>
      <c r="G707" s="4" t="s">
        <v>975</v>
      </c>
      <c r="H707" s="4"/>
      <c r="I707" s="4"/>
      <c r="J707" s="4" t="s">
        <v>59</v>
      </c>
      <c r="K707" s="4" t="s">
        <v>58</v>
      </c>
      <c r="L707" s="4" t="s">
        <v>57</v>
      </c>
      <c r="M707" s="4" t="s">
        <v>32</v>
      </c>
      <c r="N707" s="4" t="s">
        <v>266</v>
      </c>
      <c r="O707" s="4" t="s">
        <v>55</v>
      </c>
      <c r="P707" s="4" t="s">
        <v>54</v>
      </c>
      <c r="Q707" s="5">
        <v>45000</v>
      </c>
      <c r="R707" s="10">
        <v>0</v>
      </c>
      <c r="S707" s="9">
        <f t="shared" ref="S707:S770" si="24">+Q707-R707</f>
        <v>45000</v>
      </c>
      <c r="T707" s="4" t="s">
        <v>53</v>
      </c>
      <c r="U707" s="4" t="s">
        <v>320</v>
      </c>
      <c r="V707" s="4"/>
      <c r="W707" s="4">
        <v>-50</v>
      </c>
      <c r="X707" s="4" t="s">
        <v>94</v>
      </c>
      <c r="Y707" s="4"/>
      <c r="Z707" s="7" t="s">
        <v>14</v>
      </c>
      <c r="AA707" s="36" t="s">
        <v>22</v>
      </c>
      <c r="AB707" s="4" t="s">
        <v>2835</v>
      </c>
      <c r="AC707" s="22">
        <f t="shared" si="23"/>
        <v>17.647058823529413</v>
      </c>
      <c r="AD707" s="23">
        <v>0</v>
      </c>
    </row>
    <row r="708" spans="1:30" x14ac:dyDescent="0.35">
      <c r="A708" s="7">
        <v>731</v>
      </c>
      <c r="B708" s="6">
        <v>45868</v>
      </c>
      <c r="C708" s="6">
        <v>45868</v>
      </c>
      <c r="D708" s="4" t="s">
        <v>974</v>
      </c>
      <c r="E708" s="4" t="s">
        <v>61</v>
      </c>
      <c r="F708" s="4" t="s">
        <v>973</v>
      </c>
      <c r="G708" s="4" t="s">
        <v>973</v>
      </c>
      <c r="H708" s="4"/>
      <c r="I708" s="4"/>
      <c r="J708" s="4" t="s">
        <v>59</v>
      </c>
      <c r="K708" s="4" t="s">
        <v>58</v>
      </c>
      <c r="L708" s="4" t="s">
        <v>57</v>
      </c>
      <c r="M708" s="4" t="s">
        <v>32</v>
      </c>
      <c r="N708" s="4" t="s">
        <v>266</v>
      </c>
      <c r="O708" s="4" t="s">
        <v>55</v>
      </c>
      <c r="P708" s="4" t="s">
        <v>54</v>
      </c>
      <c r="Q708" s="5">
        <v>71137.42</v>
      </c>
      <c r="R708" s="10">
        <v>0</v>
      </c>
      <c r="S708" s="9">
        <f t="shared" si="24"/>
        <v>71137.42</v>
      </c>
      <c r="T708" s="4" t="s">
        <v>53</v>
      </c>
      <c r="U708" s="4" t="s">
        <v>937</v>
      </c>
      <c r="V708" s="4"/>
      <c r="W708" s="4">
        <v>-30</v>
      </c>
      <c r="X708" s="4" t="s">
        <v>94</v>
      </c>
      <c r="Y708" s="4"/>
      <c r="Z708" s="7" t="s">
        <v>14</v>
      </c>
      <c r="AA708" s="36" t="s">
        <v>22</v>
      </c>
      <c r="AB708" s="4" t="s">
        <v>2835</v>
      </c>
      <c r="AC708" s="22">
        <f t="shared" si="23"/>
        <v>27.897027450980392</v>
      </c>
      <c r="AD708" s="23">
        <v>0</v>
      </c>
    </row>
    <row r="709" spans="1:30" x14ac:dyDescent="0.35">
      <c r="A709" s="7">
        <v>732</v>
      </c>
      <c r="B709" s="6">
        <v>45868</v>
      </c>
      <c r="C709" s="6">
        <v>45868</v>
      </c>
      <c r="D709" s="4" t="s">
        <v>972</v>
      </c>
      <c r="E709" s="4" t="s">
        <v>61</v>
      </c>
      <c r="F709" s="4" t="s">
        <v>971</v>
      </c>
      <c r="G709" s="4" t="s">
        <v>971</v>
      </c>
      <c r="H709" s="4"/>
      <c r="I709" s="4"/>
      <c r="J709" s="4" t="s">
        <v>59</v>
      </c>
      <c r="K709" s="4" t="s">
        <v>58</v>
      </c>
      <c r="L709" s="4" t="s">
        <v>57</v>
      </c>
      <c r="M709" s="4" t="s">
        <v>32</v>
      </c>
      <c r="N709" s="4" t="s">
        <v>266</v>
      </c>
      <c r="O709" s="4" t="s">
        <v>55</v>
      </c>
      <c r="P709" s="4" t="s">
        <v>54</v>
      </c>
      <c r="Q709" s="5">
        <v>14779.44</v>
      </c>
      <c r="R709" s="10">
        <v>0</v>
      </c>
      <c r="S709" s="9">
        <f t="shared" si="24"/>
        <v>14779.44</v>
      </c>
      <c r="T709" s="4" t="s">
        <v>53</v>
      </c>
      <c r="U709" s="4" t="s">
        <v>970</v>
      </c>
      <c r="V709" s="4"/>
      <c r="W709" s="4">
        <v>-10</v>
      </c>
      <c r="X709" s="4" t="s">
        <v>94</v>
      </c>
      <c r="Y709" s="4"/>
      <c r="Z709" s="7" t="s">
        <v>14</v>
      </c>
      <c r="AA709" s="36" t="s">
        <v>22</v>
      </c>
      <c r="AB709" s="4" t="s">
        <v>2835</v>
      </c>
      <c r="AC709" s="22">
        <f t="shared" si="23"/>
        <v>5.7958588235294117</v>
      </c>
      <c r="AD709" s="23">
        <v>0</v>
      </c>
    </row>
    <row r="710" spans="1:30" x14ac:dyDescent="0.35">
      <c r="A710" s="7">
        <v>733</v>
      </c>
      <c r="B710" s="6">
        <v>45868</v>
      </c>
      <c r="C710" s="6">
        <v>45868</v>
      </c>
      <c r="D710" s="4" t="s">
        <v>969</v>
      </c>
      <c r="E710" s="4" t="s">
        <v>61</v>
      </c>
      <c r="F710" s="4" t="s">
        <v>968</v>
      </c>
      <c r="G710" s="4" t="s">
        <v>968</v>
      </c>
      <c r="H710" s="4"/>
      <c r="I710" s="4"/>
      <c r="J710" s="4" t="s">
        <v>59</v>
      </c>
      <c r="K710" s="4" t="s">
        <v>58</v>
      </c>
      <c r="L710" s="4" t="s">
        <v>57</v>
      </c>
      <c r="M710" s="4" t="s">
        <v>32</v>
      </c>
      <c r="N710" s="4" t="s">
        <v>266</v>
      </c>
      <c r="O710" s="4" t="s">
        <v>55</v>
      </c>
      <c r="P710" s="4" t="s">
        <v>54</v>
      </c>
      <c r="Q710" s="5">
        <v>36000</v>
      </c>
      <c r="R710" s="10">
        <v>0</v>
      </c>
      <c r="S710" s="9">
        <f t="shared" si="24"/>
        <v>36000</v>
      </c>
      <c r="T710" s="4" t="s">
        <v>53</v>
      </c>
      <c r="U710" s="4" t="s">
        <v>943</v>
      </c>
      <c r="V710" s="4"/>
      <c r="W710" s="4">
        <v>-2</v>
      </c>
      <c r="X710" s="4" t="s">
        <v>94</v>
      </c>
      <c r="Y710" s="4"/>
      <c r="Z710" s="7" t="s">
        <v>14</v>
      </c>
      <c r="AA710" s="36" t="s">
        <v>22</v>
      </c>
      <c r="AB710" s="4" t="s">
        <v>2835</v>
      </c>
      <c r="AC710" s="22">
        <f t="shared" si="23"/>
        <v>14.117647058823529</v>
      </c>
      <c r="AD710" s="23">
        <v>0</v>
      </c>
    </row>
    <row r="711" spans="1:30" x14ac:dyDescent="0.35">
      <c r="A711" s="7">
        <v>734</v>
      </c>
      <c r="B711" s="6">
        <v>45868</v>
      </c>
      <c r="C711" s="6">
        <v>45868</v>
      </c>
      <c r="D711" s="4" t="s">
        <v>759</v>
      </c>
      <c r="E711" s="4" t="s">
        <v>61</v>
      </c>
      <c r="F711" s="4" t="s">
        <v>758</v>
      </c>
      <c r="G711" s="4" t="s">
        <v>758</v>
      </c>
      <c r="H711" s="4"/>
      <c r="I711" s="4"/>
      <c r="J711" s="4" t="s">
        <v>59</v>
      </c>
      <c r="K711" s="4" t="s">
        <v>58</v>
      </c>
      <c r="L711" s="4" t="s">
        <v>57</v>
      </c>
      <c r="M711" s="4" t="s">
        <v>32</v>
      </c>
      <c r="N711" s="4" t="s">
        <v>197</v>
      </c>
      <c r="O711" s="4" t="s">
        <v>105</v>
      </c>
      <c r="P711" s="4" t="s">
        <v>54</v>
      </c>
      <c r="Q711" s="5">
        <v>220805.82</v>
      </c>
      <c r="R711" s="10">
        <v>0</v>
      </c>
      <c r="S711" s="9">
        <f t="shared" si="24"/>
        <v>220805.82</v>
      </c>
      <c r="T711" s="4" t="s">
        <v>53</v>
      </c>
      <c r="U711" s="4" t="s">
        <v>130</v>
      </c>
      <c r="V711" s="4"/>
      <c r="W711" s="4">
        <v>-15</v>
      </c>
      <c r="X711" s="4" t="s">
        <v>129</v>
      </c>
      <c r="Y711" s="4"/>
      <c r="Z711" s="7" t="s">
        <v>14</v>
      </c>
      <c r="AA711" s="36" t="s">
        <v>29</v>
      </c>
      <c r="AB711" s="4" t="s">
        <v>2607</v>
      </c>
      <c r="AC711" s="22">
        <f t="shared" si="23"/>
        <v>86.590517647058832</v>
      </c>
      <c r="AD711" s="23">
        <v>0</v>
      </c>
    </row>
    <row r="712" spans="1:30" x14ac:dyDescent="0.35">
      <c r="A712" s="7">
        <v>735</v>
      </c>
      <c r="B712" s="6">
        <v>45868</v>
      </c>
      <c r="C712" s="6">
        <v>45868</v>
      </c>
      <c r="D712" s="4" t="s">
        <v>757</v>
      </c>
      <c r="E712" s="4" t="s">
        <v>61</v>
      </c>
      <c r="F712" s="4" t="s">
        <v>756</v>
      </c>
      <c r="G712" s="4" t="s">
        <v>756</v>
      </c>
      <c r="H712" s="4"/>
      <c r="I712" s="4"/>
      <c r="J712" s="4" t="s">
        <v>59</v>
      </c>
      <c r="K712" s="4" t="s">
        <v>58</v>
      </c>
      <c r="L712" s="4" t="s">
        <v>57</v>
      </c>
      <c r="M712" s="4" t="s">
        <v>32</v>
      </c>
      <c r="N712" s="4" t="s">
        <v>197</v>
      </c>
      <c r="O712" s="4" t="s">
        <v>105</v>
      </c>
      <c r="P712" s="4" t="s">
        <v>54</v>
      </c>
      <c r="Q712" s="5">
        <v>552155.85</v>
      </c>
      <c r="R712" s="10">
        <v>0</v>
      </c>
      <c r="S712" s="9">
        <f t="shared" si="24"/>
        <v>552155.85</v>
      </c>
      <c r="T712" s="4" t="s">
        <v>53</v>
      </c>
      <c r="U712" s="4" t="s">
        <v>172</v>
      </c>
      <c r="V712" s="4"/>
      <c r="W712" s="4">
        <v>-15</v>
      </c>
      <c r="X712" s="4" t="s">
        <v>129</v>
      </c>
      <c r="Y712" s="4"/>
      <c r="Z712" s="7" t="s">
        <v>14</v>
      </c>
      <c r="AA712" s="36" t="s">
        <v>29</v>
      </c>
      <c r="AB712" s="4" t="s">
        <v>2607</v>
      </c>
      <c r="AC712" s="22">
        <f t="shared" si="23"/>
        <v>216.53170588235292</v>
      </c>
      <c r="AD712" s="23">
        <v>0</v>
      </c>
    </row>
    <row r="713" spans="1:30" x14ac:dyDescent="0.35">
      <c r="A713" s="7">
        <v>736</v>
      </c>
      <c r="B713" s="6">
        <v>45868</v>
      </c>
      <c r="C713" s="6">
        <v>45868</v>
      </c>
      <c r="D713" s="4" t="s">
        <v>715</v>
      </c>
      <c r="E713" s="4" t="s">
        <v>714</v>
      </c>
      <c r="F713" s="4"/>
      <c r="G713" s="4" t="s">
        <v>713</v>
      </c>
      <c r="H713" s="4"/>
      <c r="I713" s="4"/>
      <c r="J713" s="4" t="s">
        <v>712</v>
      </c>
      <c r="K713" s="4" t="s">
        <v>58</v>
      </c>
      <c r="L713" s="4" t="s">
        <v>711</v>
      </c>
      <c r="M713" s="4" t="s">
        <v>38</v>
      </c>
      <c r="N713" s="4" t="s">
        <v>266</v>
      </c>
      <c r="O713" s="4" t="s">
        <v>68</v>
      </c>
      <c r="P713" s="4" t="s">
        <v>68</v>
      </c>
      <c r="Q713" s="5">
        <v>654582.5</v>
      </c>
      <c r="R713" s="10">
        <v>0</v>
      </c>
      <c r="S713" s="9">
        <f t="shared" si="24"/>
        <v>654582.5</v>
      </c>
      <c r="T713" s="4" t="s">
        <v>53</v>
      </c>
      <c r="U713" s="4"/>
      <c r="V713" s="4"/>
      <c r="W713" s="4">
        <v>1</v>
      </c>
      <c r="X713" s="4"/>
      <c r="Y713" s="4"/>
      <c r="Z713" s="7" t="s">
        <v>14</v>
      </c>
      <c r="AA713" s="36" t="s">
        <v>22</v>
      </c>
      <c r="AB713" s="4" t="s">
        <v>2835</v>
      </c>
      <c r="AC713" s="22">
        <f t="shared" si="23"/>
        <v>256.69901960784313</v>
      </c>
      <c r="AD713" s="23">
        <v>0</v>
      </c>
    </row>
    <row r="714" spans="1:30" x14ac:dyDescent="0.35">
      <c r="A714" s="7">
        <v>737</v>
      </c>
      <c r="B714" s="6">
        <v>45868</v>
      </c>
      <c r="C714" s="6">
        <v>45868</v>
      </c>
      <c r="D714" s="4" t="s">
        <v>709</v>
      </c>
      <c r="E714" s="4" t="s">
        <v>61</v>
      </c>
      <c r="F714" s="4" t="s">
        <v>708</v>
      </c>
      <c r="G714" s="4" t="s">
        <v>708</v>
      </c>
      <c r="H714" s="4"/>
      <c r="I714" s="4"/>
      <c r="J714" s="4" t="s">
        <v>59</v>
      </c>
      <c r="K714" s="4" t="s">
        <v>58</v>
      </c>
      <c r="L714" s="4" t="s">
        <v>57</v>
      </c>
      <c r="M714" s="4" t="s">
        <v>32</v>
      </c>
      <c r="N714" s="4" t="s">
        <v>118</v>
      </c>
      <c r="O714" s="4" t="s">
        <v>707</v>
      </c>
      <c r="P714" s="4" t="s">
        <v>126</v>
      </c>
      <c r="Q714" s="5">
        <v>15246706.939999999</v>
      </c>
      <c r="R714" s="10">
        <v>0</v>
      </c>
      <c r="S714" s="9">
        <f t="shared" si="24"/>
        <v>15246706.939999999</v>
      </c>
      <c r="T714" s="4" t="s">
        <v>53</v>
      </c>
      <c r="U714" s="4" t="s">
        <v>706</v>
      </c>
      <c r="V714" s="4"/>
      <c r="W714" s="4">
        <v>-980</v>
      </c>
      <c r="X714" s="4" t="s">
        <v>205</v>
      </c>
      <c r="Y714" s="4"/>
      <c r="Z714" s="7" t="s">
        <v>14</v>
      </c>
      <c r="AA714" s="36" t="s">
        <v>23</v>
      </c>
      <c r="AB714" s="4" t="s">
        <v>2607</v>
      </c>
      <c r="AC714" s="22">
        <f t="shared" si="23"/>
        <v>5979.1007607843139</v>
      </c>
      <c r="AD714" s="23">
        <v>0</v>
      </c>
    </row>
    <row r="715" spans="1:30" x14ac:dyDescent="0.35">
      <c r="A715" s="7">
        <v>738</v>
      </c>
      <c r="B715" s="6">
        <v>45869.600972222222</v>
      </c>
      <c r="C715" s="6">
        <v>45869</v>
      </c>
      <c r="D715" s="7" t="s">
        <v>2138</v>
      </c>
      <c r="E715" s="7" t="s">
        <v>61</v>
      </c>
      <c r="F715" s="7" t="s">
        <v>2137</v>
      </c>
      <c r="G715" s="7" t="s">
        <v>2137</v>
      </c>
      <c r="H715" s="7"/>
      <c r="I715" s="7"/>
      <c r="J715" s="7" t="s">
        <v>1816</v>
      </c>
      <c r="K715" s="7" t="s">
        <v>1815</v>
      </c>
      <c r="L715" s="7" t="s">
        <v>1883</v>
      </c>
      <c r="M715" s="7" t="s">
        <v>17</v>
      </c>
      <c r="N715" s="7" t="s">
        <v>118</v>
      </c>
      <c r="O715" s="7" t="s">
        <v>68</v>
      </c>
      <c r="P715" s="7" t="s">
        <v>126</v>
      </c>
      <c r="Q715" s="9">
        <v>29608082.23</v>
      </c>
      <c r="R715" s="9">
        <v>0</v>
      </c>
      <c r="S715" s="9">
        <f t="shared" si="24"/>
        <v>29608082.23</v>
      </c>
      <c r="T715" s="4" t="s">
        <v>53</v>
      </c>
      <c r="U715" s="7" t="s">
        <v>2136</v>
      </c>
      <c r="V715" s="7" t="s">
        <v>2135</v>
      </c>
      <c r="W715" s="9">
        <v>-1</v>
      </c>
      <c r="X715" s="7" t="s">
        <v>323</v>
      </c>
      <c r="Y715" s="7"/>
      <c r="Z715" s="7" t="s">
        <v>14</v>
      </c>
      <c r="AA715" s="36" t="s">
        <v>17</v>
      </c>
      <c r="AB715" s="4" t="s">
        <v>2602</v>
      </c>
      <c r="AC715" s="22">
        <f t="shared" si="23"/>
        <v>11611.012639215687</v>
      </c>
      <c r="AD715" s="23">
        <v>0</v>
      </c>
    </row>
    <row r="716" spans="1:30" x14ac:dyDescent="0.35">
      <c r="A716" s="7">
        <v>739</v>
      </c>
      <c r="B716" s="6">
        <v>45869.313530092593</v>
      </c>
      <c r="C716" s="6">
        <v>45869</v>
      </c>
      <c r="D716" s="7" t="s">
        <v>2132</v>
      </c>
      <c r="E716" s="7" t="s">
        <v>1331</v>
      </c>
      <c r="F716" s="7" t="s">
        <v>2134</v>
      </c>
      <c r="G716" s="7" t="s">
        <v>2130</v>
      </c>
      <c r="H716" s="7" t="s">
        <v>2012</v>
      </c>
      <c r="I716" s="7" t="s">
        <v>2011</v>
      </c>
      <c r="J716" s="7" t="s">
        <v>1816</v>
      </c>
      <c r="K716" s="7" t="s">
        <v>1815</v>
      </c>
      <c r="L716" s="7" t="s">
        <v>2129</v>
      </c>
      <c r="M716" s="7" t="s">
        <v>25</v>
      </c>
      <c r="N716" s="7" t="s">
        <v>266</v>
      </c>
      <c r="O716" s="7" t="s">
        <v>55</v>
      </c>
      <c r="P716" s="7" t="s">
        <v>54</v>
      </c>
      <c r="Q716" s="9">
        <v>1800000</v>
      </c>
      <c r="R716" s="9">
        <v>0</v>
      </c>
      <c r="S716" s="9">
        <f t="shared" si="24"/>
        <v>1800000</v>
      </c>
      <c r="T716" s="4" t="s">
        <v>53</v>
      </c>
      <c r="U716" s="7" t="s">
        <v>1824</v>
      </c>
      <c r="V716" s="7" t="s">
        <v>1823</v>
      </c>
      <c r="W716" s="9">
        <v>1</v>
      </c>
      <c r="X716" s="7" t="s">
        <v>94</v>
      </c>
      <c r="Y716" s="7"/>
      <c r="Z716" s="7" t="s">
        <v>14</v>
      </c>
      <c r="AA716" s="36" t="s">
        <v>22</v>
      </c>
      <c r="AB716" s="4" t="s">
        <v>2835</v>
      </c>
      <c r="AC716" s="22">
        <f t="shared" si="23"/>
        <v>705.88235294117646</v>
      </c>
      <c r="AD716" s="23">
        <v>0</v>
      </c>
    </row>
    <row r="717" spans="1:30" x14ac:dyDescent="0.35">
      <c r="A717" s="7">
        <v>740</v>
      </c>
      <c r="B717" s="6">
        <v>45869.313530092593</v>
      </c>
      <c r="C717" s="6">
        <v>45869</v>
      </c>
      <c r="D717" s="7" t="s">
        <v>2132</v>
      </c>
      <c r="E717" s="7" t="s">
        <v>1331</v>
      </c>
      <c r="F717" s="7" t="s">
        <v>2133</v>
      </c>
      <c r="G717" s="7" t="s">
        <v>2130</v>
      </c>
      <c r="H717" s="7" t="s">
        <v>2012</v>
      </c>
      <c r="I717" s="7" t="s">
        <v>2011</v>
      </c>
      <c r="J717" s="7" t="s">
        <v>1816</v>
      </c>
      <c r="K717" s="7" t="s">
        <v>1815</v>
      </c>
      <c r="L717" s="7" t="s">
        <v>2129</v>
      </c>
      <c r="M717" s="7" t="s">
        <v>25</v>
      </c>
      <c r="N717" s="7" t="s">
        <v>266</v>
      </c>
      <c r="O717" s="7" t="s">
        <v>55</v>
      </c>
      <c r="P717" s="7" t="s">
        <v>54</v>
      </c>
      <c r="Q717" s="9">
        <v>1200000</v>
      </c>
      <c r="R717" s="9">
        <v>0</v>
      </c>
      <c r="S717" s="9">
        <f t="shared" si="24"/>
        <v>1200000</v>
      </c>
      <c r="T717" s="4" t="s">
        <v>53</v>
      </c>
      <c r="U717" s="7" t="s">
        <v>1824</v>
      </c>
      <c r="V717" s="7" t="s">
        <v>1823</v>
      </c>
      <c r="W717" s="9">
        <v>1</v>
      </c>
      <c r="X717" s="7" t="s">
        <v>94</v>
      </c>
      <c r="Y717" s="7"/>
      <c r="Z717" s="7" t="s">
        <v>14</v>
      </c>
      <c r="AA717" s="36" t="s">
        <v>22</v>
      </c>
      <c r="AB717" s="4" t="s">
        <v>2835</v>
      </c>
      <c r="AC717" s="22">
        <f t="shared" si="23"/>
        <v>470.58823529411762</v>
      </c>
      <c r="AD717" s="23">
        <v>0</v>
      </c>
    </row>
    <row r="718" spans="1:30" x14ac:dyDescent="0.35">
      <c r="A718" s="7">
        <v>741</v>
      </c>
      <c r="B718" s="6">
        <v>45869.313530092593</v>
      </c>
      <c r="C718" s="6">
        <v>45869</v>
      </c>
      <c r="D718" s="7" t="s">
        <v>2132</v>
      </c>
      <c r="E718" s="7" t="s">
        <v>1331</v>
      </c>
      <c r="F718" s="7" t="s">
        <v>2131</v>
      </c>
      <c r="G718" s="7" t="s">
        <v>2130</v>
      </c>
      <c r="H718" s="7" t="s">
        <v>2012</v>
      </c>
      <c r="I718" s="7" t="s">
        <v>2011</v>
      </c>
      <c r="J718" s="7" t="s">
        <v>1816</v>
      </c>
      <c r="K718" s="7" t="s">
        <v>1815</v>
      </c>
      <c r="L718" s="7" t="s">
        <v>2129</v>
      </c>
      <c r="M718" s="7" t="s">
        <v>25</v>
      </c>
      <c r="N718" s="7" t="s">
        <v>266</v>
      </c>
      <c r="O718" s="7" t="s">
        <v>55</v>
      </c>
      <c r="P718" s="7" t="s">
        <v>54</v>
      </c>
      <c r="Q718" s="9">
        <v>2400000</v>
      </c>
      <c r="R718" s="9">
        <v>0</v>
      </c>
      <c r="S718" s="9">
        <f t="shared" si="24"/>
        <v>2400000</v>
      </c>
      <c r="T718" s="4" t="s">
        <v>53</v>
      </c>
      <c r="U718" s="7" t="s">
        <v>1824</v>
      </c>
      <c r="V718" s="7" t="s">
        <v>1823</v>
      </c>
      <c r="W718" s="9">
        <v>2</v>
      </c>
      <c r="X718" s="7" t="s">
        <v>94</v>
      </c>
      <c r="Y718" s="7"/>
      <c r="Z718" s="7" t="s">
        <v>14</v>
      </c>
      <c r="AA718" s="36" t="s">
        <v>22</v>
      </c>
      <c r="AB718" s="4" t="s">
        <v>2835</v>
      </c>
      <c r="AC718" s="22">
        <f t="shared" si="23"/>
        <v>941.17647058823525</v>
      </c>
      <c r="AD718" s="23">
        <v>0</v>
      </c>
    </row>
    <row r="719" spans="1:30" x14ac:dyDescent="0.35">
      <c r="A719" s="7">
        <v>742</v>
      </c>
      <c r="B719" s="6">
        <v>45875.514490740738</v>
      </c>
      <c r="C719" s="6">
        <v>45869</v>
      </c>
      <c r="D719" s="7" t="s">
        <v>2124</v>
      </c>
      <c r="E719" s="7" t="s">
        <v>2123</v>
      </c>
      <c r="F719" s="7"/>
      <c r="G719" s="7" t="s">
        <v>2122</v>
      </c>
      <c r="H719" s="7" t="s">
        <v>2012</v>
      </c>
      <c r="I719" s="7" t="s">
        <v>2011</v>
      </c>
      <c r="J719" s="7" t="s">
        <v>1816</v>
      </c>
      <c r="K719" s="7" t="s">
        <v>1815</v>
      </c>
      <c r="L719" s="7" t="s">
        <v>2128</v>
      </c>
      <c r="M719" s="7" t="s">
        <v>21</v>
      </c>
      <c r="N719" s="7" t="s">
        <v>518</v>
      </c>
      <c r="O719" s="7" t="s">
        <v>68</v>
      </c>
      <c r="P719" s="7" t="s">
        <v>68</v>
      </c>
      <c r="Q719" s="9">
        <v>0</v>
      </c>
      <c r="R719" s="9">
        <v>69105000</v>
      </c>
      <c r="S719" s="9">
        <f t="shared" si="24"/>
        <v>-69105000</v>
      </c>
      <c r="T719" s="4" t="s">
        <v>53</v>
      </c>
      <c r="U719" s="7"/>
      <c r="V719" s="7"/>
      <c r="W719" s="9">
        <v>1</v>
      </c>
      <c r="X719" s="7"/>
      <c r="Y719" s="7"/>
      <c r="Z719" s="7" t="s">
        <v>14</v>
      </c>
      <c r="AA719" s="36" t="s">
        <v>22</v>
      </c>
      <c r="AB719" s="4" t="s">
        <v>2835</v>
      </c>
      <c r="AC719" s="22">
        <f t="shared" si="23"/>
        <v>-27100</v>
      </c>
      <c r="AD719" s="23">
        <v>0</v>
      </c>
    </row>
    <row r="720" spans="1:30" x14ac:dyDescent="0.35">
      <c r="A720" s="7">
        <v>743</v>
      </c>
      <c r="B720" s="6">
        <v>45875.514490740738</v>
      </c>
      <c r="C720" s="6">
        <v>45869</v>
      </c>
      <c r="D720" s="7" t="s">
        <v>2124</v>
      </c>
      <c r="E720" s="7" t="s">
        <v>2123</v>
      </c>
      <c r="F720" s="7"/>
      <c r="G720" s="7" t="s">
        <v>2122</v>
      </c>
      <c r="H720" s="7" t="s">
        <v>2012</v>
      </c>
      <c r="I720" s="7" t="s">
        <v>2011</v>
      </c>
      <c r="J720" s="7" t="s">
        <v>1816</v>
      </c>
      <c r="K720" s="7" t="s">
        <v>1815</v>
      </c>
      <c r="L720" s="7" t="s">
        <v>2127</v>
      </c>
      <c r="M720" s="7" t="s">
        <v>24</v>
      </c>
      <c r="N720" s="7" t="s">
        <v>1690</v>
      </c>
      <c r="O720" s="7" t="s">
        <v>68</v>
      </c>
      <c r="P720" s="7" t="s">
        <v>68</v>
      </c>
      <c r="Q720" s="9">
        <v>0</v>
      </c>
      <c r="R720" s="9">
        <v>350000</v>
      </c>
      <c r="S720" s="9">
        <f t="shared" si="24"/>
        <v>-350000</v>
      </c>
      <c r="T720" s="4" t="s">
        <v>53</v>
      </c>
      <c r="U720" s="7"/>
      <c r="V720" s="7"/>
      <c r="W720" s="9">
        <v>1</v>
      </c>
      <c r="X720" s="7"/>
      <c r="Y720" s="7"/>
      <c r="Z720" s="7" t="s">
        <v>14</v>
      </c>
      <c r="AA720" s="36" t="s">
        <v>24</v>
      </c>
      <c r="AB720" s="4" t="s">
        <v>2602</v>
      </c>
      <c r="AC720" s="22">
        <f t="shared" si="23"/>
        <v>-137.25490196078431</v>
      </c>
      <c r="AD720" s="23">
        <v>0</v>
      </c>
    </row>
    <row r="721" spans="1:30" x14ac:dyDescent="0.35">
      <c r="A721" s="7">
        <v>744</v>
      </c>
      <c r="B721" s="6">
        <v>45875.514490740738</v>
      </c>
      <c r="C721" s="6">
        <v>45869</v>
      </c>
      <c r="D721" s="7" t="s">
        <v>2124</v>
      </c>
      <c r="E721" s="7" t="s">
        <v>2123</v>
      </c>
      <c r="F721" s="7"/>
      <c r="G721" s="7" t="s">
        <v>2122</v>
      </c>
      <c r="H721" s="7" t="s">
        <v>2012</v>
      </c>
      <c r="I721" s="7" t="s">
        <v>2011</v>
      </c>
      <c r="J721" s="7" t="s">
        <v>1816</v>
      </c>
      <c r="K721" s="7" t="s">
        <v>1815</v>
      </c>
      <c r="L721" s="7" t="s">
        <v>1883</v>
      </c>
      <c r="M721" s="7" t="s">
        <v>17</v>
      </c>
      <c r="N721" s="7" t="s">
        <v>1504</v>
      </c>
      <c r="O721" s="7" t="s">
        <v>68</v>
      </c>
      <c r="P721" s="7" t="s">
        <v>68</v>
      </c>
      <c r="Q721" s="9">
        <v>0</v>
      </c>
      <c r="R721" s="9">
        <v>376461643.38999999</v>
      </c>
      <c r="S721" s="9">
        <f t="shared" si="24"/>
        <v>-376461643.38999999</v>
      </c>
      <c r="T721" s="4" t="s">
        <v>53</v>
      </c>
      <c r="U721" s="7"/>
      <c r="V721" s="7"/>
      <c r="W721" s="9">
        <v>1</v>
      </c>
      <c r="X721" s="7"/>
      <c r="Y721" s="7"/>
      <c r="Z721" s="7" t="s">
        <v>14</v>
      </c>
      <c r="AA721" s="36" t="s">
        <v>17</v>
      </c>
      <c r="AB721" s="4" t="s">
        <v>2602</v>
      </c>
      <c r="AC721" s="22">
        <f t="shared" si="23"/>
        <v>-147632.01701568626</v>
      </c>
      <c r="AD721" s="23">
        <v>0</v>
      </c>
    </row>
    <row r="722" spans="1:30" x14ac:dyDescent="0.35">
      <c r="A722" s="7">
        <v>745</v>
      </c>
      <c r="B722" s="6">
        <v>45875.514490740738</v>
      </c>
      <c r="C722" s="6">
        <v>45869</v>
      </c>
      <c r="D722" s="7" t="s">
        <v>2124</v>
      </c>
      <c r="E722" s="7" t="s">
        <v>2123</v>
      </c>
      <c r="F722" s="7"/>
      <c r="G722" s="7" t="s">
        <v>2122</v>
      </c>
      <c r="H722" s="7" t="s">
        <v>2012</v>
      </c>
      <c r="I722" s="7" t="s">
        <v>2011</v>
      </c>
      <c r="J722" s="7" t="s">
        <v>1816</v>
      </c>
      <c r="K722" s="7" t="s">
        <v>1815</v>
      </c>
      <c r="L722" s="7" t="s">
        <v>2126</v>
      </c>
      <c r="M722" s="7" t="s">
        <v>19</v>
      </c>
      <c r="N722" s="7" t="s">
        <v>2125</v>
      </c>
      <c r="O722" s="7" t="s">
        <v>68</v>
      </c>
      <c r="P722" s="7" t="s">
        <v>68</v>
      </c>
      <c r="Q722" s="9">
        <v>0</v>
      </c>
      <c r="R722" s="9">
        <v>1800000</v>
      </c>
      <c r="S722" s="9">
        <f t="shared" si="24"/>
        <v>-1800000</v>
      </c>
      <c r="T722" s="4" t="s">
        <v>53</v>
      </c>
      <c r="U722" s="7"/>
      <c r="V722" s="7"/>
      <c r="W722" s="9">
        <v>1</v>
      </c>
      <c r="X722" s="7"/>
      <c r="Y722" s="7"/>
      <c r="Z722" s="7" t="s">
        <v>14</v>
      </c>
      <c r="AA722" s="36" t="s">
        <v>19</v>
      </c>
      <c r="AB722" s="4" t="s">
        <v>2602</v>
      </c>
      <c r="AC722" s="22">
        <f t="shared" si="23"/>
        <v>-705.88235294117646</v>
      </c>
      <c r="AD722" s="23">
        <v>0</v>
      </c>
    </row>
    <row r="723" spans="1:30" x14ac:dyDescent="0.35">
      <c r="A723" s="7">
        <v>746</v>
      </c>
      <c r="B723" s="6">
        <v>45875.514490740738</v>
      </c>
      <c r="C723" s="6">
        <v>45869</v>
      </c>
      <c r="D723" s="7" t="s">
        <v>2124</v>
      </c>
      <c r="E723" s="7" t="s">
        <v>2123</v>
      </c>
      <c r="F723" s="7"/>
      <c r="G723" s="7" t="s">
        <v>2122</v>
      </c>
      <c r="H723" s="7" t="s">
        <v>2012</v>
      </c>
      <c r="I723" s="7" t="s">
        <v>2011</v>
      </c>
      <c r="J723" s="7" t="s">
        <v>1816</v>
      </c>
      <c r="K723" s="7" t="s">
        <v>1815</v>
      </c>
      <c r="L723" s="7" t="s">
        <v>1992</v>
      </c>
      <c r="M723" s="7" t="s">
        <v>18</v>
      </c>
      <c r="N723" s="7" t="s">
        <v>2121</v>
      </c>
      <c r="O723" s="7" t="s">
        <v>68</v>
      </c>
      <c r="P723" s="7" t="s">
        <v>68</v>
      </c>
      <c r="Q723" s="9">
        <v>0</v>
      </c>
      <c r="R723" s="9">
        <v>22283356.609999999</v>
      </c>
      <c r="S723" s="9">
        <f t="shared" si="24"/>
        <v>-22283356.609999999</v>
      </c>
      <c r="T723" s="4" t="s">
        <v>53</v>
      </c>
      <c r="U723" s="7"/>
      <c r="V723" s="7"/>
      <c r="W723" s="9">
        <v>1</v>
      </c>
      <c r="X723" s="7"/>
      <c r="Y723" s="7"/>
      <c r="Z723" s="7" t="s">
        <v>14</v>
      </c>
      <c r="AA723" s="36" t="s">
        <v>22</v>
      </c>
      <c r="AB723" s="4" t="s">
        <v>2835</v>
      </c>
      <c r="AC723" s="22">
        <f t="shared" si="23"/>
        <v>-8738.5712196078421</v>
      </c>
      <c r="AD723" s="23">
        <v>0</v>
      </c>
    </row>
    <row r="724" spans="1:30" x14ac:dyDescent="0.35">
      <c r="A724" s="7">
        <v>747</v>
      </c>
      <c r="B724" s="6">
        <v>45869</v>
      </c>
      <c r="C724" s="6">
        <v>45869</v>
      </c>
      <c r="D724" s="4" t="s">
        <v>978</v>
      </c>
      <c r="E724" s="4" t="s">
        <v>61</v>
      </c>
      <c r="F724" s="4" t="s">
        <v>977</v>
      </c>
      <c r="G724" s="4" t="s">
        <v>977</v>
      </c>
      <c r="H724" s="4"/>
      <c r="I724" s="4"/>
      <c r="J724" s="4" t="s">
        <v>59</v>
      </c>
      <c r="K724" s="4" t="s">
        <v>58</v>
      </c>
      <c r="L724" s="4" t="s">
        <v>57</v>
      </c>
      <c r="M724" s="4" t="s">
        <v>32</v>
      </c>
      <c r="N724" s="4" t="s">
        <v>266</v>
      </c>
      <c r="O724" s="4" t="s">
        <v>55</v>
      </c>
      <c r="P724" s="4" t="s">
        <v>54</v>
      </c>
      <c r="Q724" s="5">
        <v>40975.089999999997</v>
      </c>
      <c r="R724" s="10">
        <v>0</v>
      </c>
      <c r="S724" s="9">
        <f t="shared" si="24"/>
        <v>40975.089999999997</v>
      </c>
      <c r="T724" s="4" t="s">
        <v>53</v>
      </c>
      <c r="U724" s="4" t="s">
        <v>271</v>
      </c>
      <c r="V724" s="4"/>
      <c r="W724" s="4">
        <v>-10</v>
      </c>
      <c r="X724" s="4" t="s">
        <v>124</v>
      </c>
      <c r="Y724" s="4"/>
      <c r="Z724" s="7" t="s">
        <v>14</v>
      </c>
      <c r="AA724" s="36" t="s">
        <v>22</v>
      </c>
      <c r="AB724" s="4" t="s">
        <v>2835</v>
      </c>
      <c r="AC724" s="22">
        <f t="shared" si="23"/>
        <v>16.068662745098038</v>
      </c>
      <c r="AD724" s="23">
        <v>0</v>
      </c>
    </row>
    <row r="725" spans="1:30" hidden="1" x14ac:dyDescent="0.35">
      <c r="A725" s="7">
        <v>748</v>
      </c>
      <c r="B725" s="6">
        <v>45869</v>
      </c>
      <c r="C725" s="6">
        <v>45869</v>
      </c>
      <c r="D725" s="4" t="s">
        <v>801</v>
      </c>
      <c r="E725" s="4" t="s">
        <v>61</v>
      </c>
      <c r="F725" s="4" t="s">
        <v>800</v>
      </c>
      <c r="G725" s="4" t="s">
        <v>800</v>
      </c>
      <c r="H725" s="4"/>
      <c r="I725" s="4"/>
      <c r="J725" s="4" t="s">
        <v>59</v>
      </c>
      <c r="K725" s="4" t="s">
        <v>58</v>
      </c>
      <c r="L725" s="4" t="s">
        <v>57</v>
      </c>
      <c r="M725" s="4" t="s">
        <v>32</v>
      </c>
      <c r="N725" s="4" t="s">
        <v>211</v>
      </c>
      <c r="O725" s="4" t="s">
        <v>210</v>
      </c>
      <c r="P725" s="4" t="s">
        <v>210</v>
      </c>
      <c r="Q725" s="5">
        <v>7118.64</v>
      </c>
      <c r="R725" s="10">
        <v>0</v>
      </c>
      <c r="S725" s="9">
        <f t="shared" si="24"/>
        <v>7118.64</v>
      </c>
      <c r="T725" s="4" t="s">
        <v>53</v>
      </c>
      <c r="U725" s="4" t="s">
        <v>238</v>
      </c>
      <c r="V725" s="4"/>
      <c r="W725" s="4">
        <v>-2</v>
      </c>
      <c r="X725" s="4" t="s">
        <v>94</v>
      </c>
      <c r="Y725" s="4"/>
      <c r="Z725" s="7" t="s">
        <v>14</v>
      </c>
      <c r="AA725" s="36" t="s">
        <v>30</v>
      </c>
      <c r="AB725" s="4"/>
      <c r="AC725" s="22">
        <f t="shared" si="23"/>
        <v>2.7916235294117646</v>
      </c>
      <c r="AD725" s="23">
        <v>0</v>
      </c>
    </row>
    <row r="726" spans="1:30" x14ac:dyDescent="0.35">
      <c r="A726" s="7">
        <v>749</v>
      </c>
      <c r="B726" s="6">
        <v>45869</v>
      </c>
      <c r="C726" s="6">
        <v>45869</v>
      </c>
      <c r="D726" s="4" t="s">
        <v>723</v>
      </c>
      <c r="E726" s="4" t="s">
        <v>61</v>
      </c>
      <c r="F726" s="4" t="s">
        <v>722</v>
      </c>
      <c r="G726" s="4" t="s">
        <v>722</v>
      </c>
      <c r="H726" s="4"/>
      <c r="I726" s="4"/>
      <c r="J726" s="4" t="s">
        <v>59</v>
      </c>
      <c r="K726" s="4" t="s">
        <v>58</v>
      </c>
      <c r="L726" s="4" t="s">
        <v>97</v>
      </c>
      <c r="M726" s="4" t="s">
        <v>34</v>
      </c>
      <c r="N726" s="4" t="s">
        <v>197</v>
      </c>
      <c r="O726" s="4" t="s">
        <v>105</v>
      </c>
      <c r="P726" s="4" t="s">
        <v>54</v>
      </c>
      <c r="Q726" s="5">
        <v>12600.1</v>
      </c>
      <c r="R726" s="10">
        <v>0</v>
      </c>
      <c r="S726" s="9">
        <f t="shared" si="24"/>
        <v>12600.1</v>
      </c>
      <c r="T726" s="4" t="s">
        <v>53</v>
      </c>
      <c r="U726" s="4" t="s">
        <v>111</v>
      </c>
      <c r="V726" s="4"/>
      <c r="W726" s="4">
        <v>-30</v>
      </c>
      <c r="X726" s="4" t="s">
        <v>94</v>
      </c>
      <c r="Y726" s="4"/>
      <c r="Z726" s="7" t="s">
        <v>14</v>
      </c>
      <c r="AA726" s="36" t="s">
        <v>29</v>
      </c>
      <c r="AB726" s="4" t="s">
        <v>2607</v>
      </c>
      <c r="AC726" s="22">
        <f t="shared" si="23"/>
        <v>4.9412156862745098</v>
      </c>
      <c r="AD726" s="23">
        <v>0</v>
      </c>
    </row>
    <row r="727" spans="1:30" x14ac:dyDescent="0.35">
      <c r="A727" s="7">
        <v>750</v>
      </c>
      <c r="B727" s="6">
        <v>45869</v>
      </c>
      <c r="C727" s="6">
        <v>45869</v>
      </c>
      <c r="D727" s="4" t="s">
        <v>721</v>
      </c>
      <c r="E727" s="4" t="s">
        <v>61</v>
      </c>
      <c r="F727" s="4" t="s">
        <v>720</v>
      </c>
      <c r="G727" s="4" t="s">
        <v>720</v>
      </c>
      <c r="H727" s="4"/>
      <c r="I727" s="4"/>
      <c r="J727" s="4" t="s">
        <v>59</v>
      </c>
      <c r="K727" s="4" t="s">
        <v>58</v>
      </c>
      <c r="L727" s="4" t="s">
        <v>97</v>
      </c>
      <c r="M727" s="4" t="s">
        <v>34</v>
      </c>
      <c r="N727" s="4" t="s">
        <v>197</v>
      </c>
      <c r="O727" s="4" t="s">
        <v>105</v>
      </c>
      <c r="P727" s="4" t="s">
        <v>54</v>
      </c>
      <c r="Q727" s="5">
        <v>25200.2</v>
      </c>
      <c r="R727" s="10">
        <v>0</v>
      </c>
      <c r="S727" s="9">
        <f t="shared" si="24"/>
        <v>25200.2</v>
      </c>
      <c r="T727" s="4" t="s">
        <v>53</v>
      </c>
      <c r="U727" s="4" t="s">
        <v>111</v>
      </c>
      <c r="V727" s="4"/>
      <c r="W727" s="4">
        <v>-60</v>
      </c>
      <c r="X727" s="4" t="s">
        <v>94</v>
      </c>
      <c r="Y727" s="4"/>
      <c r="Z727" s="7" t="s">
        <v>14</v>
      </c>
      <c r="AA727" s="36" t="s">
        <v>29</v>
      </c>
      <c r="AB727" s="4" t="s">
        <v>2607</v>
      </c>
      <c r="AC727" s="22">
        <f t="shared" si="23"/>
        <v>9.8824313725490196</v>
      </c>
      <c r="AD727" s="23">
        <v>0</v>
      </c>
    </row>
    <row r="728" spans="1:30" x14ac:dyDescent="0.35">
      <c r="A728" s="7">
        <v>751</v>
      </c>
      <c r="B728" s="6">
        <v>45869</v>
      </c>
      <c r="C728" s="6">
        <v>45869</v>
      </c>
      <c r="D728" s="4" t="s">
        <v>717</v>
      </c>
      <c r="E728" s="4" t="s">
        <v>61</v>
      </c>
      <c r="F728" s="4" t="s">
        <v>716</v>
      </c>
      <c r="G728" s="4" t="s">
        <v>716</v>
      </c>
      <c r="H728" s="4"/>
      <c r="I728" s="4"/>
      <c r="J728" s="4" t="s">
        <v>59</v>
      </c>
      <c r="K728" s="4" t="s">
        <v>58</v>
      </c>
      <c r="L728" s="4" t="s">
        <v>97</v>
      </c>
      <c r="M728" s="4" t="s">
        <v>34</v>
      </c>
      <c r="N728" s="4" t="s">
        <v>96</v>
      </c>
      <c r="O728" s="4" t="s">
        <v>68</v>
      </c>
      <c r="P728" s="4" t="s">
        <v>54</v>
      </c>
      <c r="Q728" s="5">
        <v>40348.22</v>
      </c>
      <c r="R728" s="10">
        <v>0</v>
      </c>
      <c r="S728" s="9">
        <f t="shared" si="24"/>
        <v>40348.22</v>
      </c>
      <c r="T728" s="4" t="s">
        <v>53</v>
      </c>
      <c r="U728" s="4" t="s">
        <v>102</v>
      </c>
      <c r="V728" s="4"/>
      <c r="W728" s="4">
        <v>-2</v>
      </c>
      <c r="X728" s="4" t="s">
        <v>94</v>
      </c>
      <c r="Y728" s="4"/>
      <c r="Z728" s="7" t="s">
        <v>14</v>
      </c>
      <c r="AA728" s="36" t="s">
        <v>27</v>
      </c>
      <c r="AB728" s="4" t="s">
        <v>2603</v>
      </c>
      <c r="AC728" s="22">
        <f t="shared" si="23"/>
        <v>15.82283137254902</v>
      </c>
      <c r="AD728" s="23">
        <v>0</v>
      </c>
    </row>
    <row r="729" spans="1:30" hidden="1" x14ac:dyDescent="0.35">
      <c r="A729" s="7">
        <v>752</v>
      </c>
      <c r="B729" s="6">
        <v>45870.306655092594</v>
      </c>
      <c r="C729" s="6">
        <v>45870</v>
      </c>
      <c r="D729" s="7" t="s">
        <v>2120</v>
      </c>
      <c r="E729" s="7" t="s">
        <v>1050</v>
      </c>
      <c r="F729" s="7"/>
      <c r="G729" s="7" t="s">
        <v>2119</v>
      </c>
      <c r="H729" s="7"/>
      <c r="I729" s="7"/>
      <c r="J729" s="7" t="s">
        <v>1816</v>
      </c>
      <c r="K729" s="7" t="s">
        <v>1815</v>
      </c>
      <c r="L729" s="7" t="s">
        <v>1956</v>
      </c>
      <c r="M729" s="7" t="s">
        <v>30</v>
      </c>
      <c r="N729" s="7" t="s">
        <v>211</v>
      </c>
      <c r="O729" s="7" t="s">
        <v>210</v>
      </c>
      <c r="P729" s="7" t="s">
        <v>210</v>
      </c>
      <c r="Q729" s="9">
        <v>180000</v>
      </c>
      <c r="R729" s="9">
        <v>0</v>
      </c>
      <c r="S729" s="9">
        <f t="shared" si="24"/>
        <v>180000</v>
      </c>
      <c r="T729" s="4" t="s">
        <v>53</v>
      </c>
      <c r="U729" s="7"/>
      <c r="V729" s="7"/>
      <c r="W729" s="9">
        <v>1</v>
      </c>
      <c r="X729" s="7"/>
      <c r="Y729" s="7"/>
      <c r="Z729" s="7" t="s">
        <v>14</v>
      </c>
      <c r="AA729" s="36" t="s">
        <v>30</v>
      </c>
      <c r="AB729" s="4"/>
      <c r="AC729" s="22">
        <f t="shared" si="23"/>
        <v>70.588235294117652</v>
      </c>
      <c r="AD729" s="23">
        <v>0</v>
      </c>
    </row>
    <row r="730" spans="1:30" x14ac:dyDescent="0.35">
      <c r="A730" s="7">
        <v>753</v>
      </c>
      <c r="B730" s="6">
        <v>45870</v>
      </c>
      <c r="C730" s="6">
        <v>45870</v>
      </c>
      <c r="D730" s="4" t="s">
        <v>415</v>
      </c>
      <c r="E730" s="4" t="s">
        <v>61</v>
      </c>
      <c r="F730" s="4" t="s">
        <v>414</v>
      </c>
      <c r="G730" s="4" t="s">
        <v>414</v>
      </c>
      <c r="H730" s="4"/>
      <c r="I730" s="4"/>
      <c r="J730" s="4" t="s">
        <v>59</v>
      </c>
      <c r="K730" s="4" t="s">
        <v>58</v>
      </c>
      <c r="L730" s="4" t="s">
        <v>57</v>
      </c>
      <c r="M730" s="4" t="s">
        <v>32</v>
      </c>
      <c r="N730" s="4" t="s">
        <v>197</v>
      </c>
      <c r="O730" s="5" t="s">
        <v>68</v>
      </c>
      <c r="P730" s="4" t="s">
        <v>54</v>
      </c>
      <c r="Q730" s="10">
        <v>45000</v>
      </c>
      <c r="R730" s="10">
        <v>0</v>
      </c>
      <c r="S730" s="9">
        <f t="shared" si="24"/>
        <v>45000</v>
      </c>
      <c r="T730" s="4" t="s">
        <v>53</v>
      </c>
      <c r="U730" s="4" t="s">
        <v>121</v>
      </c>
      <c r="V730" s="4"/>
      <c r="W730" s="4">
        <v>-3</v>
      </c>
      <c r="X730" s="4" t="s">
        <v>94</v>
      </c>
      <c r="Y730" s="4"/>
      <c r="Z730" s="7" t="s">
        <v>14</v>
      </c>
      <c r="AA730" s="36" t="s">
        <v>29</v>
      </c>
      <c r="AB730" s="4" t="s">
        <v>2607</v>
      </c>
      <c r="AC730" s="22">
        <f t="shared" si="23"/>
        <v>17.647058823529413</v>
      </c>
      <c r="AD730" s="23">
        <v>0</v>
      </c>
    </row>
    <row r="731" spans="1:30" x14ac:dyDescent="0.35">
      <c r="A731" s="7">
        <v>754</v>
      </c>
      <c r="B731" s="6">
        <v>45870</v>
      </c>
      <c r="C731" s="6">
        <v>45870</v>
      </c>
      <c r="D731" s="4" t="s">
        <v>413</v>
      </c>
      <c r="E731" s="4" t="s">
        <v>61</v>
      </c>
      <c r="F731" s="4" t="s">
        <v>412</v>
      </c>
      <c r="G731" s="4" t="s">
        <v>412</v>
      </c>
      <c r="H731" s="4"/>
      <c r="I731" s="4"/>
      <c r="J731" s="4" t="s">
        <v>59</v>
      </c>
      <c r="K731" s="4" t="s">
        <v>58</v>
      </c>
      <c r="L731" s="4" t="s">
        <v>57</v>
      </c>
      <c r="M731" s="4" t="s">
        <v>32</v>
      </c>
      <c r="N731" s="4" t="s">
        <v>197</v>
      </c>
      <c r="O731" s="5" t="s">
        <v>68</v>
      </c>
      <c r="P731" s="4" t="s">
        <v>54</v>
      </c>
      <c r="Q731" s="10">
        <v>40975.089999999997</v>
      </c>
      <c r="R731" s="10">
        <v>0</v>
      </c>
      <c r="S731" s="9">
        <f t="shared" si="24"/>
        <v>40975.089999999997</v>
      </c>
      <c r="T731" s="4" t="s">
        <v>53</v>
      </c>
      <c r="U731" s="4" t="s">
        <v>271</v>
      </c>
      <c r="V731" s="4"/>
      <c r="W731" s="4">
        <v>-10</v>
      </c>
      <c r="X731" s="4" t="s">
        <v>124</v>
      </c>
      <c r="Y731" s="4"/>
      <c r="Z731" s="7" t="s">
        <v>14</v>
      </c>
      <c r="AA731" s="36" t="s">
        <v>29</v>
      </c>
      <c r="AB731" s="4" t="s">
        <v>2607</v>
      </c>
      <c r="AC731" s="22">
        <f t="shared" si="23"/>
        <v>16.068662745098038</v>
      </c>
      <c r="AD731" s="23">
        <v>0</v>
      </c>
    </row>
    <row r="732" spans="1:30" x14ac:dyDescent="0.35">
      <c r="A732" s="7">
        <v>755</v>
      </c>
      <c r="B732" s="6">
        <v>45870</v>
      </c>
      <c r="C732" s="6">
        <v>45870</v>
      </c>
      <c r="D732" s="4" t="s">
        <v>400</v>
      </c>
      <c r="E732" s="4" t="s">
        <v>61</v>
      </c>
      <c r="F732" s="4" t="s">
        <v>399</v>
      </c>
      <c r="G732" s="4" t="s">
        <v>399</v>
      </c>
      <c r="H732" s="4"/>
      <c r="I732" s="4"/>
      <c r="J732" s="4" t="s">
        <v>59</v>
      </c>
      <c r="K732" s="4" t="s">
        <v>58</v>
      </c>
      <c r="L732" s="4" t="s">
        <v>57</v>
      </c>
      <c r="M732" s="4" t="s">
        <v>32</v>
      </c>
      <c r="N732" s="4" t="s">
        <v>197</v>
      </c>
      <c r="O732" s="5" t="s">
        <v>105</v>
      </c>
      <c r="P732" s="4" t="s">
        <v>54</v>
      </c>
      <c r="Q732" s="10">
        <v>40000</v>
      </c>
      <c r="R732" s="10">
        <v>0</v>
      </c>
      <c r="S732" s="9">
        <f t="shared" si="24"/>
        <v>40000</v>
      </c>
      <c r="T732" s="4" t="s">
        <v>53</v>
      </c>
      <c r="U732" s="4" t="s">
        <v>398</v>
      </c>
      <c r="V732" s="4"/>
      <c r="W732" s="4">
        <v>-50</v>
      </c>
      <c r="X732" s="4" t="s">
        <v>124</v>
      </c>
      <c r="Y732" s="4"/>
      <c r="Z732" s="7" t="s">
        <v>14</v>
      </c>
      <c r="AA732" s="36" t="s">
        <v>29</v>
      </c>
      <c r="AB732" s="4" t="s">
        <v>2607</v>
      </c>
      <c r="AC732" s="22">
        <f t="shared" si="23"/>
        <v>15.686274509803921</v>
      </c>
      <c r="AD732" s="23">
        <v>0</v>
      </c>
    </row>
    <row r="733" spans="1:30" x14ac:dyDescent="0.35">
      <c r="A733" s="7">
        <v>756</v>
      </c>
      <c r="B733" s="6">
        <v>45870</v>
      </c>
      <c r="C733" s="6">
        <v>45870</v>
      </c>
      <c r="D733" s="4" t="s">
        <v>397</v>
      </c>
      <c r="E733" s="4" t="s">
        <v>61</v>
      </c>
      <c r="F733" s="4" t="s">
        <v>396</v>
      </c>
      <c r="G733" s="4" t="s">
        <v>396</v>
      </c>
      <c r="H733" s="4"/>
      <c r="I733" s="4"/>
      <c r="J733" s="4" t="s">
        <v>59</v>
      </c>
      <c r="K733" s="4" t="s">
        <v>58</v>
      </c>
      <c r="L733" s="4" t="s">
        <v>57</v>
      </c>
      <c r="M733" s="4" t="s">
        <v>32</v>
      </c>
      <c r="N733" s="4" t="s">
        <v>197</v>
      </c>
      <c r="O733" s="5" t="s">
        <v>105</v>
      </c>
      <c r="P733" s="4" t="s">
        <v>54</v>
      </c>
      <c r="Q733" s="10">
        <v>800000</v>
      </c>
      <c r="R733" s="10">
        <v>0</v>
      </c>
      <c r="S733" s="9">
        <f t="shared" si="24"/>
        <v>800000</v>
      </c>
      <c r="T733" s="4" t="s">
        <v>53</v>
      </c>
      <c r="U733" s="4" t="s">
        <v>395</v>
      </c>
      <c r="V733" s="4"/>
      <c r="W733" s="4">
        <v>-1</v>
      </c>
      <c r="X733" s="4" t="s">
        <v>94</v>
      </c>
      <c r="Y733" s="4"/>
      <c r="Z733" s="7" t="s">
        <v>14</v>
      </c>
      <c r="AA733" s="36" t="s">
        <v>29</v>
      </c>
      <c r="AB733" s="4" t="s">
        <v>2607</v>
      </c>
      <c r="AC733" s="22">
        <f t="shared" si="23"/>
        <v>313.72549019607845</v>
      </c>
      <c r="AD733" s="23">
        <v>0</v>
      </c>
    </row>
    <row r="734" spans="1:30" x14ac:dyDescent="0.35">
      <c r="A734" s="7">
        <v>757</v>
      </c>
      <c r="B734" s="6">
        <v>45870</v>
      </c>
      <c r="C734" s="6">
        <v>45870</v>
      </c>
      <c r="D734" s="4" t="s">
        <v>333</v>
      </c>
      <c r="E734" s="4" t="s">
        <v>61</v>
      </c>
      <c r="F734" s="4" t="s">
        <v>332</v>
      </c>
      <c r="G734" s="4" t="s">
        <v>332</v>
      </c>
      <c r="H734" s="4"/>
      <c r="I734" s="4"/>
      <c r="J734" s="4" t="s">
        <v>59</v>
      </c>
      <c r="K734" s="4" t="s">
        <v>58</v>
      </c>
      <c r="L734" s="4" t="s">
        <v>57</v>
      </c>
      <c r="M734" s="4" t="s">
        <v>32</v>
      </c>
      <c r="N734" s="4" t="s">
        <v>96</v>
      </c>
      <c r="O734" s="5" t="s">
        <v>68</v>
      </c>
      <c r="P734" s="4" t="s">
        <v>54</v>
      </c>
      <c r="Q734" s="10">
        <v>7859000</v>
      </c>
      <c r="R734" s="10">
        <v>0</v>
      </c>
      <c r="S734" s="9">
        <f t="shared" si="24"/>
        <v>7859000</v>
      </c>
      <c r="T734" s="4" t="s">
        <v>53</v>
      </c>
      <c r="U734" s="4" t="s">
        <v>184</v>
      </c>
      <c r="V734" s="4"/>
      <c r="W734" s="4">
        <v>-157180</v>
      </c>
      <c r="X734" s="4" t="s">
        <v>124</v>
      </c>
      <c r="Y734" s="4"/>
      <c r="Z734" s="7" t="s">
        <v>14</v>
      </c>
      <c r="AA734" s="36" t="s">
        <v>27</v>
      </c>
      <c r="AB734" s="4" t="s">
        <v>2603</v>
      </c>
      <c r="AC734" s="22">
        <f t="shared" si="23"/>
        <v>3081.9607843137255</v>
      </c>
      <c r="AD734" s="23">
        <v>0</v>
      </c>
    </row>
    <row r="735" spans="1:30" x14ac:dyDescent="0.35">
      <c r="A735" s="7">
        <v>758</v>
      </c>
      <c r="B735" s="6">
        <v>45871</v>
      </c>
      <c r="C735" s="6">
        <v>45871</v>
      </c>
      <c r="D735" s="4" t="s">
        <v>402</v>
      </c>
      <c r="E735" s="4" t="s">
        <v>61</v>
      </c>
      <c r="F735" s="4" t="s">
        <v>401</v>
      </c>
      <c r="G735" s="4" t="s">
        <v>401</v>
      </c>
      <c r="H735" s="4"/>
      <c r="I735" s="4"/>
      <c r="J735" s="4" t="s">
        <v>59</v>
      </c>
      <c r="K735" s="4" t="s">
        <v>58</v>
      </c>
      <c r="L735" s="4" t="s">
        <v>57</v>
      </c>
      <c r="M735" s="4" t="s">
        <v>32</v>
      </c>
      <c r="N735" s="4" t="s">
        <v>197</v>
      </c>
      <c r="O735" s="5" t="s">
        <v>105</v>
      </c>
      <c r="P735" s="4" t="s">
        <v>54</v>
      </c>
      <c r="Q735" s="10">
        <v>75000</v>
      </c>
      <c r="R735" s="10">
        <v>0</v>
      </c>
      <c r="S735" s="9">
        <f t="shared" si="24"/>
        <v>75000</v>
      </c>
      <c r="T735" s="4" t="s">
        <v>53</v>
      </c>
      <c r="U735" s="4" t="s">
        <v>121</v>
      </c>
      <c r="V735" s="4"/>
      <c r="W735" s="4">
        <v>-5</v>
      </c>
      <c r="X735" s="4" t="s">
        <v>94</v>
      </c>
      <c r="Y735" s="4"/>
      <c r="Z735" s="7" t="s">
        <v>14</v>
      </c>
      <c r="AA735" s="36" t="s">
        <v>29</v>
      </c>
      <c r="AB735" s="4" t="s">
        <v>2607</v>
      </c>
      <c r="AC735" s="22">
        <f t="shared" si="23"/>
        <v>29.411764705882351</v>
      </c>
      <c r="AD735" s="23">
        <v>0</v>
      </c>
    </row>
    <row r="736" spans="1:30" x14ac:dyDescent="0.35">
      <c r="A736" s="7">
        <v>759</v>
      </c>
      <c r="B736" s="6">
        <v>45873</v>
      </c>
      <c r="C736" s="6">
        <v>45873</v>
      </c>
      <c r="D736" s="4" t="s">
        <v>535</v>
      </c>
      <c r="E736" s="4" t="s">
        <v>61</v>
      </c>
      <c r="F736" s="4" t="s">
        <v>534</v>
      </c>
      <c r="G736" s="4" t="s">
        <v>534</v>
      </c>
      <c r="H736" s="4"/>
      <c r="I736" s="4"/>
      <c r="J736" s="4" t="s">
        <v>59</v>
      </c>
      <c r="K736" s="4" t="s">
        <v>58</v>
      </c>
      <c r="L736" s="4" t="s">
        <v>57</v>
      </c>
      <c r="M736" s="4" t="s">
        <v>32</v>
      </c>
      <c r="N736" s="4" t="s">
        <v>266</v>
      </c>
      <c r="O736" s="5" t="s">
        <v>55</v>
      </c>
      <c r="P736" s="4" t="s">
        <v>54</v>
      </c>
      <c r="Q736" s="10">
        <v>5020070.5199999996</v>
      </c>
      <c r="R736" s="10">
        <v>0</v>
      </c>
      <c r="S736" s="9">
        <f t="shared" si="24"/>
        <v>5020070.5199999996</v>
      </c>
      <c r="T736" s="4" t="s">
        <v>53</v>
      </c>
      <c r="U736" s="4" t="s">
        <v>533</v>
      </c>
      <c r="V736" s="4"/>
      <c r="W736" s="4">
        <v>-1</v>
      </c>
      <c r="X736" s="4" t="s">
        <v>94</v>
      </c>
      <c r="Y736" s="4"/>
      <c r="Z736" s="7" t="s">
        <v>14</v>
      </c>
      <c r="AA736" s="36" t="s">
        <v>22</v>
      </c>
      <c r="AB736" s="4" t="s">
        <v>2835</v>
      </c>
      <c r="AC736" s="22">
        <f t="shared" si="23"/>
        <v>1968.6551058823527</v>
      </c>
      <c r="AD736" s="23">
        <v>0</v>
      </c>
    </row>
    <row r="737" spans="1:30" x14ac:dyDescent="0.35">
      <c r="A737" s="7">
        <v>760</v>
      </c>
      <c r="B737" s="6">
        <v>45873</v>
      </c>
      <c r="C737" s="6">
        <v>45873</v>
      </c>
      <c r="D737" s="4" t="s">
        <v>532</v>
      </c>
      <c r="E737" s="4" t="s">
        <v>61</v>
      </c>
      <c r="F737" s="4" t="s">
        <v>531</v>
      </c>
      <c r="G737" s="4" t="s">
        <v>531</v>
      </c>
      <c r="H737" s="4"/>
      <c r="I737" s="4"/>
      <c r="J737" s="4" t="s">
        <v>59</v>
      </c>
      <c r="K737" s="4" t="s">
        <v>58</v>
      </c>
      <c r="L737" s="4" t="s">
        <v>57</v>
      </c>
      <c r="M737" s="4" t="s">
        <v>32</v>
      </c>
      <c r="N737" s="4" t="s">
        <v>266</v>
      </c>
      <c r="O737" s="5" t="s">
        <v>55</v>
      </c>
      <c r="P737" s="4" t="s">
        <v>54</v>
      </c>
      <c r="Q737" s="10">
        <v>215000</v>
      </c>
      <c r="R737" s="10">
        <v>0</v>
      </c>
      <c r="S737" s="9">
        <f t="shared" si="24"/>
        <v>215000</v>
      </c>
      <c r="T737" s="4" t="s">
        <v>53</v>
      </c>
      <c r="U737" s="4" t="s">
        <v>530</v>
      </c>
      <c r="V737" s="4"/>
      <c r="W737" s="4">
        <v>-1</v>
      </c>
      <c r="X737" s="4" t="s">
        <v>94</v>
      </c>
      <c r="Y737" s="4"/>
      <c r="Z737" s="7" t="s">
        <v>14</v>
      </c>
      <c r="AA737" s="36" t="s">
        <v>22</v>
      </c>
      <c r="AB737" s="4" t="s">
        <v>2835</v>
      </c>
      <c r="AC737" s="22">
        <f t="shared" si="23"/>
        <v>84.313725490196077</v>
      </c>
      <c r="AD737" s="23">
        <v>0</v>
      </c>
    </row>
    <row r="738" spans="1:30" x14ac:dyDescent="0.35">
      <c r="A738" s="7">
        <v>761</v>
      </c>
      <c r="B738" s="6">
        <v>45873</v>
      </c>
      <c r="C738" s="6">
        <v>45873</v>
      </c>
      <c r="D738" s="4" t="s">
        <v>529</v>
      </c>
      <c r="E738" s="4" t="s">
        <v>61</v>
      </c>
      <c r="F738" s="4" t="s">
        <v>528</v>
      </c>
      <c r="G738" s="4" t="s">
        <v>528</v>
      </c>
      <c r="H738" s="4"/>
      <c r="I738" s="4"/>
      <c r="J738" s="4" t="s">
        <v>59</v>
      </c>
      <c r="K738" s="4" t="s">
        <v>58</v>
      </c>
      <c r="L738" s="4" t="s">
        <v>57</v>
      </c>
      <c r="M738" s="4" t="s">
        <v>32</v>
      </c>
      <c r="N738" s="4" t="s">
        <v>266</v>
      </c>
      <c r="O738" s="5" t="s">
        <v>55</v>
      </c>
      <c r="P738" s="4" t="s">
        <v>54</v>
      </c>
      <c r="Q738" s="10">
        <v>55000</v>
      </c>
      <c r="R738" s="10">
        <v>0</v>
      </c>
      <c r="S738" s="9">
        <f t="shared" si="24"/>
        <v>55000</v>
      </c>
      <c r="T738" s="4" t="s">
        <v>53</v>
      </c>
      <c r="U738" s="4" t="s">
        <v>527</v>
      </c>
      <c r="V738" s="4"/>
      <c r="W738" s="4">
        <v>-1</v>
      </c>
      <c r="X738" s="4" t="s">
        <v>94</v>
      </c>
      <c r="Y738" s="4"/>
      <c r="Z738" s="7" t="s">
        <v>14</v>
      </c>
      <c r="AA738" s="36" t="s">
        <v>22</v>
      </c>
      <c r="AB738" s="4" t="s">
        <v>2835</v>
      </c>
      <c r="AC738" s="22">
        <f t="shared" si="23"/>
        <v>21.568627450980394</v>
      </c>
      <c r="AD738" s="23">
        <v>0</v>
      </c>
    </row>
    <row r="739" spans="1:30" hidden="1" x14ac:dyDescent="0.35">
      <c r="A739" s="7">
        <v>762</v>
      </c>
      <c r="B739" s="6">
        <v>45873</v>
      </c>
      <c r="C739" s="6">
        <v>45873</v>
      </c>
      <c r="D739" s="4" t="s">
        <v>501</v>
      </c>
      <c r="E739" s="4" t="s">
        <v>61</v>
      </c>
      <c r="F739" s="4" t="s">
        <v>500</v>
      </c>
      <c r="G739" s="4" t="s">
        <v>500</v>
      </c>
      <c r="H739" s="4"/>
      <c r="I739" s="4"/>
      <c r="J739" s="4" t="s">
        <v>59</v>
      </c>
      <c r="K739" s="4" t="s">
        <v>58</v>
      </c>
      <c r="L739" s="4" t="s">
        <v>57</v>
      </c>
      <c r="M739" s="4" t="s">
        <v>32</v>
      </c>
      <c r="N739" s="4" t="s">
        <v>211</v>
      </c>
      <c r="O739" s="5" t="s">
        <v>210</v>
      </c>
      <c r="P739" s="4" t="s">
        <v>210</v>
      </c>
      <c r="Q739" s="10">
        <v>3930000</v>
      </c>
      <c r="R739" s="10">
        <v>0</v>
      </c>
      <c r="S739" s="9">
        <f t="shared" si="24"/>
        <v>3930000</v>
      </c>
      <c r="T739" s="4" t="s">
        <v>53</v>
      </c>
      <c r="U739" s="4" t="s">
        <v>499</v>
      </c>
      <c r="V739" s="4"/>
      <c r="W739" s="4">
        <v>-60</v>
      </c>
      <c r="X739" s="4" t="s">
        <v>94</v>
      </c>
      <c r="Y739" s="4"/>
      <c r="Z739" s="7" t="s">
        <v>14</v>
      </c>
      <c r="AA739" s="36" t="s">
        <v>30</v>
      </c>
      <c r="AB739" s="4"/>
      <c r="AC739" s="22">
        <f t="shared" si="23"/>
        <v>1541.1764705882354</v>
      </c>
      <c r="AD739" s="23">
        <v>0</v>
      </c>
    </row>
    <row r="740" spans="1:30" hidden="1" x14ac:dyDescent="0.35">
      <c r="A740" s="7">
        <v>763</v>
      </c>
      <c r="B740" s="6">
        <v>45873</v>
      </c>
      <c r="C740" s="6">
        <v>45873</v>
      </c>
      <c r="D740" s="4" t="s">
        <v>498</v>
      </c>
      <c r="E740" s="4" t="s">
        <v>61</v>
      </c>
      <c r="F740" s="4" t="s">
        <v>497</v>
      </c>
      <c r="G740" s="4" t="s">
        <v>497</v>
      </c>
      <c r="H740" s="4"/>
      <c r="I740" s="4"/>
      <c r="J740" s="4" t="s">
        <v>59</v>
      </c>
      <c r="K740" s="4" t="s">
        <v>58</v>
      </c>
      <c r="L740" s="4" t="s">
        <v>57</v>
      </c>
      <c r="M740" s="4" t="s">
        <v>32</v>
      </c>
      <c r="N740" s="4" t="s">
        <v>211</v>
      </c>
      <c r="O740" s="5" t="s">
        <v>210</v>
      </c>
      <c r="P740" s="4" t="s">
        <v>210</v>
      </c>
      <c r="Q740" s="10">
        <v>1500000</v>
      </c>
      <c r="R740" s="10">
        <v>0</v>
      </c>
      <c r="S740" s="9">
        <f t="shared" si="24"/>
        <v>1500000</v>
      </c>
      <c r="T740" s="4" t="s">
        <v>53</v>
      </c>
      <c r="U740" s="4" t="s">
        <v>245</v>
      </c>
      <c r="V740" s="4"/>
      <c r="W740" s="4">
        <v>-30</v>
      </c>
      <c r="X740" s="4" t="s">
        <v>94</v>
      </c>
      <c r="Y740" s="4"/>
      <c r="Z740" s="7" t="s">
        <v>14</v>
      </c>
      <c r="AA740" s="36" t="s">
        <v>30</v>
      </c>
      <c r="AB740" s="4"/>
      <c r="AC740" s="22">
        <f t="shared" si="23"/>
        <v>588.23529411764707</v>
      </c>
      <c r="AD740" s="23">
        <v>0</v>
      </c>
    </row>
    <row r="741" spans="1:30" hidden="1" x14ac:dyDescent="0.35">
      <c r="A741" s="7">
        <v>764</v>
      </c>
      <c r="B741" s="6">
        <v>45873</v>
      </c>
      <c r="C741" s="6">
        <v>45873</v>
      </c>
      <c r="D741" s="4" t="s">
        <v>496</v>
      </c>
      <c r="E741" s="4" t="s">
        <v>61</v>
      </c>
      <c r="F741" s="4" t="s">
        <v>495</v>
      </c>
      <c r="G741" s="4" t="s">
        <v>495</v>
      </c>
      <c r="H741" s="4"/>
      <c r="I741" s="4"/>
      <c r="J741" s="4" t="s">
        <v>59</v>
      </c>
      <c r="K741" s="4" t="s">
        <v>58</v>
      </c>
      <c r="L741" s="4" t="s">
        <v>57</v>
      </c>
      <c r="M741" s="4" t="s">
        <v>32</v>
      </c>
      <c r="N741" s="4" t="s">
        <v>211</v>
      </c>
      <c r="O741" s="5" t="s">
        <v>210</v>
      </c>
      <c r="P741" s="4" t="s">
        <v>210</v>
      </c>
      <c r="Q741" s="10">
        <v>3559.32</v>
      </c>
      <c r="R741" s="10">
        <v>0</v>
      </c>
      <c r="S741" s="9">
        <f t="shared" si="24"/>
        <v>3559.32</v>
      </c>
      <c r="T741" s="4" t="s">
        <v>53</v>
      </c>
      <c r="U741" s="4" t="s">
        <v>238</v>
      </c>
      <c r="V741" s="4"/>
      <c r="W741" s="4">
        <v>-1</v>
      </c>
      <c r="X741" s="4" t="s">
        <v>94</v>
      </c>
      <c r="Y741" s="4"/>
      <c r="Z741" s="7" t="s">
        <v>14</v>
      </c>
      <c r="AA741" s="36" t="s">
        <v>30</v>
      </c>
      <c r="AB741" s="4"/>
      <c r="AC741" s="22">
        <f t="shared" si="23"/>
        <v>1.3958117647058823</v>
      </c>
      <c r="AD741" s="23">
        <v>0</v>
      </c>
    </row>
    <row r="742" spans="1:30" hidden="1" x14ac:dyDescent="0.35">
      <c r="A742" s="7">
        <v>765</v>
      </c>
      <c r="B742" s="6">
        <v>45873</v>
      </c>
      <c r="C742" s="6">
        <v>45873</v>
      </c>
      <c r="D742" s="4" t="s">
        <v>494</v>
      </c>
      <c r="E742" s="4" t="s">
        <v>61</v>
      </c>
      <c r="F742" s="4" t="s">
        <v>493</v>
      </c>
      <c r="G742" s="4" t="s">
        <v>493</v>
      </c>
      <c r="H742" s="4"/>
      <c r="I742" s="4"/>
      <c r="J742" s="4" t="s">
        <v>59</v>
      </c>
      <c r="K742" s="4" t="s">
        <v>58</v>
      </c>
      <c r="L742" s="4" t="s">
        <v>57</v>
      </c>
      <c r="M742" s="4" t="s">
        <v>32</v>
      </c>
      <c r="N742" s="4" t="s">
        <v>211</v>
      </c>
      <c r="O742" s="5" t="s">
        <v>210</v>
      </c>
      <c r="P742" s="4" t="s">
        <v>210</v>
      </c>
      <c r="Q742" s="10">
        <v>64526.18</v>
      </c>
      <c r="R742" s="10">
        <v>0</v>
      </c>
      <c r="S742" s="9">
        <f t="shared" si="24"/>
        <v>64526.18</v>
      </c>
      <c r="T742" s="4" t="s">
        <v>53</v>
      </c>
      <c r="U742" s="4" t="s">
        <v>117</v>
      </c>
      <c r="V742" s="4"/>
      <c r="W742" s="4">
        <v>-20</v>
      </c>
      <c r="X742" s="4" t="s">
        <v>94</v>
      </c>
      <c r="Y742" s="4"/>
      <c r="Z742" s="7" t="s">
        <v>14</v>
      </c>
      <c r="AA742" s="36" t="s">
        <v>30</v>
      </c>
      <c r="AB742" s="4"/>
      <c r="AC742" s="22">
        <f t="shared" si="23"/>
        <v>25.304384313725489</v>
      </c>
      <c r="AD742" s="23">
        <v>0</v>
      </c>
    </row>
    <row r="743" spans="1:30" hidden="1" x14ac:dyDescent="0.35">
      <c r="A743" s="7">
        <v>766</v>
      </c>
      <c r="B743" s="6">
        <v>45873</v>
      </c>
      <c r="C743" s="6">
        <v>45873</v>
      </c>
      <c r="D743" s="4" t="s">
        <v>492</v>
      </c>
      <c r="E743" s="4" t="s">
        <v>61</v>
      </c>
      <c r="F743" s="4" t="s">
        <v>491</v>
      </c>
      <c r="G743" s="4" t="s">
        <v>491</v>
      </c>
      <c r="H743" s="4"/>
      <c r="I743" s="4"/>
      <c r="J743" s="4" t="s">
        <v>59</v>
      </c>
      <c r="K743" s="4" t="s">
        <v>58</v>
      </c>
      <c r="L743" s="4" t="s">
        <v>57</v>
      </c>
      <c r="M743" s="4" t="s">
        <v>32</v>
      </c>
      <c r="N743" s="4" t="s">
        <v>211</v>
      </c>
      <c r="O743" s="5" t="s">
        <v>210</v>
      </c>
      <c r="P743" s="4" t="s">
        <v>210</v>
      </c>
      <c r="Q743" s="10">
        <v>54025.35</v>
      </c>
      <c r="R743" s="10">
        <v>0</v>
      </c>
      <c r="S743" s="9">
        <f t="shared" si="24"/>
        <v>54025.35</v>
      </c>
      <c r="T743" s="4" t="s">
        <v>53</v>
      </c>
      <c r="U743" s="4" t="s">
        <v>490</v>
      </c>
      <c r="V743" s="4"/>
      <c r="W743" s="4">
        <v>-15</v>
      </c>
      <c r="X743" s="4" t="s">
        <v>94</v>
      </c>
      <c r="Y743" s="4"/>
      <c r="Z743" s="7" t="s">
        <v>14</v>
      </c>
      <c r="AA743" s="36" t="s">
        <v>30</v>
      </c>
      <c r="AB743" s="4"/>
      <c r="AC743" s="22">
        <f t="shared" si="23"/>
        <v>21.186411764705881</v>
      </c>
      <c r="AD743" s="23">
        <v>0</v>
      </c>
    </row>
    <row r="744" spans="1:30" x14ac:dyDescent="0.35">
      <c r="A744" s="7">
        <v>767</v>
      </c>
      <c r="B744" s="6">
        <v>45873</v>
      </c>
      <c r="C744" s="6">
        <v>45873</v>
      </c>
      <c r="D744" s="4" t="s">
        <v>406</v>
      </c>
      <c r="E744" s="4" t="s">
        <v>61</v>
      </c>
      <c r="F744" s="4" t="s">
        <v>405</v>
      </c>
      <c r="G744" s="4" t="s">
        <v>405</v>
      </c>
      <c r="H744" s="4"/>
      <c r="I744" s="4"/>
      <c r="J744" s="4" t="s">
        <v>59</v>
      </c>
      <c r="K744" s="4" t="s">
        <v>58</v>
      </c>
      <c r="L744" s="4" t="s">
        <v>57</v>
      </c>
      <c r="M744" s="4" t="s">
        <v>32</v>
      </c>
      <c r="N744" s="4" t="s">
        <v>197</v>
      </c>
      <c r="O744" s="5" t="s">
        <v>105</v>
      </c>
      <c r="P744" s="4" t="s">
        <v>54</v>
      </c>
      <c r="Q744" s="10">
        <v>40000</v>
      </c>
      <c r="R744" s="10">
        <v>0</v>
      </c>
      <c r="S744" s="9">
        <f t="shared" si="24"/>
        <v>40000</v>
      </c>
      <c r="T744" s="4" t="s">
        <v>53</v>
      </c>
      <c r="U744" s="4" t="s">
        <v>398</v>
      </c>
      <c r="V744" s="4"/>
      <c r="W744" s="4">
        <v>-50</v>
      </c>
      <c r="X744" s="4" t="s">
        <v>124</v>
      </c>
      <c r="Y744" s="4"/>
      <c r="Z744" s="7" t="s">
        <v>14</v>
      </c>
      <c r="AA744" s="36" t="s">
        <v>29</v>
      </c>
      <c r="AB744" s="4" t="s">
        <v>2607</v>
      </c>
      <c r="AC744" s="22">
        <f t="shared" si="23"/>
        <v>15.686274509803921</v>
      </c>
      <c r="AD744" s="23">
        <v>0</v>
      </c>
    </row>
    <row r="745" spans="1:30" x14ac:dyDescent="0.35">
      <c r="A745" s="7">
        <v>768</v>
      </c>
      <c r="B745" s="6">
        <v>45873</v>
      </c>
      <c r="C745" s="6">
        <v>45873</v>
      </c>
      <c r="D745" s="4" t="s">
        <v>404</v>
      </c>
      <c r="E745" s="4" t="s">
        <v>61</v>
      </c>
      <c r="F745" s="4" t="s">
        <v>403</v>
      </c>
      <c r="G745" s="4" t="s">
        <v>403</v>
      </c>
      <c r="H745" s="4"/>
      <c r="I745" s="4"/>
      <c r="J745" s="4" t="s">
        <v>59</v>
      </c>
      <c r="K745" s="4" t="s">
        <v>58</v>
      </c>
      <c r="L745" s="4" t="s">
        <v>57</v>
      </c>
      <c r="M745" s="4" t="s">
        <v>32</v>
      </c>
      <c r="N745" s="4" t="s">
        <v>197</v>
      </c>
      <c r="O745" s="5" t="s">
        <v>105</v>
      </c>
      <c r="P745" s="4" t="s">
        <v>54</v>
      </c>
      <c r="Q745" s="10">
        <v>73601.94</v>
      </c>
      <c r="R745" s="10">
        <v>0</v>
      </c>
      <c r="S745" s="9">
        <f t="shared" si="24"/>
        <v>73601.94</v>
      </c>
      <c r="T745" s="4" t="s">
        <v>53</v>
      </c>
      <c r="U745" s="4" t="s">
        <v>130</v>
      </c>
      <c r="V745" s="4"/>
      <c r="W745" s="4">
        <v>-5</v>
      </c>
      <c r="X745" s="4" t="s">
        <v>129</v>
      </c>
      <c r="Y745" s="4"/>
      <c r="Z745" s="7" t="s">
        <v>14</v>
      </c>
      <c r="AA745" s="36" t="s">
        <v>29</v>
      </c>
      <c r="AB745" s="4" t="s">
        <v>2607</v>
      </c>
      <c r="AC745" s="22">
        <f t="shared" si="23"/>
        <v>28.863505882352943</v>
      </c>
      <c r="AD745" s="23">
        <v>0</v>
      </c>
    </row>
    <row r="746" spans="1:30" x14ac:dyDescent="0.35">
      <c r="A746" s="7">
        <v>769</v>
      </c>
      <c r="B746" s="6">
        <v>45873</v>
      </c>
      <c r="C746" s="6">
        <v>45873</v>
      </c>
      <c r="D746" s="4" t="s">
        <v>329</v>
      </c>
      <c r="E746" s="4" t="s">
        <v>61</v>
      </c>
      <c r="F746" s="4" t="s">
        <v>328</v>
      </c>
      <c r="G746" s="4" t="s">
        <v>328</v>
      </c>
      <c r="H746" s="4"/>
      <c r="I746" s="4"/>
      <c r="J746" s="4" t="s">
        <v>59</v>
      </c>
      <c r="K746" s="4" t="s">
        <v>58</v>
      </c>
      <c r="L746" s="4" t="s">
        <v>97</v>
      </c>
      <c r="M746" s="4" t="s">
        <v>34</v>
      </c>
      <c r="N746" s="4" t="s">
        <v>197</v>
      </c>
      <c r="O746" s="5" t="s">
        <v>105</v>
      </c>
      <c r="P746" s="4" t="s">
        <v>54</v>
      </c>
      <c r="Q746" s="10">
        <v>25200.17</v>
      </c>
      <c r="R746" s="10">
        <v>0</v>
      </c>
      <c r="S746" s="9">
        <f t="shared" si="24"/>
        <v>25200.17</v>
      </c>
      <c r="T746" s="4" t="s">
        <v>53</v>
      </c>
      <c r="U746" s="4" t="s">
        <v>111</v>
      </c>
      <c r="V746" s="4"/>
      <c r="W746" s="4">
        <v>-60</v>
      </c>
      <c r="X746" s="4" t="s">
        <v>94</v>
      </c>
      <c r="Y746" s="4"/>
      <c r="Z746" s="7" t="s">
        <v>14</v>
      </c>
      <c r="AA746" s="36" t="s">
        <v>29</v>
      </c>
      <c r="AB746" s="4" t="s">
        <v>2607</v>
      </c>
      <c r="AC746" s="22">
        <f t="shared" si="23"/>
        <v>9.8824196078431363</v>
      </c>
      <c r="AD746" s="23">
        <v>0</v>
      </c>
    </row>
    <row r="747" spans="1:30" x14ac:dyDescent="0.35">
      <c r="A747" s="7">
        <v>770</v>
      </c>
      <c r="B747" s="6">
        <v>45874.61923611111</v>
      </c>
      <c r="C747" s="6">
        <v>45874</v>
      </c>
      <c r="D747" s="7" t="s">
        <v>2118</v>
      </c>
      <c r="E747" s="7" t="s">
        <v>61</v>
      </c>
      <c r="F747" s="7" t="s">
        <v>2117</v>
      </c>
      <c r="G747" s="7" t="s">
        <v>2117</v>
      </c>
      <c r="H747" s="7"/>
      <c r="I747" s="7"/>
      <c r="J747" s="7" t="s">
        <v>1816</v>
      </c>
      <c r="K747" s="7" t="s">
        <v>1815</v>
      </c>
      <c r="L747" s="7" t="s">
        <v>1883</v>
      </c>
      <c r="M747" s="7" t="s">
        <v>17</v>
      </c>
      <c r="N747" s="7" t="s">
        <v>2116</v>
      </c>
      <c r="O747" s="7" t="s">
        <v>105</v>
      </c>
      <c r="P747" s="7" t="s">
        <v>1775</v>
      </c>
      <c r="Q747" s="9">
        <v>396400</v>
      </c>
      <c r="R747" s="9">
        <v>0</v>
      </c>
      <c r="S747" s="9">
        <f t="shared" si="24"/>
        <v>396400</v>
      </c>
      <c r="T747" s="4" t="s">
        <v>53</v>
      </c>
      <c r="U747" s="7" t="s">
        <v>1899</v>
      </c>
      <c r="V747" s="7" t="s">
        <v>1898</v>
      </c>
      <c r="W747" s="9">
        <v>-2</v>
      </c>
      <c r="X747" s="7" t="s">
        <v>94</v>
      </c>
      <c r="Y747" s="7"/>
      <c r="Z747" s="7" t="s">
        <v>14</v>
      </c>
      <c r="AA747" s="36" t="s">
        <v>17</v>
      </c>
      <c r="AB747" s="4" t="s">
        <v>2602</v>
      </c>
      <c r="AC747" s="22">
        <f t="shared" ref="AC747:AC810" si="25">+S747/$AC$1</f>
        <v>155.45098039215685</v>
      </c>
      <c r="AD747" s="23">
        <v>0</v>
      </c>
    </row>
    <row r="748" spans="1:30" x14ac:dyDescent="0.35">
      <c r="A748" s="7">
        <v>771</v>
      </c>
      <c r="B748" s="6">
        <v>45874.504641203705</v>
      </c>
      <c r="C748" s="6">
        <v>45874</v>
      </c>
      <c r="D748" s="7" t="s">
        <v>2115</v>
      </c>
      <c r="E748" s="7" t="s">
        <v>1331</v>
      </c>
      <c r="F748" s="7" t="s">
        <v>1499</v>
      </c>
      <c r="G748" s="7" t="s">
        <v>2114</v>
      </c>
      <c r="H748" s="7" t="s">
        <v>1497</v>
      </c>
      <c r="I748" s="7" t="s">
        <v>1496</v>
      </c>
      <c r="J748" s="7" t="s">
        <v>1816</v>
      </c>
      <c r="K748" s="7" t="s">
        <v>1815</v>
      </c>
      <c r="L748" s="7" t="s">
        <v>1915</v>
      </c>
      <c r="M748" s="7" t="s">
        <v>20</v>
      </c>
      <c r="N748" s="7" t="s">
        <v>1324</v>
      </c>
      <c r="O748" s="7" t="s">
        <v>68</v>
      </c>
      <c r="P748" s="7" t="s">
        <v>68</v>
      </c>
      <c r="Q748" s="9">
        <v>171528</v>
      </c>
      <c r="R748" s="9">
        <v>0</v>
      </c>
      <c r="S748" s="9">
        <f t="shared" si="24"/>
        <v>171528</v>
      </c>
      <c r="T748" s="4" t="s">
        <v>53</v>
      </c>
      <c r="U748" s="7"/>
      <c r="V748" s="7"/>
      <c r="W748" s="9">
        <v>1</v>
      </c>
      <c r="X748" s="7"/>
      <c r="Y748" s="7"/>
      <c r="Z748" s="7" t="s">
        <v>14</v>
      </c>
      <c r="AA748" s="36" t="s">
        <v>20</v>
      </c>
      <c r="AB748" s="4" t="s">
        <v>2602</v>
      </c>
      <c r="AC748" s="22">
        <f t="shared" si="25"/>
        <v>67.265882352941176</v>
      </c>
      <c r="AD748" s="23">
        <v>0</v>
      </c>
    </row>
    <row r="749" spans="1:30" x14ac:dyDescent="0.35">
      <c r="A749" s="7">
        <v>772</v>
      </c>
      <c r="B749" s="6">
        <v>45874.502627314818</v>
      </c>
      <c r="C749" s="6">
        <v>45874</v>
      </c>
      <c r="D749" s="7" t="s">
        <v>2113</v>
      </c>
      <c r="E749" s="7" t="s">
        <v>1331</v>
      </c>
      <c r="F749" s="7" t="s">
        <v>2112</v>
      </c>
      <c r="G749" s="7" t="s">
        <v>2111</v>
      </c>
      <c r="H749" s="7" t="s">
        <v>1497</v>
      </c>
      <c r="I749" s="7" t="s">
        <v>1496</v>
      </c>
      <c r="J749" s="7" t="s">
        <v>1816</v>
      </c>
      <c r="K749" s="7" t="s">
        <v>1815</v>
      </c>
      <c r="L749" s="7" t="s">
        <v>1915</v>
      </c>
      <c r="M749" s="7" t="s">
        <v>20</v>
      </c>
      <c r="N749" s="7" t="s">
        <v>1324</v>
      </c>
      <c r="O749" s="7" t="s">
        <v>68</v>
      </c>
      <c r="P749" s="7" t="s">
        <v>68</v>
      </c>
      <c r="Q749" s="9">
        <v>194500.5</v>
      </c>
      <c r="R749" s="9">
        <v>0</v>
      </c>
      <c r="S749" s="9">
        <f t="shared" si="24"/>
        <v>194500.5</v>
      </c>
      <c r="T749" s="4" t="s">
        <v>53</v>
      </c>
      <c r="U749" s="7"/>
      <c r="V749" s="7"/>
      <c r="W749" s="9">
        <v>1</v>
      </c>
      <c r="X749" s="7"/>
      <c r="Y749" s="7"/>
      <c r="Z749" s="7" t="s">
        <v>14</v>
      </c>
      <c r="AA749" s="36" t="s">
        <v>20</v>
      </c>
      <c r="AB749" s="4" t="s">
        <v>2602</v>
      </c>
      <c r="AC749" s="22">
        <f t="shared" si="25"/>
        <v>76.274705882352947</v>
      </c>
      <c r="AD749" s="23">
        <v>0</v>
      </c>
    </row>
    <row r="750" spans="1:30" x14ac:dyDescent="0.35">
      <c r="A750" s="7">
        <v>773</v>
      </c>
      <c r="B750" s="6">
        <v>45874.500462962962</v>
      </c>
      <c r="C750" s="6">
        <v>45874</v>
      </c>
      <c r="D750" s="7" t="s">
        <v>2110</v>
      </c>
      <c r="E750" s="7" t="s">
        <v>1331</v>
      </c>
      <c r="F750" s="7" t="s">
        <v>1499</v>
      </c>
      <c r="G750" s="7" t="s">
        <v>2109</v>
      </c>
      <c r="H750" s="7" t="s">
        <v>1497</v>
      </c>
      <c r="I750" s="7" t="s">
        <v>1496</v>
      </c>
      <c r="J750" s="7" t="s">
        <v>1816</v>
      </c>
      <c r="K750" s="7" t="s">
        <v>1815</v>
      </c>
      <c r="L750" s="7" t="s">
        <v>1915</v>
      </c>
      <c r="M750" s="7" t="s">
        <v>20</v>
      </c>
      <c r="N750" s="7" t="s">
        <v>1324</v>
      </c>
      <c r="O750" s="7" t="s">
        <v>68</v>
      </c>
      <c r="P750" s="7" t="s">
        <v>68</v>
      </c>
      <c r="Q750" s="9">
        <v>1814827.5</v>
      </c>
      <c r="R750" s="9">
        <v>0</v>
      </c>
      <c r="S750" s="9">
        <f t="shared" si="24"/>
        <v>1814827.5</v>
      </c>
      <c r="T750" s="4" t="s">
        <v>53</v>
      </c>
      <c r="U750" s="7"/>
      <c r="V750" s="7"/>
      <c r="W750" s="9">
        <v>1</v>
      </c>
      <c r="X750" s="7"/>
      <c r="Y750" s="7"/>
      <c r="Z750" s="7" t="s">
        <v>14</v>
      </c>
      <c r="AA750" s="36" t="s">
        <v>20</v>
      </c>
      <c r="AB750" s="4" t="s">
        <v>2602</v>
      </c>
      <c r="AC750" s="22">
        <f t="shared" si="25"/>
        <v>711.69705882352946</v>
      </c>
      <c r="AD750" s="23">
        <v>0</v>
      </c>
    </row>
    <row r="751" spans="1:30" x14ac:dyDescent="0.35">
      <c r="A751" s="7">
        <v>774</v>
      </c>
      <c r="B751" s="6">
        <v>45874.497986111113</v>
      </c>
      <c r="C751" s="6">
        <v>45874</v>
      </c>
      <c r="D751" s="7" t="s">
        <v>2108</v>
      </c>
      <c r="E751" s="7" t="s">
        <v>1331</v>
      </c>
      <c r="F751" s="7" t="s">
        <v>1499</v>
      </c>
      <c r="G751" s="7" t="s">
        <v>2107</v>
      </c>
      <c r="H751" s="7" t="s">
        <v>1497</v>
      </c>
      <c r="I751" s="7" t="s">
        <v>1496</v>
      </c>
      <c r="J751" s="7" t="s">
        <v>1816</v>
      </c>
      <c r="K751" s="7" t="s">
        <v>1815</v>
      </c>
      <c r="L751" s="7" t="s">
        <v>1915</v>
      </c>
      <c r="M751" s="7" t="s">
        <v>20</v>
      </c>
      <c r="N751" s="7" t="s">
        <v>1324</v>
      </c>
      <c r="O751" s="7" t="s">
        <v>68</v>
      </c>
      <c r="P751" s="7" t="s">
        <v>68</v>
      </c>
      <c r="Q751" s="9">
        <v>624239.4</v>
      </c>
      <c r="R751" s="9">
        <v>0</v>
      </c>
      <c r="S751" s="9">
        <f t="shared" si="24"/>
        <v>624239.4</v>
      </c>
      <c r="T751" s="4" t="s">
        <v>53</v>
      </c>
      <c r="U751" s="7"/>
      <c r="V751" s="7"/>
      <c r="W751" s="9">
        <v>1</v>
      </c>
      <c r="X751" s="7"/>
      <c r="Y751" s="7"/>
      <c r="Z751" s="7" t="s">
        <v>14</v>
      </c>
      <c r="AA751" s="36" t="s">
        <v>20</v>
      </c>
      <c r="AB751" s="4" t="s">
        <v>2602</v>
      </c>
      <c r="AC751" s="22">
        <f t="shared" si="25"/>
        <v>244.79976470588235</v>
      </c>
      <c r="AD751" s="23">
        <v>0</v>
      </c>
    </row>
    <row r="752" spans="1:30" x14ac:dyDescent="0.35">
      <c r="A752" s="7">
        <v>775</v>
      </c>
      <c r="B752" s="6">
        <v>45874.481273148151</v>
      </c>
      <c r="C752" s="6">
        <v>45874</v>
      </c>
      <c r="D752" s="7" t="s">
        <v>2106</v>
      </c>
      <c r="E752" s="7" t="s">
        <v>1331</v>
      </c>
      <c r="F752" s="7" t="s">
        <v>1499</v>
      </c>
      <c r="G752" s="7" t="s">
        <v>2105</v>
      </c>
      <c r="H752" s="7" t="s">
        <v>1497</v>
      </c>
      <c r="I752" s="7" t="s">
        <v>1496</v>
      </c>
      <c r="J752" s="7" t="s">
        <v>1816</v>
      </c>
      <c r="K752" s="7" t="s">
        <v>1815</v>
      </c>
      <c r="L752" s="7" t="s">
        <v>1915</v>
      </c>
      <c r="M752" s="7" t="s">
        <v>20</v>
      </c>
      <c r="N752" s="7" t="s">
        <v>1324</v>
      </c>
      <c r="O752" s="7" t="s">
        <v>68</v>
      </c>
      <c r="P752" s="7" t="s">
        <v>68</v>
      </c>
      <c r="Q752" s="9">
        <v>181023.3</v>
      </c>
      <c r="R752" s="9">
        <v>0</v>
      </c>
      <c r="S752" s="9">
        <f t="shared" si="24"/>
        <v>181023.3</v>
      </c>
      <c r="T752" s="4" t="s">
        <v>53</v>
      </c>
      <c r="U752" s="7"/>
      <c r="V752" s="7"/>
      <c r="W752" s="9">
        <v>1</v>
      </c>
      <c r="X752" s="7"/>
      <c r="Y752" s="7"/>
      <c r="Z752" s="7" t="s">
        <v>14</v>
      </c>
      <c r="AA752" s="36" t="s">
        <v>20</v>
      </c>
      <c r="AB752" s="4" t="s">
        <v>2602</v>
      </c>
      <c r="AC752" s="22">
        <f t="shared" si="25"/>
        <v>70.989529411764707</v>
      </c>
      <c r="AD752" s="23">
        <v>0</v>
      </c>
    </row>
    <row r="753" spans="1:30" x14ac:dyDescent="0.35">
      <c r="A753" s="7">
        <v>776</v>
      </c>
      <c r="B753" s="6">
        <v>45874.478958333333</v>
      </c>
      <c r="C753" s="6">
        <v>45874</v>
      </c>
      <c r="D753" s="7" t="s">
        <v>2104</v>
      </c>
      <c r="E753" s="7" t="s">
        <v>1331</v>
      </c>
      <c r="F753" s="7" t="s">
        <v>1499</v>
      </c>
      <c r="G753" s="7" t="s">
        <v>2103</v>
      </c>
      <c r="H753" s="7" t="s">
        <v>1497</v>
      </c>
      <c r="I753" s="7" t="s">
        <v>1496</v>
      </c>
      <c r="J753" s="7" t="s">
        <v>1816</v>
      </c>
      <c r="K753" s="7" t="s">
        <v>1815</v>
      </c>
      <c r="L753" s="7" t="s">
        <v>1915</v>
      </c>
      <c r="M753" s="7" t="s">
        <v>20</v>
      </c>
      <c r="N753" s="7" t="s">
        <v>1324</v>
      </c>
      <c r="O753" s="7" t="s">
        <v>68</v>
      </c>
      <c r="P753" s="7" t="s">
        <v>68</v>
      </c>
      <c r="Q753" s="9">
        <v>976484.4</v>
      </c>
      <c r="R753" s="9">
        <v>0</v>
      </c>
      <c r="S753" s="9">
        <f t="shared" si="24"/>
        <v>976484.4</v>
      </c>
      <c r="T753" s="4" t="s">
        <v>53</v>
      </c>
      <c r="U753" s="7"/>
      <c r="V753" s="7"/>
      <c r="W753" s="9">
        <v>1</v>
      </c>
      <c r="X753" s="7"/>
      <c r="Y753" s="7"/>
      <c r="Z753" s="7" t="s">
        <v>14</v>
      </c>
      <c r="AA753" s="36" t="s">
        <v>20</v>
      </c>
      <c r="AB753" s="4" t="s">
        <v>2602</v>
      </c>
      <c r="AC753" s="22">
        <f t="shared" si="25"/>
        <v>382.9350588235294</v>
      </c>
      <c r="AD753" s="23">
        <v>0</v>
      </c>
    </row>
    <row r="754" spans="1:30" x14ac:dyDescent="0.35">
      <c r="A754" s="7">
        <v>777</v>
      </c>
      <c r="B754" s="6">
        <v>45874.466481481482</v>
      </c>
      <c r="C754" s="6">
        <v>45874</v>
      </c>
      <c r="D754" s="7" t="s">
        <v>2102</v>
      </c>
      <c r="E754" s="7" t="s">
        <v>1331</v>
      </c>
      <c r="F754" s="7" t="s">
        <v>1499</v>
      </c>
      <c r="G754" s="7" t="s">
        <v>2101</v>
      </c>
      <c r="H754" s="7" t="s">
        <v>1497</v>
      </c>
      <c r="I754" s="7" t="s">
        <v>1496</v>
      </c>
      <c r="J754" s="7" t="s">
        <v>1816</v>
      </c>
      <c r="K754" s="7" t="s">
        <v>1815</v>
      </c>
      <c r="L754" s="7" t="s">
        <v>1915</v>
      </c>
      <c r="M754" s="7" t="s">
        <v>20</v>
      </c>
      <c r="N754" s="7" t="s">
        <v>1324</v>
      </c>
      <c r="O754" s="7" t="s">
        <v>68</v>
      </c>
      <c r="P754" s="7" t="s">
        <v>68</v>
      </c>
      <c r="Q754" s="9">
        <v>2440537.14</v>
      </c>
      <c r="R754" s="9">
        <v>0</v>
      </c>
      <c r="S754" s="9">
        <f t="shared" si="24"/>
        <v>2440537.14</v>
      </c>
      <c r="T754" s="4" t="s">
        <v>53</v>
      </c>
      <c r="U754" s="7"/>
      <c r="V754" s="7"/>
      <c r="W754" s="9">
        <v>1</v>
      </c>
      <c r="X754" s="7"/>
      <c r="Y754" s="7"/>
      <c r="Z754" s="7" t="s">
        <v>14</v>
      </c>
      <c r="AA754" s="36" t="s">
        <v>20</v>
      </c>
      <c r="AB754" s="4" t="s">
        <v>2602</v>
      </c>
      <c r="AC754" s="22">
        <f t="shared" si="25"/>
        <v>957.07338823529415</v>
      </c>
      <c r="AD754" s="23">
        <v>0</v>
      </c>
    </row>
    <row r="755" spans="1:30" x14ac:dyDescent="0.35">
      <c r="A755" s="7">
        <v>778</v>
      </c>
      <c r="B755" s="6">
        <v>45874.369270833333</v>
      </c>
      <c r="C755" s="6">
        <v>45874</v>
      </c>
      <c r="D755" s="7" t="s">
        <v>2100</v>
      </c>
      <c r="E755" s="7" t="s">
        <v>1331</v>
      </c>
      <c r="F755" s="7" t="s">
        <v>1499</v>
      </c>
      <c r="G755" s="7" t="s">
        <v>2099</v>
      </c>
      <c r="H755" s="7" t="s">
        <v>1497</v>
      </c>
      <c r="I755" s="7" t="s">
        <v>1496</v>
      </c>
      <c r="J755" s="7" t="s">
        <v>1816</v>
      </c>
      <c r="K755" s="7" t="s">
        <v>1815</v>
      </c>
      <c r="L755" s="7" t="s">
        <v>1915</v>
      </c>
      <c r="M755" s="7" t="s">
        <v>20</v>
      </c>
      <c r="N755" s="7" t="s">
        <v>1324</v>
      </c>
      <c r="O755" s="7" t="s">
        <v>68</v>
      </c>
      <c r="P755" s="7" t="s">
        <v>68</v>
      </c>
      <c r="Q755" s="9">
        <v>1392133.5</v>
      </c>
      <c r="R755" s="9">
        <v>0</v>
      </c>
      <c r="S755" s="9">
        <f t="shared" si="24"/>
        <v>1392133.5</v>
      </c>
      <c r="T755" s="4" t="s">
        <v>53</v>
      </c>
      <c r="U755" s="7"/>
      <c r="V755" s="7"/>
      <c r="W755" s="9">
        <v>1</v>
      </c>
      <c r="X755" s="7"/>
      <c r="Y755" s="7"/>
      <c r="Z755" s="7" t="s">
        <v>14</v>
      </c>
      <c r="AA755" s="36" t="s">
        <v>20</v>
      </c>
      <c r="AB755" s="4" t="s">
        <v>2602</v>
      </c>
      <c r="AC755" s="22">
        <f t="shared" si="25"/>
        <v>545.93470588235289</v>
      </c>
      <c r="AD755" s="23">
        <v>0</v>
      </c>
    </row>
    <row r="756" spans="1:30" hidden="1" x14ac:dyDescent="0.35">
      <c r="A756" s="7">
        <v>779</v>
      </c>
      <c r="B756" s="6">
        <v>45874.351412037038</v>
      </c>
      <c r="C756" s="6">
        <v>45874</v>
      </c>
      <c r="D756" s="7" t="s">
        <v>2098</v>
      </c>
      <c r="E756" s="7" t="s">
        <v>1331</v>
      </c>
      <c r="F756" s="7" t="s">
        <v>1499</v>
      </c>
      <c r="G756" s="7" t="s">
        <v>2097</v>
      </c>
      <c r="H756" s="7" t="s">
        <v>1497</v>
      </c>
      <c r="I756" s="7" t="s">
        <v>1496</v>
      </c>
      <c r="J756" s="7" t="s">
        <v>1816</v>
      </c>
      <c r="K756" s="7" t="s">
        <v>1815</v>
      </c>
      <c r="L756" s="7" t="s">
        <v>1814</v>
      </c>
      <c r="M756" s="7" t="s">
        <v>28</v>
      </c>
      <c r="N756" s="7" t="s">
        <v>1813</v>
      </c>
      <c r="O756" s="7" t="s">
        <v>1704</v>
      </c>
      <c r="P756" s="7" t="s">
        <v>1703</v>
      </c>
      <c r="Q756" s="9">
        <v>2378419.5</v>
      </c>
      <c r="R756" s="9">
        <v>0</v>
      </c>
      <c r="S756" s="9">
        <f t="shared" si="24"/>
        <v>2378419.5</v>
      </c>
      <c r="T756" s="4" t="s">
        <v>53</v>
      </c>
      <c r="U756" s="7"/>
      <c r="V756" s="7"/>
      <c r="W756" s="9">
        <v>1</v>
      </c>
      <c r="X756" s="7"/>
      <c r="Y756" s="7"/>
      <c r="Z756" s="7" t="s">
        <v>14</v>
      </c>
      <c r="AA756" s="36" t="s">
        <v>28</v>
      </c>
      <c r="AB756" s="4"/>
      <c r="AC756" s="22">
        <f t="shared" si="25"/>
        <v>932.71352941176474</v>
      </c>
      <c r="AD756" s="23">
        <v>0</v>
      </c>
    </row>
    <row r="757" spans="1:30" hidden="1" x14ac:dyDescent="0.35">
      <c r="A757" s="7">
        <v>780</v>
      </c>
      <c r="B757" s="6">
        <v>45874.347743055558</v>
      </c>
      <c r="C757" s="6">
        <v>45874</v>
      </c>
      <c r="D757" s="7" t="s">
        <v>2096</v>
      </c>
      <c r="E757" s="7" t="s">
        <v>1331</v>
      </c>
      <c r="F757" s="7" t="s">
        <v>1499</v>
      </c>
      <c r="G757" s="7" t="s">
        <v>2095</v>
      </c>
      <c r="H757" s="7" t="s">
        <v>1497</v>
      </c>
      <c r="I757" s="7" t="s">
        <v>1496</v>
      </c>
      <c r="J757" s="7" t="s">
        <v>1816</v>
      </c>
      <c r="K757" s="7" t="s">
        <v>1815</v>
      </c>
      <c r="L757" s="7" t="s">
        <v>1814</v>
      </c>
      <c r="M757" s="7" t="s">
        <v>28</v>
      </c>
      <c r="N757" s="7" t="s">
        <v>1813</v>
      </c>
      <c r="O757" s="7" t="s">
        <v>1704</v>
      </c>
      <c r="P757" s="7" t="s">
        <v>1703</v>
      </c>
      <c r="Q757" s="9">
        <v>578907</v>
      </c>
      <c r="R757" s="9">
        <v>0</v>
      </c>
      <c r="S757" s="9">
        <f t="shared" si="24"/>
        <v>578907</v>
      </c>
      <c r="T757" s="4" t="s">
        <v>53</v>
      </c>
      <c r="U757" s="7"/>
      <c r="V757" s="7"/>
      <c r="W757" s="9">
        <v>1</v>
      </c>
      <c r="X757" s="7"/>
      <c r="Y757" s="7"/>
      <c r="Z757" s="7" t="s">
        <v>14</v>
      </c>
      <c r="AA757" s="36" t="s">
        <v>28</v>
      </c>
      <c r="AB757" s="4"/>
      <c r="AC757" s="22">
        <f t="shared" si="25"/>
        <v>227.02235294117648</v>
      </c>
      <c r="AD757" s="23">
        <v>0</v>
      </c>
    </row>
    <row r="758" spans="1:30" hidden="1" x14ac:dyDescent="0.35">
      <c r="A758" s="7">
        <v>781</v>
      </c>
      <c r="B758" s="6">
        <v>45874.306967592594</v>
      </c>
      <c r="C758" s="6">
        <v>45874</v>
      </c>
      <c r="D758" s="7" t="s">
        <v>2094</v>
      </c>
      <c r="E758" s="7" t="s">
        <v>1050</v>
      </c>
      <c r="F758" s="7"/>
      <c r="G758" s="7" t="s">
        <v>2093</v>
      </c>
      <c r="H758" s="7"/>
      <c r="I758" s="7"/>
      <c r="J758" s="7" t="s">
        <v>1816</v>
      </c>
      <c r="K758" s="7" t="s">
        <v>1815</v>
      </c>
      <c r="L758" s="7" t="s">
        <v>1956</v>
      </c>
      <c r="M758" s="7" t="s">
        <v>30</v>
      </c>
      <c r="N758" s="7" t="s">
        <v>211</v>
      </c>
      <c r="O758" s="7" t="s">
        <v>210</v>
      </c>
      <c r="P758" s="7" t="s">
        <v>210</v>
      </c>
      <c r="Q758" s="9">
        <v>800000</v>
      </c>
      <c r="R758" s="9">
        <v>0</v>
      </c>
      <c r="S758" s="9">
        <f t="shared" si="24"/>
        <v>800000</v>
      </c>
      <c r="T758" s="4" t="s">
        <v>53</v>
      </c>
      <c r="U758" s="7"/>
      <c r="V758" s="7"/>
      <c r="W758" s="9">
        <v>1</v>
      </c>
      <c r="X758" s="7"/>
      <c r="Y758" s="7"/>
      <c r="Z758" s="7" t="s">
        <v>14</v>
      </c>
      <c r="AA758" s="36" t="s">
        <v>30</v>
      </c>
      <c r="AB758" s="4"/>
      <c r="AC758" s="22">
        <f t="shared" si="25"/>
        <v>313.72549019607845</v>
      </c>
      <c r="AD758" s="23">
        <v>0</v>
      </c>
    </row>
    <row r="759" spans="1:30" x14ac:dyDescent="0.35">
      <c r="A759" s="7">
        <v>782</v>
      </c>
      <c r="B759" s="6">
        <v>45874.475844907407</v>
      </c>
      <c r="C759" s="6">
        <v>45874</v>
      </c>
      <c r="D759" s="7" t="s">
        <v>2092</v>
      </c>
      <c r="E759" s="7" t="s">
        <v>1331</v>
      </c>
      <c r="F759" s="7" t="s">
        <v>1954</v>
      </c>
      <c r="G759" s="7" t="s">
        <v>2091</v>
      </c>
      <c r="H759" s="7" t="s">
        <v>1497</v>
      </c>
      <c r="I759" s="7" t="s">
        <v>1496</v>
      </c>
      <c r="J759" s="7" t="s">
        <v>1816</v>
      </c>
      <c r="K759" s="7" t="s">
        <v>1815</v>
      </c>
      <c r="L759" s="7" t="s">
        <v>1915</v>
      </c>
      <c r="M759" s="7" t="s">
        <v>20</v>
      </c>
      <c r="N759" s="7" t="s">
        <v>1324</v>
      </c>
      <c r="O759" s="7" t="s">
        <v>68</v>
      </c>
      <c r="P759" s="7" t="s">
        <v>68</v>
      </c>
      <c r="Q759" s="9">
        <v>0</v>
      </c>
      <c r="R759" s="9">
        <v>2379277.14</v>
      </c>
      <c r="S759" s="9">
        <f t="shared" si="24"/>
        <v>-2379277.14</v>
      </c>
      <c r="T759" s="4" t="s">
        <v>53</v>
      </c>
      <c r="U759" s="7"/>
      <c r="V759" s="7"/>
      <c r="W759" s="9">
        <v>1</v>
      </c>
      <c r="X759" s="7"/>
      <c r="Y759" s="7"/>
      <c r="Z759" s="7" t="s">
        <v>14</v>
      </c>
      <c r="AA759" s="36" t="s">
        <v>20</v>
      </c>
      <c r="AB759" s="4" t="s">
        <v>2602</v>
      </c>
      <c r="AC759" s="22">
        <f t="shared" si="25"/>
        <v>-933.04985882352946</v>
      </c>
      <c r="AD759" s="23">
        <v>0</v>
      </c>
    </row>
    <row r="760" spans="1:30" x14ac:dyDescent="0.35">
      <c r="A760" s="7">
        <v>783</v>
      </c>
      <c r="B760" s="6">
        <v>45874</v>
      </c>
      <c r="C760" s="6">
        <v>45874</v>
      </c>
      <c r="D760" s="4" t="s">
        <v>541</v>
      </c>
      <c r="E760" s="4" t="s">
        <v>61</v>
      </c>
      <c r="F760" s="4" t="s">
        <v>540</v>
      </c>
      <c r="G760" s="4" t="s">
        <v>540</v>
      </c>
      <c r="H760" s="4"/>
      <c r="I760" s="4"/>
      <c r="J760" s="4" t="s">
        <v>59</v>
      </c>
      <c r="K760" s="4" t="s">
        <v>58</v>
      </c>
      <c r="L760" s="4" t="s">
        <v>57</v>
      </c>
      <c r="M760" s="4" t="s">
        <v>32</v>
      </c>
      <c r="N760" s="4" t="s">
        <v>266</v>
      </c>
      <c r="O760" s="5" t="s">
        <v>55</v>
      </c>
      <c r="P760" s="4" t="s">
        <v>54</v>
      </c>
      <c r="Q760" s="10">
        <v>20580.810000000001</v>
      </c>
      <c r="R760" s="10">
        <v>0</v>
      </c>
      <c r="S760" s="9">
        <f t="shared" si="24"/>
        <v>20580.810000000001</v>
      </c>
      <c r="T760" s="4" t="s">
        <v>53</v>
      </c>
      <c r="U760" s="4" t="s">
        <v>423</v>
      </c>
      <c r="V760" s="4"/>
      <c r="W760" s="4">
        <v>-5</v>
      </c>
      <c r="X760" s="4" t="s">
        <v>51</v>
      </c>
      <c r="Y760" s="4"/>
      <c r="Z760" s="7" t="s">
        <v>14</v>
      </c>
      <c r="AA760" s="36" t="s">
        <v>22</v>
      </c>
      <c r="AB760" s="4" t="s">
        <v>2835</v>
      </c>
      <c r="AC760" s="22">
        <f t="shared" si="25"/>
        <v>8.0709058823529425</v>
      </c>
      <c r="AD760" s="23">
        <v>0</v>
      </c>
    </row>
    <row r="761" spans="1:30" x14ac:dyDescent="0.35">
      <c r="A761" s="7">
        <v>784</v>
      </c>
      <c r="B761" s="6">
        <v>45874</v>
      </c>
      <c r="C761" s="6">
        <v>45874</v>
      </c>
      <c r="D761" s="4" t="s">
        <v>539</v>
      </c>
      <c r="E761" s="4" t="s">
        <v>61</v>
      </c>
      <c r="F761" s="4" t="s">
        <v>538</v>
      </c>
      <c r="G761" s="4" t="s">
        <v>538</v>
      </c>
      <c r="H761" s="4"/>
      <c r="I761" s="4"/>
      <c r="J761" s="4" t="s">
        <v>59</v>
      </c>
      <c r="K761" s="4" t="s">
        <v>58</v>
      </c>
      <c r="L761" s="4" t="s">
        <v>57</v>
      </c>
      <c r="M761" s="4" t="s">
        <v>32</v>
      </c>
      <c r="N761" s="4" t="s">
        <v>266</v>
      </c>
      <c r="O761" s="5" t="s">
        <v>55</v>
      </c>
      <c r="P761" s="4" t="s">
        <v>54</v>
      </c>
      <c r="Q761" s="10">
        <v>105000</v>
      </c>
      <c r="R761" s="10">
        <v>0</v>
      </c>
      <c r="S761" s="9">
        <f t="shared" si="24"/>
        <v>105000</v>
      </c>
      <c r="T761" s="4" t="s">
        <v>53</v>
      </c>
      <c r="U761" s="4" t="s">
        <v>121</v>
      </c>
      <c r="V761" s="4"/>
      <c r="W761" s="4">
        <v>-7</v>
      </c>
      <c r="X761" s="4" t="s">
        <v>94</v>
      </c>
      <c r="Y761" s="4"/>
      <c r="Z761" s="7" t="s">
        <v>14</v>
      </c>
      <c r="AA761" s="36" t="s">
        <v>22</v>
      </c>
      <c r="AB761" s="4" t="s">
        <v>2835</v>
      </c>
      <c r="AC761" s="22">
        <f t="shared" si="25"/>
        <v>41.176470588235297</v>
      </c>
      <c r="AD761" s="23">
        <v>0</v>
      </c>
    </row>
    <row r="762" spans="1:30" x14ac:dyDescent="0.35">
      <c r="A762" s="7">
        <v>785</v>
      </c>
      <c r="B762" s="6">
        <v>45874</v>
      </c>
      <c r="C762" s="6">
        <v>45874</v>
      </c>
      <c r="D762" s="4" t="s">
        <v>537</v>
      </c>
      <c r="E762" s="4" t="s">
        <v>61</v>
      </c>
      <c r="F762" s="4" t="s">
        <v>536</v>
      </c>
      <c r="G762" s="4" t="s">
        <v>536</v>
      </c>
      <c r="H762" s="4"/>
      <c r="I762" s="4"/>
      <c r="J762" s="4" t="s">
        <v>59</v>
      </c>
      <c r="K762" s="4" t="s">
        <v>58</v>
      </c>
      <c r="L762" s="4" t="s">
        <v>57</v>
      </c>
      <c r="M762" s="4" t="s">
        <v>32</v>
      </c>
      <c r="N762" s="4" t="s">
        <v>266</v>
      </c>
      <c r="O762" s="5" t="s">
        <v>55</v>
      </c>
      <c r="P762" s="4" t="s">
        <v>54</v>
      </c>
      <c r="Q762" s="10">
        <v>40975.089999999997</v>
      </c>
      <c r="R762" s="10">
        <v>0</v>
      </c>
      <c r="S762" s="9">
        <f t="shared" si="24"/>
        <v>40975.089999999997</v>
      </c>
      <c r="T762" s="4" t="s">
        <v>53</v>
      </c>
      <c r="U762" s="4" t="s">
        <v>271</v>
      </c>
      <c r="V762" s="4"/>
      <c r="W762" s="4">
        <v>-10</v>
      </c>
      <c r="X762" s="4" t="s">
        <v>124</v>
      </c>
      <c r="Y762" s="4"/>
      <c r="Z762" s="7" t="s">
        <v>14</v>
      </c>
      <c r="AA762" s="36" t="s">
        <v>22</v>
      </c>
      <c r="AB762" s="4" t="s">
        <v>2835</v>
      </c>
      <c r="AC762" s="22">
        <f t="shared" si="25"/>
        <v>16.068662745098038</v>
      </c>
      <c r="AD762" s="23">
        <v>0</v>
      </c>
    </row>
    <row r="763" spans="1:30" x14ac:dyDescent="0.35">
      <c r="A763" s="7">
        <v>786</v>
      </c>
      <c r="B763" s="6">
        <v>45874</v>
      </c>
      <c r="C763" s="6">
        <v>45874</v>
      </c>
      <c r="D763" s="4" t="s">
        <v>522</v>
      </c>
      <c r="E763" s="4" t="s">
        <v>61</v>
      </c>
      <c r="F763" s="4" t="s">
        <v>521</v>
      </c>
      <c r="G763" s="4" t="s">
        <v>521</v>
      </c>
      <c r="H763" s="4"/>
      <c r="I763" s="4"/>
      <c r="J763" s="4" t="s">
        <v>59</v>
      </c>
      <c r="K763" s="4" t="s">
        <v>58</v>
      </c>
      <c r="L763" s="4" t="s">
        <v>57</v>
      </c>
      <c r="M763" s="4" t="s">
        <v>32</v>
      </c>
      <c r="N763" s="4" t="s">
        <v>518</v>
      </c>
      <c r="O763" s="5" t="s">
        <v>517</v>
      </c>
      <c r="P763" s="4" t="s">
        <v>54</v>
      </c>
      <c r="Q763" s="10">
        <v>38102</v>
      </c>
      <c r="R763" s="10">
        <v>0</v>
      </c>
      <c r="S763" s="9">
        <f t="shared" si="24"/>
        <v>38102</v>
      </c>
      <c r="T763" s="4" t="s">
        <v>53</v>
      </c>
      <c r="U763" s="4" t="s">
        <v>214</v>
      </c>
      <c r="V763" s="4"/>
      <c r="W763" s="4">
        <v>-8</v>
      </c>
      <c r="X763" s="4" t="s">
        <v>51</v>
      </c>
      <c r="Y763" s="4"/>
      <c r="Z763" s="7" t="s">
        <v>14</v>
      </c>
      <c r="AA763" s="36" t="s">
        <v>22</v>
      </c>
      <c r="AB763" s="4" t="s">
        <v>2835</v>
      </c>
      <c r="AC763" s="22">
        <f t="shared" si="25"/>
        <v>14.941960784313725</v>
      </c>
      <c r="AD763" s="23">
        <v>0</v>
      </c>
    </row>
    <row r="764" spans="1:30" x14ac:dyDescent="0.35">
      <c r="A764" s="7">
        <v>787</v>
      </c>
      <c r="B764" s="6">
        <v>45874</v>
      </c>
      <c r="C764" s="6">
        <v>45874</v>
      </c>
      <c r="D764" s="4" t="s">
        <v>520</v>
      </c>
      <c r="E764" s="4" t="s">
        <v>61</v>
      </c>
      <c r="F764" s="4" t="s">
        <v>519</v>
      </c>
      <c r="G764" s="4" t="s">
        <v>519</v>
      </c>
      <c r="H764" s="4"/>
      <c r="I764" s="4"/>
      <c r="J764" s="4" t="s">
        <v>59</v>
      </c>
      <c r="K764" s="4" t="s">
        <v>58</v>
      </c>
      <c r="L764" s="4" t="s">
        <v>57</v>
      </c>
      <c r="M764" s="4" t="s">
        <v>32</v>
      </c>
      <c r="N764" s="4" t="s">
        <v>518</v>
      </c>
      <c r="O764" s="5" t="s">
        <v>517</v>
      </c>
      <c r="P764" s="4" t="s">
        <v>54</v>
      </c>
      <c r="Q764" s="10">
        <v>20580.810000000001</v>
      </c>
      <c r="R764" s="10">
        <v>0</v>
      </c>
      <c r="S764" s="9">
        <f t="shared" si="24"/>
        <v>20580.810000000001</v>
      </c>
      <c r="T764" s="4" t="s">
        <v>53</v>
      </c>
      <c r="U764" s="4" t="s">
        <v>423</v>
      </c>
      <c r="V764" s="4"/>
      <c r="W764" s="4">
        <v>-5</v>
      </c>
      <c r="X764" s="4" t="s">
        <v>51</v>
      </c>
      <c r="Y764" s="4"/>
      <c r="Z764" s="7" t="s">
        <v>14</v>
      </c>
      <c r="AA764" s="36" t="s">
        <v>22</v>
      </c>
      <c r="AB764" s="4" t="s">
        <v>2835</v>
      </c>
      <c r="AC764" s="22">
        <f t="shared" si="25"/>
        <v>8.0709058823529425</v>
      </c>
      <c r="AD764" s="23">
        <v>0</v>
      </c>
    </row>
    <row r="765" spans="1:30" x14ac:dyDescent="0.35">
      <c r="A765" s="7">
        <v>788</v>
      </c>
      <c r="B765" s="6">
        <v>45874</v>
      </c>
      <c r="C765" s="6">
        <v>45874</v>
      </c>
      <c r="D765" s="4" t="s">
        <v>411</v>
      </c>
      <c r="E765" s="4" t="s">
        <v>61</v>
      </c>
      <c r="F765" s="4" t="s">
        <v>410</v>
      </c>
      <c r="G765" s="4" t="s">
        <v>410</v>
      </c>
      <c r="H765" s="4"/>
      <c r="I765" s="4"/>
      <c r="J765" s="4" t="s">
        <v>59</v>
      </c>
      <c r="K765" s="4" t="s">
        <v>58</v>
      </c>
      <c r="L765" s="4" t="s">
        <v>57</v>
      </c>
      <c r="M765" s="4" t="s">
        <v>32</v>
      </c>
      <c r="N765" s="4" t="s">
        <v>197</v>
      </c>
      <c r="O765" s="5" t="s">
        <v>105</v>
      </c>
      <c r="P765" s="4" t="s">
        <v>54</v>
      </c>
      <c r="Q765" s="10">
        <v>16253.23</v>
      </c>
      <c r="R765" s="10">
        <v>0</v>
      </c>
      <c r="S765" s="9">
        <f t="shared" si="24"/>
        <v>16253.23</v>
      </c>
      <c r="T765" s="4" t="s">
        <v>53</v>
      </c>
      <c r="U765" s="4" t="s">
        <v>409</v>
      </c>
      <c r="V765" s="4"/>
      <c r="W765" s="4">
        <v>-10</v>
      </c>
      <c r="X765" s="4" t="s">
        <v>94</v>
      </c>
      <c r="Y765" s="4"/>
      <c r="Z765" s="7" t="s">
        <v>14</v>
      </c>
      <c r="AA765" s="36" t="s">
        <v>29</v>
      </c>
      <c r="AB765" s="4" t="s">
        <v>2607</v>
      </c>
      <c r="AC765" s="22">
        <f t="shared" si="25"/>
        <v>6.3738156862745097</v>
      </c>
      <c r="AD765" s="23">
        <v>0</v>
      </c>
    </row>
    <row r="766" spans="1:30" x14ac:dyDescent="0.35">
      <c r="A766" s="7">
        <v>789</v>
      </c>
      <c r="B766" s="6">
        <v>45874</v>
      </c>
      <c r="C766" s="6">
        <v>45874</v>
      </c>
      <c r="D766" s="4" t="s">
        <v>408</v>
      </c>
      <c r="E766" s="4" t="s">
        <v>61</v>
      </c>
      <c r="F766" s="4" t="s">
        <v>407</v>
      </c>
      <c r="G766" s="4" t="s">
        <v>407</v>
      </c>
      <c r="H766" s="4"/>
      <c r="I766" s="4"/>
      <c r="J766" s="4" t="s">
        <v>59</v>
      </c>
      <c r="K766" s="4" t="s">
        <v>58</v>
      </c>
      <c r="L766" s="4" t="s">
        <v>57</v>
      </c>
      <c r="M766" s="4" t="s">
        <v>32</v>
      </c>
      <c r="N766" s="4" t="s">
        <v>197</v>
      </c>
      <c r="O766" s="5" t="s">
        <v>105</v>
      </c>
      <c r="P766" s="4" t="s">
        <v>54</v>
      </c>
      <c r="Q766" s="10">
        <v>45000</v>
      </c>
      <c r="R766" s="10">
        <v>0</v>
      </c>
      <c r="S766" s="9">
        <f t="shared" si="24"/>
        <v>45000</v>
      </c>
      <c r="T766" s="4" t="s">
        <v>53</v>
      </c>
      <c r="U766" s="4" t="s">
        <v>121</v>
      </c>
      <c r="V766" s="4"/>
      <c r="W766" s="4">
        <v>-3</v>
      </c>
      <c r="X766" s="4" t="s">
        <v>94</v>
      </c>
      <c r="Y766" s="4"/>
      <c r="Z766" s="7" t="s">
        <v>14</v>
      </c>
      <c r="AA766" s="36" t="s">
        <v>29</v>
      </c>
      <c r="AB766" s="4" t="s">
        <v>2607</v>
      </c>
      <c r="AC766" s="22">
        <f t="shared" si="25"/>
        <v>17.647058823529413</v>
      </c>
      <c r="AD766" s="23">
        <v>0</v>
      </c>
    </row>
    <row r="767" spans="1:30" x14ac:dyDescent="0.35">
      <c r="A767" s="7">
        <v>790</v>
      </c>
      <c r="B767" s="6">
        <v>45875</v>
      </c>
      <c r="C767" s="6">
        <v>45875</v>
      </c>
      <c r="D767" s="4" t="s">
        <v>614</v>
      </c>
      <c r="E767" s="4" t="s">
        <v>61</v>
      </c>
      <c r="F767" s="4" t="s">
        <v>613</v>
      </c>
      <c r="G767" s="4" t="s">
        <v>613</v>
      </c>
      <c r="H767" s="4"/>
      <c r="I767" s="4"/>
      <c r="J767" s="4" t="s">
        <v>59</v>
      </c>
      <c r="K767" s="4" t="s">
        <v>58</v>
      </c>
      <c r="L767" s="4" t="s">
        <v>57</v>
      </c>
      <c r="M767" s="4" t="s">
        <v>32</v>
      </c>
      <c r="N767" s="4" t="s">
        <v>317</v>
      </c>
      <c r="O767" s="5" t="s">
        <v>68</v>
      </c>
      <c r="P767" s="4" t="s">
        <v>54</v>
      </c>
      <c r="Q767" s="10">
        <v>40975.1</v>
      </c>
      <c r="R767" s="10">
        <v>0</v>
      </c>
      <c r="S767" s="9">
        <f t="shared" si="24"/>
        <v>40975.1</v>
      </c>
      <c r="T767" s="4" t="s">
        <v>53</v>
      </c>
      <c r="U767" s="4" t="s">
        <v>271</v>
      </c>
      <c r="V767" s="4"/>
      <c r="W767" s="4">
        <v>-10</v>
      </c>
      <c r="X767" s="4" t="s">
        <v>124</v>
      </c>
      <c r="Y767" s="4"/>
      <c r="Z767" s="7" t="s">
        <v>14</v>
      </c>
      <c r="AA767" s="36" t="s">
        <v>23</v>
      </c>
      <c r="AB767" s="4" t="s">
        <v>2607</v>
      </c>
      <c r="AC767" s="22">
        <f t="shared" si="25"/>
        <v>16.068666666666665</v>
      </c>
      <c r="AD767" s="23">
        <v>0</v>
      </c>
    </row>
    <row r="768" spans="1:30" x14ac:dyDescent="0.35">
      <c r="A768" s="7">
        <v>791</v>
      </c>
      <c r="B768" s="6">
        <v>45875</v>
      </c>
      <c r="C768" s="6">
        <v>45875</v>
      </c>
      <c r="D768" s="4" t="s">
        <v>612</v>
      </c>
      <c r="E768" s="4" t="s">
        <v>61</v>
      </c>
      <c r="F768" s="4" t="s">
        <v>611</v>
      </c>
      <c r="G768" s="4" t="s">
        <v>611</v>
      </c>
      <c r="H768" s="4"/>
      <c r="I768" s="4"/>
      <c r="J768" s="4" t="s">
        <v>59</v>
      </c>
      <c r="K768" s="4" t="s">
        <v>58</v>
      </c>
      <c r="L768" s="4" t="s">
        <v>57</v>
      </c>
      <c r="M768" s="4" t="s">
        <v>32</v>
      </c>
      <c r="N768" s="4" t="s">
        <v>317</v>
      </c>
      <c r="O768" s="5" t="s">
        <v>68</v>
      </c>
      <c r="P768" s="4" t="s">
        <v>54</v>
      </c>
      <c r="Q768" s="10">
        <v>500000</v>
      </c>
      <c r="R768" s="10">
        <v>0</v>
      </c>
      <c r="S768" s="9">
        <f t="shared" si="24"/>
        <v>500000</v>
      </c>
      <c r="T768" s="4" t="s">
        <v>53</v>
      </c>
      <c r="U768" s="4" t="s">
        <v>610</v>
      </c>
      <c r="V768" s="4"/>
      <c r="W768" s="4">
        <v>-2</v>
      </c>
      <c r="X768" s="4" t="s">
        <v>94</v>
      </c>
      <c r="Y768" s="4"/>
      <c r="Z768" s="7" t="s">
        <v>14</v>
      </c>
      <c r="AA768" s="36" t="s">
        <v>23</v>
      </c>
      <c r="AB768" s="4" t="s">
        <v>2607</v>
      </c>
      <c r="AC768" s="22">
        <f t="shared" si="25"/>
        <v>196.07843137254903</v>
      </c>
      <c r="AD768" s="23">
        <v>0</v>
      </c>
    </row>
    <row r="769" spans="1:30" hidden="1" x14ac:dyDescent="0.35">
      <c r="A769" s="7">
        <v>792</v>
      </c>
      <c r="B769" s="6">
        <v>45875</v>
      </c>
      <c r="C769" s="6">
        <v>45875</v>
      </c>
      <c r="D769" s="4" t="s">
        <v>503</v>
      </c>
      <c r="E769" s="4" t="s">
        <v>61</v>
      </c>
      <c r="F769" s="4" t="s">
        <v>502</v>
      </c>
      <c r="G769" s="4" t="s">
        <v>502</v>
      </c>
      <c r="H769" s="4"/>
      <c r="I769" s="4"/>
      <c r="J769" s="4" t="s">
        <v>59</v>
      </c>
      <c r="K769" s="4" t="s">
        <v>58</v>
      </c>
      <c r="L769" s="4" t="s">
        <v>57</v>
      </c>
      <c r="M769" s="4" t="s">
        <v>32</v>
      </c>
      <c r="N769" s="4" t="s">
        <v>211</v>
      </c>
      <c r="O769" s="5" t="s">
        <v>210</v>
      </c>
      <c r="P769" s="4" t="s">
        <v>210</v>
      </c>
      <c r="Q769" s="10">
        <v>95255</v>
      </c>
      <c r="R769" s="10">
        <v>0</v>
      </c>
      <c r="S769" s="9">
        <f t="shared" si="24"/>
        <v>95255</v>
      </c>
      <c r="T769" s="4" t="s">
        <v>53</v>
      </c>
      <c r="U769" s="4" t="s">
        <v>214</v>
      </c>
      <c r="V769" s="4"/>
      <c r="W769" s="4">
        <v>-20</v>
      </c>
      <c r="X769" s="4" t="s">
        <v>51</v>
      </c>
      <c r="Y769" s="4"/>
      <c r="Z769" s="7" t="s">
        <v>14</v>
      </c>
      <c r="AA769" s="36" t="s">
        <v>30</v>
      </c>
      <c r="AB769" s="4"/>
      <c r="AC769" s="22">
        <f t="shared" si="25"/>
        <v>37.354901960784311</v>
      </c>
      <c r="AD769" s="23">
        <v>0</v>
      </c>
    </row>
    <row r="770" spans="1:30" hidden="1" x14ac:dyDescent="0.35">
      <c r="A770" s="7">
        <v>793</v>
      </c>
      <c r="B770" s="6">
        <v>45876</v>
      </c>
      <c r="C770" s="6">
        <v>45876</v>
      </c>
      <c r="D770" s="7" t="s">
        <v>1734</v>
      </c>
      <c r="E770" s="7" t="s">
        <v>61</v>
      </c>
      <c r="F770" s="7" t="s">
        <v>1733</v>
      </c>
      <c r="G770" s="7" t="s">
        <v>1733</v>
      </c>
      <c r="H770" s="7"/>
      <c r="I770" s="7"/>
      <c r="J770" s="7" t="s">
        <v>59</v>
      </c>
      <c r="K770" s="7" t="s">
        <v>58</v>
      </c>
      <c r="L770" s="7" t="s">
        <v>325</v>
      </c>
      <c r="M770" s="7" t="s">
        <v>1764</v>
      </c>
      <c r="N770" s="7" t="s">
        <v>1699</v>
      </c>
      <c r="O770" s="7" t="s">
        <v>1560</v>
      </c>
      <c r="P770" s="7" t="s">
        <v>196</v>
      </c>
      <c r="Q770" s="9">
        <v>650000</v>
      </c>
      <c r="R770" s="9">
        <v>0</v>
      </c>
      <c r="S770" s="9">
        <f t="shared" si="24"/>
        <v>650000</v>
      </c>
      <c r="T770" s="4" t="s">
        <v>53</v>
      </c>
      <c r="U770" s="7" t="s">
        <v>1718</v>
      </c>
      <c r="V770" s="4"/>
      <c r="W770" s="9">
        <v>-1</v>
      </c>
      <c r="X770" s="7" t="s">
        <v>94</v>
      </c>
      <c r="Y770" s="7"/>
      <c r="Z770" s="7" t="s">
        <v>7</v>
      </c>
      <c r="AA770" s="37" t="s">
        <v>8</v>
      </c>
      <c r="AB770" s="16"/>
      <c r="AC770" s="22">
        <f t="shared" si="25"/>
        <v>254.90196078431373</v>
      </c>
      <c r="AD770" s="23">
        <v>0</v>
      </c>
    </row>
    <row r="771" spans="1:30" hidden="1" x14ac:dyDescent="0.35">
      <c r="A771" s="7">
        <v>794</v>
      </c>
      <c r="B771" s="6">
        <v>45876</v>
      </c>
      <c r="C771" s="6">
        <v>45876</v>
      </c>
      <c r="D771" s="7" t="s">
        <v>1732</v>
      </c>
      <c r="E771" s="7" t="s">
        <v>61</v>
      </c>
      <c r="F771" s="7" t="s">
        <v>1731</v>
      </c>
      <c r="G771" s="7" t="s">
        <v>1731</v>
      </c>
      <c r="H771" s="7"/>
      <c r="I771" s="7"/>
      <c r="J771" s="7" t="s">
        <v>59</v>
      </c>
      <c r="K771" s="7" t="s">
        <v>58</v>
      </c>
      <c r="L771" s="7" t="s">
        <v>325</v>
      </c>
      <c r="M771" s="7" t="s">
        <v>33</v>
      </c>
      <c r="N771" s="7" t="s">
        <v>1699</v>
      </c>
      <c r="O771" s="7" t="s">
        <v>1703</v>
      </c>
      <c r="P771" s="7" t="s">
        <v>1703</v>
      </c>
      <c r="Q771" s="9">
        <v>1572033.9</v>
      </c>
      <c r="R771" s="9">
        <v>0</v>
      </c>
      <c r="S771" s="9">
        <f t="shared" ref="S771:S834" si="26">+Q771-R771</f>
        <v>1572033.9</v>
      </c>
      <c r="T771" s="4" t="s">
        <v>53</v>
      </c>
      <c r="U771" s="7" t="s">
        <v>1697</v>
      </c>
      <c r="V771" s="4"/>
      <c r="W771" s="9">
        <v>-1</v>
      </c>
      <c r="X771" s="7" t="s">
        <v>94</v>
      </c>
      <c r="Y771" s="7"/>
      <c r="Z771" s="7" t="s">
        <v>7</v>
      </c>
      <c r="AA771" s="37" t="s">
        <v>9</v>
      </c>
      <c r="AB771" s="16"/>
      <c r="AC771" s="22">
        <f t="shared" si="25"/>
        <v>616.48388235294112</v>
      </c>
      <c r="AD771" s="23">
        <v>0</v>
      </c>
    </row>
    <row r="772" spans="1:30" x14ac:dyDescent="0.35">
      <c r="A772" s="7">
        <v>795</v>
      </c>
      <c r="B772" s="6">
        <v>45876</v>
      </c>
      <c r="C772" s="6">
        <v>45876</v>
      </c>
      <c r="D772" s="4" t="s">
        <v>619</v>
      </c>
      <c r="E772" s="4" t="s">
        <v>61</v>
      </c>
      <c r="F772" s="4" t="s">
        <v>618</v>
      </c>
      <c r="G772" s="4" t="s">
        <v>618</v>
      </c>
      <c r="H772" s="4"/>
      <c r="I772" s="4"/>
      <c r="J772" s="4" t="s">
        <v>59</v>
      </c>
      <c r="K772" s="4" t="s">
        <v>58</v>
      </c>
      <c r="L772" s="4" t="s">
        <v>57</v>
      </c>
      <c r="M772" s="4" t="s">
        <v>32</v>
      </c>
      <c r="N772" s="4" t="s">
        <v>317</v>
      </c>
      <c r="O772" s="5" t="s">
        <v>68</v>
      </c>
      <c r="P772" s="4" t="s">
        <v>54</v>
      </c>
      <c r="Q772" s="10">
        <v>31945.09</v>
      </c>
      <c r="R772" s="10">
        <v>0</v>
      </c>
      <c r="S772" s="9">
        <f t="shared" si="26"/>
        <v>31945.09</v>
      </c>
      <c r="T772" s="4" t="s">
        <v>53</v>
      </c>
      <c r="U772" s="4" t="s">
        <v>617</v>
      </c>
      <c r="V772" s="4"/>
      <c r="W772" s="4">
        <v>-20</v>
      </c>
      <c r="X772" s="4" t="s">
        <v>94</v>
      </c>
      <c r="Y772" s="4"/>
      <c r="Z772" s="7" t="s">
        <v>14</v>
      </c>
      <c r="AA772" s="36" t="s">
        <v>23</v>
      </c>
      <c r="AB772" s="4" t="s">
        <v>2607</v>
      </c>
      <c r="AC772" s="22">
        <f t="shared" si="25"/>
        <v>12.527486274509805</v>
      </c>
      <c r="AD772" s="23">
        <v>0</v>
      </c>
    </row>
    <row r="773" spans="1:30" x14ac:dyDescent="0.35">
      <c r="A773" s="7">
        <v>796</v>
      </c>
      <c r="B773" s="6">
        <v>45876</v>
      </c>
      <c r="C773" s="6">
        <v>45876</v>
      </c>
      <c r="D773" s="4" t="s">
        <v>616</v>
      </c>
      <c r="E773" s="4" t="s">
        <v>61</v>
      </c>
      <c r="F773" s="4" t="s">
        <v>615</v>
      </c>
      <c r="G773" s="4" t="s">
        <v>615</v>
      </c>
      <c r="H773" s="4"/>
      <c r="I773" s="4"/>
      <c r="J773" s="4" t="s">
        <v>59</v>
      </c>
      <c r="K773" s="4" t="s">
        <v>58</v>
      </c>
      <c r="L773" s="4" t="s">
        <v>57</v>
      </c>
      <c r="M773" s="4" t="s">
        <v>32</v>
      </c>
      <c r="N773" s="4" t="s">
        <v>317</v>
      </c>
      <c r="O773" s="5" t="s">
        <v>68</v>
      </c>
      <c r="P773" s="4" t="s">
        <v>54</v>
      </c>
      <c r="Q773" s="10">
        <v>40975.089999999997</v>
      </c>
      <c r="R773" s="10">
        <v>0</v>
      </c>
      <c r="S773" s="9">
        <f t="shared" si="26"/>
        <v>40975.089999999997</v>
      </c>
      <c r="T773" s="4" t="s">
        <v>53</v>
      </c>
      <c r="U773" s="4" t="s">
        <v>271</v>
      </c>
      <c r="V773" s="4"/>
      <c r="W773" s="4">
        <v>-10</v>
      </c>
      <c r="X773" s="4" t="s">
        <v>124</v>
      </c>
      <c r="Y773" s="4"/>
      <c r="Z773" s="7" t="s">
        <v>14</v>
      </c>
      <c r="AA773" s="36" t="s">
        <v>23</v>
      </c>
      <c r="AB773" s="4" t="s">
        <v>2607</v>
      </c>
      <c r="AC773" s="22">
        <f t="shared" si="25"/>
        <v>16.068662745098038</v>
      </c>
      <c r="AD773" s="23">
        <v>0</v>
      </c>
    </row>
    <row r="774" spans="1:30" x14ac:dyDescent="0.35">
      <c r="A774" s="7">
        <v>797</v>
      </c>
      <c r="B774" s="6">
        <v>45876</v>
      </c>
      <c r="C774" s="6">
        <v>45876</v>
      </c>
      <c r="D774" s="4" t="s">
        <v>551</v>
      </c>
      <c r="E774" s="4" t="s">
        <v>61</v>
      </c>
      <c r="F774" s="4" t="s">
        <v>550</v>
      </c>
      <c r="G774" s="4" t="s">
        <v>550</v>
      </c>
      <c r="H774" s="4"/>
      <c r="I774" s="4"/>
      <c r="J774" s="4" t="s">
        <v>59</v>
      </c>
      <c r="K774" s="4" t="s">
        <v>58</v>
      </c>
      <c r="L774" s="4" t="s">
        <v>57</v>
      </c>
      <c r="M774" s="4" t="s">
        <v>32</v>
      </c>
      <c r="N774" s="4" t="s">
        <v>266</v>
      </c>
      <c r="O774" s="5" t="s">
        <v>55</v>
      </c>
      <c r="P774" s="4" t="s">
        <v>54</v>
      </c>
      <c r="Q774" s="10">
        <v>105000</v>
      </c>
      <c r="R774" s="10">
        <v>0</v>
      </c>
      <c r="S774" s="9">
        <f t="shared" si="26"/>
        <v>105000</v>
      </c>
      <c r="T774" s="4" t="s">
        <v>53</v>
      </c>
      <c r="U774" s="4" t="s">
        <v>121</v>
      </c>
      <c r="V774" s="4"/>
      <c r="W774" s="4">
        <v>-7</v>
      </c>
      <c r="X774" s="4" t="s">
        <v>94</v>
      </c>
      <c r="Y774" s="4"/>
      <c r="Z774" s="7" t="s">
        <v>14</v>
      </c>
      <c r="AA774" s="36" t="s">
        <v>22</v>
      </c>
      <c r="AB774" s="4" t="s">
        <v>2835</v>
      </c>
      <c r="AC774" s="22">
        <f t="shared" si="25"/>
        <v>41.176470588235297</v>
      </c>
      <c r="AD774" s="23">
        <v>0</v>
      </c>
    </row>
    <row r="775" spans="1:30" x14ac:dyDescent="0.35">
      <c r="A775" s="7">
        <v>798</v>
      </c>
      <c r="B775" s="6">
        <v>45876</v>
      </c>
      <c r="C775" s="6">
        <v>45876</v>
      </c>
      <c r="D775" s="4" t="s">
        <v>549</v>
      </c>
      <c r="E775" s="4" t="s">
        <v>61</v>
      </c>
      <c r="F775" s="4" t="s">
        <v>548</v>
      </c>
      <c r="G775" s="4" t="s">
        <v>548</v>
      </c>
      <c r="H775" s="4"/>
      <c r="I775" s="4"/>
      <c r="J775" s="4" t="s">
        <v>59</v>
      </c>
      <c r="K775" s="4" t="s">
        <v>58</v>
      </c>
      <c r="L775" s="4" t="s">
        <v>57</v>
      </c>
      <c r="M775" s="4" t="s">
        <v>32</v>
      </c>
      <c r="N775" s="4" t="s">
        <v>266</v>
      </c>
      <c r="O775" s="5" t="s">
        <v>55</v>
      </c>
      <c r="P775" s="4" t="s">
        <v>54</v>
      </c>
      <c r="Q775" s="10">
        <v>96000</v>
      </c>
      <c r="R775" s="10">
        <v>0</v>
      </c>
      <c r="S775" s="9">
        <f t="shared" si="26"/>
        <v>96000</v>
      </c>
      <c r="T775" s="4" t="s">
        <v>53</v>
      </c>
      <c r="U775" s="4" t="s">
        <v>282</v>
      </c>
      <c r="V775" s="4"/>
      <c r="W775" s="4">
        <v>-2</v>
      </c>
      <c r="X775" s="4" t="s">
        <v>94</v>
      </c>
      <c r="Y775" s="4"/>
      <c r="Z775" s="7" t="s">
        <v>14</v>
      </c>
      <c r="AA775" s="36" t="s">
        <v>22</v>
      </c>
      <c r="AB775" s="4" t="s">
        <v>2835</v>
      </c>
      <c r="AC775" s="22">
        <f t="shared" si="25"/>
        <v>37.647058823529413</v>
      </c>
      <c r="AD775" s="23">
        <v>0</v>
      </c>
    </row>
    <row r="776" spans="1:30" x14ac:dyDescent="0.35">
      <c r="A776" s="7">
        <v>799</v>
      </c>
      <c r="B776" s="6">
        <v>45876</v>
      </c>
      <c r="C776" s="6">
        <v>45876</v>
      </c>
      <c r="D776" s="4" t="s">
        <v>547</v>
      </c>
      <c r="E776" s="4" t="s">
        <v>61</v>
      </c>
      <c r="F776" s="4" t="s">
        <v>546</v>
      </c>
      <c r="G776" s="4" t="s">
        <v>546</v>
      </c>
      <c r="H776" s="4"/>
      <c r="I776" s="4"/>
      <c r="J776" s="4" t="s">
        <v>59</v>
      </c>
      <c r="K776" s="4" t="s">
        <v>58</v>
      </c>
      <c r="L776" s="4" t="s">
        <v>57</v>
      </c>
      <c r="M776" s="4" t="s">
        <v>32</v>
      </c>
      <c r="N776" s="4" t="s">
        <v>266</v>
      </c>
      <c r="O776" s="5" t="s">
        <v>55</v>
      </c>
      <c r="P776" s="4" t="s">
        <v>54</v>
      </c>
      <c r="Q776" s="10">
        <v>29000</v>
      </c>
      <c r="R776" s="10">
        <v>0</v>
      </c>
      <c r="S776" s="9">
        <f t="shared" si="26"/>
        <v>29000</v>
      </c>
      <c r="T776" s="4" t="s">
        <v>53</v>
      </c>
      <c r="U776" s="4" t="s">
        <v>545</v>
      </c>
      <c r="V776" s="4"/>
      <c r="W776" s="4">
        <v>-100</v>
      </c>
      <c r="X776" s="4" t="s">
        <v>94</v>
      </c>
      <c r="Y776" s="4"/>
      <c r="Z776" s="7" t="s">
        <v>14</v>
      </c>
      <c r="AA776" s="36" t="s">
        <v>22</v>
      </c>
      <c r="AB776" s="4" t="s">
        <v>2835</v>
      </c>
      <c r="AC776" s="22">
        <f t="shared" si="25"/>
        <v>11.372549019607844</v>
      </c>
      <c r="AD776" s="23">
        <v>0</v>
      </c>
    </row>
    <row r="777" spans="1:30" x14ac:dyDescent="0.35">
      <c r="A777" s="7">
        <v>800</v>
      </c>
      <c r="B777" s="6">
        <v>45876</v>
      </c>
      <c r="C777" s="6">
        <v>45876</v>
      </c>
      <c r="D777" s="4" t="s">
        <v>544</v>
      </c>
      <c r="E777" s="4" t="s">
        <v>61</v>
      </c>
      <c r="F777" s="4" t="s">
        <v>543</v>
      </c>
      <c r="G777" s="4" t="s">
        <v>543</v>
      </c>
      <c r="H777" s="4"/>
      <c r="I777" s="4"/>
      <c r="J777" s="4" t="s">
        <v>59</v>
      </c>
      <c r="K777" s="4" t="s">
        <v>58</v>
      </c>
      <c r="L777" s="4" t="s">
        <v>57</v>
      </c>
      <c r="M777" s="4" t="s">
        <v>32</v>
      </c>
      <c r="N777" s="4" t="s">
        <v>266</v>
      </c>
      <c r="O777" s="5" t="s">
        <v>55</v>
      </c>
      <c r="P777" s="4" t="s">
        <v>54</v>
      </c>
      <c r="Q777" s="10">
        <v>2628000</v>
      </c>
      <c r="R777" s="10">
        <v>0</v>
      </c>
      <c r="S777" s="9">
        <f t="shared" si="26"/>
        <v>2628000</v>
      </c>
      <c r="T777" s="4" t="s">
        <v>53</v>
      </c>
      <c r="U777" s="4" t="s">
        <v>542</v>
      </c>
      <c r="V777" s="4"/>
      <c r="W777" s="4">
        <v>-30</v>
      </c>
      <c r="X777" s="4" t="s">
        <v>94</v>
      </c>
      <c r="Y777" s="4"/>
      <c r="Z777" s="7" t="s">
        <v>14</v>
      </c>
      <c r="AA777" s="36" t="s">
        <v>22</v>
      </c>
      <c r="AB777" s="4" t="s">
        <v>2835</v>
      </c>
      <c r="AC777" s="22">
        <f t="shared" si="25"/>
        <v>1030.5882352941176</v>
      </c>
      <c r="AD777" s="23">
        <v>0</v>
      </c>
    </row>
    <row r="778" spans="1:30" hidden="1" x14ac:dyDescent="0.35">
      <c r="A778" s="7">
        <v>801</v>
      </c>
      <c r="B778" s="6">
        <v>45876</v>
      </c>
      <c r="C778" s="6">
        <v>45876</v>
      </c>
      <c r="D778" s="4" t="s">
        <v>505</v>
      </c>
      <c r="E778" s="4" t="s">
        <v>61</v>
      </c>
      <c r="F778" s="4" t="s">
        <v>504</v>
      </c>
      <c r="G778" s="4" t="s">
        <v>504</v>
      </c>
      <c r="H778" s="4"/>
      <c r="I778" s="4"/>
      <c r="J778" s="4" t="s">
        <v>59</v>
      </c>
      <c r="K778" s="4" t="s">
        <v>58</v>
      </c>
      <c r="L778" s="4" t="s">
        <v>57</v>
      </c>
      <c r="M778" s="4" t="s">
        <v>32</v>
      </c>
      <c r="N778" s="4" t="s">
        <v>211</v>
      </c>
      <c r="O778" s="5" t="s">
        <v>210</v>
      </c>
      <c r="P778" s="4" t="s">
        <v>210</v>
      </c>
      <c r="Q778" s="10">
        <v>15903.9</v>
      </c>
      <c r="R778" s="10">
        <v>0</v>
      </c>
      <c r="S778" s="9">
        <f t="shared" si="26"/>
        <v>15903.9</v>
      </c>
      <c r="T778" s="4" t="s">
        <v>53</v>
      </c>
      <c r="U778" s="4" t="s">
        <v>252</v>
      </c>
      <c r="V778" s="4"/>
      <c r="W778" s="4">
        <v>-8</v>
      </c>
      <c r="X778" s="4" t="s">
        <v>94</v>
      </c>
      <c r="Y778" s="4"/>
      <c r="Z778" s="7" t="s">
        <v>14</v>
      </c>
      <c r="AA778" s="36" t="s">
        <v>30</v>
      </c>
      <c r="AB778" s="4"/>
      <c r="AC778" s="22">
        <f t="shared" si="25"/>
        <v>6.2368235294117644</v>
      </c>
      <c r="AD778" s="23">
        <v>0</v>
      </c>
    </row>
    <row r="779" spans="1:30" x14ac:dyDescent="0.35">
      <c r="A779" s="7">
        <v>802</v>
      </c>
      <c r="B779" s="6">
        <v>45878</v>
      </c>
      <c r="C779" s="6">
        <v>45878</v>
      </c>
      <c r="D779" s="4" t="s">
        <v>559</v>
      </c>
      <c r="E779" s="4" t="s">
        <v>61</v>
      </c>
      <c r="F779" s="4" t="s">
        <v>558</v>
      </c>
      <c r="G779" s="4" t="s">
        <v>558</v>
      </c>
      <c r="H779" s="4"/>
      <c r="I779" s="4"/>
      <c r="J779" s="4" t="s">
        <v>59</v>
      </c>
      <c r="K779" s="4" t="s">
        <v>58</v>
      </c>
      <c r="L779" s="4" t="s">
        <v>57</v>
      </c>
      <c r="M779" s="4" t="s">
        <v>32</v>
      </c>
      <c r="N779" s="4" t="s">
        <v>266</v>
      </c>
      <c r="O779" s="5" t="s">
        <v>55</v>
      </c>
      <c r="P779" s="4" t="s">
        <v>54</v>
      </c>
      <c r="Q779" s="10">
        <v>48000</v>
      </c>
      <c r="R779" s="10">
        <v>0</v>
      </c>
      <c r="S779" s="9">
        <f t="shared" si="26"/>
        <v>48000</v>
      </c>
      <c r="T779" s="4" t="s">
        <v>53</v>
      </c>
      <c r="U779" s="4" t="s">
        <v>282</v>
      </c>
      <c r="V779" s="4"/>
      <c r="W779" s="4">
        <v>-1</v>
      </c>
      <c r="X779" s="4" t="s">
        <v>94</v>
      </c>
      <c r="Y779" s="4"/>
      <c r="Z779" s="7" t="s">
        <v>14</v>
      </c>
      <c r="AA779" s="36" t="s">
        <v>22</v>
      </c>
      <c r="AB779" s="4" t="s">
        <v>2835</v>
      </c>
      <c r="AC779" s="22">
        <f t="shared" si="25"/>
        <v>18.823529411764707</v>
      </c>
      <c r="AD779" s="23">
        <v>0</v>
      </c>
    </row>
    <row r="780" spans="1:30" x14ac:dyDescent="0.35">
      <c r="A780" s="7">
        <v>803</v>
      </c>
      <c r="B780" s="6">
        <v>45878</v>
      </c>
      <c r="C780" s="6">
        <v>45878</v>
      </c>
      <c r="D780" s="4" t="s">
        <v>557</v>
      </c>
      <c r="E780" s="4" t="s">
        <v>61</v>
      </c>
      <c r="F780" s="4" t="s">
        <v>556</v>
      </c>
      <c r="G780" s="4" t="s">
        <v>556</v>
      </c>
      <c r="H780" s="4"/>
      <c r="I780" s="4"/>
      <c r="J780" s="4" t="s">
        <v>59</v>
      </c>
      <c r="K780" s="4" t="s">
        <v>58</v>
      </c>
      <c r="L780" s="4" t="s">
        <v>57</v>
      </c>
      <c r="M780" s="4" t="s">
        <v>32</v>
      </c>
      <c r="N780" s="4" t="s">
        <v>266</v>
      </c>
      <c r="O780" s="5" t="s">
        <v>55</v>
      </c>
      <c r="P780" s="4" t="s">
        <v>54</v>
      </c>
      <c r="Q780" s="10">
        <v>16131.55</v>
      </c>
      <c r="R780" s="10">
        <v>0</v>
      </c>
      <c r="S780" s="9">
        <f t="shared" si="26"/>
        <v>16131.55</v>
      </c>
      <c r="T780" s="4" t="s">
        <v>53</v>
      </c>
      <c r="U780" s="4" t="s">
        <v>117</v>
      </c>
      <c r="V780" s="4"/>
      <c r="W780" s="4">
        <v>-5</v>
      </c>
      <c r="X780" s="4" t="s">
        <v>94</v>
      </c>
      <c r="Y780" s="4"/>
      <c r="Z780" s="7" t="s">
        <v>14</v>
      </c>
      <c r="AA780" s="36" t="s">
        <v>22</v>
      </c>
      <c r="AB780" s="4" t="s">
        <v>2835</v>
      </c>
      <c r="AC780" s="22">
        <f t="shared" si="25"/>
        <v>6.3260980392156858</v>
      </c>
      <c r="AD780" s="23">
        <v>0</v>
      </c>
    </row>
    <row r="781" spans="1:30" x14ac:dyDescent="0.35">
      <c r="A781" s="7">
        <v>804</v>
      </c>
      <c r="B781" s="6">
        <v>45878</v>
      </c>
      <c r="C781" s="6">
        <v>45878</v>
      </c>
      <c r="D781" s="4" t="s">
        <v>555</v>
      </c>
      <c r="E781" s="4" t="s">
        <v>61</v>
      </c>
      <c r="F781" s="4" t="s">
        <v>554</v>
      </c>
      <c r="G781" s="4" t="s">
        <v>554</v>
      </c>
      <c r="H781" s="4"/>
      <c r="I781" s="4"/>
      <c r="J781" s="4" t="s">
        <v>59</v>
      </c>
      <c r="K781" s="4" t="s">
        <v>58</v>
      </c>
      <c r="L781" s="4" t="s">
        <v>57</v>
      </c>
      <c r="M781" s="4" t="s">
        <v>32</v>
      </c>
      <c r="N781" s="4" t="s">
        <v>266</v>
      </c>
      <c r="O781" s="5" t="s">
        <v>55</v>
      </c>
      <c r="P781" s="4" t="s">
        <v>54</v>
      </c>
      <c r="Q781" s="10">
        <v>61462.64</v>
      </c>
      <c r="R781" s="10">
        <v>0</v>
      </c>
      <c r="S781" s="9">
        <f t="shared" si="26"/>
        <v>61462.64</v>
      </c>
      <c r="T781" s="4" t="s">
        <v>53</v>
      </c>
      <c r="U781" s="4" t="s">
        <v>271</v>
      </c>
      <c r="V781" s="4"/>
      <c r="W781" s="4">
        <v>-15</v>
      </c>
      <c r="X781" s="4" t="s">
        <v>124</v>
      </c>
      <c r="Y781" s="4"/>
      <c r="Z781" s="7" t="s">
        <v>14</v>
      </c>
      <c r="AA781" s="36" t="s">
        <v>22</v>
      </c>
      <c r="AB781" s="4" t="s">
        <v>2835</v>
      </c>
      <c r="AC781" s="22">
        <f t="shared" si="25"/>
        <v>24.102996078431371</v>
      </c>
      <c r="AD781" s="23">
        <v>0</v>
      </c>
    </row>
    <row r="782" spans="1:30" x14ac:dyDescent="0.35">
      <c r="A782" s="7">
        <v>805</v>
      </c>
      <c r="B782" s="6">
        <v>45878</v>
      </c>
      <c r="C782" s="6">
        <v>45878</v>
      </c>
      <c r="D782" s="4" t="s">
        <v>553</v>
      </c>
      <c r="E782" s="4" t="s">
        <v>61</v>
      </c>
      <c r="F782" s="4" t="s">
        <v>552</v>
      </c>
      <c r="G782" s="4" t="s">
        <v>552</v>
      </c>
      <c r="H782" s="4"/>
      <c r="I782" s="4"/>
      <c r="J782" s="4" t="s">
        <v>59</v>
      </c>
      <c r="K782" s="4" t="s">
        <v>58</v>
      </c>
      <c r="L782" s="4" t="s">
        <v>57</v>
      </c>
      <c r="M782" s="4" t="s">
        <v>32</v>
      </c>
      <c r="N782" s="4" t="s">
        <v>266</v>
      </c>
      <c r="O782" s="5" t="s">
        <v>55</v>
      </c>
      <c r="P782" s="4" t="s">
        <v>54</v>
      </c>
      <c r="Q782" s="10">
        <v>14500</v>
      </c>
      <c r="R782" s="10">
        <v>0</v>
      </c>
      <c r="S782" s="9">
        <f t="shared" si="26"/>
        <v>14500</v>
      </c>
      <c r="T782" s="4" t="s">
        <v>53</v>
      </c>
      <c r="U782" s="4" t="s">
        <v>545</v>
      </c>
      <c r="V782" s="4"/>
      <c r="W782" s="4">
        <v>-50</v>
      </c>
      <c r="X782" s="4" t="s">
        <v>94</v>
      </c>
      <c r="Y782" s="4"/>
      <c r="Z782" s="7" t="s">
        <v>14</v>
      </c>
      <c r="AA782" s="36" t="s">
        <v>22</v>
      </c>
      <c r="AB782" s="4" t="s">
        <v>2835</v>
      </c>
      <c r="AC782" s="22">
        <f t="shared" si="25"/>
        <v>5.6862745098039218</v>
      </c>
      <c r="AD782" s="23">
        <v>0</v>
      </c>
    </row>
    <row r="783" spans="1:30" hidden="1" x14ac:dyDescent="0.35">
      <c r="A783" s="7">
        <v>806</v>
      </c>
      <c r="B783" s="6">
        <v>45878</v>
      </c>
      <c r="C783" s="6">
        <v>45878</v>
      </c>
      <c r="D783" s="4" t="s">
        <v>507</v>
      </c>
      <c r="E783" s="4" t="s">
        <v>61</v>
      </c>
      <c r="F783" s="4" t="s">
        <v>506</v>
      </c>
      <c r="G783" s="4" t="s">
        <v>506</v>
      </c>
      <c r="H783" s="4"/>
      <c r="I783" s="4"/>
      <c r="J783" s="4" t="s">
        <v>59</v>
      </c>
      <c r="K783" s="4" t="s">
        <v>58</v>
      </c>
      <c r="L783" s="4" t="s">
        <v>57</v>
      </c>
      <c r="M783" s="4" t="s">
        <v>32</v>
      </c>
      <c r="N783" s="4" t="s">
        <v>211</v>
      </c>
      <c r="O783" s="5" t="s">
        <v>210</v>
      </c>
      <c r="P783" s="4" t="s">
        <v>210</v>
      </c>
      <c r="Q783" s="10">
        <v>98517</v>
      </c>
      <c r="R783" s="10">
        <v>0</v>
      </c>
      <c r="S783" s="9">
        <f t="shared" si="26"/>
        <v>98517</v>
      </c>
      <c r="T783" s="4" t="s">
        <v>53</v>
      </c>
      <c r="U783" s="4" t="s">
        <v>226</v>
      </c>
      <c r="V783" s="4"/>
      <c r="W783" s="4">
        <v>-15</v>
      </c>
      <c r="X783" s="4" t="s">
        <v>51</v>
      </c>
      <c r="Y783" s="4"/>
      <c r="Z783" s="7" t="s">
        <v>14</v>
      </c>
      <c r="AA783" s="36" t="s">
        <v>30</v>
      </c>
      <c r="AB783" s="4"/>
      <c r="AC783" s="22">
        <f t="shared" si="25"/>
        <v>38.634117647058822</v>
      </c>
      <c r="AD783" s="23">
        <v>0</v>
      </c>
    </row>
    <row r="784" spans="1:30" x14ac:dyDescent="0.35">
      <c r="A784" s="7">
        <v>807</v>
      </c>
      <c r="B784" s="6">
        <v>45878</v>
      </c>
      <c r="C784" s="6">
        <v>45878</v>
      </c>
      <c r="D784" s="4" t="s">
        <v>417</v>
      </c>
      <c r="E784" s="4" t="s">
        <v>61</v>
      </c>
      <c r="F784" s="4" t="s">
        <v>416</v>
      </c>
      <c r="G784" s="4" t="s">
        <v>416</v>
      </c>
      <c r="H784" s="4"/>
      <c r="I784" s="4"/>
      <c r="J784" s="4" t="s">
        <v>59</v>
      </c>
      <c r="K784" s="4" t="s">
        <v>58</v>
      </c>
      <c r="L784" s="4" t="s">
        <v>57</v>
      </c>
      <c r="M784" s="4" t="s">
        <v>32</v>
      </c>
      <c r="N784" s="4" t="s">
        <v>197</v>
      </c>
      <c r="O784" s="5" t="s">
        <v>68</v>
      </c>
      <c r="P784" s="4" t="s">
        <v>54</v>
      </c>
      <c r="Q784" s="10">
        <v>75000</v>
      </c>
      <c r="R784" s="10">
        <v>0</v>
      </c>
      <c r="S784" s="9">
        <f t="shared" si="26"/>
        <v>75000</v>
      </c>
      <c r="T784" s="4" t="s">
        <v>53</v>
      </c>
      <c r="U784" s="4" t="s">
        <v>121</v>
      </c>
      <c r="V784" s="4"/>
      <c r="W784" s="4">
        <v>-5</v>
      </c>
      <c r="X784" s="4" t="s">
        <v>94</v>
      </c>
      <c r="Y784" s="4"/>
      <c r="Z784" s="7" t="s">
        <v>14</v>
      </c>
      <c r="AA784" s="36" t="s">
        <v>29</v>
      </c>
      <c r="AB784" s="4" t="s">
        <v>2607</v>
      </c>
      <c r="AC784" s="22">
        <f t="shared" si="25"/>
        <v>29.411764705882351</v>
      </c>
      <c r="AD784" s="23">
        <v>0</v>
      </c>
    </row>
    <row r="785" spans="1:30" x14ac:dyDescent="0.35">
      <c r="A785" s="7">
        <v>808</v>
      </c>
      <c r="B785" s="6">
        <v>45880.27884259259</v>
      </c>
      <c r="C785" s="6">
        <v>45880</v>
      </c>
      <c r="D785" s="7" t="s">
        <v>2088</v>
      </c>
      <c r="E785" s="7" t="s">
        <v>1331</v>
      </c>
      <c r="F785" s="7" t="s">
        <v>2090</v>
      </c>
      <c r="G785" s="7" t="s">
        <v>2086</v>
      </c>
      <c r="H785" s="7" t="s">
        <v>2012</v>
      </c>
      <c r="I785" s="7" t="s">
        <v>2011</v>
      </c>
      <c r="J785" s="7" t="s">
        <v>1816</v>
      </c>
      <c r="K785" s="7" t="s">
        <v>1815</v>
      </c>
      <c r="L785" s="7" t="s">
        <v>1905</v>
      </c>
      <c r="M785" s="7" t="s">
        <v>22</v>
      </c>
      <c r="N785" s="7" t="s">
        <v>266</v>
      </c>
      <c r="O785" s="7" t="s">
        <v>55</v>
      </c>
      <c r="P785" s="7" t="s">
        <v>126</v>
      </c>
      <c r="Q785" s="9">
        <v>3900000</v>
      </c>
      <c r="R785" s="9">
        <v>0</v>
      </c>
      <c r="S785" s="9">
        <f t="shared" si="26"/>
        <v>3900000</v>
      </c>
      <c r="T785" s="4" t="s">
        <v>53</v>
      </c>
      <c r="U785" s="7" t="s">
        <v>1904</v>
      </c>
      <c r="V785" s="7" t="s">
        <v>1823</v>
      </c>
      <c r="W785" s="9">
        <v>300</v>
      </c>
      <c r="X785" s="7" t="s">
        <v>1903</v>
      </c>
      <c r="Y785" s="7"/>
      <c r="Z785" s="7" t="s">
        <v>14</v>
      </c>
      <c r="AA785" s="36" t="s">
        <v>22</v>
      </c>
      <c r="AB785" s="4" t="s">
        <v>2835</v>
      </c>
      <c r="AC785" s="22">
        <f t="shared" si="25"/>
        <v>1529.4117647058824</v>
      </c>
      <c r="AD785" s="23">
        <v>0</v>
      </c>
    </row>
    <row r="786" spans="1:30" x14ac:dyDescent="0.35">
      <c r="A786" s="7">
        <v>809</v>
      </c>
      <c r="B786" s="6">
        <v>45880.27884259259</v>
      </c>
      <c r="C786" s="6">
        <v>45880</v>
      </c>
      <c r="D786" s="7" t="s">
        <v>2088</v>
      </c>
      <c r="E786" s="7" t="s">
        <v>1331</v>
      </c>
      <c r="F786" s="7" t="s">
        <v>2089</v>
      </c>
      <c r="G786" s="7" t="s">
        <v>2086</v>
      </c>
      <c r="H786" s="7" t="s">
        <v>2012</v>
      </c>
      <c r="I786" s="7" t="s">
        <v>2011</v>
      </c>
      <c r="J786" s="7" t="s">
        <v>1816</v>
      </c>
      <c r="K786" s="7" t="s">
        <v>1815</v>
      </c>
      <c r="L786" s="7" t="s">
        <v>1905</v>
      </c>
      <c r="M786" s="7" t="s">
        <v>22</v>
      </c>
      <c r="N786" s="7" t="s">
        <v>266</v>
      </c>
      <c r="O786" s="7" t="s">
        <v>55</v>
      </c>
      <c r="P786" s="7" t="s">
        <v>126</v>
      </c>
      <c r="Q786" s="9">
        <v>2100000</v>
      </c>
      <c r="R786" s="9">
        <v>0</v>
      </c>
      <c r="S786" s="9">
        <f t="shared" si="26"/>
        <v>2100000</v>
      </c>
      <c r="T786" s="4" t="s">
        <v>53</v>
      </c>
      <c r="U786" s="7" t="s">
        <v>1904</v>
      </c>
      <c r="V786" s="7" t="s">
        <v>1823</v>
      </c>
      <c r="W786" s="9">
        <v>30</v>
      </c>
      <c r="X786" s="7" t="s">
        <v>1903</v>
      </c>
      <c r="Y786" s="7"/>
      <c r="Z786" s="7" t="s">
        <v>14</v>
      </c>
      <c r="AA786" s="36" t="s">
        <v>22</v>
      </c>
      <c r="AB786" s="4" t="s">
        <v>2835</v>
      </c>
      <c r="AC786" s="22">
        <f t="shared" si="25"/>
        <v>823.52941176470586</v>
      </c>
      <c r="AD786" s="23">
        <v>0</v>
      </c>
    </row>
    <row r="787" spans="1:30" x14ac:dyDescent="0.35">
      <c r="A787" s="7">
        <v>810</v>
      </c>
      <c r="B787" s="6">
        <v>45880.27884259259</v>
      </c>
      <c r="C787" s="6">
        <v>45880</v>
      </c>
      <c r="D787" s="7" t="s">
        <v>2088</v>
      </c>
      <c r="E787" s="7" t="s">
        <v>1331</v>
      </c>
      <c r="F787" s="7" t="s">
        <v>2087</v>
      </c>
      <c r="G787" s="7" t="s">
        <v>2086</v>
      </c>
      <c r="H787" s="7" t="s">
        <v>2012</v>
      </c>
      <c r="I787" s="7" t="s">
        <v>2011</v>
      </c>
      <c r="J787" s="7" t="s">
        <v>1816</v>
      </c>
      <c r="K787" s="7" t="s">
        <v>1815</v>
      </c>
      <c r="L787" s="7" t="s">
        <v>1905</v>
      </c>
      <c r="M787" s="7" t="s">
        <v>22</v>
      </c>
      <c r="N787" s="7" t="s">
        <v>266</v>
      </c>
      <c r="O787" s="7" t="s">
        <v>55</v>
      </c>
      <c r="P787" s="7" t="s">
        <v>126</v>
      </c>
      <c r="Q787" s="9">
        <v>4200000</v>
      </c>
      <c r="R787" s="9">
        <v>0</v>
      </c>
      <c r="S787" s="9">
        <f t="shared" si="26"/>
        <v>4200000</v>
      </c>
      <c r="T787" s="4" t="s">
        <v>53</v>
      </c>
      <c r="U787" s="7" t="s">
        <v>1904</v>
      </c>
      <c r="V787" s="7" t="s">
        <v>1823</v>
      </c>
      <c r="W787" s="9">
        <v>60</v>
      </c>
      <c r="X787" s="7" t="s">
        <v>1903</v>
      </c>
      <c r="Y787" s="7"/>
      <c r="Z787" s="7" t="s">
        <v>14</v>
      </c>
      <c r="AA787" s="36" t="s">
        <v>22</v>
      </c>
      <c r="AB787" s="4" t="s">
        <v>2835</v>
      </c>
      <c r="AC787" s="22">
        <f t="shared" si="25"/>
        <v>1647.0588235294117</v>
      </c>
      <c r="AD787" s="23">
        <v>0</v>
      </c>
    </row>
    <row r="788" spans="1:30" hidden="1" x14ac:dyDescent="0.35">
      <c r="A788" s="7">
        <v>811</v>
      </c>
      <c r="B788" s="6">
        <v>45880.520069444443</v>
      </c>
      <c r="C788" s="6">
        <v>45880</v>
      </c>
      <c r="D788" s="7" t="s">
        <v>2085</v>
      </c>
      <c r="E788" s="7" t="s">
        <v>1819</v>
      </c>
      <c r="F788" s="7" t="s">
        <v>2084</v>
      </c>
      <c r="G788" s="7" t="s">
        <v>2083</v>
      </c>
      <c r="H788" s="7"/>
      <c r="I788" s="7"/>
      <c r="J788" s="7" t="s">
        <v>1816</v>
      </c>
      <c r="K788" s="7" t="s">
        <v>1815</v>
      </c>
      <c r="L788" s="7" t="s">
        <v>1814</v>
      </c>
      <c r="M788" s="7" t="s">
        <v>28</v>
      </c>
      <c r="N788" s="7" t="s">
        <v>1813</v>
      </c>
      <c r="O788" s="7" t="s">
        <v>1704</v>
      </c>
      <c r="P788" s="7" t="s">
        <v>1703</v>
      </c>
      <c r="Q788" s="9">
        <v>2700000</v>
      </c>
      <c r="R788" s="9">
        <v>0</v>
      </c>
      <c r="S788" s="9">
        <f t="shared" si="26"/>
        <v>2700000</v>
      </c>
      <c r="T788" s="4" t="s">
        <v>53</v>
      </c>
      <c r="U788" s="7"/>
      <c r="V788" s="7"/>
      <c r="W788" s="9">
        <v>1</v>
      </c>
      <c r="X788" s="7"/>
      <c r="Y788" s="7"/>
      <c r="Z788" s="7" t="s">
        <v>14</v>
      </c>
      <c r="AA788" s="36" t="s">
        <v>28</v>
      </c>
      <c r="AB788" s="4"/>
      <c r="AC788" s="22">
        <f t="shared" si="25"/>
        <v>1058.8235294117646</v>
      </c>
      <c r="AD788" s="23">
        <v>0</v>
      </c>
    </row>
    <row r="789" spans="1:30" x14ac:dyDescent="0.35">
      <c r="A789" s="7">
        <v>812</v>
      </c>
      <c r="B789" s="6">
        <v>45880</v>
      </c>
      <c r="C789" s="6">
        <v>45880</v>
      </c>
      <c r="D789" s="4" t="s">
        <v>564</v>
      </c>
      <c r="E789" s="4" t="s">
        <v>61</v>
      </c>
      <c r="F789" s="4" t="s">
        <v>563</v>
      </c>
      <c r="G789" s="4" t="s">
        <v>563</v>
      </c>
      <c r="H789" s="4"/>
      <c r="I789" s="4"/>
      <c r="J789" s="4" t="s">
        <v>59</v>
      </c>
      <c r="K789" s="4" t="s">
        <v>58</v>
      </c>
      <c r="L789" s="4" t="s">
        <v>57</v>
      </c>
      <c r="M789" s="4" t="s">
        <v>32</v>
      </c>
      <c r="N789" s="4" t="s">
        <v>266</v>
      </c>
      <c r="O789" s="5" t="s">
        <v>55</v>
      </c>
      <c r="P789" s="4" t="s">
        <v>54</v>
      </c>
      <c r="Q789" s="10">
        <v>499018</v>
      </c>
      <c r="R789" s="10">
        <v>0</v>
      </c>
      <c r="S789" s="9">
        <f t="shared" si="26"/>
        <v>499018</v>
      </c>
      <c r="T789" s="4" t="s">
        <v>53</v>
      </c>
      <c r="U789" s="4" t="s">
        <v>562</v>
      </c>
      <c r="V789" s="4"/>
      <c r="W789" s="4">
        <v>-5</v>
      </c>
      <c r="X789" s="4" t="s">
        <v>94</v>
      </c>
      <c r="Y789" s="4"/>
      <c r="Z789" s="7" t="s">
        <v>14</v>
      </c>
      <c r="AA789" s="36" t="s">
        <v>22</v>
      </c>
      <c r="AB789" s="4" t="s">
        <v>2835</v>
      </c>
      <c r="AC789" s="22">
        <f t="shared" si="25"/>
        <v>195.69333333333333</v>
      </c>
      <c r="AD789" s="23">
        <v>0</v>
      </c>
    </row>
    <row r="790" spans="1:30" x14ac:dyDescent="0.35">
      <c r="A790" s="7">
        <v>813</v>
      </c>
      <c r="B790" s="6">
        <v>45880</v>
      </c>
      <c r="C790" s="6">
        <v>45880</v>
      </c>
      <c r="D790" s="4" t="s">
        <v>561</v>
      </c>
      <c r="E790" s="4" t="s">
        <v>61</v>
      </c>
      <c r="F790" s="4" t="s">
        <v>560</v>
      </c>
      <c r="G790" s="4" t="s">
        <v>560</v>
      </c>
      <c r="H790" s="4"/>
      <c r="I790" s="4"/>
      <c r="J790" s="4" t="s">
        <v>59</v>
      </c>
      <c r="K790" s="4" t="s">
        <v>58</v>
      </c>
      <c r="L790" s="4" t="s">
        <v>57</v>
      </c>
      <c r="M790" s="4" t="s">
        <v>32</v>
      </c>
      <c r="N790" s="4" t="s">
        <v>266</v>
      </c>
      <c r="O790" s="5" t="s">
        <v>55</v>
      </c>
      <c r="P790" s="4" t="s">
        <v>54</v>
      </c>
      <c r="Q790" s="10">
        <v>55000</v>
      </c>
      <c r="R790" s="10">
        <v>0</v>
      </c>
      <c r="S790" s="9">
        <f t="shared" si="26"/>
        <v>55000</v>
      </c>
      <c r="T790" s="4" t="s">
        <v>53</v>
      </c>
      <c r="U790" s="4" t="s">
        <v>527</v>
      </c>
      <c r="V790" s="4"/>
      <c r="W790" s="4">
        <v>-1</v>
      </c>
      <c r="X790" s="4" t="s">
        <v>94</v>
      </c>
      <c r="Y790" s="4"/>
      <c r="Z790" s="7" t="s">
        <v>14</v>
      </c>
      <c r="AA790" s="36" t="s">
        <v>22</v>
      </c>
      <c r="AB790" s="4" t="s">
        <v>2835</v>
      </c>
      <c r="AC790" s="22">
        <f t="shared" si="25"/>
        <v>21.568627450980394</v>
      </c>
      <c r="AD790" s="23">
        <v>0</v>
      </c>
    </row>
    <row r="791" spans="1:30" x14ac:dyDescent="0.35">
      <c r="A791" s="7">
        <v>814</v>
      </c>
      <c r="B791" s="6">
        <v>45880</v>
      </c>
      <c r="C791" s="6">
        <v>45880</v>
      </c>
      <c r="D791" s="4" t="s">
        <v>427</v>
      </c>
      <c r="E791" s="4" t="s">
        <v>61</v>
      </c>
      <c r="F791" s="4" t="s">
        <v>426</v>
      </c>
      <c r="G791" s="4" t="s">
        <v>426</v>
      </c>
      <c r="H791" s="4"/>
      <c r="I791" s="4"/>
      <c r="J791" s="4" t="s">
        <v>59</v>
      </c>
      <c r="K791" s="4" t="s">
        <v>58</v>
      </c>
      <c r="L791" s="4" t="s">
        <v>57</v>
      </c>
      <c r="M791" s="4" t="s">
        <v>32</v>
      </c>
      <c r="N791" s="4" t="s">
        <v>197</v>
      </c>
      <c r="O791" s="5" t="s">
        <v>68</v>
      </c>
      <c r="P791" s="4" t="s">
        <v>54</v>
      </c>
      <c r="Q791" s="10">
        <v>38102</v>
      </c>
      <c r="R791" s="10">
        <v>0</v>
      </c>
      <c r="S791" s="9">
        <f t="shared" si="26"/>
        <v>38102</v>
      </c>
      <c r="T791" s="4" t="s">
        <v>53</v>
      </c>
      <c r="U791" s="4" t="s">
        <v>214</v>
      </c>
      <c r="V791" s="4"/>
      <c r="W791" s="4">
        <v>-8</v>
      </c>
      <c r="X791" s="4" t="s">
        <v>51</v>
      </c>
      <c r="Y791" s="4"/>
      <c r="Z791" s="7" t="s">
        <v>14</v>
      </c>
      <c r="AA791" s="36" t="s">
        <v>29</v>
      </c>
      <c r="AB791" s="4" t="s">
        <v>2607</v>
      </c>
      <c r="AC791" s="22">
        <f t="shared" si="25"/>
        <v>14.941960784313725</v>
      </c>
      <c r="AD791" s="23">
        <v>0</v>
      </c>
    </row>
    <row r="792" spans="1:30" x14ac:dyDescent="0.35">
      <c r="A792" s="7">
        <v>815</v>
      </c>
      <c r="B792" s="6">
        <v>45880</v>
      </c>
      <c r="C792" s="6">
        <v>45880</v>
      </c>
      <c r="D792" s="4" t="s">
        <v>425</v>
      </c>
      <c r="E792" s="4" t="s">
        <v>61</v>
      </c>
      <c r="F792" s="4" t="s">
        <v>424</v>
      </c>
      <c r="G792" s="4" t="s">
        <v>424</v>
      </c>
      <c r="H792" s="4"/>
      <c r="I792" s="4"/>
      <c r="J792" s="4" t="s">
        <v>59</v>
      </c>
      <c r="K792" s="4" t="s">
        <v>58</v>
      </c>
      <c r="L792" s="4" t="s">
        <v>57</v>
      </c>
      <c r="M792" s="4" t="s">
        <v>32</v>
      </c>
      <c r="N792" s="4" t="s">
        <v>197</v>
      </c>
      <c r="O792" s="5" t="s">
        <v>68</v>
      </c>
      <c r="P792" s="4" t="s">
        <v>54</v>
      </c>
      <c r="Q792" s="10">
        <v>20580.82</v>
      </c>
      <c r="R792" s="10">
        <v>0</v>
      </c>
      <c r="S792" s="9">
        <f t="shared" si="26"/>
        <v>20580.82</v>
      </c>
      <c r="T792" s="4" t="s">
        <v>53</v>
      </c>
      <c r="U792" s="4" t="s">
        <v>423</v>
      </c>
      <c r="V792" s="4"/>
      <c r="W792" s="4">
        <v>-5</v>
      </c>
      <c r="X792" s="4" t="s">
        <v>51</v>
      </c>
      <c r="Y792" s="4"/>
      <c r="Z792" s="7" t="s">
        <v>14</v>
      </c>
      <c r="AA792" s="36" t="s">
        <v>29</v>
      </c>
      <c r="AB792" s="4" t="s">
        <v>2607</v>
      </c>
      <c r="AC792" s="22">
        <f t="shared" si="25"/>
        <v>8.0709098039215679</v>
      </c>
      <c r="AD792" s="23">
        <v>0</v>
      </c>
    </row>
    <row r="793" spans="1:30" x14ac:dyDescent="0.35">
      <c r="A793" s="7">
        <v>816</v>
      </c>
      <c r="B793" s="6">
        <v>45880</v>
      </c>
      <c r="C793" s="6">
        <v>45880</v>
      </c>
      <c r="D793" s="4" t="s">
        <v>422</v>
      </c>
      <c r="E793" s="4" t="s">
        <v>61</v>
      </c>
      <c r="F793" s="4" t="s">
        <v>421</v>
      </c>
      <c r="G793" s="4" t="s">
        <v>421</v>
      </c>
      <c r="H793" s="4"/>
      <c r="I793" s="4"/>
      <c r="J793" s="4" t="s">
        <v>59</v>
      </c>
      <c r="K793" s="4" t="s">
        <v>58</v>
      </c>
      <c r="L793" s="4" t="s">
        <v>57</v>
      </c>
      <c r="M793" s="4" t="s">
        <v>32</v>
      </c>
      <c r="N793" s="4" t="s">
        <v>197</v>
      </c>
      <c r="O793" s="5" t="s">
        <v>68</v>
      </c>
      <c r="P793" s="4" t="s">
        <v>54</v>
      </c>
      <c r="Q793" s="10">
        <v>26868.959999999999</v>
      </c>
      <c r="R793" s="10">
        <v>0</v>
      </c>
      <c r="S793" s="9">
        <f t="shared" si="26"/>
        <v>26868.959999999999</v>
      </c>
      <c r="T793" s="4" t="s">
        <v>53</v>
      </c>
      <c r="U793" s="4" t="s">
        <v>420</v>
      </c>
      <c r="V793" s="4"/>
      <c r="W793" s="4">
        <v>-20</v>
      </c>
      <c r="X793" s="4" t="s">
        <v>94</v>
      </c>
      <c r="Y793" s="4"/>
      <c r="Z793" s="7" t="s">
        <v>14</v>
      </c>
      <c r="AA793" s="36" t="s">
        <v>29</v>
      </c>
      <c r="AB793" s="4" t="s">
        <v>2607</v>
      </c>
      <c r="AC793" s="22">
        <f t="shared" si="25"/>
        <v>10.536847058823529</v>
      </c>
      <c r="AD793" s="23">
        <v>0</v>
      </c>
    </row>
    <row r="794" spans="1:30" x14ac:dyDescent="0.35">
      <c r="A794" s="7">
        <v>817</v>
      </c>
      <c r="B794" s="6">
        <v>45880</v>
      </c>
      <c r="C794" s="6">
        <v>45880</v>
      </c>
      <c r="D794" s="4" t="s">
        <v>419</v>
      </c>
      <c r="E794" s="4" t="s">
        <v>61</v>
      </c>
      <c r="F794" s="4" t="s">
        <v>418</v>
      </c>
      <c r="G794" s="4" t="s">
        <v>418</v>
      </c>
      <c r="H794" s="4"/>
      <c r="I794" s="4"/>
      <c r="J794" s="4" t="s">
        <v>59</v>
      </c>
      <c r="K794" s="4" t="s">
        <v>58</v>
      </c>
      <c r="L794" s="4" t="s">
        <v>57</v>
      </c>
      <c r="M794" s="4" t="s">
        <v>32</v>
      </c>
      <c r="N794" s="4" t="s">
        <v>197</v>
      </c>
      <c r="O794" s="5" t="s">
        <v>68</v>
      </c>
      <c r="P794" s="4" t="s">
        <v>54</v>
      </c>
      <c r="Q794" s="10">
        <v>16131.55</v>
      </c>
      <c r="R794" s="10">
        <v>0</v>
      </c>
      <c r="S794" s="9">
        <f t="shared" si="26"/>
        <v>16131.55</v>
      </c>
      <c r="T794" s="4" t="s">
        <v>53</v>
      </c>
      <c r="U794" s="4" t="s">
        <v>117</v>
      </c>
      <c r="V794" s="4"/>
      <c r="W794" s="4">
        <v>-5</v>
      </c>
      <c r="X794" s="4" t="s">
        <v>94</v>
      </c>
      <c r="Y794" s="4"/>
      <c r="Z794" s="7" t="s">
        <v>14</v>
      </c>
      <c r="AA794" s="36" t="s">
        <v>29</v>
      </c>
      <c r="AB794" s="4" t="s">
        <v>2607</v>
      </c>
      <c r="AC794" s="22">
        <f t="shared" si="25"/>
        <v>6.3260980392156858</v>
      </c>
      <c r="AD794" s="23">
        <v>0</v>
      </c>
    </row>
    <row r="795" spans="1:30" x14ac:dyDescent="0.35">
      <c r="A795" s="7">
        <v>818</v>
      </c>
      <c r="B795" s="6">
        <v>45880</v>
      </c>
      <c r="C795" s="6">
        <v>45880</v>
      </c>
      <c r="D795" s="4" t="s">
        <v>331</v>
      </c>
      <c r="E795" s="4" t="s">
        <v>61</v>
      </c>
      <c r="F795" s="4" t="s">
        <v>330</v>
      </c>
      <c r="G795" s="4" t="s">
        <v>330</v>
      </c>
      <c r="H795" s="4"/>
      <c r="I795" s="4"/>
      <c r="J795" s="4" t="s">
        <v>59</v>
      </c>
      <c r="K795" s="4" t="s">
        <v>58</v>
      </c>
      <c r="L795" s="4" t="s">
        <v>97</v>
      </c>
      <c r="M795" s="4" t="s">
        <v>34</v>
      </c>
      <c r="N795" s="4" t="s">
        <v>197</v>
      </c>
      <c r="O795" s="5" t="s">
        <v>105</v>
      </c>
      <c r="P795" s="4" t="s">
        <v>54</v>
      </c>
      <c r="Q795" s="10">
        <v>25200.17</v>
      </c>
      <c r="R795" s="10">
        <v>0</v>
      </c>
      <c r="S795" s="9">
        <f t="shared" si="26"/>
        <v>25200.17</v>
      </c>
      <c r="T795" s="4" t="s">
        <v>53</v>
      </c>
      <c r="U795" s="4" t="s">
        <v>111</v>
      </c>
      <c r="V795" s="4"/>
      <c r="W795" s="4">
        <v>-60</v>
      </c>
      <c r="X795" s="4" t="s">
        <v>94</v>
      </c>
      <c r="Y795" s="4"/>
      <c r="Z795" s="7" t="s">
        <v>14</v>
      </c>
      <c r="AA795" s="36" t="s">
        <v>29</v>
      </c>
      <c r="AB795" s="4" t="s">
        <v>2607</v>
      </c>
      <c r="AC795" s="22">
        <f t="shared" si="25"/>
        <v>9.8824196078431363</v>
      </c>
      <c r="AD795" s="23">
        <v>0</v>
      </c>
    </row>
    <row r="796" spans="1:30" hidden="1" x14ac:dyDescent="0.35">
      <c r="A796" s="7">
        <v>819</v>
      </c>
      <c r="B796" s="6">
        <v>45881.508171296293</v>
      </c>
      <c r="C796" s="6">
        <v>45881</v>
      </c>
      <c r="D796" s="7" t="s">
        <v>2080</v>
      </c>
      <c r="E796" s="7" t="s">
        <v>1331</v>
      </c>
      <c r="F796" s="7" t="s">
        <v>2046</v>
      </c>
      <c r="G796" s="7" t="s">
        <v>2078</v>
      </c>
      <c r="H796" s="7" t="s">
        <v>2044</v>
      </c>
      <c r="I796" s="7" t="s">
        <v>2043</v>
      </c>
      <c r="J796" s="7" t="s">
        <v>1816</v>
      </c>
      <c r="K796" s="7" t="s">
        <v>1815</v>
      </c>
      <c r="L796" s="7" t="s">
        <v>1814</v>
      </c>
      <c r="M796" s="7" t="s">
        <v>28</v>
      </c>
      <c r="N796" s="7" t="s">
        <v>1825</v>
      </c>
      <c r="O796" s="7" t="s">
        <v>105</v>
      </c>
      <c r="P796" s="7" t="s">
        <v>1775</v>
      </c>
      <c r="Q796" s="9">
        <v>3810000</v>
      </c>
      <c r="R796" s="9">
        <v>0</v>
      </c>
      <c r="S796" s="9">
        <f t="shared" si="26"/>
        <v>3810000</v>
      </c>
      <c r="T796" s="4" t="s">
        <v>53</v>
      </c>
      <c r="U796" s="7" t="s">
        <v>1824</v>
      </c>
      <c r="V796" s="7" t="s">
        <v>1823</v>
      </c>
      <c r="W796" s="9">
        <v>3</v>
      </c>
      <c r="X796" s="7" t="s">
        <v>94</v>
      </c>
      <c r="Y796" s="7"/>
      <c r="Z796" s="7" t="s">
        <v>14</v>
      </c>
      <c r="AA796" s="36" t="s">
        <v>28</v>
      </c>
      <c r="AB796" s="4"/>
      <c r="AC796" s="22">
        <f t="shared" si="25"/>
        <v>1494.1176470588234</v>
      </c>
      <c r="AD796" s="23">
        <v>0</v>
      </c>
    </row>
    <row r="797" spans="1:30" hidden="1" x14ac:dyDescent="0.35">
      <c r="A797" s="7">
        <v>820</v>
      </c>
      <c r="B797" s="6">
        <v>45881.508171296293</v>
      </c>
      <c r="C797" s="6">
        <v>45881</v>
      </c>
      <c r="D797" s="7" t="s">
        <v>2080</v>
      </c>
      <c r="E797" s="7" t="s">
        <v>1331</v>
      </c>
      <c r="F797" s="7" t="s">
        <v>2082</v>
      </c>
      <c r="G797" s="7" t="s">
        <v>2078</v>
      </c>
      <c r="H797" s="7" t="s">
        <v>2044</v>
      </c>
      <c r="I797" s="7" t="s">
        <v>2043</v>
      </c>
      <c r="J797" s="7" t="s">
        <v>1816</v>
      </c>
      <c r="K797" s="7" t="s">
        <v>1815</v>
      </c>
      <c r="L797" s="7" t="s">
        <v>1814</v>
      </c>
      <c r="M797" s="7" t="s">
        <v>28</v>
      </c>
      <c r="N797" s="7" t="s">
        <v>1825</v>
      </c>
      <c r="O797" s="7" t="s">
        <v>105</v>
      </c>
      <c r="P797" s="7" t="s">
        <v>1775</v>
      </c>
      <c r="Q797" s="9">
        <v>2610000</v>
      </c>
      <c r="R797" s="9">
        <v>0</v>
      </c>
      <c r="S797" s="9">
        <f t="shared" si="26"/>
        <v>2610000</v>
      </c>
      <c r="T797" s="4" t="s">
        <v>53</v>
      </c>
      <c r="U797" s="7" t="s">
        <v>1824</v>
      </c>
      <c r="V797" s="7" t="s">
        <v>1823</v>
      </c>
      <c r="W797" s="9">
        <v>3</v>
      </c>
      <c r="X797" s="7" t="s">
        <v>94</v>
      </c>
      <c r="Y797" s="7"/>
      <c r="Z797" s="7" t="s">
        <v>14</v>
      </c>
      <c r="AA797" s="36" t="s">
        <v>28</v>
      </c>
      <c r="AB797" s="4"/>
      <c r="AC797" s="22">
        <f t="shared" si="25"/>
        <v>1023.5294117647059</v>
      </c>
      <c r="AD797" s="23">
        <v>0</v>
      </c>
    </row>
    <row r="798" spans="1:30" hidden="1" x14ac:dyDescent="0.35">
      <c r="A798" s="7">
        <v>821</v>
      </c>
      <c r="B798" s="6">
        <v>45881.508171296293</v>
      </c>
      <c r="C798" s="6">
        <v>45881</v>
      </c>
      <c r="D798" s="7" t="s">
        <v>2080</v>
      </c>
      <c r="E798" s="7" t="s">
        <v>1331</v>
      </c>
      <c r="F798" s="7" t="s">
        <v>2081</v>
      </c>
      <c r="G798" s="7" t="s">
        <v>2078</v>
      </c>
      <c r="H798" s="7" t="s">
        <v>2044</v>
      </c>
      <c r="I798" s="7" t="s">
        <v>2043</v>
      </c>
      <c r="J798" s="7" t="s">
        <v>1816</v>
      </c>
      <c r="K798" s="7" t="s">
        <v>1815</v>
      </c>
      <c r="L798" s="7" t="s">
        <v>1814</v>
      </c>
      <c r="M798" s="7" t="s">
        <v>28</v>
      </c>
      <c r="N798" s="7" t="s">
        <v>1825</v>
      </c>
      <c r="O798" s="7" t="s">
        <v>105</v>
      </c>
      <c r="P798" s="7" t="s">
        <v>1775</v>
      </c>
      <c r="Q798" s="9">
        <v>1750000</v>
      </c>
      <c r="R798" s="9">
        <v>0</v>
      </c>
      <c r="S798" s="9">
        <f t="shared" si="26"/>
        <v>1750000</v>
      </c>
      <c r="T798" s="4" t="s">
        <v>53</v>
      </c>
      <c r="U798" s="7" t="s">
        <v>1824</v>
      </c>
      <c r="V798" s="7" t="s">
        <v>1823</v>
      </c>
      <c r="W798" s="9">
        <v>1</v>
      </c>
      <c r="X798" s="7" t="s">
        <v>94</v>
      </c>
      <c r="Y798" s="7"/>
      <c r="Z798" s="7" t="s">
        <v>14</v>
      </c>
      <c r="AA798" s="36" t="s">
        <v>28</v>
      </c>
      <c r="AB798" s="4"/>
      <c r="AC798" s="22">
        <f t="shared" si="25"/>
        <v>686.27450980392155</v>
      </c>
      <c r="AD798" s="23">
        <v>0</v>
      </c>
    </row>
    <row r="799" spans="1:30" hidden="1" x14ac:dyDescent="0.35">
      <c r="A799" s="7">
        <v>822</v>
      </c>
      <c r="B799" s="6">
        <v>45881.508171296293</v>
      </c>
      <c r="C799" s="6">
        <v>45881</v>
      </c>
      <c r="D799" s="7" t="s">
        <v>2080</v>
      </c>
      <c r="E799" s="7" t="s">
        <v>1331</v>
      </c>
      <c r="F799" s="7" t="s">
        <v>2079</v>
      </c>
      <c r="G799" s="7" t="s">
        <v>2078</v>
      </c>
      <c r="H799" s="7" t="s">
        <v>2044</v>
      </c>
      <c r="I799" s="7" t="s">
        <v>2043</v>
      </c>
      <c r="J799" s="7" t="s">
        <v>1816</v>
      </c>
      <c r="K799" s="7" t="s">
        <v>1815</v>
      </c>
      <c r="L799" s="7" t="s">
        <v>1814</v>
      </c>
      <c r="M799" s="7" t="s">
        <v>28</v>
      </c>
      <c r="N799" s="7" t="s">
        <v>1825</v>
      </c>
      <c r="O799" s="7" t="s">
        <v>105</v>
      </c>
      <c r="P799" s="7" t="s">
        <v>1775</v>
      </c>
      <c r="Q799" s="9">
        <v>1750000</v>
      </c>
      <c r="R799" s="9">
        <v>0</v>
      </c>
      <c r="S799" s="9">
        <f t="shared" si="26"/>
        <v>1750000</v>
      </c>
      <c r="T799" s="4" t="s">
        <v>53</v>
      </c>
      <c r="U799" s="7" t="s">
        <v>1824</v>
      </c>
      <c r="V799" s="7" t="s">
        <v>1823</v>
      </c>
      <c r="W799" s="9">
        <v>1</v>
      </c>
      <c r="X799" s="7" t="s">
        <v>94</v>
      </c>
      <c r="Y799" s="7"/>
      <c r="Z799" s="7" t="s">
        <v>14</v>
      </c>
      <c r="AA799" s="36" t="s">
        <v>28</v>
      </c>
      <c r="AB799" s="4"/>
      <c r="AC799" s="22">
        <f t="shared" si="25"/>
        <v>686.27450980392155</v>
      </c>
      <c r="AD799" s="23">
        <v>0</v>
      </c>
    </row>
    <row r="800" spans="1:30" hidden="1" x14ac:dyDescent="0.35">
      <c r="A800" s="7">
        <v>823</v>
      </c>
      <c r="B800" s="6">
        <v>45881.494409722225</v>
      </c>
      <c r="C800" s="6">
        <v>45881</v>
      </c>
      <c r="D800" s="7" t="s">
        <v>2077</v>
      </c>
      <c r="E800" s="7" t="s">
        <v>1331</v>
      </c>
      <c r="F800" s="7" t="s">
        <v>2046</v>
      </c>
      <c r="G800" s="7" t="s">
        <v>2076</v>
      </c>
      <c r="H800" s="7" t="s">
        <v>2044</v>
      </c>
      <c r="I800" s="7" t="s">
        <v>2043</v>
      </c>
      <c r="J800" s="7" t="s">
        <v>1816</v>
      </c>
      <c r="K800" s="7" t="s">
        <v>1815</v>
      </c>
      <c r="L800" s="7" t="s">
        <v>1814</v>
      </c>
      <c r="M800" s="7" t="s">
        <v>28</v>
      </c>
      <c r="N800" s="7" t="s">
        <v>1825</v>
      </c>
      <c r="O800" s="7" t="s">
        <v>105</v>
      </c>
      <c r="P800" s="7" t="s">
        <v>1775</v>
      </c>
      <c r="Q800" s="9">
        <v>3810000</v>
      </c>
      <c r="R800" s="9">
        <v>0</v>
      </c>
      <c r="S800" s="9">
        <f t="shared" si="26"/>
        <v>3810000</v>
      </c>
      <c r="T800" s="4" t="s">
        <v>53</v>
      </c>
      <c r="U800" s="7" t="s">
        <v>1824</v>
      </c>
      <c r="V800" s="7" t="s">
        <v>1823</v>
      </c>
      <c r="W800" s="9">
        <v>3</v>
      </c>
      <c r="X800" s="7" t="s">
        <v>94</v>
      </c>
      <c r="Y800" s="7"/>
      <c r="Z800" s="7" t="s">
        <v>14</v>
      </c>
      <c r="AA800" s="36" t="s">
        <v>28</v>
      </c>
      <c r="AB800" s="4"/>
      <c r="AC800" s="22">
        <f t="shared" si="25"/>
        <v>1494.1176470588234</v>
      </c>
      <c r="AD800" s="23">
        <v>0</v>
      </c>
    </row>
    <row r="801" spans="1:30" x14ac:dyDescent="0.35">
      <c r="A801" s="7">
        <v>824</v>
      </c>
      <c r="B801" s="6">
        <v>45881.394583333335</v>
      </c>
      <c r="C801" s="6">
        <v>45881</v>
      </c>
      <c r="D801" s="7" t="s">
        <v>2075</v>
      </c>
      <c r="E801" s="7" t="s">
        <v>1331</v>
      </c>
      <c r="F801" s="7" t="s">
        <v>2074</v>
      </c>
      <c r="G801" s="7" t="s">
        <v>2073</v>
      </c>
      <c r="H801" s="7" t="s">
        <v>1894</v>
      </c>
      <c r="I801" s="7" t="s">
        <v>1893</v>
      </c>
      <c r="J801" s="7" t="s">
        <v>1816</v>
      </c>
      <c r="K801" s="7" t="s">
        <v>1815</v>
      </c>
      <c r="L801" s="7" t="s">
        <v>1905</v>
      </c>
      <c r="M801" s="7" t="s">
        <v>22</v>
      </c>
      <c r="N801" s="7" t="s">
        <v>266</v>
      </c>
      <c r="O801" s="7" t="s">
        <v>55</v>
      </c>
      <c r="P801" s="7" t="s">
        <v>54</v>
      </c>
      <c r="Q801" s="9">
        <v>11460000</v>
      </c>
      <c r="R801" s="9">
        <v>0</v>
      </c>
      <c r="S801" s="9">
        <f t="shared" si="26"/>
        <v>11460000</v>
      </c>
      <c r="T801" s="4" t="s">
        <v>53</v>
      </c>
      <c r="U801" s="7" t="s">
        <v>1904</v>
      </c>
      <c r="V801" s="7" t="s">
        <v>1823</v>
      </c>
      <c r="W801" s="9">
        <v>191</v>
      </c>
      <c r="X801" s="7" t="s">
        <v>1903</v>
      </c>
      <c r="Y801" s="7"/>
      <c r="Z801" s="7" t="s">
        <v>14</v>
      </c>
      <c r="AA801" s="36" t="s">
        <v>22</v>
      </c>
      <c r="AB801" s="4" t="s">
        <v>2835</v>
      </c>
      <c r="AC801" s="22">
        <f t="shared" si="25"/>
        <v>4494.1176470588234</v>
      </c>
      <c r="AD801" s="23">
        <v>0</v>
      </c>
    </row>
    <row r="802" spans="1:30" x14ac:dyDescent="0.35">
      <c r="A802" s="7">
        <v>825</v>
      </c>
      <c r="B802" s="6">
        <v>45881</v>
      </c>
      <c r="C802" s="6">
        <v>45881</v>
      </c>
      <c r="D802" s="4" t="s">
        <v>646</v>
      </c>
      <c r="E802" s="4" t="s">
        <v>61</v>
      </c>
      <c r="F802" s="4" t="s">
        <v>645</v>
      </c>
      <c r="G802" s="4" t="s">
        <v>645</v>
      </c>
      <c r="H802" s="4"/>
      <c r="I802" s="4"/>
      <c r="J802" s="4" t="s">
        <v>59</v>
      </c>
      <c r="K802" s="4" t="s">
        <v>58</v>
      </c>
      <c r="L802" s="4" t="s">
        <v>57</v>
      </c>
      <c r="M802" s="4" t="s">
        <v>32</v>
      </c>
      <c r="N802" s="4" t="s">
        <v>317</v>
      </c>
      <c r="O802" s="5" t="s">
        <v>639</v>
      </c>
      <c r="P802" s="5" t="s">
        <v>126</v>
      </c>
      <c r="Q802" s="10">
        <v>1201990.73</v>
      </c>
      <c r="R802" s="10">
        <v>0</v>
      </c>
      <c r="S802" s="9">
        <f t="shared" si="26"/>
        <v>1201990.73</v>
      </c>
      <c r="T802" s="4" t="s">
        <v>53</v>
      </c>
      <c r="U802" s="4" t="s">
        <v>644</v>
      </c>
      <c r="V802" s="4"/>
      <c r="W802" s="4">
        <v>-1</v>
      </c>
      <c r="X802" s="4" t="s">
        <v>94</v>
      </c>
      <c r="Y802" s="4"/>
      <c r="Z802" s="7" t="s">
        <v>14</v>
      </c>
      <c r="AA802" s="36" t="s">
        <v>23</v>
      </c>
      <c r="AB802" s="4" t="s">
        <v>2607</v>
      </c>
      <c r="AC802" s="22">
        <f t="shared" si="25"/>
        <v>471.36891372549019</v>
      </c>
      <c r="AD802" s="23">
        <v>0</v>
      </c>
    </row>
    <row r="803" spans="1:30" x14ac:dyDescent="0.35">
      <c r="A803" s="7">
        <v>826</v>
      </c>
      <c r="B803" s="6">
        <v>45881</v>
      </c>
      <c r="C803" s="6">
        <v>45881</v>
      </c>
      <c r="D803" s="4" t="s">
        <v>621</v>
      </c>
      <c r="E803" s="4" t="s">
        <v>61</v>
      </c>
      <c r="F803" s="4" t="s">
        <v>620</v>
      </c>
      <c r="G803" s="4" t="s">
        <v>620</v>
      </c>
      <c r="H803" s="4"/>
      <c r="I803" s="4"/>
      <c r="J803" s="4" t="s">
        <v>59</v>
      </c>
      <c r="K803" s="4" t="s">
        <v>58</v>
      </c>
      <c r="L803" s="4" t="s">
        <v>57</v>
      </c>
      <c r="M803" s="4" t="s">
        <v>32</v>
      </c>
      <c r="N803" s="4" t="s">
        <v>317</v>
      </c>
      <c r="O803" s="5" t="s">
        <v>68</v>
      </c>
      <c r="P803" s="4" t="s">
        <v>54</v>
      </c>
      <c r="Q803" s="10">
        <v>75000</v>
      </c>
      <c r="R803" s="10">
        <v>0</v>
      </c>
      <c r="S803" s="9">
        <f t="shared" si="26"/>
        <v>75000</v>
      </c>
      <c r="T803" s="4" t="s">
        <v>53</v>
      </c>
      <c r="U803" s="4" t="s">
        <v>121</v>
      </c>
      <c r="V803" s="4"/>
      <c r="W803" s="4">
        <v>-5</v>
      </c>
      <c r="X803" s="4" t="s">
        <v>94</v>
      </c>
      <c r="Y803" s="4"/>
      <c r="Z803" s="7" t="s">
        <v>14</v>
      </c>
      <c r="AA803" s="36" t="s">
        <v>23</v>
      </c>
      <c r="AB803" s="4" t="s">
        <v>2607</v>
      </c>
      <c r="AC803" s="22">
        <f t="shared" si="25"/>
        <v>29.411764705882351</v>
      </c>
      <c r="AD803" s="23">
        <v>0</v>
      </c>
    </row>
    <row r="804" spans="1:30" x14ac:dyDescent="0.35">
      <c r="A804" s="7">
        <v>827</v>
      </c>
      <c r="B804" s="6">
        <v>45881</v>
      </c>
      <c r="C804" s="6">
        <v>45881</v>
      </c>
      <c r="D804" s="4" t="s">
        <v>574</v>
      </c>
      <c r="E804" s="4" t="s">
        <v>61</v>
      </c>
      <c r="F804" s="4" t="s">
        <v>573</v>
      </c>
      <c r="G804" s="4" t="s">
        <v>573</v>
      </c>
      <c r="H804" s="4"/>
      <c r="I804" s="4"/>
      <c r="J804" s="4" t="s">
        <v>59</v>
      </c>
      <c r="K804" s="4" t="s">
        <v>58</v>
      </c>
      <c r="L804" s="4" t="s">
        <v>57</v>
      </c>
      <c r="M804" s="4" t="s">
        <v>32</v>
      </c>
      <c r="N804" s="4" t="s">
        <v>266</v>
      </c>
      <c r="O804" s="5" t="s">
        <v>55</v>
      </c>
      <c r="P804" s="4" t="s">
        <v>54</v>
      </c>
      <c r="Q804" s="10">
        <v>16131.55</v>
      </c>
      <c r="R804" s="10">
        <v>0</v>
      </c>
      <c r="S804" s="9">
        <f t="shared" si="26"/>
        <v>16131.55</v>
      </c>
      <c r="T804" s="4" t="s">
        <v>53</v>
      </c>
      <c r="U804" s="4" t="s">
        <v>117</v>
      </c>
      <c r="V804" s="4"/>
      <c r="W804" s="4">
        <v>-5</v>
      </c>
      <c r="X804" s="4" t="s">
        <v>94</v>
      </c>
      <c r="Y804" s="4"/>
      <c r="Z804" s="7" t="s">
        <v>14</v>
      </c>
      <c r="AA804" s="36" t="s">
        <v>22</v>
      </c>
      <c r="AB804" s="4" t="s">
        <v>2835</v>
      </c>
      <c r="AC804" s="22">
        <f t="shared" si="25"/>
        <v>6.3260980392156858</v>
      </c>
      <c r="AD804" s="23">
        <v>0</v>
      </c>
    </row>
    <row r="805" spans="1:30" x14ac:dyDescent="0.35">
      <c r="A805" s="7">
        <v>828</v>
      </c>
      <c r="B805" s="6">
        <v>45881</v>
      </c>
      <c r="C805" s="6">
        <v>45881</v>
      </c>
      <c r="D805" s="4" t="s">
        <v>572</v>
      </c>
      <c r="E805" s="4" t="s">
        <v>61</v>
      </c>
      <c r="F805" s="4" t="s">
        <v>571</v>
      </c>
      <c r="G805" s="4" t="s">
        <v>571</v>
      </c>
      <c r="H805" s="4"/>
      <c r="I805" s="4"/>
      <c r="J805" s="4" t="s">
        <v>59</v>
      </c>
      <c r="K805" s="4" t="s">
        <v>58</v>
      </c>
      <c r="L805" s="4" t="s">
        <v>57</v>
      </c>
      <c r="M805" s="4" t="s">
        <v>32</v>
      </c>
      <c r="N805" s="4" t="s">
        <v>266</v>
      </c>
      <c r="O805" s="5" t="s">
        <v>55</v>
      </c>
      <c r="P805" s="4" t="s">
        <v>54</v>
      </c>
      <c r="Q805" s="10">
        <v>40975.08</v>
      </c>
      <c r="R805" s="10">
        <v>0</v>
      </c>
      <c r="S805" s="9">
        <f t="shared" si="26"/>
        <v>40975.08</v>
      </c>
      <c r="T805" s="4" t="s">
        <v>53</v>
      </c>
      <c r="U805" s="4" t="s">
        <v>271</v>
      </c>
      <c r="V805" s="4"/>
      <c r="W805" s="4">
        <v>-10</v>
      </c>
      <c r="X805" s="4" t="s">
        <v>124</v>
      </c>
      <c r="Y805" s="4"/>
      <c r="Z805" s="7" t="s">
        <v>14</v>
      </c>
      <c r="AA805" s="36" t="s">
        <v>22</v>
      </c>
      <c r="AB805" s="4" t="s">
        <v>2835</v>
      </c>
      <c r="AC805" s="22">
        <f t="shared" si="25"/>
        <v>16.068658823529411</v>
      </c>
      <c r="AD805" s="23">
        <v>0</v>
      </c>
    </row>
    <row r="806" spans="1:30" x14ac:dyDescent="0.35">
      <c r="A806" s="7">
        <v>829</v>
      </c>
      <c r="B806" s="6">
        <v>45881</v>
      </c>
      <c r="C806" s="6">
        <v>45881</v>
      </c>
      <c r="D806" s="4" t="s">
        <v>570</v>
      </c>
      <c r="E806" s="4" t="s">
        <v>61</v>
      </c>
      <c r="F806" s="4" t="s">
        <v>569</v>
      </c>
      <c r="G806" s="4" t="s">
        <v>569</v>
      </c>
      <c r="H806" s="4"/>
      <c r="I806" s="4"/>
      <c r="J806" s="4" t="s">
        <v>59</v>
      </c>
      <c r="K806" s="4" t="s">
        <v>58</v>
      </c>
      <c r="L806" s="4" t="s">
        <v>57</v>
      </c>
      <c r="M806" s="4" t="s">
        <v>32</v>
      </c>
      <c r="N806" s="4" t="s">
        <v>266</v>
      </c>
      <c r="O806" s="5" t="s">
        <v>55</v>
      </c>
      <c r="P806" s="4" t="s">
        <v>54</v>
      </c>
      <c r="Q806" s="10">
        <v>6548.17</v>
      </c>
      <c r="R806" s="10">
        <v>0</v>
      </c>
      <c r="S806" s="9">
        <f t="shared" si="26"/>
        <v>6548.17</v>
      </c>
      <c r="T806" s="4" t="s">
        <v>53</v>
      </c>
      <c r="U806" s="4" t="s">
        <v>568</v>
      </c>
      <c r="V806" s="4"/>
      <c r="W806" s="4">
        <v>-3</v>
      </c>
      <c r="X806" s="4" t="s">
        <v>94</v>
      </c>
      <c r="Y806" s="4"/>
      <c r="Z806" s="7" t="s">
        <v>14</v>
      </c>
      <c r="AA806" s="36" t="s">
        <v>22</v>
      </c>
      <c r="AB806" s="4" t="s">
        <v>2835</v>
      </c>
      <c r="AC806" s="22">
        <f t="shared" si="25"/>
        <v>2.5679098039215686</v>
      </c>
      <c r="AD806" s="23">
        <v>0</v>
      </c>
    </row>
    <row r="807" spans="1:30" x14ac:dyDescent="0.35">
      <c r="A807" s="7">
        <v>830</v>
      </c>
      <c r="B807" s="6">
        <v>45881</v>
      </c>
      <c r="C807" s="6">
        <v>45881</v>
      </c>
      <c r="D807" s="4" t="s">
        <v>567</v>
      </c>
      <c r="E807" s="4" t="s">
        <v>61</v>
      </c>
      <c r="F807" s="4" t="s">
        <v>566</v>
      </c>
      <c r="G807" s="4" t="s">
        <v>566</v>
      </c>
      <c r="H807" s="4"/>
      <c r="I807" s="4"/>
      <c r="J807" s="4" t="s">
        <v>59</v>
      </c>
      <c r="K807" s="4" t="s">
        <v>58</v>
      </c>
      <c r="L807" s="4" t="s">
        <v>57</v>
      </c>
      <c r="M807" s="4" t="s">
        <v>32</v>
      </c>
      <c r="N807" s="4" t="s">
        <v>266</v>
      </c>
      <c r="O807" s="5" t="s">
        <v>55</v>
      </c>
      <c r="P807" s="4" t="s">
        <v>54</v>
      </c>
      <c r="Q807" s="10">
        <v>32000</v>
      </c>
      <c r="R807" s="10">
        <v>0</v>
      </c>
      <c r="S807" s="9">
        <f t="shared" si="26"/>
        <v>32000</v>
      </c>
      <c r="T807" s="4" t="s">
        <v>53</v>
      </c>
      <c r="U807" s="4" t="s">
        <v>565</v>
      </c>
      <c r="V807" s="4"/>
      <c r="W807" s="4">
        <v>-2</v>
      </c>
      <c r="X807" s="4" t="s">
        <v>94</v>
      </c>
      <c r="Y807" s="4"/>
      <c r="Z807" s="7" t="s">
        <v>14</v>
      </c>
      <c r="AA807" s="36" t="s">
        <v>22</v>
      </c>
      <c r="AB807" s="4" t="s">
        <v>2835</v>
      </c>
      <c r="AC807" s="22">
        <f t="shared" si="25"/>
        <v>12.549019607843137</v>
      </c>
      <c r="AD807" s="23">
        <v>0</v>
      </c>
    </row>
    <row r="808" spans="1:30" x14ac:dyDescent="0.35">
      <c r="A808" s="7">
        <v>831</v>
      </c>
      <c r="B808" s="6">
        <v>45881</v>
      </c>
      <c r="C808" s="6">
        <v>45881</v>
      </c>
      <c r="D808" s="7" t="s">
        <v>327</v>
      </c>
      <c r="E808" s="7" t="s">
        <v>61</v>
      </c>
      <c r="F808" s="7" t="s">
        <v>326</v>
      </c>
      <c r="G808" s="7" t="s">
        <v>326</v>
      </c>
      <c r="H808" s="7"/>
      <c r="I808" s="7"/>
      <c r="J808" s="7" t="s">
        <v>59</v>
      </c>
      <c r="K808" s="7" t="s">
        <v>58</v>
      </c>
      <c r="L808" s="7" t="s">
        <v>325</v>
      </c>
      <c r="M808" s="7" t="s">
        <v>33</v>
      </c>
      <c r="N808" s="7" t="s">
        <v>317</v>
      </c>
      <c r="O808" s="7" t="s">
        <v>68</v>
      </c>
      <c r="P808" s="7" t="s">
        <v>54</v>
      </c>
      <c r="Q808" s="11">
        <v>56583264.990000002</v>
      </c>
      <c r="R808" s="11">
        <v>0</v>
      </c>
      <c r="S808" s="9">
        <f t="shared" si="26"/>
        <v>56583264.990000002</v>
      </c>
      <c r="T808" s="4" t="s">
        <v>53</v>
      </c>
      <c r="U808" s="7" t="s">
        <v>324</v>
      </c>
      <c r="V808" s="4"/>
      <c r="W808" s="9">
        <v>-1</v>
      </c>
      <c r="X808" s="7" t="s">
        <v>323</v>
      </c>
      <c r="Y808" s="7"/>
      <c r="Z808" s="7" t="s">
        <v>14</v>
      </c>
      <c r="AA808" s="36" t="s">
        <v>23</v>
      </c>
      <c r="AB808" s="4" t="s">
        <v>2607</v>
      </c>
      <c r="AC808" s="22">
        <f t="shared" si="25"/>
        <v>22189.515682352943</v>
      </c>
      <c r="AD808" s="23">
        <v>0</v>
      </c>
    </row>
    <row r="809" spans="1:30" hidden="1" x14ac:dyDescent="0.35">
      <c r="A809" s="7">
        <v>832</v>
      </c>
      <c r="B809" s="6">
        <v>45882.486840277779</v>
      </c>
      <c r="C809" s="6">
        <v>45882</v>
      </c>
      <c r="D809" s="7" t="s">
        <v>2072</v>
      </c>
      <c r="E809" s="7" t="s">
        <v>1050</v>
      </c>
      <c r="F809" s="7"/>
      <c r="G809" s="7" t="s">
        <v>2071</v>
      </c>
      <c r="H809" s="7"/>
      <c r="I809" s="7"/>
      <c r="J809" s="7" t="s">
        <v>1816</v>
      </c>
      <c r="K809" s="7" t="s">
        <v>1815</v>
      </c>
      <c r="L809" s="7" t="s">
        <v>1956</v>
      </c>
      <c r="M809" s="7" t="s">
        <v>30</v>
      </c>
      <c r="N809" s="7" t="s">
        <v>211</v>
      </c>
      <c r="O809" s="7" t="s">
        <v>210</v>
      </c>
      <c r="P809" s="7" t="s">
        <v>210</v>
      </c>
      <c r="Q809" s="9">
        <v>300000</v>
      </c>
      <c r="R809" s="9">
        <v>0</v>
      </c>
      <c r="S809" s="9">
        <f t="shared" si="26"/>
        <v>300000</v>
      </c>
      <c r="T809" s="4" t="s">
        <v>53</v>
      </c>
      <c r="U809" s="7"/>
      <c r="V809" s="7"/>
      <c r="W809" s="9">
        <v>1</v>
      </c>
      <c r="X809" s="7"/>
      <c r="Y809" s="7"/>
      <c r="Z809" s="7" t="s">
        <v>14</v>
      </c>
      <c r="AA809" s="36" t="s">
        <v>30</v>
      </c>
      <c r="AB809" s="4"/>
      <c r="AC809" s="22">
        <f t="shared" si="25"/>
        <v>117.64705882352941</v>
      </c>
      <c r="AD809" s="23">
        <v>0</v>
      </c>
    </row>
    <row r="810" spans="1:30" hidden="1" x14ac:dyDescent="0.35">
      <c r="A810" s="7">
        <v>833</v>
      </c>
      <c r="B810" s="6">
        <v>45882.398958333331</v>
      </c>
      <c r="C810" s="6">
        <v>45882</v>
      </c>
      <c r="D810" s="7" t="s">
        <v>2070</v>
      </c>
      <c r="E810" s="7" t="s">
        <v>1050</v>
      </c>
      <c r="F810" s="7"/>
      <c r="G810" s="7" t="s">
        <v>2069</v>
      </c>
      <c r="H810" s="7"/>
      <c r="I810" s="7"/>
      <c r="J810" s="7" t="s">
        <v>1816</v>
      </c>
      <c r="K810" s="7" t="s">
        <v>1815</v>
      </c>
      <c r="L810" s="7" t="s">
        <v>1956</v>
      </c>
      <c r="M810" s="7" t="s">
        <v>30</v>
      </c>
      <c r="N810" s="7" t="s">
        <v>211</v>
      </c>
      <c r="O810" s="7" t="s">
        <v>210</v>
      </c>
      <c r="P810" s="7" t="s">
        <v>210</v>
      </c>
      <c r="Q810" s="9">
        <v>400000</v>
      </c>
      <c r="R810" s="9">
        <v>0</v>
      </c>
      <c r="S810" s="9">
        <f t="shared" si="26"/>
        <v>400000</v>
      </c>
      <c r="T810" s="4" t="s">
        <v>53</v>
      </c>
      <c r="U810" s="7"/>
      <c r="V810" s="7"/>
      <c r="W810" s="9">
        <v>1</v>
      </c>
      <c r="X810" s="7"/>
      <c r="Y810" s="7"/>
      <c r="Z810" s="7" t="s">
        <v>14</v>
      </c>
      <c r="AA810" s="36" t="s">
        <v>30</v>
      </c>
      <c r="AB810" s="4"/>
      <c r="AC810" s="22">
        <f t="shared" si="25"/>
        <v>156.86274509803923</v>
      </c>
      <c r="AD810" s="23">
        <v>0</v>
      </c>
    </row>
    <row r="811" spans="1:30" x14ac:dyDescent="0.35">
      <c r="A811" s="7">
        <v>834</v>
      </c>
      <c r="B811" s="6">
        <v>45882</v>
      </c>
      <c r="C811" s="6">
        <v>45882</v>
      </c>
      <c r="D811" s="4" t="s">
        <v>580</v>
      </c>
      <c r="E811" s="4" t="s">
        <v>61</v>
      </c>
      <c r="F811" s="4" t="s">
        <v>579</v>
      </c>
      <c r="G811" s="4" t="s">
        <v>579</v>
      </c>
      <c r="H811" s="4"/>
      <c r="I811" s="4"/>
      <c r="J811" s="4" t="s">
        <v>59</v>
      </c>
      <c r="K811" s="4" t="s">
        <v>58</v>
      </c>
      <c r="L811" s="4" t="s">
        <v>57</v>
      </c>
      <c r="M811" s="4" t="s">
        <v>32</v>
      </c>
      <c r="N811" s="4" t="s">
        <v>266</v>
      </c>
      <c r="O811" s="5" t="s">
        <v>55</v>
      </c>
      <c r="P811" s="4" t="s">
        <v>54</v>
      </c>
      <c r="Q811" s="10">
        <v>16131.55</v>
      </c>
      <c r="R811" s="10">
        <v>0</v>
      </c>
      <c r="S811" s="9">
        <f t="shared" si="26"/>
        <v>16131.55</v>
      </c>
      <c r="T811" s="4" t="s">
        <v>53</v>
      </c>
      <c r="U811" s="4" t="s">
        <v>117</v>
      </c>
      <c r="V811" s="4"/>
      <c r="W811" s="4">
        <v>-5</v>
      </c>
      <c r="X811" s="4" t="s">
        <v>94</v>
      </c>
      <c r="Y811" s="4"/>
      <c r="Z811" s="7" t="s">
        <v>14</v>
      </c>
      <c r="AA811" s="36" t="s">
        <v>22</v>
      </c>
      <c r="AB811" s="4" t="s">
        <v>2835</v>
      </c>
      <c r="AC811" s="22">
        <f t="shared" ref="AC811:AC874" si="27">+S811/$AC$1</f>
        <v>6.3260980392156858</v>
      </c>
      <c r="AD811" s="23">
        <v>0</v>
      </c>
    </row>
    <row r="812" spans="1:30" x14ac:dyDescent="0.35">
      <c r="A812" s="7">
        <v>835</v>
      </c>
      <c r="B812" s="6">
        <v>45882</v>
      </c>
      <c r="C812" s="6">
        <v>45882</v>
      </c>
      <c r="D812" s="4" t="s">
        <v>578</v>
      </c>
      <c r="E812" s="4" t="s">
        <v>61</v>
      </c>
      <c r="F812" s="4" t="s">
        <v>577</v>
      </c>
      <c r="G812" s="4" t="s">
        <v>577</v>
      </c>
      <c r="H812" s="4"/>
      <c r="I812" s="4"/>
      <c r="J812" s="4" t="s">
        <v>59</v>
      </c>
      <c r="K812" s="4" t="s">
        <v>58</v>
      </c>
      <c r="L812" s="4" t="s">
        <v>57</v>
      </c>
      <c r="M812" s="4" t="s">
        <v>32</v>
      </c>
      <c r="N812" s="4" t="s">
        <v>266</v>
      </c>
      <c r="O812" s="5" t="s">
        <v>55</v>
      </c>
      <c r="P812" s="4" t="s">
        <v>54</v>
      </c>
      <c r="Q812" s="10">
        <v>43500</v>
      </c>
      <c r="R812" s="10">
        <v>0</v>
      </c>
      <c r="S812" s="9">
        <f t="shared" si="26"/>
        <v>43500</v>
      </c>
      <c r="T812" s="4" t="s">
        <v>53</v>
      </c>
      <c r="U812" s="4" t="s">
        <v>545</v>
      </c>
      <c r="V812" s="4"/>
      <c r="W812" s="4">
        <v>-150</v>
      </c>
      <c r="X812" s="4" t="s">
        <v>94</v>
      </c>
      <c r="Y812" s="4"/>
      <c r="Z812" s="7" t="s">
        <v>14</v>
      </c>
      <c r="AA812" s="36" t="s">
        <v>22</v>
      </c>
      <c r="AB812" s="4" t="s">
        <v>2835</v>
      </c>
      <c r="AC812" s="22">
        <f t="shared" si="27"/>
        <v>17.058823529411764</v>
      </c>
      <c r="AD812" s="23">
        <v>0</v>
      </c>
    </row>
    <row r="813" spans="1:30" x14ac:dyDescent="0.35">
      <c r="A813" s="7">
        <v>836</v>
      </c>
      <c r="B813" s="6">
        <v>45882</v>
      </c>
      <c r="C813" s="6">
        <v>45882</v>
      </c>
      <c r="D813" s="4" t="s">
        <v>576</v>
      </c>
      <c r="E813" s="4" t="s">
        <v>61</v>
      </c>
      <c r="F813" s="4" t="s">
        <v>575</v>
      </c>
      <c r="G813" s="4" t="s">
        <v>575</v>
      </c>
      <c r="H813" s="4"/>
      <c r="I813" s="4"/>
      <c r="J813" s="4" t="s">
        <v>59</v>
      </c>
      <c r="K813" s="4" t="s">
        <v>58</v>
      </c>
      <c r="L813" s="4" t="s">
        <v>57</v>
      </c>
      <c r="M813" s="4" t="s">
        <v>32</v>
      </c>
      <c r="N813" s="4" t="s">
        <v>266</v>
      </c>
      <c r="O813" s="5" t="s">
        <v>55</v>
      </c>
      <c r="P813" s="4" t="s">
        <v>54</v>
      </c>
      <c r="Q813" s="10">
        <v>2190000</v>
      </c>
      <c r="R813" s="10">
        <v>0</v>
      </c>
      <c r="S813" s="9">
        <f t="shared" si="26"/>
        <v>2190000</v>
      </c>
      <c r="T813" s="4" t="s">
        <v>53</v>
      </c>
      <c r="U813" s="4" t="s">
        <v>542</v>
      </c>
      <c r="V813" s="4"/>
      <c r="W813" s="4">
        <v>-25</v>
      </c>
      <c r="X813" s="4" t="s">
        <v>94</v>
      </c>
      <c r="Y813" s="4"/>
      <c r="Z813" s="7" t="s">
        <v>14</v>
      </c>
      <c r="AA813" s="36" t="s">
        <v>22</v>
      </c>
      <c r="AB813" s="4" t="s">
        <v>2835</v>
      </c>
      <c r="AC813" s="22">
        <f t="shared" si="27"/>
        <v>858.82352941176475</v>
      </c>
      <c r="AD813" s="23">
        <v>0</v>
      </c>
    </row>
    <row r="814" spans="1:30" x14ac:dyDescent="0.35">
      <c r="A814" s="7">
        <v>837</v>
      </c>
      <c r="B814" s="6">
        <v>45882</v>
      </c>
      <c r="C814" s="6">
        <v>45882</v>
      </c>
      <c r="D814" s="4" t="s">
        <v>489</v>
      </c>
      <c r="E814" s="4" t="s">
        <v>61</v>
      </c>
      <c r="F814" s="4" t="s">
        <v>488</v>
      </c>
      <c r="G814" s="4" t="s">
        <v>488</v>
      </c>
      <c r="H814" s="4"/>
      <c r="I814" s="4"/>
      <c r="J814" s="4" t="s">
        <v>59</v>
      </c>
      <c r="K814" s="4" t="s">
        <v>58</v>
      </c>
      <c r="L814" s="4" t="s">
        <v>57</v>
      </c>
      <c r="M814" s="4" t="s">
        <v>32</v>
      </c>
      <c r="N814" s="4" t="s">
        <v>197</v>
      </c>
      <c r="O814" s="5" t="s">
        <v>105</v>
      </c>
      <c r="P814" s="4" t="s">
        <v>126</v>
      </c>
      <c r="Q814" s="10">
        <v>8250</v>
      </c>
      <c r="R814" s="10">
        <v>0</v>
      </c>
      <c r="S814" s="9">
        <f t="shared" si="26"/>
        <v>8250</v>
      </c>
      <c r="T814" s="4" t="s">
        <v>53</v>
      </c>
      <c r="U814" s="4" t="s">
        <v>487</v>
      </c>
      <c r="V814" s="4"/>
      <c r="W814" s="4">
        <v>-5</v>
      </c>
      <c r="X814" s="4" t="s">
        <v>129</v>
      </c>
      <c r="Y814" s="4"/>
      <c r="Z814" s="7" t="s">
        <v>14</v>
      </c>
      <c r="AA814" s="36" t="s">
        <v>29</v>
      </c>
      <c r="AB814" s="4" t="s">
        <v>2607</v>
      </c>
      <c r="AC814" s="22">
        <f t="shared" si="27"/>
        <v>3.2352941176470589</v>
      </c>
      <c r="AD814" s="23">
        <v>0</v>
      </c>
    </row>
    <row r="815" spans="1:30" x14ac:dyDescent="0.35">
      <c r="A815" s="7">
        <v>838</v>
      </c>
      <c r="B815" s="6">
        <v>45883.601030092592</v>
      </c>
      <c r="C815" s="6">
        <v>45883</v>
      </c>
      <c r="D815" s="7" t="s">
        <v>2068</v>
      </c>
      <c r="E815" s="7" t="s">
        <v>61</v>
      </c>
      <c r="F815" s="7" t="s">
        <v>2067</v>
      </c>
      <c r="G815" s="7" t="s">
        <v>2067</v>
      </c>
      <c r="H815" s="7"/>
      <c r="I815" s="7"/>
      <c r="J815" s="7" t="s">
        <v>1816</v>
      </c>
      <c r="K815" s="7" t="s">
        <v>1815</v>
      </c>
      <c r="L815" s="7" t="s">
        <v>1883</v>
      </c>
      <c r="M815" s="7" t="s">
        <v>17</v>
      </c>
      <c r="N815" s="7" t="s">
        <v>118</v>
      </c>
      <c r="O815" s="7" t="s">
        <v>1900</v>
      </c>
      <c r="P815" s="7" t="s">
        <v>1775</v>
      </c>
      <c r="Q815" s="9">
        <v>594600</v>
      </c>
      <c r="R815" s="9">
        <v>0</v>
      </c>
      <c r="S815" s="9">
        <f t="shared" si="26"/>
        <v>594600</v>
      </c>
      <c r="T815" s="4" t="s">
        <v>53</v>
      </c>
      <c r="U815" s="7" t="s">
        <v>1899</v>
      </c>
      <c r="V815" s="7" t="s">
        <v>1898</v>
      </c>
      <c r="W815" s="9">
        <v>-3</v>
      </c>
      <c r="X815" s="7" t="s">
        <v>94</v>
      </c>
      <c r="Y815" s="7"/>
      <c r="Z815" s="7" t="s">
        <v>14</v>
      </c>
      <c r="AA815" s="36" t="s">
        <v>17</v>
      </c>
      <c r="AB815" s="4" t="s">
        <v>2602</v>
      </c>
      <c r="AC815" s="22">
        <f t="shared" si="27"/>
        <v>233.1764705882353</v>
      </c>
      <c r="AD815" s="23">
        <v>0</v>
      </c>
    </row>
    <row r="816" spans="1:30" hidden="1" x14ac:dyDescent="0.35">
      <c r="A816" s="7">
        <v>839</v>
      </c>
      <c r="B816" s="6">
        <v>45884.487638888888</v>
      </c>
      <c r="C816" s="6">
        <v>45884</v>
      </c>
      <c r="D816" s="7" t="s">
        <v>2066</v>
      </c>
      <c r="E816" s="7" t="s">
        <v>1050</v>
      </c>
      <c r="F816" s="7"/>
      <c r="G816" s="7" t="s">
        <v>2065</v>
      </c>
      <c r="H816" s="7"/>
      <c r="I816" s="7"/>
      <c r="J816" s="7" t="s">
        <v>1816</v>
      </c>
      <c r="K816" s="7" t="s">
        <v>1815</v>
      </c>
      <c r="L816" s="7" t="s">
        <v>1956</v>
      </c>
      <c r="M816" s="7" t="s">
        <v>30</v>
      </c>
      <c r="N816" s="7" t="s">
        <v>211</v>
      </c>
      <c r="O816" s="7" t="s">
        <v>210</v>
      </c>
      <c r="P816" s="7" t="s">
        <v>210</v>
      </c>
      <c r="Q816" s="9">
        <v>400000</v>
      </c>
      <c r="R816" s="9">
        <v>0</v>
      </c>
      <c r="S816" s="9">
        <f t="shared" si="26"/>
        <v>400000</v>
      </c>
      <c r="T816" s="4" t="s">
        <v>53</v>
      </c>
      <c r="U816" s="7"/>
      <c r="V816" s="7"/>
      <c r="W816" s="9">
        <v>1</v>
      </c>
      <c r="X816" s="7"/>
      <c r="Y816" s="7"/>
      <c r="Z816" s="7" t="s">
        <v>14</v>
      </c>
      <c r="AA816" s="36" t="s">
        <v>30</v>
      </c>
      <c r="AB816" s="4"/>
      <c r="AC816" s="22">
        <f t="shared" si="27"/>
        <v>156.86274509803923</v>
      </c>
      <c r="AD816" s="23">
        <v>0</v>
      </c>
    </row>
    <row r="817" spans="1:30" hidden="1" x14ac:dyDescent="0.35">
      <c r="A817" s="7">
        <v>840</v>
      </c>
      <c r="B817" s="6">
        <v>45884.471828703703</v>
      </c>
      <c r="C817" s="6">
        <v>45884</v>
      </c>
      <c r="D817" s="7" t="s">
        <v>2064</v>
      </c>
      <c r="E817" s="7" t="s">
        <v>1050</v>
      </c>
      <c r="F817" s="7"/>
      <c r="G817" s="7" t="s">
        <v>2063</v>
      </c>
      <c r="H817" s="7"/>
      <c r="I817" s="7"/>
      <c r="J817" s="7" t="s">
        <v>1816</v>
      </c>
      <c r="K817" s="7" t="s">
        <v>1815</v>
      </c>
      <c r="L817" s="7" t="s">
        <v>1956</v>
      </c>
      <c r="M817" s="7" t="s">
        <v>30</v>
      </c>
      <c r="N817" s="7" t="s">
        <v>211</v>
      </c>
      <c r="O817" s="7" t="s">
        <v>210</v>
      </c>
      <c r="P817" s="7" t="s">
        <v>210</v>
      </c>
      <c r="Q817" s="9">
        <v>400000</v>
      </c>
      <c r="R817" s="9">
        <v>0</v>
      </c>
      <c r="S817" s="9">
        <f t="shared" si="26"/>
        <v>400000</v>
      </c>
      <c r="T817" s="4" t="s">
        <v>53</v>
      </c>
      <c r="U817" s="7"/>
      <c r="V817" s="7"/>
      <c r="W817" s="9">
        <v>1</v>
      </c>
      <c r="X817" s="7"/>
      <c r="Y817" s="7"/>
      <c r="Z817" s="7" t="s">
        <v>14</v>
      </c>
      <c r="AA817" s="36" t="s">
        <v>30</v>
      </c>
      <c r="AB817" s="4"/>
      <c r="AC817" s="22">
        <f t="shared" si="27"/>
        <v>156.86274509803923</v>
      </c>
      <c r="AD817" s="23">
        <v>0</v>
      </c>
    </row>
    <row r="818" spans="1:30" hidden="1" x14ac:dyDescent="0.35">
      <c r="A818" s="7">
        <v>841</v>
      </c>
      <c r="B818" s="6">
        <v>45884</v>
      </c>
      <c r="C818" s="6">
        <v>45884</v>
      </c>
      <c r="D818" s="7" t="s">
        <v>1730</v>
      </c>
      <c r="E818" s="7" t="s">
        <v>61</v>
      </c>
      <c r="F818" s="7" t="s">
        <v>1729</v>
      </c>
      <c r="G818" s="7" t="s">
        <v>1729</v>
      </c>
      <c r="H818" s="7"/>
      <c r="I818" s="7"/>
      <c r="J818" s="7" t="s">
        <v>59</v>
      </c>
      <c r="K818" s="7" t="s">
        <v>58</v>
      </c>
      <c r="L818" s="7" t="s">
        <v>325</v>
      </c>
      <c r="M818" s="7" t="s">
        <v>1764</v>
      </c>
      <c r="N818" s="7" t="s">
        <v>1699</v>
      </c>
      <c r="O818" s="7" t="s">
        <v>1703</v>
      </c>
      <c r="P818" s="7" t="s">
        <v>1712</v>
      </c>
      <c r="Q818" s="11">
        <v>589830.52</v>
      </c>
      <c r="R818" s="9">
        <v>0</v>
      </c>
      <c r="S818" s="9">
        <f t="shared" si="26"/>
        <v>589830.52</v>
      </c>
      <c r="T818" s="4" t="s">
        <v>53</v>
      </c>
      <c r="U818" s="7" t="s">
        <v>1728</v>
      </c>
      <c r="V818" s="4"/>
      <c r="W818" s="9">
        <v>-2</v>
      </c>
      <c r="X818" s="7" t="s">
        <v>94</v>
      </c>
      <c r="Y818" s="7"/>
      <c r="Z818" s="7" t="s">
        <v>5</v>
      </c>
      <c r="AA818" s="37" t="s">
        <v>6</v>
      </c>
      <c r="AB818" s="16"/>
      <c r="AC818" s="22">
        <f t="shared" si="27"/>
        <v>231.30608627450982</v>
      </c>
      <c r="AD818" s="23">
        <v>0</v>
      </c>
    </row>
    <row r="819" spans="1:30" x14ac:dyDescent="0.35">
      <c r="A819" s="7">
        <v>842</v>
      </c>
      <c r="B819" s="6">
        <v>45884</v>
      </c>
      <c r="C819" s="6">
        <v>45884</v>
      </c>
      <c r="D819" s="4" t="s">
        <v>442</v>
      </c>
      <c r="E819" s="4" t="s">
        <v>61</v>
      </c>
      <c r="F819" s="4" t="s">
        <v>441</v>
      </c>
      <c r="G819" s="4" t="s">
        <v>441</v>
      </c>
      <c r="H819" s="4"/>
      <c r="I819" s="4"/>
      <c r="J819" s="4" t="s">
        <v>59</v>
      </c>
      <c r="K819" s="4" t="s">
        <v>58</v>
      </c>
      <c r="L819" s="4" t="s">
        <v>57</v>
      </c>
      <c r="M819" s="4" t="s">
        <v>32</v>
      </c>
      <c r="N819" s="4" t="s">
        <v>197</v>
      </c>
      <c r="O819" s="5" t="s">
        <v>105</v>
      </c>
      <c r="P819" s="4" t="s">
        <v>196</v>
      </c>
      <c r="Q819" s="10">
        <v>6090044.3399999999</v>
      </c>
      <c r="R819" s="10">
        <v>0</v>
      </c>
      <c r="S819" s="9">
        <f t="shared" si="26"/>
        <v>6090044.3399999999</v>
      </c>
      <c r="T819" s="4" t="s">
        <v>53</v>
      </c>
      <c r="U819" s="4" t="s">
        <v>440</v>
      </c>
      <c r="V819" s="4"/>
      <c r="W819" s="4">
        <v>-3</v>
      </c>
      <c r="X819" s="4" t="s">
        <v>94</v>
      </c>
      <c r="Y819" s="4"/>
      <c r="Z819" s="7" t="s">
        <v>14</v>
      </c>
      <c r="AA819" s="36" t="s">
        <v>29</v>
      </c>
      <c r="AB819" s="4" t="s">
        <v>2607</v>
      </c>
      <c r="AC819" s="22">
        <f t="shared" si="27"/>
        <v>2388.2526823529411</v>
      </c>
      <c r="AD819" s="23">
        <v>0</v>
      </c>
    </row>
    <row r="820" spans="1:30" x14ac:dyDescent="0.35">
      <c r="A820" s="7">
        <v>843</v>
      </c>
      <c r="B820" s="6">
        <v>45884</v>
      </c>
      <c r="C820" s="6">
        <v>45884</v>
      </c>
      <c r="D820" s="4" t="s">
        <v>439</v>
      </c>
      <c r="E820" s="4" t="s">
        <v>61</v>
      </c>
      <c r="F820" s="4" t="s">
        <v>438</v>
      </c>
      <c r="G820" s="4" t="s">
        <v>438</v>
      </c>
      <c r="H820" s="4"/>
      <c r="I820" s="4"/>
      <c r="J820" s="4" t="s">
        <v>59</v>
      </c>
      <c r="K820" s="4" t="s">
        <v>58</v>
      </c>
      <c r="L820" s="4" t="s">
        <v>57</v>
      </c>
      <c r="M820" s="4" t="s">
        <v>32</v>
      </c>
      <c r="N820" s="4" t="s">
        <v>197</v>
      </c>
      <c r="O820" s="5" t="s">
        <v>105</v>
      </c>
      <c r="P820" s="4" t="s">
        <v>196</v>
      </c>
      <c r="Q820" s="10">
        <v>645165.62</v>
      </c>
      <c r="R820" s="10">
        <v>0</v>
      </c>
      <c r="S820" s="9">
        <f t="shared" si="26"/>
        <v>645165.62</v>
      </c>
      <c r="T820" s="4" t="s">
        <v>53</v>
      </c>
      <c r="U820" s="4" t="s">
        <v>437</v>
      </c>
      <c r="V820" s="4"/>
      <c r="W820" s="4">
        <v>-1</v>
      </c>
      <c r="X820" s="4" t="s">
        <v>94</v>
      </c>
      <c r="Y820" s="4"/>
      <c r="Z820" s="7" t="s">
        <v>14</v>
      </c>
      <c r="AA820" s="36" t="s">
        <v>29</v>
      </c>
      <c r="AB820" s="4" t="s">
        <v>2607</v>
      </c>
      <c r="AC820" s="22">
        <f t="shared" si="27"/>
        <v>253.00612549019607</v>
      </c>
      <c r="AD820" s="23">
        <v>0</v>
      </c>
    </row>
    <row r="821" spans="1:30" x14ac:dyDescent="0.35">
      <c r="A821" s="7">
        <v>844</v>
      </c>
      <c r="B821" s="6">
        <v>45884</v>
      </c>
      <c r="C821" s="6">
        <v>45884</v>
      </c>
      <c r="D821" s="4" t="s">
        <v>436</v>
      </c>
      <c r="E821" s="4" t="s">
        <v>61</v>
      </c>
      <c r="F821" s="4" t="s">
        <v>435</v>
      </c>
      <c r="G821" s="4" t="s">
        <v>435</v>
      </c>
      <c r="H821" s="4"/>
      <c r="I821" s="4"/>
      <c r="J821" s="4" t="s">
        <v>59</v>
      </c>
      <c r="K821" s="4" t="s">
        <v>58</v>
      </c>
      <c r="L821" s="4" t="s">
        <v>57</v>
      </c>
      <c r="M821" s="4" t="s">
        <v>32</v>
      </c>
      <c r="N821" s="4" t="s">
        <v>197</v>
      </c>
      <c r="O821" s="5" t="s">
        <v>105</v>
      </c>
      <c r="P821" s="4" t="s">
        <v>196</v>
      </c>
      <c r="Q821" s="10">
        <v>1035914.93</v>
      </c>
      <c r="R821" s="10">
        <v>0</v>
      </c>
      <c r="S821" s="9">
        <f t="shared" si="26"/>
        <v>1035914.93</v>
      </c>
      <c r="T821" s="4" t="s">
        <v>53</v>
      </c>
      <c r="U821" s="4" t="s">
        <v>434</v>
      </c>
      <c r="V821" s="4"/>
      <c r="W821" s="4">
        <v>-2</v>
      </c>
      <c r="X821" s="4" t="s">
        <v>94</v>
      </c>
      <c r="Y821" s="4"/>
      <c r="Z821" s="7" t="s">
        <v>14</v>
      </c>
      <c r="AA821" s="36" t="s">
        <v>29</v>
      </c>
      <c r="AB821" s="4" t="s">
        <v>2607</v>
      </c>
      <c r="AC821" s="22">
        <f t="shared" si="27"/>
        <v>406.24114901960786</v>
      </c>
      <c r="AD821" s="23">
        <v>0</v>
      </c>
    </row>
    <row r="822" spans="1:30" x14ac:dyDescent="0.35">
      <c r="A822" s="7">
        <v>845</v>
      </c>
      <c r="B822" s="6">
        <v>45884</v>
      </c>
      <c r="C822" s="6">
        <v>45884</v>
      </c>
      <c r="D822" s="4" t="s">
        <v>433</v>
      </c>
      <c r="E822" s="4" t="s">
        <v>61</v>
      </c>
      <c r="F822" s="4" t="s">
        <v>432</v>
      </c>
      <c r="G822" s="4" t="s">
        <v>432</v>
      </c>
      <c r="H822" s="4"/>
      <c r="I822" s="4"/>
      <c r="J822" s="4" t="s">
        <v>59</v>
      </c>
      <c r="K822" s="4" t="s">
        <v>58</v>
      </c>
      <c r="L822" s="4" t="s">
        <v>57</v>
      </c>
      <c r="M822" s="4" t="s">
        <v>32</v>
      </c>
      <c r="N822" s="4" t="s">
        <v>197</v>
      </c>
      <c r="O822" s="5" t="s">
        <v>105</v>
      </c>
      <c r="P822" s="4" t="s">
        <v>196</v>
      </c>
      <c r="Q822" s="10">
        <v>1949833.85</v>
      </c>
      <c r="R822" s="10">
        <v>0</v>
      </c>
      <c r="S822" s="9">
        <f t="shared" si="26"/>
        <v>1949833.85</v>
      </c>
      <c r="T822" s="4" t="s">
        <v>53</v>
      </c>
      <c r="U822" s="4" t="s">
        <v>431</v>
      </c>
      <c r="V822" s="4"/>
      <c r="W822" s="4">
        <v>-1</v>
      </c>
      <c r="X822" s="4" t="s">
        <v>94</v>
      </c>
      <c r="Y822" s="4"/>
      <c r="Z822" s="7" t="s">
        <v>14</v>
      </c>
      <c r="AA822" s="36" t="s">
        <v>29</v>
      </c>
      <c r="AB822" s="4" t="s">
        <v>2607</v>
      </c>
      <c r="AC822" s="22">
        <f t="shared" si="27"/>
        <v>764.64072549019613</v>
      </c>
      <c r="AD822" s="23">
        <v>0</v>
      </c>
    </row>
    <row r="823" spans="1:30" x14ac:dyDescent="0.35">
      <c r="A823" s="7">
        <v>846</v>
      </c>
      <c r="B823" s="6">
        <v>45884</v>
      </c>
      <c r="C823" s="6">
        <v>45884</v>
      </c>
      <c r="D823" s="4" t="s">
        <v>430</v>
      </c>
      <c r="E823" s="4" t="s">
        <v>61</v>
      </c>
      <c r="F823" s="4" t="s">
        <v>429</v>
      </c>
      <c r="G823" s="4" t="s">
        <v>429</v>
      </c>
      <c r="H823" s="4"/>
      <c r="I823" s="4"/>
      <c r="J823" s="4" t="s">
        <v>59</v>
      </c>
      <c r="K823" s="4" t="s">
        <v>58</v>
      </c>
      <c r="L823" s="4" t="s">
        <v>57</v>
      </c>
      <c r="M823" s="4" t="s">
        <v>32</v>
      </c>
      <c r="N823" s="4" t="s">
        <v>197</v>
      </c>
      <c r="O823" s="5" t="s">
        <v>105</v>
      </c>
      <c r="P823" s="4" t="s">
        <v>196</v>
      </c>
      <c r="Q823" s="10">
        <v>390177.78</v>
      </c>
      <c r="R823" s="10">
        <v>0</v>
      </c>
      <c r="S823" s="9">
        <f t="shared" si="26"/>
        <v>390177.78</v>
      </c>
      <c r="T823" s="4" t="s">
        <v>53</v>
      </c>
      <c r="U823" s="4" t="s">
        <v>428</v>
      </c>
      <c r="V823" s="4"/>
      <c r="W823" s="4">
        <v>-3</v>
      </c>
      <c r="X823" s="4" t="s">
        <v>94</v>
      </c>
      <c r="Y823" s="4"/>
      <c r="Z823" s="7" t="s">
        <v>14</v>
      </c>
      <c r="AA823" s="36" t="s">
        <v>29</v>
      </c>
      <c r="AB823" s="4" t="s">
        <v>2607</v>
      </c>
      <c r="AC823" s="22">
        <f t="shared" si="27"/>
        <v>153.01089411764707</v>
      </c>
      <c r="AD823" s="23">
        <v>0</v>
      </c>
    </row>
    <row r="824" spans="1:30" x14ac:dyDescent="0.35">
      <c r="A824" s="7">
        <v>847</v>
      </c>
      <c r="B824" s="6">
        <v>45885.513171296298</v>
      </c>
      <c r="C824" s="6">
        <v>45885</v>
      </c>
      <c r="D824" s="7" t="s">
        <v>2062</v>
      </c>
      <c r="E824" s="7" t="s">
        <v>61</v>
      </c>
      <c r="F824" s="7" t="s">
        <v>2061</v>
      </c>
      <c r="G824" s="7" t="s">
        <v>2061</v>
      </c>
      <c r="H824" s="7"/>
      <c r="I824" s="7"/>
      <c r="J824" s="7" t="s">
        <v>1816</v>
      </c>
      <c r="K824" s="7" t="s">
        <v>1815</v>
      </c>
      <c r="L824" s="7" t="s">
        <v>1992</v>
      </c>
      <c r="M824" s="7" t="s">
        <v>18</v>
      </c>
      <c r="N824" s="7" t="s">
        <v>266</v>
      </c>
      <c r="O824" s="7" t="s">
        <v>68</v>
      </c>
      <c r="P824" s="7" t="s">
        <v>54</v>
      </c>
      <c r="Q824" s="9">
        <v>1724800</v>
      </c>
      <c r="R824" s="9">
        <v>0</v>
      </c>
      <c r="S824" s="9">
        <f t="shared" si="26"/>
        <v>1724800</v>
      </c>
      <c r="T824" s="4" t="s">
        <v>53</v>
      </c>
      <c r="U824" s="7" t="s">
        <v>1991</v>
      </c>
      <c r="V824" s="7" t="s">
        <v>1990</v>
      </c>
      <c r="W824" s="9">
        <v>-100</v>
      </c>
      <c r="X824" s="7" t="s">
        <v>124</v>
      </c>
      <c r="Y824" s="7"/>
      <c r="Z824" s="7" t="s">
        <v>14</v>
      </c>
      <c r="AA824" s="36" t="s">
        <v>22</v>
      </c>
      <c r="AB824" s="4" t="s">
        <v>2835</v>
      </c>
      <c r="AC824" s="22">
        <f t="shared" si="27"/>
        <v>676.39215686274508</v>
      </c>
      <c r="AD824" s="23">
        <v>0</v>
      </c>
    </row>
    <row r="825" spans="1:30" x14ac:dyDescent="0.35">
      <c r="A825" s="7">
        <v>848</v>
      </c>
      <c r="B825" s="6">
        <v>45885</v>
      </c>
      <c r="C825" s="6">
        <v>45885</v>
      </c>
      <c r="D825" s="4" t="s">
        <v>526</v>
      </c>
      <c r="E825" s="4" t="s">
        <v>61</v>
      </c>
      <c r="F825" s="4" t="s">
        <v>525</v>
      </c>
      <c r="G825" s="4" t="s">
        <v>525</v>
      </c>
      <c r="H825" s="4"/>
      <c r="I825" s="4"/>
      <c r="J825" s="4" t="s">
        <v>59</v>
      </c>
      <c r="K825" s="4" t="s">
        <v>58</v>
      </c>
      <c r="L825" s="4" t="s">
        <v>57</v>
      </c>
      <c r="M825" s="4" t="s">
        <v>32</v>
      </c>
      <c r="N825" s="4" t="s">
        <v>518</v>
      </c>
      <c r="O825" s="5" t="s">
        <v>517</v>
      </c>
      <c r="P825" s="4" t="s">
        <v>54</v>
      </c>
      <c r="Q825" s="10">
        <v>32263.09</v>
      </c>
      <c r="R825" s="10">
        <v>0</v>
      </c>
      <c r="S825" s="9">
        <f t="shared" si="26"/>
        <v>32263.09</v>
      </c>
      <c r="T825" s="4" t="s">
        <v>53</v>
      </c>
      <c r="U825" s="4" t="s">
        <v>117</v>
      </c>
      <c r="V825" s="4"/>
      <c r="W825" s="4">
        <v>-10</v>
      </c>
      <c r="X825" s="4" t="s">
        <v>94</v>
      </c>
      <c r="Y825" s="4"/>
      <c r="Z825" s="7" t="s">
        <v>14</v>
      </c>
      <c r="AA825" s="36" t="s">
        <v>22</v>
      </c>
      <c r="AB825" s="4" t="s">
        <v>2835</v>
      </c>
      <c r="AC825" s="22">
        <f t="shared" si="27"/>
        <v>12.652192156862744</v>
      </c>
      <c r="AD825" s="23">
        <v>0</v>
      </c>
    </row>
    <row r="826" spans="1:30" x14ac:dyDescent="0.35">
      <c r="A826" s="7">
        <v>849</v>
      </c>
      <c r="B826" s="6">
        <v>45885</v>
      </c>
      <c r="C826" s="6">
        <v>45885</v>
      </c>
      <c r="D826" s="4" t="s">
        <v>524</v>
      </c>
      <c r="E826" s="4" t="s">
        <v>61</v>
      </c>
      <c r="F826" s="4" t="s">
        <v>523</v>
      </c>
      <c r="G826" s="4" t="s">
        <v>523</v>
      </c>
      <c r="H826" s="4"/>
      <c r="I826" s="4"/>
      <c r="J826" s="4" t="s">
        <v>59</v>
      </c>
      <c r="K826" s="4" t="s">
        <v>58</v>
      </c>
      <c r="L826" s="4" t="s">
        <v>57</v>
      </c>
      <c r="M826" s="4" t="s">
        <v>32</v>
      </c>
      <c r="N826" s="4" t="s">
        <v>518</v>
      </c>
      <c r="O826" s="5" t="s">
        <v>517</v>
      </c>
      <c r="P826" s="4" t="s">
        <v>54</v>
      </c>
      <c r="Q826" s="10">
        <v>40975.089999999997</v>
      </c>
      <c r="R826" s="10">
        <v>0</v>
      </c>
      <c r="S826" s="9">
        <f t="shared" si="26"/>
        <v>40975.089999999997</v>
      </c>
      <c r="T826" s="4" t="s">
        <v>53</v>
      </c>
      <c r="U826" s="4" t="s">
        <v>271</v>
      </c>
      <c r="V826" s="4"/>
      <c r="W826" s="4">
        <v>-10</v>
      </c>
      <c r="X826" s="4" t="s">
        <v>124</v>
      </c>
      <c r="Y826" s="4"/>
      <c r="Z826" s="7" t="s">
        <v>14</v>
      </c>
      <c r="AA826" s="36" t="s">
        <v>22</v>
      </c>
      <c r="AB826" s="4" t="s">
        <v>2835</v>
      </c>
      <c r="AC826" s="22">
        <f t="shared" si="27"/>
        <v>16.068662745098038</v>
      </c>
      <c r="AD826" s="23">
        <v>0</v>
      </c>
    </row>
    <row r="827" spans="1:30" x14ac:dyDescent="0.35">
      <c r="A827" s="7">
        <v>850</v>
      </c>
      <c r="B827" s="6">
        <v>45885</v>
      </c>
      <c r="C827" s="6">
        <v>45885</v>
      </c>
      <c r="D827" s="4" t="s">
        <v>452</v>
      </c>
      <c r="E827" s="4" t="s">
        <v>61</v>
      </c>
      <c r="F827" s="4" t="s">
        <v>451</v>
      </c>
      <c r="G827" s="4" t="s">
        <v>451</v>
      </c>
      <c r="H827" s="4"/>
      <c r="I827" s="4"/>
      <c r="J827" s="4" t="s">
        <v>59</v>
      </c>
      <c r="K827" s="4" t="s">
        <v>58</v>
      </c>
      <c r="L827" s="4" t="s">
        <v>57</v>
      </c>
      <c r="M827" s="4" t="s">
        <v>32</v>
      </c>
      <c r="N827" s="4" t="s">
        <v>197</v>
      </c>
      <c r="O827" s="5" t="s">
        <v>105</v>
      </c>
      <c r="P827" s="4" t="s">
        <v>196</v>
      </c>
      <c r="Q827" s="10">
        <v>283575</v>
      </c>
      <c r="R827" s="10">
        <v>0</v>
      </c>
      <c r="S827" s="9">
        <f t="shared" si="26"/>
        <v>283575</v>
      </c>
      <c r="T827" s="4" t="s">
        <v>53</v>
      </c>
      <c r="U827" s="4" t="s">
        <v>450</v>
      </c>
      <c r="V827" s="4"/>
      <c r="W827" s="4">
        <v>-15</v>
      </c>
      <c r="X827" s="4" t="s">
        <v>94</v>
      </c>
      <c r="Y827" s="4"/>
      <c r="Z827" s="7" t="s">
        <v>14</v>
      </c>
      <c r="AA827" s="36" t="s">
        <v>29</v>
      </c>
      <c r="AB827" s="4" t="s">
        <v>2607</v>
      </c>
      <c r="AC827" s="22">
        <f t="shared" si="27"/>
        <v>111.20588235294117</v>
      </c>
      <c r="AD827" s="23">
        <v>0</v>
      </c>
    </row>
    <row r="828" spans="1:30" x14ac:dyDescent="0.35">
      <c r="A828" s="7">
        <v>851</v>
      </c>
      <c r="B828" s="6">
        <v>45885</v>
      </c>
      <c r="C828" s="6">
        <v>45885</v>
      </c>
      <c r="D828" s="4" t="s">
        <v>449</v>
      </c>
      <c r="E828" s="4" t="s">
        <v>61</v>
      </c>
      <c r="F828" s="4" t="s">
        <v>448</v>
      </c>
      <c r="G828" s="4" t="s">
        <v>448</v>
      </c>
      <c r="H828" s="4"/>
      <c r="I828" s="4"/>
      <c r="J828" s="4" t="s">
        <v>59</v>
      </c>
      <c r="K828" s="4" t="s">
        <v>58</v>
      </c>
      <c r="L828" s="4" t="s">
        <v>57</v>
      </c>
      <c r="M828" s="4" t="s">
        <v>32</v>
      </c>
      <c r="N828" s="4" t="s">
        <v>197</v>
      </c>
      <c r="O828" s="5" t="s">
        <v>105</v>
      </c>
      <c r="P828" s="4" t="s">
        <v>196</v>
      </c>
      <c r="Q828" s="10">
        <v>324360</v>
      </c>
      <c r="R828" s="10">
        <v>0</v>
      </c>
      <c r="S828" s="9">
        <f t="shared" si="26"/>
        <v>324360</v>
      </c>
      <c r="T828" s="4" t="s">
        <v>53</v>
      </c>
      <c r="U828" s="4" t="s">
        <v>447</v>
      </c>
      <c r="V828" s="4"/>
      <c r="W828" s="4">
        <v>-1</v>
      </c>
      <c r="X828" s="4" t="s">
        <v>94</v>
      </c>
      <c r="Y828" s="4"/>
      <c r="Z828" s="7" t="s">
        <v>14</v>
      </c>
      <c r="AA828" s="36" t="s">
        <v>29</v>
      </c>
      <c r="AB828" s="4" t="s">
        <v>2607</v>
      </c>
      <c r="AC828" s="22">
        <f t="shared" si="27"/>
        <v>127.2</v>
      </c>
      <c r="AD828" s="23">
        <v>0</v>
      </c>
    </row>
    <row r="829" spans="1:30" x14ac:dyDescent="0.35">
      <c r="A829" s="7">
        <v>852</v>
      </c>
      <c r="B829" s="6">
        <v>45885</v>
      </c>
      <c r="C829" s="6">
        <v>45885</v>
      </c>
      <c r="D829" s="4" t="s">
        <v>446</v>
      </c>
      <c r="E829" s="4" t="s">
        <v>61</v>
      </c>
      <c r="F829" s="4" t="s">
        <v>445</v>
      </c>
      <c r="G829" s="4" t="s">
        <v>445</v>
      </c>
      <c r="H829" s="4"/>
      <c r="I829" s="4"/>
      <c r="J829" s="4" t="s">
        <v>59</v>
      </c>
      <c r="K829" s="4" t="s">
        <v>58</v>
      </c>
      <c r="L829" s="4" t="s">
        <v>57</v>
      </c>
      <c r="M829" s="4" t="s">
        <v>32</v>
      </c>
      <c r="N829" s="4" t="s">
        <v>197</v>
      </c>
      <c r="O829" s="5" t="s">
        <v>105</v>
      </c>
      <c r="P829" s="4" t="s">
        <v>196</v>
      </c>
      <c r="Q829" s="10">
        <v>1290331.24</v>
      </c>
      <c r="R829" s="10">
        <v>0</v>
      </c>
      <c r="S829" s="9">
        <f t="shared" si="26"/>
        <v>1290331.24</v>
      </c>
      <c r="T829" s="4" t="s">
        <v>53</v>
      </c>
      <c r="U829" s="4" t="s">
        <v>437</v>
      </c>
      <c r="V829" s="4"/>
      <c r="W829" s="4">
        <v>-2</v>
      </c>
      <c r="X829" s="4" t="s">
        <v>94</v>
      </c>
      <c r="Y829" s="4"/>
      <c r="Z829" s="7" t="s">
        <v>14</v>
      </c>
      <c r="AA829" s="36" t="s">
        <v>29</v>
      </c>
      <c r="AB829" s="4" t="s">
        <v>2607</v>
      </c>
      <c r="AC829" s="22">
        <f t="shared" si="27"/>
        <v>506.01225098039214</v>
      </c>
      <c r="AD829" s="23">
        <v>0</v>
      </c>
    </row>
    <row r="830" spans="1:30" x14ac:dyDescent="0.35">
      <c r="A830" s="7">
        <v>853</v>
      </c>
      <c r="B830" s="6">
        <v>45885</v>
      </c>
      <c r="C830" s="6">
        <v>45885</v>
      </c>
      <c r="D830" s="4" t="s">
        <v>444</v>
      </c>
      <c r="E830" s="4" t="s">
        <v>61</v>
      </c>
      <c r="F830" s="4" t="s">
        <v>443</v>
      </c>
      <c r="G830" s="4" t="s">
        <v>443</v>
      </c>
      <c r="H830" s="4"/>
      <c r="I830" s="4"/>
      <c r="J830" s="4" t="s">
        <v>59</v>
      </c>
      <c r="K830" s="4" t="s">
        <v>58</v>
      </c>
      <c r="L830" s="4" t="s">
        <v>57</v>
      </c>
      <c r="M830" s="4" t="s">
        <v>32</v>
      </c>
      <c r="N830" s="4" t="s">
        <v>197</v>
      </c>
      <c r="O830" s="5" t="s">
        <v>105</v>
      </c>
      <c r="P830" s="4" t="s">
        <v>196</v>
      </c>
      <c r="Q830" s="10">
        <v>130059.26</v>
      </c>
      <c r="R830" s="10">
        <v>0</v>
      </c>
      <c r="S830" s="9">
        <f t="shared" si="26"/>
        <v>130059.26</v>
      </c>
      <c r="T830" s="4" t="s">
        <v>53</v>
      </c>
      <c r="U830" s="4" t="s">
        <v>428</v>
      </c>
      <c r="V830" s="4"/>
      <c r="W830" s="4">
        <v>-1</v>
      </c>
      <c r="X830" s="4" t="s">
        <v>94</v>
      </c>
      <c r="Y830" s="4"/>
      <c r="Z830" s="7" t="s">
        <v>14</v>
      </c>
      <c r="AA830" s="36" t="s">
        <v>29</v>
      </c>
      <c r="AB830" s="4" t="s">
        <v>2607</v>
      </c>
      <c r="AC830" s="22">
        <f t="shared" si="27"/>
        <v>51.003631372549016</v>
      </c>
      <c r="AD830" s="23">
        <v>0</v>
      </c>
    </row>
    <row r="831" spans="1:30" x14ac:dyDescent="0.35">
      <c r="A831" s="7">
        <v>854</v>
      </c>
      <c r="B831" s="6">
        <v>45887.298472222225</v>
      </c>
      <c r="C831" s="6">
        <v>45887</v>
      </c>
      <c r="D831" s="7" t="s">
        <v>2060</v>
      </c>
      <c r="E831" s="7" t="s">
        <v>1331</v>
      </c>
      <c r="F831" s="7" t="s">
        <v>2059</v>
      </c>
      <c r="G831" s="7" t="s">
        <v>2058</v>
      </c>
      <c r="H831" s="7" t="s">
        <v>2051</v>
      </c>
      <c r="I831" s="7" t="s">
        <v>2050</v>
      </c>
      <c r="J831" s="7" t="s">
        <v>1816</v>
      </c>
      <c r="K831" s="7" t="s">
        <v>1815</v>
      </c>
      <c r="L831" s="7" t="s">
        <v>2049</v>
      </c>
      <c r="M831" s="7" t="s">
        <v>26</v>
      </c>
      <c r="N831" s="7" t="s">
        <v>2048</v>
      </c>
      <c r="O831" s="7" t="s">
        <v>68</v>
      </c>
      <c r="P831" s="7" t="s">
        <v>126</v>
      </c>
      <c r="Q831" s="9">
        <v>7105000</v>
      </c>
      <c r="R831" s="9">
        <v>0</v>
      </c>
      <c r="S831" s="9">
        <f t="shared" si="26"/>
        <v>7105000</v>
      </c>
      <c r="T831" s="4" t="s">
        <v>53</v>
      </c>
      <c r="U831" s="7" t="s">
        <v>1904</v>
      </c>
      <c r="V831" s="7" t="s">
        <v>1823</v>
      </c>
      <c r="W831" s="9">
        <v>7</v>
      </c>
      <c r="X831" s="7" t="s">
        <v>1903</v>
      </c>
      <c r="Y831" s="7"/>
      <c r="Z831" s="7" t="s">
        <v>14</v>
      </c>
      <c r="AA831" s="36" t="s">
        <v>26</v>
      </c>
      <c r="AB831" s="4" t="s">
        <v>2835</v>
      </c>
      <c r="AC831" s="22">
        <f t="shared" si="27"/>
        <v>2786.2745098039218</v>
      </c>
      <c r="AD831" s="23">
        <v>0</v>
      </c>
    </row>
    <row r="832" spans="1:30" x14ac:dyDescent="0.35">
      <c r="A832" s="7">
        <v>855</v>
      </c>
      <c r="B832" s="6">
        <v>45887.290937500002</v>
      </c>
      <c r="C832" s="6">
        <v>45887</v>
      </c>
      <c r="D832" s="7" t="s">
        <v>2057</v>
      </c>
      <c r="E832" s="7" t="s">
        <v>1331</v>
      </c>
      <c r="F832" s="7" t="s">
        <v>2056</v>
      </c>
      <c r="G832" s="7" t="s">
        <v>2055</v>
      </c>
      <c r="H832" s="7" t="s">
        <v>2051</v>
      </c>
      <c r="I832" s="7" t="s">
        <v>2050</v>
      </c>
      <c r="J832" s="7" t="s">
        <v>1816</v>
      </c>
      <c r="K832" s="7" t="s">
        <v>1815</v>
      </c>
      <c r="L832" s="7" t="s">
        <v>2049</v>
      </c>
      <c r="M832" s="7" t="s">
        <v>26</v>
      </c>
      <c r="N832" s="7" t="s">
        <v>2048</v>
      </c>
      <c r="O832" s="7" t="s">
        <v>68</v>
      </c>
      <c r="P832" s="7" t="s">
        <v>68</v>
      </c>
      <c r="Q832" s="9">
        <v>17400000</v>
      </c>
      <c r="R832" s="9">
        <v>0</v>
      </c>
      <c r="S832" s="9">
        <f t="shared" si="26"/>
        <v>17400000</v>
      </c>
      <c r="T832" s="4" t="s">
        <v>53</v>
      </c>
      <c r="U832" s="7" t="s">
        <v>1890</v>
      </c>
      <c r="V832" s="7" t="s">
        <v>1823</v>
      </c>
      <c r="W832" s="9">
        <v>1</v>
      </c>
      <c r="X832" s="7" t="s">
        <v>1889</v>
      </c>
      <c r="Y832" s="7"/>
      <c r="Z832" s="7" t="s">
        <v>14</v>
      </c>
      <c r="AA832" s="36" t="s">
        <v>26</v>
      </c>
      <c r="AB832" s="4" t="s">
        <v>2835</v>
      </c>
      <c r="AC832" s="22">
        <f t="shared" si="27"/>
        <v>6823.5294117647063</v>
      </c>
      <c r="AD832" s="23">
        <v>0</v>
      </c>
    </row>
    <row r="833" spans="1:30" x14ac:dyDescent="0.35">
      <c r="A833" s="7">
        <v>856</v>
      </c>
      <c r="B833" s="6">
        <v>45887.23715277778</v>
      </c>
      <c r="C833" s="6">
        <v>45887</v>
      </c>
      <c r="D833" s="7" t="s">
        <v>2054</v>
      </c>
      <c r="E833" s="7" t="s">
        <v>1331</v>
      </c>
      <c r="F833" s="7" t="s">
        <v>2053</v>
      </c>
      <c r="G833" s="7" t="s">
        <v>2052</v>
      </c>
      <c r="H833" s="7" t="s">
        <v>2051</v>
      </c>
      <c r="I833" s="7" t="s">
        <v>2050</v>
      </c>
      <c r="J833" s="7" t="s">
        <v>1816</v>
      </c>
      <c r="K833" s="7" t="s">
        <v>1815</v>
      </c>
      <c r="L833" s="7" t="s">
        <v>2049</v>
      </c>
      <c r="M833" s="7" t="s">
        <v>26</v>
      </c>
      <c r="N833" s="7" t="s">
        <v>2048</v>
      </c>
      <c r="O833" s="7" t="s">
        <v>68</v>
      </c>
      <c r="P833" s="7" t="s">
        <v>68</v>
      </c>
      <c r="Q833" s="9">
        <v>82215000</v>
      </c>
      <c r="R833" s="9">
        <v>0</v>
      </c>
      <c r="S833" s="9">
        <f t="shared" si="26"/>
        <v>82215000</v>
      </c>
      <c r="T833" s="4" t="s">
        <v>53</v>
      </c>
      <c r="U833" s="7" t="s">
        <v>1890</v>
      </c>
      <c r="V833" s="7" t="s">
        <v>1823</v>
      </c>
      <c r="W833" s="9">
        <v>1</v>
      </c>
      <c r="X833" s="7" t="s">
        <v>1889</v>
      </c>
      <c r="Y833" s="7"/>
      <c r="Z833" s="7" t="s">
        <v>14</v>
      </c>
      <c r="AA833" s="36" t="s">
        <v>26</v>
      </c>
      <c r="AB833" s="4" t="s">
        <v>2835</v>
      </c>
      <c r="AC833" s="22">
        <f t="shared" si="27"/>
        <v>32241.176470588234</v>
      </c>
      <c r="AD833" s="23">
        <v>0</v>
      </c>
    </row>
    <row r="834" spans="1:30" x14ac:dyDescent="0.35">
      <c r="A834" s="7">
        <v>857</v>
      </c>
      <c r="B834" s="6">
        <v>45887</v>
      </c>
      <c r="C834" s="6">
        <v>45887</v>
      </c>
      <c r="D834" s="4" t="s">
        <v>623</v>
      </c>
      <c r="E834" s="4" t="s">
        <v>61</v>
      </c>
      <c r="F834" s="4" t="s">
        <v>622</v>
      </c>
      <c r="G834" s="4" t="s">
        <v>622</v>
      </c>
      <c r="H834" s="4"/>
      <c r="I834" s="4"/>
      <c r="J834" s="4" t="s">
        <v>59</v>
      </c>
      <c r="K834" s="4" t="s">
        <v>58</v>
      </c>
      <c r="L834" s="4" t="s">
        <v>57</v>
      </c>
      <c r="M834" s="4" t="s">
        <v>32</v>
      </c>
      <c r="N834" s="4" t="s">
        <v>317</v>
      </c>
      <c r="O834" s="5" t="s">
        <v>68</v>
      </c>
      <c r="P834" s="4" t="s">
        <v>54</v>
      </c>
      <c r="Q834" s="10">
        <v>20580.810000000001</v>
      </c>
      <c r="R834" s="10">
        <v>0</v>
      </c>
      <c r="S834" s="9">
        <f t="shared" si="26"/>
        <v>20580.810000000001</v>
      </c>
      <c r="T834" s="4" t="s">
        <v>53</v>
      </c>
      <c r="U834" s="4" t="s">
        <v>423</v>
      </c>
      <c r="V834" s="4"/>
      <c r="W834" s="4">
        <v>-5</v>
      </c>
      <c r="X834" s="4" t="s">
        <v>51</v>
      </c>
      <c r="Y834" s="4"/>
      <c r="Z834" s="7" t="s">
        <v>14</v>
      </c>
      <c r="AA834" s="36" t="s">
        <v>23</v>
      </c>
      <c r="AB834" s="4" t="s">
        <v>2607</v>
      </c>
      <c r="AC834" s="22">
        <f t="shared" si="27"/>
        <v>8.0709058823529425</v>
      </c>
      <c r="AD834" s="23">
        <v>0</v>
      </c>
    </row>
    <row r="835" spans="1:30" hidden="1" x14ac:dyDescent="0.35">
      <c r="A835" s="7">
        <v>858</v>
      </c>
      <c r="B835" s="6">
        <v>45887</v>
      </c>
      <c r="C835" s="6">
        <v>45887</v>
      </c>
      <c r="D835" s="4" t="s">
        <v>512</v>
      </c>
      <c r="E835" s="4" t="s">
        <v>61</v>
      </c>
      <c r="F835" s="4" t="s">
        <v>511</v>
      </c>
      <c r="G835" s="4" t="s">
        <v>511</v>
      </c>
      <c r="H835" s="4"/>
      <c r="I835" s="4"/>
      <c r="J835" s="4" t="s">
        <v>59</v>
      </c>
      <c r="K835" s="4" t="s">
        <v>58</v>
      </c>
      <c r="L835" s="4" t="s">
        <v>57</v>
      </c>
      <c r="M835" s="4" t="s">
        <v>32</v>
      </c>
      <c r="N835" s="4" t="s">
        <v>211</v>
      </c>
      <c r="O835" s="5" t="s">
        <v>210</v>
      </c>
      <c r="P835" s="4" t="s">
        <v>210</v>
      </c>
      <c r="Q835" s="10">
        <v>91124</v>
      </c>
      <c r="R835" s="10">
        <v>0</v>
      </c>
      <c r="S835" s="9">
        <f t="shared" ref="S835:S898" si="28">+Q835-R835</f>
        <v>91124</v>
      </c>
      <c r="T835" s="4" t="s">
        <v>53</v>
      </c>
      <c r="U835" s="4" t="s">
        <v>510</v>
      </c>
      <c r="V835" s="4"/>
      <c r="W835" s="4">
        <v>-8</v>
      </c>
      <c r="X835" s="4" t="s">
        <v>51</v>
      </c>
      <c r="Y835" s="4"/>
      <c r="Z835" s="7" t="s">
        <v>14</v>
      </c>
      <c r="AA835" s="36" t="s">
        <v>30</v>
      </c>
      <c r="AB835" s="4"/>
      <c r="AC835" s="22">
        <f t="shared" si="27"/>
        <v>35.734901960784313</v>
      </c>
      <c r="AD835" s="23">
        <v>0</v>
      </c>
    </row>
    <row r="836" spans="1:30" hidden="1" x14ac:dyDescent="0.35">
      <c r="A836" s="7">
        <v>859</v>
      </c>
      <c r="B836" s="6">
        <v>45887</v>
      </c>
      <c r="C836" s="6">
        <v>45887</v>
      </c>
      <c r="D836" s="4" t="s">
        <v>509</v>
      </c>
      <c r="E836" s="4" t="s">
        <v>61</v>
      </c>
      <c r="F836" s="4" t="s">
        <v>508</v>
      </c>
      <c r="G836" s="4" t="s">
        <v>508</v>
      </c>
      <c r="H836" s="4"/>
      <c r="I836" s="4"/>
      <c r="J836" s="4" t="s">
        <v>59</v>
      </c>
      <c r="K836" s="4" t="s">
        <v>58</v>
      </c>
      <c r="L836" s="4" t="s">
        <v>57</v>
      </c>
      <c r="M836" s="4" t="s">
        <v>32</v>
      </c>
      <c r="N836" s="4" t="s">
        <v>211</v>
      </c>
      <c r="O836" s="5" t="s">
        <v>210</v>
      </c>
      <c r="P836" s="4" t="s">
        <v>210</v>
      </c>
      <c r="Q836" s="10">
        <v>32839</v>
      </c>
      <c r="R836" s="10">
        <v>0</v>
      </c>
      <c r="S836" s="9">
        <f t="shared" si="28"/>
        <v>32839</v>
      </c>
      <c r="T836" s="4" t="s">
        <v>53</v>
      </c>
      <c r="U836" s="4" t="s">
        <v>226</v>
      </c>
      <c r="V836" s="4"/>
      <c r="W836" s="4">
        <v>-5</v>
      </c>
      <c r="X836" s="4" t="s">
        <v>51</v>
      </c>
      <c r="Y836" s="4"/>
      <c r="Z836" s="7" t="s">
        <v>14</v>
      </c>
      <c r="AA836" s="36" t="s">
        <v>30</v>
      </c>
      <c r="AB836" s="4"/>
      <c r="AC836" s="22">
        <f t="shared" si="27"/>
        <v>12.878039215686275</v>
      </c>
      <c r="AD836" s="23">
        <v>0</v>
      </c>
    </row>
    <row r="837" spans="1:30" x14ac:dyDescent="0.35">
      <c r="A837" s="7">
        <v>860</v>
      </c>
      <c r="B837" s="6">
        <v>45887</v>
      </c>
      <c r="C837" s="6">
        <v>45887</v>
      </c>
      <c r="D837" s="4" t="s">
        <v>464</v>
      </c>
      <c r="E837" s="4" t="s">
        <v>61</v>
      </c>
      <c r="F837" s="4" t="s">
        <v>463</v>
      </c>
      <c r="G837" s="4" t="s">
        <v>463</v>
      </c>
      <c r="H837" s="4"/>
      <c r="I837" s="4"/>
      <c r="J837" s="4" t="s">
        <v>59</v>
      </c>
      <c r="K837" s="4" t="s">
        <v>58</v>
      </c>
      <c r="L837" s="4" t="s">
        <v>57</v>
      </c>
      <c r="M837" s="4" t="s">
        <v>32</v>
      </c>
      <c r="N837" s="4" t="s">
        <v>197</v>
      </c>
      <c r="O837" s="5" t="s">
        <v>105</v>
      </c>
      <c r="P837" s="4" t="s">
        <v>196</v>
      </c>
      <c r="Q837" s="10">
        <v>145000</v>
      </c>
      <c r="R837" s="10">
        <v>0</v>
      </c>
      <c r="S837" s="9">
        <f t="shared" si="28"/>
        <v>145000</v>
      </c>
      <c r="T837" s="4" t="s">
        <v>53</v>
      </c>
      <c r="U837" s="4" t="s">
        <v>462</v>
      </c>
      <c r="V837" s="4"/>
      <c r="W837" s="4">
        <v>-1</v>
      </c>
      <c r="X837" s="4" t="s">
        <v>94</v>
      </c>
      <c r="Y837" s="4"/>
      <c r="Z837" s="7" t="s">
        <v>14</v>
      </c>
      <c r="AA837" s="36" t="s">
        <v>29</v>
      </c>
      <c r="AB837" s="4" t="s">
        <v>2607</v>
      </c>
      <c r="AC837" s="22">
        <f t="shared" si="27"/>
        <v>56.862745098039213</v>
      </c>
      <c r="AD837" s="23">
        <v>0</v>
      </c>
    </row>
    <row r="838" spans="1:30" x14ac:dyDescent="0.35">
      <c r="A838" s="7">
        <v>861</v>
      </c>
      <c r="B838" s="6">
        <v>45887</v>
      </c>
      <c r="C838" s="6">
        <v>45887</v>
      </c>
      <c r="D838" s="4" t="s">
        <v>461</v>
      </c>
      <c r="E838" s="4" t="s">
        <v>61</v>
      </c>
      <c r="F838" s="4" t="s">
        <v>460</v>
      </c>
      <c r="G838" s="4" t="s">
        <v>460</v>
      </c>
      <c r="H838" s="4"/>
      <c r="I838" s="4"/>
      <c r="J838" s="4" t="s">
        <v>59</v>
      </c>
      <c r="K838" s="4" t="s">
        <v>58</v>
      </c>
      <c r="L838" s="4" t="s">
        <v>57</v>
      </c>
      <c r="M838" s="4" t="s">
        <v>32</v>
      </c>
      <c r="N838" s="4" t="s">
        <v>197</v>
      </c>
      <c r="O838" s="5" t="s">
        <v>105</v>
      </c>
      <c r="P838" s="4" t="s">
        <v>196</v>
      </c>
      <c r="Q838" s="10">
        <v>620000</v>
      </c>
      <c r="R838" s="10">
        <v>0</v>
      </c>
      <c r="S838" s="9">
        <f t="shared" si="28"/>
        <v>620000</v>
      </c>
      <c r="T838" s="4" t="s">
        <v>53</v>
      </c>
      <c r="U838" s="4" t="s">
        <v>459</v>
      </c>
      <c r="V838" s="4"/>
      <c r="W838" s="4">
        <v>-4</v>
      </c>
      <c r="X838" s="4" t="s">
        <v>94</v>
      </c>
      <c r="Y838" s="4"/>
      <c r="Z838" s="7" t="s">
        <v>14</v>
      </c>
      <c r="AA838" s="36" t="s">
        <v>29</v>
      </c>
      <c r="AB838" s="4" t="s">
        <v>2607</v>
      </c>
      <c r="AC838" s="22">
        <f t="shared" si="27"/>
        <v>243.13725490196077</v>
      </c>
      <c r="AD838" s="23">
        <v>0</v>
      </c>
    </row>
    <row r="839" spans="1:30" x14ac:dyDescent="0.35">
      <c r="A839" s="7">
        <v>862</v>
      </c>
      <c r="B839" s="6">
        <v>45887</v>
      </c>
      <c r="C839" s="6">
        <v>45887</v>
      </c>
      <c r="D839" s="4" t="s">
        <v>458</v>
      </c>
      <c r="E839" s="4" t="s">
        <v>61</v>
      </c>
      <c r="F839" s="4" t="s">
        <v>457</v>
      </c>
      <c r="G839" s="4" t="s">
        <v>457</v>
      </c>
      <c r="H839" s="4"/>
      <c r="I839" s="4"/>
      <c r="J839" s="4" t="s">
        <v>59</v>
      </c>
      <c r="K839" s="4" t="s">
        <v>58</v>
      </c>
      <c r="L839" s="4" t="s">
        <v>57</v>
      </c>
      <c r="M839" s="4" t="s">
        <v>32</v>
      </c>
      <c r="N839" s="4" t="s">
        <v>197</v>
      </c>
      <c r="O839" s="5" t="s">
        <v>105</v>
      </c>
      <c r="P839" s="4" t="s">
        <v>196</v>
      </c>
      <c r="Q839" s="10">
        <v>230000.5</v>
      </c>
      <c r="R839" s="10">
        <v>0</v>
      </c>
      <c r="S839" s="9">
        <f t="shared" si="28"/>
        <v>230000.5</v>
      </c>
      <c r="T839" s="4" t="s">
        <v>53</v>
      </c>
      <c r="U839" s="4" t="s">
        <v>456</v>
      </c>
      <c r="V839" s="4"/>
      <c r="W839" s="4">
        <v>-305</v>
      </c>
      <c r="X839" s="4" t="s">
        <v>205</v>
      </c>
      <c r="Y839" s="4"/>
      <c r="Z839" s="7" t="s">
        <v>14</v>
      </c>
      <c r="AA839" s="36" t="s">
        <v>29</v>
      </c>
      <c r="AB839" s="4" t="s">
        <v>2607</v>
      </c>
      <c r="AC839" s="22">
        <f t="shared" si="27"/>
        <v>90.196274509803928</v>
      </c>
      <c r="AD839" s="23">
        <v>0</v>
      </c>
    </row>
    <row r="840" spans="1:30" x14ac:dyDescent="0.35">
      <c r="A840" s="7">
        <v>863</v>
      </c>
      <c r="B840" s="6">
        <v>45887</v>
      </c>
      <c r="C840" s="6">
        <v>45887</v>
      </c>
      <c r="D840" s="4" t="s">
        <v>455</v>
      </c>
      <c r="E840" s="4" t="s">
        <v>61</v>
      </c>
      <c r="F840" s="4" t="s">
        <v>454</v>
      </c>
      <c r="G840" s="4" t="s">
        <v>454</v>
      </c>
      <c r="H840" s="4"/>
      <c r="I840" s="4"/>
      <c r="J840" s="4" t="s">
        <v>59</v>
      </c>
      <c r="K840" s="4" t="s">
        <v>58</v>
      </c>
      <c r="L840" s="4" t="s">
        <v>57</v>
      </c>
      <c r="M840" s="4" t="s">
        <v>32</v>
      </c>
      <c r="N840" s="4" t="s">
        <v>197</v>
      </c>
      <c r="O840" s="5" t="s">
        <v>105</v>
      </c>
      <c r="P840" s="4" t="s">
        <v>196</v>
      </c>
      <c r="Q840" s="10">
        <v>126000</v>
      </c>
      <c r="R840" s="10">
        <v>0</v>
      </c>
      <c r="S840" s="9">
        <f t="shared" si="28"/>
        <v>126000</v>
      </c>
      <c r="T840" s="4" t="s">
        <v>53</v>
      </c>
      <c r="U840" s="4" t="s">
        <v>453</v>
      </c>
      <c r="V840" s="4"/>
      <c r="W840" s="4">
        <v>-1</v>
      </c>
      <c r="X840" s="4" t="s">
        <v>94</v>
      </c>
      <c r="Y840" s="4"/>
      <c r="Z840" s="7" t="s">
        <v>14</v>
      </c>
      <c r="AA840" s="36" t="s">
        <v>29</v>
      </c>
      <c r="AB840" s="4" t="s">
        <v>2607</v>
      </c>
      <c r="AC840" s="22">
        <f t="shared" si="27"/>
        <v>49.411764705882355</v>
      </c>
      <c r="AD840" s="23">
        <v>0</v>
      </c>
    </row>
    <row r="841" spans="1:30" x14ac:dyDescent="0.35">
      <c r="A841" s="7">
        <v>864</v>
      </c>
      <c r="B841" s="6">
        <v>45887</v>
      </c>
      <c r="C841" s="6">
        <v>45887</v>
      </c>
      <c r="D841" s="4" t="s">
        <v>341</v>
      </c>
      <c r="E841" s="4" t="s">
        <v>61</v>
      </c>
      <c r="F841" s="4" t="s">
        <v>340</v>
      </c>
      <c r="G841" s="4" t="s">
        <v>340</v>
      </c>
      <c r="H841" s="4"/>
      <c r="I841" s="4"/>
      <c r="J841" s="4" t="s">
        <v>59</v>
      </c>
      <c r="K841" s="4" t="s">
        <v>58</v>
      </c>
      <c r="L841" s="4" t="s">
        <v>57</v>
      </c>
      <c r="M841" s="4" t="s">
        <v>32</v>
      </c>
      <c r="N841" s="4" t="s">
        <v>106</v>
      </c>
      <c r="O841" s="5" t="s">
        <v>105</v>
      </c>
      <c r="P841" s="4" t="s">
        <v>54</v>
      </c>
      <c r="Q841" s="10">
        <v>22755200</v>
      </c>
      <c r="R841" s="10">
        <v>0</v>
      </c>
      <c r="S841" s="9">
        <f t="shared" si="28"/>
        <v>22755200</v>
      </c>
      <c r="T841" s="4" t="s">
        <v>53</v>
      </c>
      <c r="U841" s="4" t="s">
        <v>339</v>
      </c>
      <c r="V841" s="4"/>
      <c r="W841" s="4">
        <v>-218.8</v>
      </c>
      <c r="X841" s="4" t="s">
        <v>338</v>
      </c>
      <c r="Y841" s="4"/>
      <c r="Z841" s="7" t="s">
        <v>14</v>
      </c>
      <c r="AA841" s="36" t="s">
        <v>15</v>
      </c>
      <c r="AB841" s="4" t="s">
        <v>2606</v>
      </c>
      <c r="AC841" s="22">
        <f t="shared" si="27"/>
        <v>8923.6078431372553</v>
      </c>
      <c r="AD841" s="23">
        <v>300000</v>
      </c>
    </row>
    <row r="842" spans="1:30" hidden="1" x14ac:dyDescent="0.35">
      <c r="A842" s="7">
        <v>865</v>
      </c>
      <c r="B842" s="6">
        <v>45888.479953703703</v>
      </c>
      <c r="C842" s="6">
        <v>45888</v>
      </c>
      <c r="D842" s="7" t="s">
        <v>2047</v>
      </c>
      <c r="E842" s="7" t="s">
        <v>1331</v>
      </c>
      <c r="F842" s="7" t="s">
        <v>2046</v>
      </c>
      <c r="G842" s="7" t="s">
        <v>2045</v>
      </c>
      <c r="H842" s="7" t="s">
        <v>2044</v>
      </c>
      <c r="I842" s="7" t="s">
        <v>2043</v>
      </c>
      <c r="J842" s="7" t="s">
        <v>1816</v>
      </c>
      <c r="K842" s="7" t="s">
        <v>1815</v>
      </c>
      <c r="L842" s="7" t="s">
        <v>1814</v>
      </c>
      <c r="M842" s="7" t="s">
        <v>28</v>
      </c>
      <c r="N842" s="7" t="s">
        <v>1825</v>
      </c>
      <c r="O842" s="7" t="s">
        <v>105</v>
      </c>
      <c r="P842" s="7" t="s">
        <v>1775</v>
      </c>
      <c r="Q842" s="9">
        <v>3175000</v>
      </c>
      <c r="R842" s="9">
        <v>0</v>
      </c>
      <c r="S842" s="9">
        <f t="shared" si="28"/>
        <v>3175000</v>
      </c>
      <c r="T842" s="4" t="s">
        <v>53</v>
      </c>
      <c r="U842" s="7" t="s">
        <v>1824</v>
      </c>
      <c r="V842" s="7" t="s">
        <v>1823</v>
      </c>
      <c r="W842" s="9">
        <v>2.5</v>
      </c>
      <c r="X842" s="7" t="s">
        <v>94</v>
      </c>
      <c r="Y842" s="7"/>
      <c r="Z842" s="7" t="s">
        <v>14</v>
      </c>
      <c r="AA842" s="36" t="s">
        <v>28</v>
      </c>
      <c r="AB842" s="4"/>
      <c r="AC842" s="22">
        <f t="shared" si="27"/>
        <v>1245.0980392156862</v>
      </c>
      <c r="AD842" s="23">
        <v>0</v>
      </c>
    </row>
    <row r="843" spans="1:30" x14ac:dyDescent="0.35">
      <c r="A843" s="7">
        <v>866</v>
      </c>
      <c r="B843" s="6">
        <v>45888.364502314813</v>
      </c>
      <c r="C843" s="6">
        <v>45888</v>
      </c>
      <c r="D843" s="7" t="s">
        <v>2042</v>
      </c>
      <c r="E843" s="7" t="s">
        <v>714</v>
      </c>
      <c r="F843" s="7"/>
      <c r="G843" s="7" t="s">
        <v>2041</v>
      </c>
      <c r="H843" s="7"/>
      <c r="I843" s="7"/>
      <c r="J843" s="7" t="s">
        <v>1816</v>
      </c>
      <c r="K843" s="7" t="s">
        <v>1815</v>
      </c>
      <c r="L843" s="7" t="s">
        <v>2040</v>
      </c>
      <c r="M843" s="7" t="s">
        <v>15</v>
      </c>
      <c r="N843" s="7" t="s">
        <v>106</v>
      </c>
      <c r="O843" s="7" t="s">
        <v>1065</v>
      </c>
      <c r="P843" s="7" t="s">
        <v>1724</v>
      </c>
      <c r="Q843" s="9">
        <v>20000</v>
      </c>
      <c r="R843" s="9">
        <v>0</v>
      </c>
      <c r="S843" s="9">
        <f t="shared" si="28"/>
        <v>20000</v>
      </c>
      <c r="T843" s="4" t="s">
        <v>53</v>
      </c>
      <c r="U843" s="7"/>
      <c r="V843" s="7"/>
      <c r="W843" s="9">
        <v>1</v>
      </c>
      <c r="X843" s="7"/>
      <c r="Y843" s="7"/>
      <c r="Z843" s="7" t="s">
        <v>14</v>
      </c>
      <c r="AA843" s="36" t="s">
        <v>15</v>
      </c>
      <c r="AB843" s="4" t="s">
        <v>2606</v>
      </c>
      <c r="AC843" s="22">
        <f t="shared" si="27"/>
        <v>7.8431372549019605</v>
      </c>
      <c r="AD843" s="23">
        <v>0</v>
      </c>
    </row>
    <row r="844" spans="1:30" x14ac:dyDescent="0.35">
      <c r="A844" s="7">
        <v>867</v>
      </c>
      <c r="B844" s="6">
        <v>45888</v>
      </c>
      <c r="C844" s="6">
        <v>45888</v>
      </c>
      <c r="D844" s="4" t="s">
        <v>627</v>
      </c>
      <c r="E844" s="4" t="s">
        <v>61</v>
      </c>
      <c r="F844" s="4" t="s">
        <v>626</v>
      </c>
      <c r="G844" s="4" t="s">
        <v>626</v>
      </c>
      <c r="H844" s="4"/>
      <c r="I844" s="4"/>
      <c r="J844" s="4" t="s">
        <v>59</v>
      </c>
      <c r="K844" s="4" t="s">
        <v>58</v>
      </c>
      <c r="L844" s="4" t="s">
        <v>57</v>
      </c>
      <c r="M844" s="4" t="s">
        <v>32</v>
      </c>
      <c r="N844" s="4" t="s">
        <v>317</v>
      </c>
      <c r="O844" s="5" t="s">
        <v>68</v>
      </c>
      <c r="P844" s="4" t="s">
        <v>54</v>
      </c>
      <c r="Q844" s="10">
        <v>75000</v>
      </c>
      <c r="R844" s="10">
        <v>0</v>
      </c>
      <c r="S844" s="9">
        <f t="shared" si="28"/>
        <v>75000</v>
      </c>
      <c r="T844" s="4" t="s">
        <v>53</v>
      </c>
      <c r="U844" s="4" t="s">
        <v>121</v>
      </c>
      <c r="V844" s="4"/>
      <c r="W844" s="4">
        <v>-5</v>
      </c>
      <c r="X844" s="4" t="s">
        <v>94</v>
      </c>
      <c r="Y844" s="4"/>
      <c r="Z844" s="7" t="s">
        <v>14</v>
      </c>
      <c r="AA844" s="36" t="s">
        <v>23</v>
      </c>
      <c r="AB844" s="4" t="s">
        <v>2607</v>
      </c>
      <c r="AC844" s="22">
        <f t="shared" si="27"/>
        <v>29.411764705882351</v>
      </c>
      <c r="AD844" s="23">
        <v>0</v>
      </c>
    </row>
    <row r="845" spans="1:30" x14ac:dyDescent="0.35">
      <c r="A845" s="7">
        <v>868</v>
      </c>
      <c r="B845" s="6">
        <v>45888</v>
      </c>
      <c r="C845" s="6">
        <v>45888</v>
      </c>
      <c r="D845" s="4" t="s">
        <v>625</v>
      </c>
      <c r="E845" s="4" t="s">
        <v>61</v>
      </c>
      <c r="F845" s="4" t="s">
        <v>624</v>
      </c>
      <c r="G845" s="4" t="s">
        <v>624</v>
      </c>
      <c r="H845" s="4"/>
      <c r="I845" s="4"/>
      <c r="J845" s="4" t="s">
        <v>59</v>
      </c>
      <c r="K845" s="4" t="s">
        <v>58</v>
      </c>
      <c r="L845" s="4" t="s">
        <v>57</v>
      </c>
      <c r="M845" s="4" t="s">
        <v>32</v>
      </c>
      <c r="N845" s="4" t="s">
        <v>317</v>
      </c>
      <c r="O845" s="5" t="s">
        <v>68</v>
      </c>
      <c r="P845" s="4" t="s">
        <v>54</v>
      </c>
      <c r="Q845" s="10">
        <v>40975.08</v>
      </c>
      <c r="R845" s="10">
        <v>0</v>
      </c>
      <c r="S845" s="9">
        <f t="shared" si="28"/>
        <v>40975.08</v>
      </c>
      <c r="T845" s="4" t="s">
        <v>53</v>
      </c>
      <c r="U845" s="4" t="s">
        <v>271</v>
      </c>
      <c r="V845" s="4"/>
      <c r="W845" s="4">
        <v>-10</v>
      </c>
      <c r="X845" s="4" t="s">
        <v>124</v>
      </c>
      <c r="Y845" s="4"/>
      <c r="Z845" s="7" t="s">
        <v>14</v>
      </c>
      <c r="AA845" s="36" t="s">
        <v>23</v>
      </c>
      <c r="AB845" s="4" t="s">
        <v>2607</v>
      </c>
      <c r="AC845" s="22">
        <f t="shared" si="27"/>
        <v>16.068658823529411</v>
      </c>
      <c r="AD845" s="23">
        <v>0</v>
      </c>
    </row>
    <row r="846" spans="1:30" x14ac:dyDescent="0.35">
      <c r="A846" s="7">
        <v>869</v>
      </c>
      <c r="B846" s="6">
        <v>45888</v>
      </c>
      <c r="C846" s="6">
        <v>45888</v>
      </c>
      <c r="D846" s="4" t="s">
        <v>584</v>
      </c>
      <c r="E846" s="4" t="s">
        <v>61</v>
      </c>
      <c r="F846" s="4" t="s">
        <v>583</v>
      </c>
      <c r="G846" s="4" t="s">
        <v>583</v>
      </c>
      <c r="H846" s="4"/>
      <c r="I846" s="4"/>
      <c r="J846" s="4" t="s">
        <v>59</v>
      </c>
      <c r="K846" s="4" t="s">
        <v>58</v>
      </c>
      <c r="L846" s="4" t="s">
        <v>57</v>
      </c>
      <c r="M846" s="4" t="s">
        <v>32</v>
      </c>
      <c r="N846" s="4" t="s">
        <v>266</v>
      </c>
      <c r="O846" s="5" t="s">
        <v>55</v>
      </c>
      <c r="P846" s="4" t="s">
        <v>54</v>
      </c>
      <c r="Q846" s="10">
        <v>55000</v>
      </c>
      <c r="R846" s="10">
        <v>0</v>
      </c>
      <c r="S846" s="9">
        <f t="shared" si="28"/>
        <v>55000</v>
      </c>
      <c r="T846" s="4" t="s">
        <v>53</v>
      </c>
      <c r="U846" s="4" t="s">
        <v>527</v>
      </c>
      <c r="V846" s="4"/>
      <c r="W846" s="4">
        <v>-1</v>
      </c>
      <c r="X846" s="4" t="s">
        <v>94</v>
      </c>
      <c r="Y846" s="4"/>
      <c r="Z846" s="7" t="s">
        <v>14</v>
      </c>
      <c r="AA846" s="36" t="s">
        <v>22</v>
      </c>
      <c r="AB846" s="4" t="s">
        <v>2835</v>
      </c>
      <c r="AC846" s="22">
        <f t="shared" si="27"/>
        <v>21.568627450980394</v>
      </c>
      <c r="AD846" s="23">
        <v>0</v>
      </c>
    </row>
    <row r="847" spans="1:30" x14ac:dyDescent="0.35">
      <c r="A847" s="7">
        <v>870</v>
      </c>
      <c r="B847" s="6">
        <v>45888</v>
      </c>
      <c r="C847" s="6">
        <v>45888</v>
      </c>
      <c r="D847" s="4" t="s">
        <v>582</v>
      </c>
      <c r="E847" s="4" t="s">
        <v>61</v>
      </c>
      <c r="F847" s="4" t="s">
        <v>581</v>
      </c>
      <c r="G847" s="4" t="s">
        <v>581</v>
      </c>
      <c r="H847" s="4"/>
      <c r="I847" s="4"/>
      <c r="J847" s="4" t="s">
        <v>59</v>
      </c>
      <c r="K847" s="4" t="s">
        <v>58</v>
      </c>
      <c r="L847" s="4" t="s">
        <v>57</v>
      </c>
      <c r="M847" s="4" t="s">
        <v>32</v>
      </c>
      <c r="N847" s="4" t="s">
        <v>266</v>
      </c>
      <c r="O847" s="5" t="s">
        <v>55</v>
      </c>
      <c r="P847" s="4" t="s">
        <v>54</v>
      </c>
      <c r="Q847" s="10">
        <v>598821.6</v>
      </c>
      <c r="R847" s="10">
        <v>0</v>
      </c>
      <c r="S847" s="9">
        <f t="shared" si="28"/>
        <v>598821.6</v>
      </c>
      <c r="T847" s="4" t="s">
        <v>53</v>
      </c>
      <c r="U847" s="4" t="s">
        <v>562</v>
      </c>
      <c r="V847" s="4"/>
      <c r="W847" s="4">
        <v>-6</v>
      </c>
      <c r="X847" s="4" t="s">
        <v>94</v>
      </c>
      <c r="Y847" s="4"/>
      <c r="Z847" s="7" t="s">
        <v>14</v>
      </c>
      <c r="AA847" s="36" t="s">
        <v>22</v>
      </c>
      <c r="AB847" s="4" t="s">
        <v>2835</v>
      </c>
      <c r="AC847" s="22">
        <f t="shared" si="27"/>
        <v>234.83199999999999</v>
      </c>
      <c r="AD847" s="23">
        <v>0</v>
      </c>
    </row>
    <row r="848" spans="1:30" x14ac:dyDescent="0.35">
      <c r="A848" s="7">
        <v>871</v>
      </c>
      <c r="B848" s="6">
        <v>45889.493263888886</v>
      </c>
      <c r="C848" s="6">
        <v>45889</v>
      </c>
      <c r="D848" s="7" t="s">
        <v>2039</v>
      </c>
      <c r="E848" s="7" t="s">
        <v>714</v>
      </c>
      <c r="F848" s="7"/>
      <c r="G848" s="7" t="s">
        <v>2038</v>
      </c>
      <c r="H848" s="7"/>
      <c r="I848" s="7"/>
      <c r="J848" s="7" t="s">
        <v>1816</v>
      </c>
      <c r="K848" s="7" t="s">
        <v>1815</v>
      </c>
      <c r="L848" s="7" t="s">
        <v>1883</v>
      </c>
      <c r="M848" s="7" t="s">
        <v>17</v>
      </c>
      <c r="N848" s="7" t="s">
        <v>1504</v>
      </c>
      <c r="O848" s="7" t="s">
        <v>68</v>
      </c>
      <c r="P848" s="7" t="s">
        <v>68</v>
      </c>
      <c r="Q848" s="9">
        <v>400000</v>
      </c>
      <c r="R848" s="9">
        <v>0</v>
      </c>
      <c r="S848" s="9">
        <f t="shared" si="28"/>
        <v>400000</v>
      </c>
      <c r="T848" s="4" t="s">
        <v>53</v>
      </c>
      <c r="U848" s="7"/>
      <c r="V848" s="7"/>
      <c r="W848" s="9">
        <v>1</v>
      </c>
      <c r="X848" s="7"/>
      <c r="Y848" s="7"/>
      <c r="Z848" s="7" t="s">
        <v>14</v>
      </c>
      <c r="AA848" s="36" t="s">
        <v>17</v>
      </c>
      <c r="AB848" s="4" t="s">
        <v>2602</v>
      </c>
      <c r="AC848" s="22">
        <f t="shared" si="27"/>
        <v>156.86274509803923</v>
      </c>
      <c r="AD848" s="23">
        <v>0</v>
      </c>
    </row>
    <row r="849" spans="1:30" x14ac:dyDescent="0.35">
      <c r="A849" s="7">
        <v>872</v>
      </c>
      <c r="B849" s="6">
        <v>45889</v>
      </c>
      <c r="C849" s="6">
        <v>45889</v>
      </c>
      <c r="D849" s="4" t="s">
        <v>467</v>
      </c>
      <c r="E849" s="4" t="s">
        <v>61</v>
      </c>
      <c r="F849" s="4" t="s">
        <v>466</v>
      </c>
      <c r="G849" s="4" t="s">
        <v>466</v>
      </c>
      <c r="H849" s="4"/>
      <c r="I849" s="4"/>
      <c r="J849" s="4" t="s">
        <v>59</v>
      </c>
      <c r="K849" s="4" t="s">
        <v>58</v>
      </c>
      <c r="L849" s="4" t="s">
        <v>57</v>
      </c>
      <c r="M849" s="4" t="s">
        <v>32</v>
      </c>
      <c r="N849" s="4" t="s">
        <v>197</v>
      </c>
      <c r="O849" s="5" t="s">
        <v>105</v>
      </c>
      <c r="P849" s="4" t="s">
        <v>196</v>
      </c>
      <c r="Q849" s="10">
        <v>534143.65</v>
      </c>
      <c r="R849" s="10">
        <v>0</v>
      </c>
      <c r="S849" s="9">
        <f t="shared" si="28"/>
        <v>534143.65</v>
      </c>
      <c r="T849" s="4" t="s">
        <v>53</v>
      </c>
      <c r="U849" s="4" t="s">
        <v>465</v>
      </c>
      <c r="V849" s="4"/>
      <c r="W849" s="4">
        <v>-1</v>
      </c>
      <c r="X849" s="4" t="s">
        <v>94</v>
      </c>
      <c r="Y849" s="4"/>
      <c r="Z849" s="7" t="s">
        <v>14</v>
      </c>
      <c r="AA849" s="36" t="s">
        <v>29</v>
      </c>
      <c r="AB849" s="4" t="s">
        <v>2607</v>
      </c>
      <c r="AC849" s="22">
        <f t="shared" si="27"/>
        <v>209.4680980392157</v>
      </c>
      <c r="AD849" s="23">
        <v>0</v>
      </c>
    </row>
    <row r="850" spans="1:30" x14ac:dyDescent="0.35">
      <c r="A850" s="7">
        <v>873</v>
      </c>
      <c r="B850" s="6">
        <v>45890.356273148151</v>
      </c>
      <c r="C850" s="6">
        <v>45890</v>
      </c>
      <c r="D850" s="7" t="s">
        <v>2037</v>
      </c>
      <c r="E850" s="7" t="s">
        <v>1331</v>
      </c>
      <c r="F850" s="7" t="s">
        <v>2036</v>
      </c>
      <c r="G850" s="7" t="s">
        <v>2035</v>
      </c>
      <c r="H850" s="7" t="s">
        <v>2012</v>
      </c>
      <c r="I850" s="7" t="s">
        <v>2011</v>
      </c>
      <c r="J850" s="7" t="s">
        <v>1816</v>
      </c>
      <c r="K850" s="7" t="s">
        <v>1815</v>
      </c>
      <c r="L850" s="7" t="s">
        <v>1883</v>
      </c>
      <c r="M850" s="7" t="s">
        <v>17</v>
      </c>
      <c r="N850" s="7" t="s">
        <v>1504</v>
      </c>
      <c r="O850" s="7" t="s">
        <v>68</v>
      </c>
      <c r="P850" s="7" t="s">
        <v>68</v>
      </c>
      <c r="Q850" s="9">
        <v>19323150</v>
      </c>
      <c r="R850" s="9">
        <v>0</v>
      </c>
      <c r="S850" s="9">
        <f t="shared" si="28"/>
        <v>19323150</v>
      </c>
      <c r="T850" s="4" t="s">
        <v>53</v>
      </c>
      <c r="U850" s="7" t="s">
        <v>1882</v>
      </c>
      <c r="V850" s="7" t="s">
        <v>1823</v>
      </c>
      <c r="W850" s="9">
        <v>501.9</v>
      </c>
      <c r="X850" s="7" t="s">
        <v>1881</v>
      </c>
      <c r="Y850" s="7"/>
      <c r="Z850" s="7" t="s">
        <v>14</v>
      </c>
      <c r="AA850" s="36" t="s">
        <v>17</v>
      </c>
      <c r="AB850" s="4" t="s">
        <v>2602</v>
      </c>
      <c r="AC850" s="22">
        <f t="shared" si="27"/>
        <v>7577.7058823529414</v>
      </c>
      <c r="AD850" s="23">
        <v>0</v>
      </c>
    </row>
    <row r="851" spans="1:30" x14ac:dyDescent="0.35">
      <c r="A851" s="7">
        <v>874</v>
      </c>
      <c r="B851" s="6">
        <v>45890.354259259257</v>
      </c>
      <c r="C851" s="6">
        <v>45890</v>
      </c>
      <c r="D851" s="7" t="s">
        <v>2034</v>
      </c>
      <c r="E851" s="7" t="s">
        <v>1331</v>
      </c>
      <c r="F851" s="7" t="s">
        <v>2033</v>
      </c>
      <c r="G851" s="7" t="s">
        <v>2032</v>
      </c>
      <c r="H851" s="7" t="s">
        <v>1894</v>
      </c>
      <c r="I851" s="7" t="s">
        <v>1893</v>
      </c>
      <c r="J851" s="7" t="s">
        <v>1816</v>
      </c>
      <c r="K851" s="7" t="s">
        <v>1815</v>
      </c>
      <c r="L851" s="7" t="s">
        <v>2031</v>
      </c>
      <c r="M851" s="7" t="s">
        <v>23</v>
      </c>
      <c r="N851" s="7" t="s">
        <v>317</v>
      </c>
      <c r="O851" s="7" t="s">
        <v>68</v>
      </c>
      <c r="P851" s="7" t="s">
        <v>54</v>
      </c>
      <c r="Q851" s="9">
        <v>5000000</v>
      </c>
      <c r="R851" s="9">
        <v>0</v>
      </c>
      <c r="S851" s="9">
        <f t="shared" si="28"/>
        <v>5000000</v>
      </c>
      <c r="T851" s="4" t="s">
        <v>53</v>
      </c>
      <c r="U851" s="7" t="s">
        <v>1890</v>
      </c>
      <c r="V851" s="7" t="s">
        <v>1823</v>
      </c>
      <c r="W851" s="9">
        <v>1</v>
      </c>
      <c r="X851" s="7" t="s">
        <v>1889</v>
      </c>
      <c r="Y851" s="7"/>
      <c r="Z851" s="7" t="s">
        <v>14</v>
      </c>
      <c r="AA851" s="36" t="s">
        <v>23</v>
      </c>
      <c r="AB851" s="4" t="s">
        <v>2607</v>
      </c>
      <c r="AC851" s="22">
        <f t="shared" si="27"/>
        <v>1960.7843137254902</v>
      </c>
      <c r="AD851" s="23">
        <v>0</v>
      </c>
    </row>
    <row r="852" spans="1:30" x14ac:dyDescent="0.35">
      <c r="A852" s="7">
        <v>875</v>
      </c>
      <c r="B852" s="6">
        <v>45890.347314814811</v>
      </c>
      <c r="C852" s="6">
        <v>45890</v>
      </c>
      <c r="D852" s="7" t="s">
        <v>2029</v>
      </c>
      <c r="E852" s="7" t="s">
        <v>1331</v>
      </c>
      <c r="F852" s="7" t="s">
        <v>2030</v>
      </c>
      <c r="G852" s="7" t="s">
        <v>2027</v>
      </c>
      <c r="H852" s="7" t="s">
        <v>1894</v>
      </c>
      <c r="I852" s="7" t="s">
        <v>1893</v>
      </c>
      <c r="J852" s="7" t="s">
        <v>1816</v>
      </c>
      <c r="K852" s="7" t="s">
        <v>1815</v>
      </c>
      <c r="L852" s="7" t="s">
        <v>1883</v>
      </c>
      <c r="M852" s="7" t="s">
        <v>17</v>
      </c>
      <c r="N852" s="7" t="s">
        <v>1504</v>
      </c>
      <c r="O852" s="7" t="s">
        <v>68</v>
      </c>
      <c r="P852" s="7" t="s">
        <v>54</v>
      </c>
      <c r="Q852" s="9">
        <v>1620000</v>
      </c>
      <c r="R852" s="9">
        <v>0</v>
      </c>
      <c r="S852" s="9">
        <f t="shared" si="28"/>
        <v>1620000</v>
      </c>
      <c r="T852" s="4" t="s">
        <v>53</v>
      </c>
      <c r="U852" s="7" t="s">
        <v>1904</v>
      </c>
      <c r="V852" s="7" t="s">
        <v>1823</v>
      </c>
      <c r="W852" s="9">
        <v>27</v>
      </c>
      <c r="X852" s="7" t="s">
        <v>1903</v>
      </c>
      <c r="Y852" s="7"/>
      <c r="Z852" s="7" t="s">
        <v>14</v>
      </c>
      <c r="AA852" s="36" t="s">
        <v>17</v>
      </c>
      <c r="AB852" s="4" t="s">
        <v>2602</v>
      </c>
      <c r="AC852" s="22">
        <f t="shared" si="27"/>
        <v>635.29411764705878</v>
      </c>
      <c r="AD852" s="23">
        <v>0</v>
      </c>
    </row>
    <row r="853" spans="1:30" x14ac:dyDescent="0.35">
      <c r="A853" s="7">
        <v>876</v>
      </c>
      <c r="B853" s="6">
        <v>45890.347314814811</v>
      </c>
      <c r="C853" s="6">
        <v>45890</v>
      </c>
      <c r="D853" s="7" t="s">
        <v>2029</v>
      </c>
      <c r="E853" s="7" t="s">
        <v>1331</v>
      </c>
      <c r="F853" s="7" t="s">
        <v>2028</v>
      </c>
      <c r="G853" s="7" t="s">
        <v>2027</v>
      </c>
      <c r="H853" s="7" t="s">
        <v>1894</v>
      </c>
      <c r="I853" s="7" t="s">
        <v>1893</v>
      </c>
      <c r="J853" s="7" t="s">
        <v>1816</v>
      </c>
      <c r="K853" s="7" t="s">
        <v>1815</v>
      </c>
      <c r="L853" s="7" t="s">
        <v>1883</v>
      </c>
      <c r="M853" s="7" t="s">
        <v>17</v>
      </c>
      <c r="N853" s="7" t="s">
        <v>1504</v>
      </c>
      <c r="O853" s="7" t="s">
        <v>68</v>
      </c>
      <c r="P853" s="7" t="s">
        <v>54</v>
      </c>
      <c r="Q853" s="9">
        <v>283500</v>
      </c>
      <c r="R853" s="9">
        <v>0</v>
      </c>
      <c r="S853" s="9">
        <f t="shared" si="28"/>
        <v>283500</v>
      </c>
      <c r="T853" s="4" t="s">
        <v>53</v>
      </c>
      <c r="U853" s="7" t="s">
        <v>1904</v>
      </c>
      <c r="V853" s="7" t="s">
        <v>1823</v>
      </c>
      <c r="W853" s="9">
        <v>27</v>
      </c>
      <c r="X853" s="7" t="s">
        <v>1903</v>
      </c>
      <c r="Y853" s="7"/>
      <c r="Z853" s="7" t="s">
        <v>14</v>
      </c>
      <c r="AA853" s="36" t="s">
        <v>17</v>
      </c>
      <c r="AB853" s="4" t="s">
        <v>2602</v>
      </c>
      <c r="AC853" s="22">
        <f t="shared" si="27"/>
        <v>111.17647058823529</v>
      </c>
      <c r="AD853" s="23">
        <v>0</v>
      </c>
    </row>
    <row r="854" spans="1:30" x14ac:dyDescent="0.35">
      <c r="A854" s="7">
        <v>877</v>
      </c>
      <c r="B854" s="6">
        <v>45890.338136574072</v>
      </c>
      <c r="C854" s="6">
        <v>45890</v>
      </c>
      <c r="D854" s="7" t="s">
        <v>2026</v>
      </c>
      <c r="E854" s="7" t="s">
        <v>1331</v>
      </c>
      <c r="F854" s="7" t="s">
        <v>2025</v>
      </c>
      <c r="G854" s="7" t="s">
        <v>2024</v>
      </c>
      <c r="H854" s="7" t="s">
        <v>2023</v>
      </c>
      <c r="I854" s="7" t="s">
        <v>2022</v>
      </c>
      <c r="J854" s="7" t="s">
        <v>1816</v>
      </c>
      <c r="K854" s="7" t="s">
        <v>1815</v>
      </c>
      <c r="L854" s="7" t="s">
        <v>1883</v>
      </c>
      <c r="M854" s="7" t="s">
        <v>17</v>
      </c>
      <c r="N854" s="7" t="s">
        <v>1504</v>
      </c>
      <c r="O854" s="7" t="s">
        <v>68</v>
      </c>
      <c r="P854" s="7" t="s">
        <v>68</v>
      </c>
      <c r="Q854" s="9">
        <v>26166140</v>
      </c>
      <c r="R854" s="9">
        <v>0</v>
      </c>
      <c r="S854" s="9">
        <f t="shared" si="28"/>
        <v>26166140</v>
      </c>
      <c r="T854" s="4" t="s">
        <v>53</v>
      </c>
      <c r="U854" s="7" t="s">
        <v>1882</v>
      </c>
      <c r="V854" s="7" t="s">
        <v>1823</v>
      </c>
      <c r="W854" s="9">
        <v>679.64</v>
      </c>
      <c r="X854" s="7" t="s">
        <v>1881</v>
      </c>
      <c r="Y854" s="7"/>
      <c r="Z854" s="7" t="s">
        <v>14</v>
      </c>
      <c r="AA854" s="36" t="s">
        <v>17</v>
      </c>
      <c r="AB854" s="4" t="s">
        <v>2602</v>
      </c>
      <c r="AC854" s="22">
        <f t="shared" si="27"/>
        <v>10261.23137254902</v>
      </c>
      <c r="AD854" s="23">
        <v>0</v>
      </c>
    </row>
    <row r="855" spans="1:30" x14ac:dyDescent="0.35">
      <c r="A855" s="7">
        <v>878</v>
      </c>
      <c r="B855" s="6">
        <v>45890.279594907406</v>
      </c>
      <c r="C855" s="6">
        <v>45890</v>
      </c>
      <c r="D855" s="7" t="s">
        <v>2019</v>
      </c>
      <c r="E855" s="7" t="s">
        <v>1331</v>
      </c>
      <c r="F855" s="7" t="s">
        <v>2021</v>
      </c>
      <c r="G855" s="7" t="s">
        <v>2017</v>
      </c>
      <c r="H855" s="7" t="s">
        <v>1894</v>
      </c>
      <c r="I855" s="7" t="s">
        <v>1893</v>
      </c>
      <c r="J855" s="7" t="s">
        <v>1816</v>
      </c>
      <c r="K855" s="7" t="s">
        <v>1815</v>
      </c>
      <c r="L855" s="7" t="s">
        <v>1905</v>
      </c>
      <c r="M855" s="7" t="s">
        <v>22</v>
      </c>
      <c r="N855" s="7" t="s">
        <v>266</v>
      </c>
      <c r="O855" s="7" t="s">
        <v>68</v>
      </c>
      <c r="P855" s="7" t="s">
        <v>54</v>
      </c>
      <c r="Q855" s="9">
        <v>1440000</v>
      </c>
      <c r="R855" s="9">
        <v>0</v>
      </c>
      <c r="S855" s="9">
        <f t="shared" si="28"/>
        <v>1440000</v>
      </c>
      <c r="T855" s="4" t="s">
        <v>53</v>
      </c>
      <c r="U855" s="7" t="s">
        <v>1904</v>
      </c>
      <c r="V855" s="7" t="s">
        <v>1823</v>
      </c>
      <c r="W855" s="9">
        <v>24</v>
      </c>
      <c r="X855" s="7" t="s">
        <v>1903</v>
      </c>
      <c r="Y855" s="7"/>
      <c r="Z855" s="7" t="s">
        <v>14</v>
      </c>
      <c r="AA855" s="36" t="s">
        <v>22</v>
      </c>
      <c r="AB855" s="4" t="s">
        <v>2835</v>
      </c>
      <c r="AC855" s="22">
        <f t="shared" si="27"/>
        <v>564.70588235294122</v>
      </c>
      <c r="AD855" s="23">
        <v>0</v>
      </c>
    </row>
    <row r="856" spans="1:30" x14ac:dyDescent="0.35">
      <c r="A856" s="7">
        <v>879</v>
      </c>
      <c r="B856" s="6">
        <v>45890.279594907406</v>
      </c>
      <c r="C856" s="6">
        <v>45890</v>
      </c>
      <c r="D856" s="7" t="s">
        <v>2019</v>
      </c>
      <c r="E856" s="7" t="s">
        <v>1331</v>
      </c>
      <c r="F856" s="7" t="s">
        <v>2020</v>
      </c>
      <c r="G856" s="7" t="s">
        <v>2017</v>
      </c>
      <c r="H856" s="7" t="s">
        <v>1894</v>
      </c>
      <c r="I856" s="7" t="s">
        <v>1893</v>
      </c>
      <c r="J856" s="7" t="s">
        <v>1816</v>
      </c>
      <c r="K856" s="7" t="s">
        <v>1815</v>
      </c>
      <c r="L856" s="7" t="s">
        <v>1905</v>
      </c>
      <c r="M856" s="7" t="s">
        <v>22</v>
      </c>
      <c r="N856" s="7" t="s">
        <v>266</v>
      </c>
      <c r="O856" s="7" t="s">
        <v>68</v>
      </c>
      <c r="P856" s="7" t="s">
        <v>54</v>
      </c>
      <c r="Q856" s="9">
        <v>1440000</v>
      </c>
      <c r="R856" s="9">
        <v>0</v>
      </c>
      <c r="S856" s="9">
        <f t="shared" si="28"/>
        <v>1440000</v>
      </c>
      <c r="T856" s="4" t="s">
        <v>53</v>
      </c>
      <c r="U856" s="7" t="s">
        <v>1904</v>
      </c>
      <c r="V856" s="7" t="s">
        <v>1823</v>
      </c>
      <c r="W856" s="9">
        <v>24</v>
      </c>
      <c r="X856" s="7" t="s">
        <v>1903</v>
      </c>
      <c r="Y856" s="7"/>
      <c r="Z856" s="7" t="s">
        <v>14</v>
      </c>
      <c r="AA856" s="36" t="s">
        <v>22</v>
      </c>
      <c r="AB856" s="4" t="s">
        <v>2835</v>
      </c>
      <c r="AC856" s="22">
        <f t="shared" si="27"/>
        <v>564.70588235294122</v>
      </c>
      <c r="AD856" s="23">
        <v>0</v>
      </c>
    </row>
    <row r="857" spans="1:30" x14ac:dyDescent="0.35">
      <c r="A857" s="7">
        <v>880</v>
      </c>
      <c r="B857" s="6">
        <v>45890.279594907406</v>
      </c>
      <c r="C857" s="6">
        <v>45890</v>
      </c>
      <c r="D857" s="7" t="s">
        <v>2019</v>
      </c>
      <c r="E857" s="7" t="s">
        <v>1331</v>
      </c>
      <c r="F857" s="7" t="s">
        <v>2018</v>
      </c>
      <c r="G857" s="7" t="s">
        <v>2017</v>
      </c>
      <c r="H857" s="7" t="s">
        <v>1894</v>
      </c>
      <c r="I857" s="7" t="s">
        <v>1893</v>
      </c>
      <c r="J857" s="7" t="s">
        <v>1816</v>
      </c>
      <c r="K857" s="7" t="s">
        <v>1815</v>
      </c>
      <c r="L857" s="7" t="s">
        <v>1905</v>
      </c>
      <c r="M857" s="7" t="s">
        <v>22</v>
      </c>
      <c r="N857" s="7" t="s">
        <v>266</v>
      </c>
      <c r="O857" s="7" t="s">
        <v>68</v>
      </c>
      <c r="P857" s="7" t="s">
        <v>54</v>
      </c>
      <c r="Q857" s="9">
        <v>504000</v>
      </c>
      <c r="R857" s="9">
        <v>0</v>
      </c>
      <c r="S857" s="9">
        <f t="shared" si="28"/>
        <v>504000</v>
      </c>
      <c r="T857" s="4" t="s">
        <v>53</v>
      </c>
      <c r="U857" s="7" t="s">
        <v>1904</v>
      </c>
      <c r="V857" s="7" t="s">
        <v>1823</v>
      </c>
      <c r="W857" s="9">
        <v>48</v>
      </c>
      <c r="X857" s="7" t="s">
        <v>1903</v>
      </c>
      <c r="Y857" s="7"/>
      <c r="Z857" s="7" t="s">
        <v>14</v>
      </c>
      <c r="AA857" s="36" t="s">
        <v>22</v>
      </c>
      <c r="AB857" s="4" t="s">
        <v>2835</v>
      </c>
      <c r="AC857" s="22">
        <f t="shared" si="27"/>
        <v>197.64705882352942</v>
      </c>
      <c r="AD857" s="23">
        <v>0</v>
      </c>
    </row>
    <row r="858" spans="1:30" hidden="1" x14ac:dyDescent="0.35">
      <c r="A858" s="7">
        <v>881</v>
      </c>
      <c r="B858" s="6">
        <v>45890</v>
      </c>
      <c r="C858" s="6">
        <v>45890</v>
      </c>
      <c r="D858" s="7" t="s">
        <v>1727</v>
      </c>
      <c r="E858" s="7" t="s">
        <v>61</v>
      </c>
      <c r="F858" s="7" t="s">
        <v>1726</v>
      </c>
      <c r="G858" s="7" t="s">
        <v>1725</v>
      </c>
      <c r="H858" s="7"/>
      <c r="I858" s="7"/>
      <c r="J858" s="7" t="s">
        <v>59</v>
      </c>
      <c r="K858" s="7" t="s">
        <v>58</v>
      </c>
      <c r="L858" s="7" t="s">
        <v>325</v>
      </c>
      <c r="M858" s="7" t="s">
        <v>1764</v>
      </c>
      <c r="N858" s="7" t="s">
        <v>1699</v>
      </c>
      <c r="O858" s="7" t="s">
        <v>1703</v>
      </c>
      <c r="P858" s="7" t="s">
        <v>1724</v>
      </c>
      <c r="Q858" s="9">
        <v>1397000</v>
      </c>
      <c r="R858" s="9">
        <v>0</v>
      </c>
      <c r="S858" s="9">
        <f t="shared" si="28"/>
        <v>1397000</v>
      </c>
      <c r="T858" s="4" t="s">
        <v>53</v>
      </c>
      <c r="U858" s="7" t="s">
        <v>1711</v>
      </c>
      <c r="V858" s="4"/>
      <c r="W858" s="9">
        <v>-1</v>
      </c>
      <c r="X858" s="7" t="s">
        <v>94</v>
      </c>
      <c r="Y858" s="7"/>
      <c r="Z858" s="7" t="s">
        <v>7</v>
      </c>
      <c r="AA858" s="37" t="s">
        <v>8</v>
      </c>
      <c r="AB858" s="16"/>
      <c r="AC858" s="22">
        <f t="shared" si="27"/>
        <v>547.84313725490199</v>
      </c>
      <c r="AD858" s="23">
        <v>0</v>
      </c>
    </row>
    <row r="859" spans="1:30" hidden="1" x14ac:dyDescent="0.35">
      <c r="A859" s="7">
        <v>882</v>
      </c>
      <c r="B859" s="6">
        <v>45890</v>
      </c>
      <c r="C859" s="6">
        <v>45890</v>
      </c>
      <c r="D859" s="7" t="s">
        <v>1723</v>
      </c>
      <c r="E859" s="7" t="s">
        <v>61</v>
      </c>
      <c r="F859" s="7" t="s">
        <v>1722</v>
      </c>
      <c r="G859" s="7" t="s">
        <v>1722</v>
      </c>
      <c r="H859" s="7"/>
      <c r="I859" s="7"/>
      <c r="J859" s="7" t="s">
        <v>59</v>
      </c>
      <c r="K859" s="7" t="s">
        <v>58</v>
      </c>
      <c r="L859" s="7" t="s">
        <v>325</v>
      </c>
      <c r="M859" s="7" t="s">
        <v>1764</v>
      </c>
      <c r="N859" s="7" t="s">
        <v>1699</v>
      </c>
      <c r="O859" s="7" t="s">
        <v>105</v>
      </c>
      <c r="P859" s="7" t="s">
        <v>196</v>
      </c>
      <c r="Q859" s="11">
        <v>391000</v>
      </c>
      <c r="R859" s="9">
        <v>0</v>
      </c>
      <c r="S859" s="9">
        <f t="shared" si="28"/>
        <v>391000</v>
      </c>
      <c r="T859" s="4" t="s">
        <v>53</v>
      </c>
      <c r="U859" s="7" t="s">
        <v>1721</v>
      </c>
      <c r="V859" s="4"/>
      <c r="W859" s="9">
        <v>-1</v>
      </c>
      <c r="X859" s="7" t="s">
        <v>94</v>
      </c>
      <c r="Y859" s="7"/>
      <c r="Z859" s="7" t="s">
        <v>5</v>
      </c>
      <c r="AA859" s="37" t="s">
        <v>6</v>
      </c>
      <c r="AB859" s="16"/>
      <c r="AC859" s="22">
        <f t="shared" si="27"/>
        <v>153.33333333333334</v>
      </c>
      <c r="AD859" s="23">
        <v>0</v>
      </c>
    </row>
    <row r="860" spans="1:30" x14ac:dyDescent="0.35">
      <c r="A860" s="7">
        <v>883</v>
      </c>
      <c r="B860" s="6">
        <v>45890</v>
      </c>
      <c r="C860" s="6">
        <v>45890</v>
      </c>
      <c r="D860" s="4" t="s">
        <v>630</v>
      </c>
      <c r="E860" s="4" t="s">
        <v>61</v>
      </c>
      <c r="F860" s="4" t="s">
        <v>629</v>
      </c>
      <c r="G860" s="4" t="s">
        <v>629</v>
      </c>
      <c r="H860" s="4"/>
      <c r="I860" s="4"/>
      <c r="J860" s="4" t="s">
        <v>59</v>
      </c>
      <c r="K860" s="4" t="s">
        <v>58</v>
      </c>
      <c r="L860" s="4" t="s">
        <v>57</v>
      </c>
      <c r="M860" s="4" t="s">
        <v>32</v>
      </c>
      <c r="N860" s="4" t="s">
        <v>317</v>
      </c>
      <c r="O860" s="5" t="s">
        <v>68</v>
      </c>
      <c r="P860" s="4" t="s">
        <v>54</v>
      </c>
      <c r="Q860" s="10">
        <v>5057.3100000000004</v>
      </c>
      <c r="R860" s="10">
        <v>0</v>
      </c>
      <c r="S860" s="9">
        <f t="shared" si="28"/>
        <v>5057.3100000000004</v>
      </c>
      <c r="T860" s="4" t="s">
        <v>53</v>
      </c>
      <c r="U860" s="4" t="s">
        <v>628</v>
      </c>
      <c r="V860" s="4"/>
      <c r="W860" s="4">
        <v>-5</v>
      </c>
      <c r="X860" s="4" t="s">
        <v>94</v>
      </c>
      <c r="Y860" s="4"/>
      <c r="Z860" s="7" t="s">
        <v>14</v>
      </c>
      <c r="AA860" s="36" t="s">
        <v>23</v>
      </c>
      <c r="AB860" s="4" t="s">
        <v>2607</v>
      </c>
      <c r="AC860" s="22">
        <f t="shared" si="27"/>
        <v>1.983258823529412</v>
      </c>
      <c r="AD860" s="23">
        <v>0</v>
      </c>
    </row>
    <row r="861" spans="1:30" hidden="1" x14ac:dyDescent="0.35">
      <c r="A861" s="7">
        <v>884</v>
      </c>
      <c r="B861" s="6">
        <v>45890</v>
      </c>
      <c r="C861" s="6">
        <v>45890</v>
      </c>
      <c r="D861" s="4" t="s">
        <v>514</v>
      </c>
      <c r="E861" s="4" t="s">
        <v>61</v>
      </c>
      <c r="F861" s="4" t="s">
        <v>513</v>
      </c>
      <c r="G861" s="4" t="s">
        <v>513</v>
      </c>
      <c r="H861" s="4"/>
      <c r="I861" s="4"/>
      <c r="J861" s="4" t="s">
        <v>59</v>
      </c>
      <c r="K861" s="4" t="s">
        <v>58</v>
      </c>
      <c r="L861" s="4" t="s">
        <v>57</v>
      </c>
      <c r="M861" s="4" t="s">
        <v>32</v>
      </c>
      <c r="N861" s="4" t="s">
        <v>211</v>
      </c>
      <c r="O861" s="5" t="s">
        <v>210</v>
      </c>
      <c r="P861" s="4" t="s">
        <v>210</v>
      </c>
      <c r="Q861" s="10">
        <v>182947.96</v>
      </c>
      <c r="R861" s="10">
        <v>0</v>
      </c>
      <c r="S861" s="9">
        <f t="shared" si="28"/>
        <v>182947.96</v>
      </c>
      <c r="T861" s="4" t="s">
        <v>53</v>
      </c>
      <c r="U861" s="4" t="s">
        <v>172</v>
      </c>
      <c r="V861" s="4"/>
      <c r="W861" s="4">
        <v>-5</v>
      </c>
      <c r="X861" s="4" t="s">
        <v>129</v>
      </c>
      <c r="Y861" s="4"/>
      <c r="Z861" s="7" t="s">
        <v>14</v>
      </c>
      <c r="AA861" s="36" t="s">
        <v>30</v>
      </c>
      <c r="AB861" s="4"/>
      <c r="AC861" s="22">
        <f t="shared" si="27"/>
        <v>71.744298039215678</v>
      </c>
      <c r="AD861" s="23">
        <v>0</v>
      </c>
    </row>
    <row r="862" spans="1:30" x14ac:dyDescent="0.35">
      <c r="A862" s="7">
        <v>885</v>
      </c>
      <c r="B862" s="6">
        <v>45891.317731481482</v>
      </c>
      <c r="C862" s="6">
        <v>45891</v>
      </c>
      <c r="D862" s="7" t="s">
        <v>2015</v>
      </c>
      <c r="E862" s="7" t="s">
        <v>1331</v>
      </c>
      <c r="F862" s="7" t="s">
        <v>2016</v>
      </c>
      <c r="G862" s="7" t="s">
        <v>2013</v>
      </c>
      <c r="H862" s="7" t="s">
        <v>2012</v>
      </c>
      <c r="I862" s="7" t="s">
        <v>2011</v>
      </c>
      <c r="J862" s="7" t="s">
        <v>1816</v>
      </c>
      <c r="K862" s="7" t="s">
        <v>1815</v>
      </c>
      <c r="L862" s="7" t="s">
        <v>1883</v>
      </c>
      <c r="M862" s="7" t="s">
        <v>17</v>
      </c>
      <c r="N862" s="7" t="s">
        <v>1504</v>
      </c>
      <c r="O862" s="7" t="s">
        <v>68</v>
      </c>
      <c r="P862" s="7" t="s">
        <v>68</v>
      </c>
      <c r="Q862" s="9">
        <v>7282650</v>
      </c>
      <c r="R862" s="9">
        <v>0</v>
      </c>
      <c r="S862" s="9">
        <f t="shared" si="28"/>
        <v>7282650</v>
      </c>
      <c r="T862" s="4" t="s">
        <v>53</v>
      </c>
      <c r="U862" s="7" t="s">
        <v>2010</v>
      </c>
      <c r="V862" s="7" t="s">
        <v>1823</v>
      </c>
      <c r="W862" s="9">
        <v>10.33</v>
      </c>
      <c r="X862" s="7" t="s">
        <v>1501</v>
      </c>
      <c r="Y862" s="7"/>
      <c r="Z862" s="7" t="s">
        <v>14</v>
      </c>
      <c r="AA862" s="36" t="s">
        <v>17</v>
      </c>
      <c r="AB862" s="4" t="s">
        <v>2602</v>
      </c>
      <c r="AC862" s="22">
        <f t="shared" si="27"/>
        <v>2855.9411764705883</v>
      </c>
      <c r="AD862" s="23">
        <v>0</v>
      </c>
    </row>
    <row r="863" spans="1:30" x14ac:dyDescent="0.35">
      <c r="A863" s="7">
        <v>886</v>
      </c>
      <c r="B863" s="6">
        <v>45891.317731481482</v>
      </c>
      <c r="C863" s="6">
        <v>45891</v>
      </c>
      <c r="D863" s="7" t="s">
        <v>2015</v>
      </c>
      <c r="E863" s="7" t="s">
        <v>1331</v>
      </c>
      <c r="F863" s="7" t="s">
        <v>2014</v>
      </c>
      <c r="G863" s="7" t="s">
        <v>2013</v>
      </c>
      <c r="H863" s="7" t="s">
        <v>2012</v>
      </c>
      <c r="I863" s="7" t="s">
        <v>2011</v>
      </c>
      <c r="J863" s="7" t="s">
        <v>1816</v>
      </c>
      <c r="K863" s="7" t="s">
        <v>1815</v>
      </c>
      <c r="L863" s="7" t="s">
        <v>1883</v>
      </c>
      <c r="M863" s="7" t="s">
        <v>17</v>
      </c>
      <c r="N863" s="7" t="s">
        <v>1504</v>
      </c>
      <c r="O863" s="7" t="s">
        <v>68</v>
      </c>
      <c r="P863" s="7" t="s">
        <v>68</v>
      </c>
      <c r="Q863" s="9">
        <v>7282650</v>
      </c>
      <c r="R863" s="9">
        <v>0</v>
      </c>
      <c r="S863" s="9">
        <f t="shared" si="28"/>
        <v>7282650</v>
      </c>
      <c r="T863" s="4" t="s">
        <v>53</v>
      </c>
      <c r="U863" s="7" t="s">
        <v>2010</v>
      </c>
      <c r="V863" s="7" t="s">
        <v>1823</v>
      </c>
      <c r="W863" s="9">
        <v>10.33</v>
      </c>
      <c r="X863" s="7" t="s">
        <v>1501</v>
      </c>
      <c r="Y863" s="7"/>
      <c r="Z863" s="7" t="s">
        <v>14</v>
      </c>
      <c r="AA863" s="36" t="s">
        <v>17</v>
      </c>
      <c r="AB863" s="4" t="s">
        <v>2602</v>
      </c>
      <c r="AC863" s="22">
        <f t="shared" si="27"/>
        <v>2855.9411764705883</v>
      </c>
      <c r="AD863" s="23">
        <v>0</v>
      </c>
    </row>
    <row r="864" spans="1:30" hidden="1" x14ac:dyDescent="0.35">
      <c r="A864" s="7">
        <v>887</v>
      </c>
      <c r="B864" s="6">
        <v>45891.5078587963</v>
      </c>
      <c r="C864" s="6">
        <v>45891</v>
      </c>
      <c r="D864" s="7" t="s">
        <v>2009</v>
      </c>
      <c r="E864" s="7" t="s">
        <v>1819</v>
      </c>
      <c r="F864" s="7" t="s">
        <v>2008</v>
      </c>
      <c r="G864" s="7" t="s">
        <v>2007</v>
      </c>
      <c r="H864" s="7"/>
      <c r="I864" s="7"/>
      <c r="J864" s="7" t="s">
        <v>1816</v>
      </c>
      <c r="K864" s="7" t="s">
        <v>1815</v>
      </c>
      <c r="L864" s="7" t="s">
        <v>1814</v>
      </c>
      <c r="M864" s="7" t="s">
        <v>28</v>
      </c>
      <c r="N864" s="7" t="s">
        <v>1813</v>
      </c>
      <c r="O864" s="7" t="s">
        <v>1704</v>
      </c>
      <c r="P864" s="7" t="s">
        <v>1703</v>
      </c>
      <c r="Q864" s="9">
        <v>160000</v>
      </c>
      <c r="R864" s="9">
        <v>0</v>
      </c>
      <c r="S864" s="9">
        <f t="shared" si="28"/>
        <v>160000</v>
      </c>
      <c r="T864" s="4" t="s">
        <v>53</v>
      </c>
      <c r="U864" s="7"/>
      <c r="V864" s="7"/>
      <c r="W864" s="9">
        <v>1</v>
      </c>
      <c r="X864" s="7"/>
      <c r="Y864" s="7"/>
      <c r="Z864" s="7" t="s">
        <v>14</v>
      </c>
      <c r="AA864" s="36" t="s">
        <v>28</v>
      </c>
      <c r="AB864" s="4"/>
      <c r="AC864" s="22">
        <f t="shared" si="27"/>
        <v>62.745098039215684</v>
      </c>
      <c r="AD864" s="23">
        <v>0</v>
      </c>
    </row>
    <row r="865" spans="1:30" x14ac:dyDescent="0.35">
      <c r="A865" s="7">
        <v>888</v>
      </c>
      <c r="B865" s="6">
        <v>45891</v>
      </c>
      <c r="C865" s="6">
        <v>45891</v>
      </c>
      <c r="D865" s="4" t="s">
        <v>643</v>
      </c>
      <c r="E865" s="4" t="s">
        <v>61</v>
      </c>
      <c r="F865" s="4" t="s">
        <v>642</v>
      </c>
      <c r="G865" s="4" t="s">
        <v>642</v>
      </c>
      <c r="H865" s="4"/>
      <c r="I865" s="4"/>
      <c r="J865" s="4" t="s">
        <v>59</v>
      </c>
      <c r="K865" s="4" t="s">
        <v>58</v>
      </c>
      <c r="L865" s="4" t="s">
        <v>57</v>
      </c>
      <c r="M865" s="4" t="s">
        <v>32</v>
      </c>
      <c r="N865" s="4" t="s">
        <v>317</v>
      </c>
      <c r="O865" s="5" t="s">
        <v>639</v>
      </c>
      <c r="P865" s="13" t="s">
        <v>54</v>
      </c>
      <c r="Q865" s="10">
        <v>108000</v>
      </c>
      <c r="R865" s="10">
        <v>0</v>
      </c>
      <c r="S865" s="9">
        <f t="shared" si="28"/>
        <v>108000</v>
      </c>
      <c r="T865" s="4" t="s">
        <v>53</v>
      </c>
      <c r="U865" s="4" t="s">
        <v>320</v>
      </c>
      <c r="V865" s="4"/>
      <c r="W865" s="4">
        <v>-120</v>
      </c>
      <c r="X865" s="4" t="s">
        <v>94</v>
      </c>
      <c r="Y865" s="4"/>
      <c r="Z865" s="7" t="s">
        <v>14</v>
      </c>
      <c r="AA865" s="36" t="s">
        <v>23</v>
      </c>
      <c r="AB865" s="4" t="s">
        <v>2607</v>
      </c>
      <c r="AC865" s="22">
        <f t="shared" si="27"/>
        <v>42.352941176470587</v>
      </c>
      <c r="AD865" s="23">
        <v>0</v>
      </c>
    </row>
    <row r="866" spans="1:30" x14ac:dyDescent="0.35">
      <c r="A866" s="7">
        <v>889</v>
      </c>
      <c r="B866" s="6">
        <v>45891</v>
      </c>
      <c r="C866" s="6">
        <v>45891</v>
      </c>
      <c r="D866" s="4" t="s">
        <v>641</v>
      </c>
      <c r="E866" s="4" t="s">
        <v>61</v>
      </c>
      <c r="F866" s="4" t="s">
        <v>640</v>
      </c>
      <c r="G866" s="4" t="s">
        <v>640</v>
      </c>
      <c r="H866" s="4"/>
      <c r="I866" s="4"/>
      <c r="J866" s="4" t="s">
        <v>59</v>
      </c>
      <c r="K866" s="4" t="s">
        <v>58</v>
      </c>
      <c r="L866" s="4" t="s">
        <v>57</v>
      </c>
      <c r="M866" s="4" t="s">
        <v>32</v>
      </c>
      <c r="N866" s="4" t="s">
        <v>317</v>
      </c>
      <c r="O866" s="5" t="s">
        <v>639</v>
      </c>
      <c r="P866" s="4" t="s">
        <v>54</v>
      </c>
      <c r="Q866" s="10">
        <v>37616.550000000003</v>
      </c>
      <c r="R866" s="10">
        <v>0</v>
      </c>
      <c r="S866" s="9">
        <f t="shared" si="28"/>
        <v>37616.550000000003</v>
      </c>
      <c r="T866" s="4" t="s">
        <v>53</v>
      </c>
      <c r="U866" s="4" t="s">
        <v>420</v>
      </c>
      <c r="V866" s="4"/>
      <c r="W866" s="4">
        <v>-28</v>
      </c>
      <c r="X866" s="4" t="s">
        <v>94</v>
      </c>
      <c r="Y866" s="4"/>
      <c r="Z866" s="7" t="s">
        <v>14</v>
      </c>
      <c r="AA866" s="36" t="s">
        <v>23</v>
      </c>
      <c r="AB866" s="4" t="s">
        <v>2607</v>
      </c>
      <c r="AC866" s="22">
        <f t="shared" si="27"/>
        <v>14.751588235294118</v>
      </c>
      <c r="AD866" s="23">
        <v>0</v>
      </c>
    </row>
    <row r="867" spans="1:30" x14ac:dyDescent="0.35">
      <c r="A867" s="7">
        <v>890</v>
      </c>
      <c r="B867" s="6">
        <v>45891</v>
      </c>
      <c r="C867" s="6">
        <v>45891</v>
      </c>
      <c r="D867" s="4" t="s">
        <v>632</v>
      </c>
      <c r="E867" s="4" t="s">
        <v>61</v>
      </c>
      <c r="F867" s="4" t="s">
        <v>631</v>
      </c>
      <c r="G867" s="4" t="s">
        <v>631</v>
      </c>
      <c r="H867" s="4"/>
      <c r="I867" s="4"/>
      <c r="J867" s="4" t="s">
        <v>59</v>
      </c>
      <c r="K867" s="4" t="s">
        <v>58</v>
      </c>
      <c r="L867" s="4" t="s">
        <v>57</v>
      </c>
      <c r="M867" s="4" t="s">
        <v>32</v>
      </c>
      <c r="N867" s="4" t="s">
        <v>317</v>
      </c>
      <c r="O867" s="5" t="s">
        <v>68</v>
      </c>
      <c r="P867" s="4" t="s">
        <v>54</v>
      </c>
      <c r="Q867" s="10">
        <v>45000</v>
      </c>
      <c r="R867" s="10">
        <v>0</v>
      </c>
      <c r="S867" s="9">
        <f t="shared" si="28"/>
        <v>45000</v>
      </c>
      <c r="T867" s="4" t="s">
        <v>53</v>
      </c>
      <c r="U867" s="4" t="s">
        <v>121</v>
      </c>
      <c r="V867" s="4"/>
      <c r="W867" s="4">
        <v>-3</v>
      </c>
      <c r="X867" s="4" t="s">
        <v>94</v>
      </c>
      <c r="Y867" s="4"/>
      <c r="Z867" s="7" t="s">
        <v>14</v>
      </c>
      <c r="AA867" s="36" t="s">
        <v>23</v>
      </c>
      <c r="AB867" s="4" t="s">
        <v>2607</v>
      </c>
      <c r="AC867" s="22">
        <f t="shared" si="27"/>
        <v>17.647058823529413</v>
      </c>
      <c r="AD867" s="23">
        <v>0</v>
      </c>
    </row>
    <row r="868" spans="1:30" x14ac:dyDescent="0.35">
      <c r="A868" s="7">
        <v>891</v>
      </c>
      <c r="B868" s="6">
        <v>45891</v>
      </c>
      <c r="C868" s="6">
        <v>45891</v>
      </c>
      <c r="D868" s="4" t="s">
        <v>592</v>
      </c>
      <c r="E868" s="4" t="s">
        <v>61</v>
      </c>
      <c r="F868" s="4" t="s">
        <v>591</v>
      </c>
      <c r="G868" s="4" t="s">
        <v>591</v>
      </c>
      <c r="H868" s="4"/>
      <c r="I868" s="4"/>
      <c r="J868" s="4" t="s">
        <v>59</v>
      </c>
      <c r="K868" s="4" t="s">
        <v>58</v>
      </c>
      <c r="L868" s="4" t="s">
        <v>57</v>
      </c>
      <c r="M868" s="4" t="s">
        <v>32</v>
      </c>
      <c r="N868" s="4" t="s">
        <v>266</v>
      </c>
      <c r="O868" s="5" t="s">
        <v>55</v>
      </c>
      <c r="P868" s="4" t="s">
        <v>54</v>
      </c>
      <c r="Q868" s="10">
        <v>150000</v>
      </c>
      <c r="R868" s="10">
        <v>0</v>
      </c>
      <c r="S868" s="9">
        <f t="shared" si="28"/>
        <v>150000</v>
      </c>
      <c r="T868" s="4" t="s">
        <v>53</v>
      </c>
      <c r="U868" s="4" t="s">
        <v>121</v>
      </c>
      <c r="V868" s="4"/>
      <c r="W868" s="4">
        <v>-10</v>
      </c>
      <c r="X868" s="4" t="s">
        <v>94</v>
      </c>
      <c r="Y868" s="4"/>
      <c r="Z868" s="7" t="s">
        <v>14</v>
      </c>
      <c r="AA868" s="36" t="s">
        <v>22</v>
      </c>
      <c r="AB868" s="4" t="s">
        <v>2835</v>
      </c>
      <c r="AC868" s="22">
        <f t="shared" si="27"/>
        <v>58.823529411764703</v>
      </c>
      <c r="AD868" s="23">
        <v>0</v>
      </c>
    </row>
    <row r="869" spans="1:30" x14ac:dyDescent="0.35">
      <c r="A869" s="7">
        <v>892</v>
      </c>
      <c r="B869" s="6">
        <v>45891</v>
      </c>
      <c r="C869" s="6">
        <v>45891</v>
      </c>
      <c r="D869" s="4" t="s">
        <v>590</v>
      </c>
      <c r="E869" s="4" t="s">
        <v>61</v>
      </c>
      <c r="F869" s="4" t="s">
        <v>589</v>
      </c>
      <c r="G869" s="4" t="s">
        <v>589</v>
      </c>
      <c r="H869" s="4"/>
      <c r="I869" s="4"/>
      <c r="J869" s="4" t="s">
        <v>59</v>
      </c>
      <c r="K869" s="4" t="s">
        <v>58</v>
      </c>
      <c r="L869" s="4" t="s">
        <v>57</v>
      </c>
      <c r="M869" s="4" t="s">
        <v>32</v>
      </c>
      <c r="N869" s="4" t="s">
        <v>266</v>
      </c>
      <c r="O869" s="5" t="s">
        <v>55</v>
      </c>
      <c r="P869" s="4" t="s">
        <v>54</v>
      </c>
      <c r="Q869" s="10">
        <v>96000</v>
      </c>
      <c r="R869" s="10">
        <v>0</v>
      </c>
      <c r="S869" s="9">
        <f t="shared" si="28"/>
        <v>96000</v>
      </c>
      <c r="T869" s="4" t="s">
        <v>53</v>
      </c>
      <c r="U869" s="4" t="s">
        <v>282</v>
      </c>
      <c r="V869" s="4"/>
      <c r="W869" s="4">
        <v>-2</v>
      </c>
      <c r="X869" s="4" t="s">
        <v>94</v>
      </c>
      <c r="Y869" s="4"/>
      <c r="Z869" s="7" t="s">
        <v>14</v>
      </c>
      <c r="AA869" s="36" t="s">
        <v>22</v>
      </c>
      <c r="AB869" s="4" t="s">
        <v>2835</v>
      </c>
      <c r="AC869" s="22">
        <f t="shared" si="27"/>
        <v>37.647058823529413</v>
      </c>
      <c r="AD869" s="23">
        <v>0</v>
      </c>
    </row>
    <row r="870" spans="1:30" x14ac:dyDescent="0.35">
      <c r="A870" s="7">
        <v>893</v>
      </c>
      <c r="B870" s="6">
        <v>45891</v>
      </c>
      <c r="C870" s="6">
        <v>45891</v>
      </c>
      <c r="D870" s="4" t="s">
        <v>588</v>
      </c>
      <c r="E870" s="4" t="s">
        <v>61</v>
      </c>
      <c r="F870" s="4" t="s">
        <v>587</v>
      </c>
      <c r="G870" s="4" t="s">
        <v>587</v>
      </c>
      <c r="H870" s="4"/>
      <c r="I870" s="4"/>
      <c r="J870" s="4" t="s">
        <v>59</v>
      </c>
      <c r="K870" s="4" t="s">
        <v>58</v>
      </c>
      <c r="L870" s="4" t="s">
        <v>57</v>
      </c>
      <c r="M870" s="4" t="s">
        <v>32</v>
      </c>
      <c r="N870" s="4" t="s">
        <v>266</v>
      </c>
      <c r="O870" s="5" t="s">
        <v>55</v>
      </c>
      <c r="P870" s="4" t="s">
        <v>54</v>
      </c>
      <c r="Q870" s="10">
        <v>19325.93</v>
      </c>
      <c r="R870" s="10">
        <v>0</v>
      </c>
      <c r="S870" s="9">
        <f t="shared" si="28"/>
        <v>19325.93</v>
      </c>
      <c r="T870" s="4" t="s">
        <v>53</v>
      </c>
      <c r="U870" s="4" t="s">
        <v>117</v>
      </c>
      <c r="V870" s="4"/>
      <c r="W870" s="4">
        <v>-6</v>
      </c>
      <c r="X870" s="4" t="s">
        <v>94</v>
      </c>
      <c r="Y870" s="4"/>
      <c r="Z870" s="7" t="s">
        <v>14</v>
      </c>
      <c r="AA870" s="36" t="s">
        <v>22</v>
      </c>
      <c r="AB870" s="4" t="s">
        <v>2835</v>
      </c>
      <c r="AC870" s="22">
        <f t="shared" si="27"/>
        <v>7.578796078431373</v>
      </c>
      <c r="AD870" s="23">
        <v>0</v>
      </c>
    </row>
    <row r="871" spans="1:30" x14ac:dyDescent="0.35">
      <c r="A871" s="7">
        <v>894</v>
      </c>
      <c r="B871" s="6">
        <v>45891</v>
      </c>
      <c r="C871" s="6">
        <v>45891</v>
      </c>
      <c r="D871" s="4" t="s">
        <v>586</v>
      </c>
      <c r="E871" s="4" t="s">
        <v>61</v>
      </c>
      <c r="F871" s="4" t="s">
        <v>585</v>
      </c>
      <c r="G871" s="4" t="s">
        <v>585</v>
      </c>
      <c r="H871" s="4"/>
      <c r="I871" s="4"/>
      <c r="J871" s="4" t="s">
        <v>59</v>
      </c>
      <c r="K871" s="4" t="s">
        <v>58</v>
      </c>
      <c r="L871" s="4" t="s">
        <v>57</v>
      </c>
      <c r="M871" s="4" t="s">
        <v>32</v>
      </c>
      <c r="N871" s="4" t="s">
        <v>266</v>
      </c>
      <c r="O871" s="5" t="s">
        <v>55</v>
      </c>
      <c r="P871" s="4" t="s">
        <v>54</v>
      </c>
      <c r="Q871" s="10">
        <v>81950.2</v>
      </c>
      <c r="R871" s="10">
        <v>0</v>
      </c>
      <c r="S871" s="9">
        <f t="shared" si="28"/>
        <v>81950.2</v>
      </c>
      <c r="T871" s="4" t="s">
        <v>53</v>
      </c>
      <c r="U871" s="4" t="s">
        <v>271</v>
      </c>
      <c r="V871" s="4"/>
      <c r="W871" s="4">
        <v>-20</v>
      </c>
      <c r="X871" s="4" t="s">
        <v>124</v>
      </c>
      <c r="Y871" s="4"/>
      <c r="Z871" s="7" t="s">
        <v>14</v>
      </c>
      <c r="AA871" s="36" t="s">
        <v>22</v>
      </c>
      <c r="AB871" s="4" t="s">
        <v>2835</v>
      </c>
      <c r="AC871" s="22">
        <f t="shared" si="27"/>
        <v>32.137333333333331</v>
      </c>
      <c r="AD871" s="23">
        <v>0</v>
      </c>
    </row>
    <row r="872" spans="1:30" x14ac:dyDescent="0.35">
      <c r="A872" s="7">
        <v>895</v>
      </c>
      <c r="B872" s="6">
        <v>45891</v>
      </c>
      <c r="C872" s="6">
        <v>45891</v>
      </c>
      <c r="D872" s="4" t="s">
        <v>473</v>
      </c>
      <c r="E872" s="4" t="s">
        <v>61</v>
      </c>
      <c r="F872" s="4" t="s">
        <v>472</v>
      </c>
      <c r="G872" s="4" t="s">
        <v>472</v>
      </c>
      <c r="H872" s="4"/>
      <c r="I872" s="4"/>
      <c r="J872" s="4" t="s">
        <v>59</v>
      </c>
      <c r="K872" s="4" t="s">
        <v>58</v>
      </c>
      <c r="L872" s="4" t="s">
        <v>57</v>
      </c>
      <c r="M872" s="4" t="s">
        <v>32</v>
      </c>
      <c r="N872" s="4" t="s">
        <v>197</v>
      </c>
      <c r="O872" s="5" t="s">
        <v>105</v>
      </c>
      <c r="P872" s="4" t="s">
        <v>196</v>
      </c>
      <c r="Q872" s="10">
        <v>8681.0400000000009</v>
      </c>
      <c r="R872" s="10">
        <v>0</v>
      </c>
      <c r="S872" s="9">
        <f t="shared" si="28"/>
        <v>8681.0400000000009</v>
      </c>
      <c r="T872" s="4" t="s">
        <v>53</v>
      </c>
      <c r="U872" s="4" t="s">
        <v>471</v>
      </c>
      <c r="V872" s="4"/>
      <c r="W872" s="4">
        <v>-2</v>
      </c>
      <c r="X872" s="4" t="s">
        <v>129</v>
      </c>
      <c r="Y872" s="4"/>
      <c r="Z872" s="7" t="s">
        <v>14</v>
      </c>
      <c r="AA872" s="36" t="s">
        <v>29</v>
      </c>
      <c r="AB872" s="4" t="s">
        <v>2607</v>
      </c>
      <c r="AC872" s="22">
        <f t="shared" si="27"/>
        <v>3.404329411764706</v>
      </c>
      <c r="AD872" s="23">
        <v>0</v>
      </c>
    </row>
    <row r="873" spans="1:30" x14ac:dyDescent="0.35">
      <c r="A873" s="7">
        <v>896</v>
      </c>
      <c r="B873" s="6">
        <v>45891</v>
      </c>
      <c r="C873" s="6">
        <v>45891</v>
      </c>
      <c r="D873" s="4" t="s">
        <v>470</v>
      </c>
      <c r="E873" s="4" t="s">
        <v>61</v>
      </c>
      <c r="F873" s="4" t="s">
        <v>469</v>
      </c>
      <c r="G873" s="4" t="s">
        <v>469</v>
      </c>
      <c r="H873" s="4"/>
      <c r="I873" s="4"/>
      <c r="J873" s="4" t="s">
        <v>59</v>
      </c>
      <c r="K873" s="4" t="s">
        <v>58</v>
      </c>
      <c r="L873" s="4" t="s">
        <v>57</v>
      </c>
      <c r="M873" s="4" t="s">
        <v>32</v>
      </c>
      <c r="N873" s="4" t="s">
        <v>197</v>
      </c>
      <c r="O873" s="5" t="s">
        <v>105</v>
      </c>
      <c r="P873" s="4" t="s">
        <v>196</v>
      </c>
      <c r="Q873" s="10">
        <v>13000</v>
      </c>
      <c r="R873" s="10">
        <v>0</v>
      </c>
      <c r="S873" s="9">
        <f t="shared" si="28"/>
        <v>13000</v>
      </c>
      <c r="T873" s="4" t="s">
        <v>53</v>
      </c>
      <c r="U873" s="4" t="s">
        <v>468</v>
      </c>
      <c r="V873" s="4"/>
      <c r="W873" s="4">
        <v>-2</v>
      </c>
      <c r="X873" s="4" t="s">
        <v>94</v>
      </c>
      <c r="Y873" s="4"/>
      <c r="Z873" s="7" t="s">
        <v>14</v>
      </c>
      <c r="AA873" s="36" t="s">
        <v>29</v>
      </c>
      <c r="AB873" s="4" t="s">
        <v>2607</v>
      </c>
      <c r="AC873" s="22">
        <f t="shared" si="27"/>
        <v>5.0980392156862742</v>
      </c>
      <c r="AD873" s="23">
        <v>0</v>
      </c>
    </row>
    <row r="874" spans="1:30" x14ac:dyDescent="0.35">
      <c r="A874" s="7">
        <v>897</v>
      </c>
      <c r="B874" s="6">
        <v>45892.494710648149</v>
      </c>
      <c r="C874" s="6">
        <v>45892</v>
      </c>
      <c r="D874" s="7" t="s">
        <v>2006</v>
      </c>
      <c r="E874" s="7" t="s">
        <v>61</v>
      </c>
      <c r="F874" s="7" t="s">
        <v>2005</v>
      </c>
      <c r="G874" s="7" t="s">
        <v>2005</v>
      </c>
      <c r="H874" s="7"/>
      <c r="I874" s="7"/>
      <c r="J874" s="7" t="s">
        <v>1816</v>
      </c>
      <c r="K874" s="7" t="s">
        <v>1815</v>
      </c>
      <c r="L874" s="7" t="s">
        <v>1992</v>
      </c>
      <c r="M874" s="7" t="s">
        <v>18</v>
      </c>
      <c r="N874" s="7" t="s">
        <v>266</v>
      </c>
      <c r="O874" s="7" t="s">
        <v>55</v>
      </c>
      <c r="P874" s="7" t="s">
        <v>54</v>
      </c>
      <c r="Q874" s="9">
        <v>1724800</v>
      </c>
      <c r="R874" s="9">
        <v>0</v>
      </c>
      <c r="S874" s="9">
        <f t="shared" si="28"/>
        <v>1724800</v>
      </c>
      <c r="T874" s="4" t="s">
        <v>53</v>
      </c>
      <c r="U874" s="7" t="s">
        <v>1991</v>
      </c>
      <c r="V874" s="7" t="s">
        <v>1990</v>
      </c>
      <c r="W874" s="9">
        <v>-100</v>
      </c>
      <c r="X874" s="7" t="s">
        <v>124</v>
      </c>
      <c r="Y874" s="7"/>
      <c r="Z874" s="7" t="s">
        <v>14</v>
      </c>
      <c r="AA874" s="36" t="s">
        <v>22</v>
      </c>
      <c r="AB874" s="4" t="s">
        <v>2835</v>
      </c>
      <c r="AC874" s="22">
        <f t="shared" si="27"/>
        <v>676.39215686274508</v>
      </c>
      <c r="AD874" s="23">
        <v>0</v>
      </c>
    </row>
    <row r="875" spans="1:30" x14ac:dyDescent="0.35">
      <c r="A875" s="7">
        <v>898</v>
      </c>
      <c r="B875" s="6">
        <v>45892</v>
      </c>
      <c r="C875" s="6">
        <v>45892</v>
      </c>
      <c r="D875" s="4" t="s">
        <v>636</v>
      </c>
      <c r="E875" s="4" t="s">
        <v>61</v>
      </c>
      <c r="F875" s="4" t="s">
        <v>635</v>
      </c>
      <c r="G875" s="4" t="s">
        <v>635</v>
      </c>
      <c r="H875" s="4"/>
      <c r="I875" s="4"/>
      <c r="J875" s="4" t="s">
        <v>59</v>
      </c>
      <c r="K875" s="4" t="s">
        <v>58</v>
      </c>
      <c r="L875" s="4" t="s">
        <v>57</v>
      </c>
      <c r="M875" s="4" t="s">
        <v>32</v>
      </c>
      <c r="N875" s="4" t="s">
        <v>317</v>
      </c>
      <c r="O875" s="5" t="s">
        <v>68</v>
      </c>
      <c r="P875" s="4" t="s">
        <v>54</v>
      </c>
      <c r="Q875" s="10">
        <v>20580.810000000001</v>
      </c>
      <c r="R875" s="10">
        <v>0</v>
      </c>
      <c r="S875" s="9">
        <f t="shared" si="28"/>
        <v>20580.810000000001</v>
      </c>
      <c r="T875" s="4" t="s">
        <v>53</v>
      </c>
      <c r="U875" s="4" t="s">
        <v>423</v>
      </c>
      <c r="V875" s="4"/>
      <c r="W875" s="4">
        <v>-5</v>
      </c>
      <c r="X875" s="4" t="s">
        <v>51</v>
      </c>
      <c r="Y875" s="4"/>
      <c r="Z875" s="7" t="s">
        <v>14</v>
      </c>
      <c r="AA875" s="36" t="s">
        <v>23</v>
      </c>
      <c r="AB875" s="4" t="s">
        <v>2607</v>
      </c>
      <c r="AC875" s="22">
        <f t="shared" ref="AC875:AC938" si="29">+S875/$AC$1</f>
        <v>8.0709058823529425</v>
      </c>
      <c r="AD875" s="23">
        <v>0</v>
      </c>
    </row>
    <row r="876" spans="1:30" x14ac:dyDescent="0.35">
      <c r="A876" s="7">
        <v>899</v>
      </c>
      <c r="B876" s="6">
        <v>45892</v>
      </c>
      <c r="C876" s="6">
        <v>45892</v>
      </c>
      <c r="D876" s="4" t="s">
        <v>634</v>
      </c>
      <c r="E876" s="4" t="s">
        <v>61</v>
      </c>
      <c r="F876" s="4" t="s">
        <v>633</v>
      </c>
      <c r="G876" s="4" t="s">
        <v>633</v>
      </c>
      <c r="H876" s="4"/>
      <c r="I876" s="4"/>
      <c r="J876" s="4" t="s">
        <v>59</v>
      </c>
      <c r="K876" s="4" t="s">
        <v>58</v>
      </c>
      <c r="L876" s="4" t="s">
        <v>57</v>
      </c>
      <c r="M876" s="4" t="s">
        <v>32</v>
      </c>
      <c r="N876" s="4" t="s">
        <v>317</v>
      </c>
      <c r="O876" s="5" t="s">
        <v>68</v>
      </c>
      <c r="P876" s="4" t="s">
        <v>54</v>
      </c>
      <c r="Q876" s="10">
        <v>40975.08</v>
      </c>
      <c r="R876" s="10">
        <v>0</v>
      </c>
      <c r="S876" s="9">
        <f t="shared" si="28"/>
        <v>40975.08</v>
      </c>
      <c r="T876" s="4" t="s">
        <v>53</v>
      </c>
      <c r="U876" s="4" t="s">
        <v>271</v>
      </c>
      <c r="V876" s="4"/>
      <c r="W876" s="4">
        <v>-10</v>
      </c>
      <c r="X876" s="4" t="s">
        <v>124</v>
      </c>
      <c r="Y876" s="4"/>
      <c r="Z876" s="7" t="s">
        <v>14</v>
      </c>
      <c r="AA876" s="36" t="s">
        <v>23</v>
      </c>
      <c r="AB876" s="4" t="s">
        <v>2607</v>
      </c>
      <c r="AC876" s="22">
        <f t="shared" si="29"/>
        <v>16.068658823529411</v>
      </c>
      <c r="AD876" s="23">
        <v>0</v>
      </c>
    </row>
    <row r="877" spans="1:30" x14ac:dyDescent="0.35">
      <c r="A877" s="7">
        <v>900</v>
      </c>
      <c r="B877" s="6">
        <v>45892</v>
      </c>
      <c r="C877" s="6">
        <v>45892</v>
      </c>
      <c r="D877" s="4" t="s">
        <v>478</v>
      </c>
      <c r="E877" s="4" t="s">
        <v>61</v>
      </c>
      <c r="F877" s="4" t="s">
        <v>477</v>
      </c>
      <c r="G877" s="4" t="s">
        <v>477</v>
      </c>
      <c r="H877" s="4"/>
      <c r="I877" s="4"/>
      <c r="J877" s="4" t="s">
        <v>59</v>
      </c>
      <c r="K877" s="4" t="s">
        <v>58</v>
      </c>
      <c r="L877" s="4" t="s">
        <v>57</v>
      </c>
      <c r="M877" s="4" t="s">
        <v>32</v>
      </c>
      <c r="N877" s="4" t="s">
        <v>197</v>
      </c>
      <c r="O877" s="5" t="s">
        <v>105</v>
      </c>
      <c r="P877" s="4" t="s">
        <v>196</v>
      </c>
      <c r="Q877" s="10">
        <v>286740.27</v>
      </c>
      <c r="R877" s="10">
        <v>0</v>
      </c>
      <c r="S877" s="9">
        <f t="shared" si="28"/>
        <v>286740.27</v>
      </c>
      <c r="T877" s="4" t="s">
        <v>53</v>
      </c>
      <c r="U877" s="4" t="s">
        <v>195</v>
      </c>
      <c r="V877" s="4"/>
      <c r="W877" s="4">
        <v>-50</v>
      </c>
      <c r="X877" s="4" t="s">
        <v>94</v>
      </c>
      <c r="Y877" s="4"/>
      <c r="Z877" s="7" t="s">
        <v>14</v>
      </c>
      <c r="AA877" s="36" t="s">
        <v>29</v>
      </c>
      <c r="AB877" s="4" t="s">
        <v>2607</v>
      </c>
      <c r="AC877" s="22">
        <f t="shared" si="29"/>
        <v>112.44716470588236</v>
      </c>
      <c r="AD877" s="23">
        <v>0</v>
      </c>
    </row>
    <row r="878" spans="1:30" x14ac:dyDescent="0.35">
      <c r="A878" s="7">
        <v>901</v>
      </c>
      <c r="B878" s="6">
        <v>45892</v>
      </c>
      <c r="C878" s="6">
        <v>45892</v>
      </c>
      <c r="D878" s="4" t="s">
        <v>476</v>
      </c>
      <c r="E878" s="4" t="s">
        <v>61</v>
      </c>
      <c r="F878" s="4" t="s">
        <v>475</v>
      </c>
      <c r="G878" s="4" t="s">
        <v>475</v>
      </c>
      <c r="H878" s="4"/>
      <c r="I878" s="4"/>
      <c r="J878" s="4" t="s">
        <v>59</v>
      </c>
      <c r="K878" s="4" t="s">
        <v>58</v>
      </c>
      <c r="L878" s="4" t="s">
        <v>57</v>
      </c>
      <c r="M878" s="4" t="s">
        <v>32</v>
      </c>
      <c r="N878" s="4" t="s">
        <v>197</v>
      </c>
      <c r="O878" s="5" t="s">
        <v>105</v>
      </c>
      <c r="P878" s="4" t="s">
        <v>196</v>
      </c>
      <c r="Q878" s="10">
        <v>6712145.3899999997</v>
      </c>
      <c r="R878" s="10">
        <v>0</v>
      </c>
      <c r="S878" s="9">
        <f t="shared" si="28"/>
        <v>6712145.3899999997</v>
      </c>
      <c r="T878" s="4" t="s">
        <v>53</v>
      </c>
      <c r="U878" s="4" t="s">
        <v>474</v>
      </c>
      <c r="V878" s="4"/>
      <c r="W878" s="4">
        <v>-1</v>
      </c>
      <c r="X878" s="4" t="s">
        <v>94</v>
      </c>
      <c r="Y878" s="4"/>
      <c r="Z878" s="7" t="s">
        <v>14</v>
      </c>
      <c r="AA878" s="36" t="s">
        <v>29</v>
      </c>
      <c r="AB878" s="4" t="s">
        <v>2607</v>
      </c>
      <c r="AC878" s="22">
        <f t="shared" si="29"/>
        <v>2632.2138784313724</v>
      </c>
      <c r="AD878" s="23">
        <v>0</v>
      </c>
    </row>
    <row r="879" spans="1:30" hidden="1" x14ac:dyDescent="0.35">
      <c r="A879" s="7">
        <v>902</v>
      </c>
      <c r="B879" s="6">
        <v>45894.59003472222</v>
      </c>
      <c r="C879" s="6">
        <v>45894</v>
      </c>
      <c r="D879" s="7" t="s">
        <v>2004</v>
      </c>
      <c r="E879" s="7" t="s">
        <v>1819</v>
      </c>
      <c r="F879" s="7" t="s">
        <v>2003</v>
      </c>
      <c r="G879" s="7" t="s">
        <v>2002</v>
      </c>
      <c r="H879" s="7"/>
      <c r="I879" s="7"/>
      <c r="J879" s="7" t="s">
        <v>1816</v>
      </c>
      <c r="K879" s="7" t="s">
        <v>1815</v>
      </c>
      <c r="L879" s="7" t="s">
        <v>1814</v>
      </c>
      <c r="M879" s="7" t="s">
        <v>28</v>
      </c>
      <c r="N879" s="7" t="s">
        <v>1813</v>
      </c>
      <c r="O879" s="7" t="s">
        <v>1704</v>
      </c>
      <c r="P879" s="7" t="s">
        <v>2001</v>
      </c>
      <c r="Q879" s="9">
        <v>1400000</v>
      </c>
      <c r="R879" s="9">
        <v>0</v>
      </c>
      <c r="S879" s="9">
        <f t="shared" si="28"/>
        <v>1400000</v>
      </c>
      <c r="T879" s="4" t="s">
        <v>53</v>
      </c>
      <c r="U879" s="7"/>
      <c r="V879" s="7"/>
      <c r="W879" s="9">
        <v>1</v>
      </c>
      <c r="X879" s="7"/>
      <c r="Y879" s="7"/>
      <c r="Z879" s="7" t="s">
        <v>14</v>
      </c>
      <c r="AA879" s="36" t="s">
        <v>28</v>
      </c>
      <c r="AB879" s="4"/>
      <c r="AC879" s="22">
        <f t="shared" si="29"/>
        <v>549.01960784313724</v>
      </c>
      <c r="AD879" s="23">
        <v>0</v>
      </c>
    </row>
    <row r="880" spans="1:30" x14ac:dyDescent="0.35">
      <c r="A880" s="7">
        <v>903</v>
      </c>
      <c r="B880" s="6">
        <v>45894</v>
      </c>
      <c r="C880" s="6">
        <v>45894</v>
      </c>
      <c r="D880" s="4" t="s">
        <v>638</v>
      </c>
      <c r="E880" s="4" t="s">
        <v>61</v>
      </c>
      <c r="F880" s="4" t="s">
        <v>637</v>
      </c>
      <c r="G880" s="4" t="s">
        <v>637</v>
      </c>
      <c r="H880" s="4"/>
      <c r="I880" s="4"/>
      <c r="J880" s="4" t="s">
        <v>59</v>
      </c>
      <c r="K880" s="4" t="s">
        <v>58</v>
      </c>
      <c r="L880" s="4" t="s">
        <v>57</v>
      </c>
      <c r="M880" s="4" t="s">
        <v>32</v>
      </c>
      <c r="N880" s="4" t="s">
        <v>317</v>
      </c>
      <c r="O880" s="5" t="s">
        <v>68</v>
      </c>
      <c r="P880" s="4" t="s">
        <v>54</v>
      </c>
      <c r="Q880" s="10">
        <v>20580.82</v>
      </c>
      <c r="R880" s="10">
        <v>0</v>
      </c>
      <c r="S880" s="9">
        <f t="shared" si="28"/>
        <v>20580.82</v>
      </c>
      <c r="T880" s="4" t="s">
        <v>53</v>
      </c>
      <c r="U880" s="4" t="s">
        <v>423</v>
      </c>
      <c r="V880" s="4"/>
      <c r="W880" s="4">
        <v>-5</v>
      </c>
      <c r="X880" s="4" t="s">
        <v>51</v>
      </c>
      <c r="Y880" s="4"/>
      <c r="Z880" s="7" t="s">
        <v>14</v>
      </c>
      <c r="AA880" s="36" t="s">
        <v>23</v>
      </c>
      <c r="AB880" s="4" t="s">
        <v>2607</v>
      </c>
      <c r="AC880" s="22">
        <f t="shared" si="29"/>
        <v>8.0709098039215679</v>
      </c>
      <c r="AD880" s="23">
        <v>0</v>
      </c>
    </row>
    <row r="881" spans="1:30" x14ac:dyDescent="0.35">
      <c r="A881" s="7">
        <v>904</v>
      </c>
      <c r="B881" s="6">
        <v>45894</v>
      </c>
      <c r="C881" s="6">
        <v>45894</v>
      </c>
      <c r="D881" s="4" t="s">
        <v>480</v>
      </c>
      <c r="E881" s="4" t="s">
        <v>61</v>
      </c>
      <c r="F881" s="4" t="s">
        <v>479</v>
      </c>
      <c r="G881" s="4" t="s">
        <v>479</v>
      </c>
      <c r="H881" s="4"/>
      <c r="I881" s="4"/>
      <c r="J881" s="4" t="s">
        <v>59</v>
      </c>
      <c r="K881" s="4" t="s">
        <v>58</v>
      </c>
      <c r="L881" s="4" t="s">
        <v>57</v>
      </c>
      <c r="M881" s="4" t="s">
        <v>32</v>
      </c>
      <c r="N881" s="4" t="s">
        <v>197</v>
      </c>
      <c r="O881" s="5" t="s">
        <v>105</v>
      </c>
      <c r="P881" s="4" t="s">
        <v>196</v>
      </c>
      <c r="Q881" s="10">
        <v>114696.11</v>
      </c>
      <c r="R881" s="10">
        <v>0</v>
      </c>
      <c r="S881" s="9">
        <f t="shared" si="28"/>
        <v>114696.11</v>
      </c>
      <c r="T881" s="4" t="s">
        <v>53</v>
      </c>
      <c r="U881" s="4" t="s">
        <v>195</v>
      </c>
      <c r="V881" s="4"/>
      <c r="W881" s="4">
        <v>-20</v>
      </c>
      <c r="X881" s="4" t="s">
        <v>94</v>
      </c>
      <c r="Y881" s="4"/>
      <c r="Z881" s="7" t="s">
        <v>14</v>
      </c>
      <c r="AA881" s="36" t="s">
        <v>29</v>
      </c>
      <c r="AB881" s="4" t="s">
        <v>2607</v>
      </c>
      <c r="AC881" s="22">
        <f t="shared" si="29"/>
        <v>44.978866666666669</v>
      </c>
      <c r="AD881" s="23">
        <v>0</v>
      </c>
    </row>
    <row r="882" spans="1:30" hidden="1" x14ac:dyDescent="0.35">
      <c r="A882" s="7">
        <v>905</v>
      </c>
      <c r="B882" s="6">
        <v>45895</v>
      </c>
      <c r="C882" s="6">
        <v>45895</v>
      </c>
      <c r="D882" s="7" t="s">
        <v>1720</v>
      </c>
      <c r="E882" s="7" t="s">
        <v>61</v>
      </c>
      <c r="F882" s="7" t="s">
        <v>1719</v>
      </c>
      <c r="G882" s="7" t="s">
        <v>1719</v>
      </c>
      <c r="H882" s="7"/>
      <c r="I882" s="7"/>
      <c r="J882" s="7" t="s">
        <v>59</v>
      </c>
      <c r="K882" s="7" t="s">
        <v>58</v>
      </c>
      <c r="L882" s="7" t="s">
        <v>325</v>
      </c>
      <c r="M882" s="7" t="s">
        <v>1764</v>
      </c>
      <c r="N882" s="7" t="s">
        <v>1699</v>
      </c>
      <c r="O882" s="7" t="s">
        <v>1703</v>
      </c>
      <c r="P882" s="7" t="s">
        <v>196</v>
      </c>
      <c r="Q882" s="9">
        <v>740112.99</v>
      </c>
      <c r="R882" s="9">
        <v>0</v>
      </c>
      <c r="S882" s="9">
        <f t="shared" si="28"/>
        <v>740112.99</v>
      </c>
      <c r="T882" s="4" t="s">
        <v>53</v>
      </c>
      <c r="U882" s="7" t="s">
        <v>1718</v>
      </c>
      <c r="V882" s="4"/>
      <c r="W882" s="9">
        <v>-1</v>
      </c>
      <c r="X882" s="7" t="s">
        <v>94</v>
      </c>
      <c r="Y882" s="7"/>
      <c r="Z882" s="7" t="s">
        <v>7</v>
      </c>
      <c r="AA882" s="37" t="s">
        <v>8</v>
      </c>
      <c r="AB882" s="16"/>
      <c r="AC882" s="22">
        <f t="shared" si="29"/>
        <v>290.24038823529412</v>
      </c>
      <c r="AD882" s="23">
        <v>0</v>
      </c>
    </row>
    <row r="883" spans="1:30" hidden="1" x14ac:dyDescent="0.35">
      <c r="A883" s="7">
        <v>906</v>
      </c>
      <c r="B883" s="6">
        <v>45895</v>
      </c>
      <c r="C883" s="6">
        <v>45895</v>
      </c>
      <c r="D883" s="4" t="s">
        <v>516</v>
      </c>
      <c r="E883" s="4" t="s">
        <v>61</v>
      </c>
      <c r="F883" s="4" t="s">
        <v>515</v>
      </c>
      <c r="G883" s="4" t="s">
        <v>515</v>
      </c>
      <c r="H883" s="4"/>
      <c r="I883" s="4"/>
      <c r="J883" s="4" t="s">
        <v>59</v>
      </c>
      <c r="K883" s="4" t="s">
        <v>58</v>
      </c>
      <c r="L883" s="4" t="s">
        <v>57</v>
      </c>
      <c r="M883" s="4" t="s">
        <v>32</v>
      </c>
      <c r="N883" s="4" t="s">
        <v>211</v>
      </c>
      <c r="O883" s="5" t="s">
        <v>210</v>
      </c>
      <c r="P883" s="4" t="s">
        <v>210</v>
      </c>
      <c r="Q883" s="10">
        <v>409750.93</v>
      </c>
      <c r="R883" s="10">
        <v>0</v>
      </c>
      <c r="S883" s="9">
        <f t="shared" si="28"/>
        <v>409750.93</v>
      </c>
      <c r="T883" s="4" t="s">
        <v>53</v>
      </c>
      <c r="U883" s="4" t="s">
        <v>271</v>
      </c>
      <c r="V883" s="4"/>
      <c r="W883" s="4">
        <v>-100</v>
      </c>
      <c r="X883" s="4" t="s">
        <v>124</v>
      </c>
      <c r="Y883" s="4"/>
      <c r="Z883" s="7" t="s">
        <v>14</v>
      </c>
      <c r="AA883" s="36" t="s">
        <v>30</v>
      </c>
      <c r="AB883" s="4"/>
      <c r="AC883" s="22">
        <f t="shared" si="29"/>
        <v>160.68663921568628</v>
      </c>
      <c r="AD883" s="23">
        <v>0</v>
      </c>
    </row>
    <row r="884" spans="1:30" x14ac:dyDescent="0.35">
      <c r="A884" s="7">
        <v>907</v>
      </c>
      <c r="B884" s="6">
        <v>45895</v>
      </c>
      <c r="C884" s="6">
        <v>45895</v>
      </c>
      <c r="D884" s="4" t="s">
        <v>486</v>
      </c>
      <c r="E884" s="4" t="s">
        <v>61</v>
      </c>
      <c r="F884" s="4" t="s">
        <v>485</v>
      </c>
      <c r="G884" s="4" t="s">
        <v>485</v>
      </c>
      <c r="H884" s="4"/>
      <c r="I884" s="4"/>
      <c r="J884" s="4" t="s">
        <v>59</v>
      </c>
      <c r="K884" s="4" t="s">
        <v>58</v>
      </c>
      <c r="L884" s="4" t="s">
        <v>57</v>
      </c>
      <c r="M884" s="4" t="s">
        <v>32</v>
      </c>
      <c r="N884" s="4" t="s">
        <v>197</v>
      </c>
      <c r="O884" s="5" t="s">
        <v>105</v>
      </c>
      <c r="P884" s="4" t="s">
        <v>196</v>
      </c>
      <c r="Q884" s="10">
        <v>4060029.56</v>
      </c>
      <c r="R884" s="10">
        <v>0</v>
      </c>
      <c r="S884" s="9">
        <f t="shared" si="28"/>
        <v>4060029.56</v>
      </c>
      <c r="T884" s="4" t="s">
        <v>53</v>
      </c>
      <c r="U884" s="4" t="s">
        <v>440</v>
      </c>
      <c r="V884" s="4"/>
      <c r="W884" s="4">
        <v>-2</v>
      </c>
      <c r="X884" s="4" t="s">
        <v>94</v>
      </c>
      <c r="Y884" s="4"/>
      <c r="Z884" s="7" t="s">
        <v>14</v>
      </c>
      <c r="AA884" s="36" t="s">
        <v>29</v>
      </c>
      <c r="AB884" s="4" t="s">
        <v>2607</v>
      </c>
      <c r="AC884" s="22">
        <f t="shared" si="29"/>
        <v>1592.1684549019608</v>
      </c>
      <c r="AD884" s="23">
        <v>0</v>
      </c>
    </row>
    <row r="885" spans="1:30" x14ac:dyDescent="0.35">
      <c r="A885" s="7">
        <v>908</v>
      </c>
      <c r="B885" s="6">
        <v>45895</v>
      </c>
      <c r="C885" s="6">
        <v>45895</v>
      </c>
      <c r="D885" s="4" t="s">
        <v>484</v>
      </c>
      <c r="E885" s="4" t="s">
        <v>61</v>
      </c>
      <c r="F885" s="4" t="s">
        <v>483</v>
      </c>
      <c r="G885" s="4" t="s">
        <v>483</v>
      </c>
      <c r="H885" s="4"/>
      <c r="I885" s="4"/>
      <c r="J885" s="4" t="s">
        <v>59</v>
      </c>
      <c r="K885" s="4" t="s">
        <v>58</v>
      </c>
      <c r="L885" s="4" t="s">
        <v>57</v>
      </c>
      <c r="M885" s="4" t="s">
        <v>32</v>
      </c>
      <c r="N885" s="4" t="s">
        <v>197</v>
      </c>
      <c r="O885" s="5" t="s">
        <v>105</v>
      </c>
      <c r="P885" s="4" t="s">
        <v>196</v>
      </c>
      <c r="Q885" s="10">
        <v>1553872.39</v>
      </c>
      <c r="R885" s="10">
        <v>0</v>
      </c>
      <c r="S885" s="9">
        <f t="shared" si="28"/>
        <v>1553872.39</v>
      </c>
      <c r="T885" s="4" t="s">
        <v>53</v>
      </c>
      <c r="U885" s="4" t="s">
        <v>434</v>
      </c>
      <c r="V885" s="4"/>
      <c r="W885" s="4">
        <v>-3</v>
      </c>
      <c r="X885" s="4" t="s">
        <v>94</v>
      </c>
      <c r="Y885" s="4"/>
      <c r="Z885" s="7" t="s">
        <v>14</v>
      </c>
      <c r="AA885" s="36" t="s">
        <v>29</v>
      </c>
      <c r="AB885" s="4" t="s">
        <v>2607</v>
      </c>
      <c r="AC885" s="22">
        <f t="shared" si="29"/>
        <v>609.36172156862744</v>
      </c>
      <c r="AD885" s="23">
        <v>0</v>
      </c>
    </row>
    <row r="886" spans="1:30" x14ac:dyDescent="0.35">
      <c r="A886" s="7">
        <v>909</v>
      </c>
      <c r="B886" s="6">
        <v>45895</v>
      </c>
      <c r="C886" s="6">
        <v>45895</v>
      </c>
      <c r="D886" s="4" t="s">
        <v>482</v>
      </c>
      <c r="E886" s="4" t="s">
        <v>61</v>
      </c>
      <c r="F886" s="4" t="s">
        <v>481</v>
      </c>
      <c r="G886" s="4" t="s">
        <v>481</v>
      </c>
      <c r="H886" s="4"/>
      <c r="I886" s="4"/>
      <c r="J886" s="4" t="s">
        <v>59</v>
      </c>
      <c r="K886" s="4" t="s">
        <v>58</v>
      </c>
      <c r="L886" s="4" t="s">
        <v>57</v>
      </c>
      <c r="M886" s="4" t="s">
        <v>32</v>
      </c>
      <c r="N886" s="4" t="s">
        <v>197</v>
      </c>
      <c r="O886" s="5" t="s">
        <v>105</v>
      </c>
      <c r="P886" s="4" t="s">
        <v>196</v>
      </c>
      <c r="Q886" s="10">
        <v>130059.26</v>
      </c>
      <c r="R886" s="10">
        <v>0</v>
      </c>
      <c r="S886" s="9">
        <f t="shared" si="28"/>
        <v>130059.26</v>
      </c>
      <c r="T886" s="4" t="s">
        <v>53</v>
      </c>
      <c r="U886" s="4" t="s">
        <v>428</v>
      </c>
      <c r="V886" s="4"/>
      <c r="W886" s="4">
        <v>-1</v>
      </c>
      <c r="X886" s="4" t="s">
        <v>94</v>
      </c>
      <c r="Y886" s="4"/>
      <c r="Z886" s="7" t="s">
        <v>14</v>
      </c>
      <c r="AA886" s="36" t="s">
        <v>29</v>
      </c>
      <c r="AB886" s="4" t="s">
        <v>2607</v>
      </c>
      <c r="AC886" s="22">
        <f t="shared" si="29"/>
        <v>51.003631372549016</v>
      </c>
      <c r="AD886" s="23">
        <v>0</v>
      </c>
    </row>
    <row r="887" spans="1:30" x14ac:dyDescent="0.35">
      <c r="A887" s="7">
        <v>910</v>
      </c>
      <c r="B887" s="6">
        <v>45895</v>
      </c>
      <c r="C887" s="6">
        <v>45895</v>
      </c>
      <c r="D887" s="4" t="s">
        <v>394</v>
      </c>
      <c r="E887" s="4" t="s">
        <v>61</v>
      </c>
      <c r="F887" s="4" t="s">
        <v>393</v>
      </c>
      <c r="G887" s="4" t="s">
        <v>393</v>
      </c>
      <c r="H887" s="4"/>
      <c r="I887" s="4"/>
      <c r="J887" s="4" t="s">
        <v>59</v>
      </c>
      <c r="K887" s="4" t="s">
        <v>58</v>
      </c>
      <c r="L887" s="4" t="s">
        <v>57</v>
      </c>
      <c r="M887" s="4" t="s">
        <v>32</v>
      </c>
      <c r="N887" s="12" t="s">
        <v>197</v>
      </c>
      <c r="O887" s="5" t="s">
        <v>68</v>
      </c>
      <c r="P887" s="4" t="s">
        <v>54</v>
      </c>
      <c r="Q887" s="10">
        <v>105000</v>
      </c>
      <c r="R887" s="10">
        <v>0</v>
      </c>
      <c r="S887" s="9">
        <f t="shared" si="28"/>
        <v>105000</v>
      </c>
      <c r="T887" s="4" t="s">
        <v>53</v>
      </c>
      <c r="U887" s="4" t="s">
        <v>121</v>
      </c>
      <c r="V887" s="4"/>
      <c r="W887" s="4">
        <v>-7</v>
      </c>
      <c r="X887" s="4" t="s">
        <v>94</v>
      </c>
      <c r="Y887" s="4"/>
      <c r="Z887" s="7" t="s">
        <v>14</v>
      </c>
      <c r="AA887" s="36" t="s">
        <v>29</v>
      </c>
      <c r="AB887" s="4" t="s">
        <v>2607</v>
      </c>
      <c r="AC887" s="22">
        <f t="shared" si="29"/>
        <v>41.176470588235297</v>
      </c>
      <c r="AD887" s="23">
        <v>0</v>
      </c>
    </row>
    <row r="888" spans="1:30" x14ac:dyDescent="0.35">
      <c r="A888" s="7">
        <v>911</v>
      </c>
      <c r="B888" s="6">
        <v>45895</v>
      </c>
      <c r="C888" s="6">
        <v>45895</v>
      </c>
      <c r="D888" s="4" t="s">
        <v>392</v>
      </c>
      <c r="E888" s="4" t="s">
        <v>61</v>
      </c>
      <c r="F888" s="4" t="s">
        <v>391</v>
      </c>
      <c r="G888" s="4" t="s">
        <v>391</v>
      </c>
      <c r="H888" s="4"/>
      <c r="I888" s="4"/>
      <c r="J888" s="4" t="s">
        <v>59</v>
      </c>
      <c r="K888" s="4" t="s">
        <v>58</v>
      </c>
      <c r="L888" s="4" t="s">
        <v>57</v>
      </c>
      <c r="M888" s="4" t="s">
        <v>32</v>
      </c>
      <c r="N888" s="12" t="s">
        <v>197</v>
      </c>
      <c r="O888" s="5" t="s">
        <v>68</v>
      </c>
      <c r="P888" s="4" t="s">
        <v>54</v>
      </c>
      <c r="Q888" s="10">
        <v>19325.93</v>
      </c>
      <c r="R888" s="10">
        <v>0</v>
      </c>
      <c r="S888" s="9">
        <f t="shared" si="28"/>
        <v>19325.93</v>
      </c>
      <c r="T888" s="4" t="s">
        <v>53</v>
      </c>
      <c r="U888" s="4" t="s">
        <v>117</v>
      </c>
      <c r="V888" s="4"/>
      <c r="W888" s="4">
        <v>-6</v>
      </c>
      <c r="X888" s="4" t="s">
        <v>94</v>
      </c>
      <c r="Y888" s="4"/>
      <c r="Z888" s="7" t="s">
        <v>14</v>
      </c>
      <c r="AA888" s="36" t="s">
        <v>29</v>
      </c>
      <c r="AB888" s="4" t="s">
        <v>2607</v>
      </c>
      <c r="AC888" s="22">
        <f t="shared" si="29"/>
        <v>7.578796078431373</v>
      </c>
      <c r="AD888" s="23">
        <v>0</v>
      </c>
    </row>
    <row r="889" spans="1:30" x14ac:dyDescent="0.35">
      <c r="A889" s="7">
        <v>912</v>
      </c>
      <c r="B889" s="6">
        <v>45895</v>
      </c>
      <c r="C889" s="6">
        <v>45895</v>
      </c>
      <c r="D889" s="4" t="s">
        <v>390</v>
      </c>
      <c r="E889" s="4" t="s">
        <v>61</v>
      </c>
      <c r="F889" s="4" t="s">
        <v>389</v>
      </c>
      <c r="G889" s="4" t="s">
        <v>389</v>
      </c>
      <c r="H889" s="4"/>
      <c r="I889" s="4"/>
      <c r="J889" s="4" t="s">
        <v>59</v>
      </c>
      <c r="K889" s="4" t="s">
        <v>58</v>
      </c>
      <c r="L889" s="4" t="s">
        <v>57</v>
      </c>
      <c r="M889" s="4" t="s">
        <v>32</v>
      </c>
      <c r="N889" s="12" t="s">
        <v>197</v>
      </c>
      <c r="O889" s="5" t="s">
        <v>68</v>
      </c>
      <c r="P889" s="4" t="s">
        <v>54</v>
      </c>
      <c r="Q889" s="10">
        <v>81950.19</v>
      </c>
      <c r="R889" s="10">
        <v>0</v>
      </c>
      <c r="S889" s="9">
        <f t="shared" si="28"/>
        <v>81950.19</v>
      </c>
      <c r="T889" s="4" t="s">
        <v>53</v>
      </c>
      <c r="U889" s="4" t="s">
        <v>271</v>
      </c>
      <c r="V889" s="4"/>
      <c r="W889" s="4">
        <v>-20</v>
      </c>
      <c r="X889" s="4" t="s">
        <v>124</v>
      </c>
      <c r="Y889" s="4"/>
      <c r="Z889" s="7" t="s">
        <v>14</v>
      </c>
      <c r="AA889" s="36" t="s">
        <v>29</v>
      </c>
      <c r="AB889" s="4" t="s">
        <v>2607</v>
      </c>
      <c r="AC889" s="22">
        <f t="shared" si="29"/>
        <v>32.137329411764703</v>
      </c>
      <c r="AD889" s="23">
        <v>0</v>
      </c>
    </row>
    <row r="890" spans="1:30" x14ac:dyDescent="0.35">
      <c r="A890" s="7">
        <v>913</v>
      </c>
      <c r="B890" s="6">
        <v>45895</v>
      </c>
      <c r="C890" s="6">
        <v>45895</v>
      </c>
      <c r="D890" s="4" t="s">
        <v>337</v>
      </c>
      <c r="E890" s="4" t="s">
        <v>61</v>
      </c>
      <c r="F890" s="4" t="s">
        <v>336</v>
      </c>
      <c r="G890" s="4" t="s">
        <v>336</v>
      </c>
      <c r="H890" s="4"/>
      <c r="I890" s="4"/>
      <c r="J890" s="4" t="s">
        <v>59</v>
      </c>
      <c r="K890" s="4" t="s">
        <v>58</v>
      </c>
      <c r="L890" s="4" t="s">
        <v>57</v>
      </c>
      <c r="M890" s="4" t="s">
        <v>32</v>
      </c>
      <c r="N890" s="4" t="s">
        <v>96</v>
      </c>
      <c r="O890" s="5" t="s">
        <v>68</v>
      </c>
      <c r="P890" s="4" t="s">
        <v>54</v>
      </c>
      <c r="Q890" s="10">
        <v>74250</v>
      </c>
      <c r="R890" s="10">
        <v>0</v>
      </c>
      <c r="S890" s="9">
        <f t="shared" si="28"/>
        <v>74250</v>
      </c>
      <c r="T890" s="4" t="s">
        <v>53</v>
      </c>
      <c r="U890" s="4" t="s">
        <v>133</v>
      </c>
      <c r="V890" s="4"/>
      <c r="W890" s="4">
        <v>-14.85</v>
      </c>
      <c r="X890" s="4" t="s">
        <v>124</v>
      </c>
      <c r="Y890" s="4"/>
      <c r="Z890" s="7" t="s">
        <v>14</v>
      </c>
      <c r="AA890" s="36" t="s">
        <v>27</v>
      </c>
      <c r="AB890" s="4" t="s">
        <v>2603</v>
      </c>
      <c r="AC890" s="22">
        <f t="shared" si="29"/>
        <v>29.117647058823529</v>
      </c>
      <c r="AD890" s="23">
        <v>0</v>
      </c>
    </row>
    <row r="891" spans="1:30" x14ac:dyDescent="0.35">
      <c r="A891" s="7">
        <v>914</v>
      </c>
      <c r="B891" s="6">
        <v>45895</v>
      </c>
      <c r="C891" s="6">
        <v>45895</v>
      </c>
      <c r="D891" s="4" t="s">
        <v>335</v>
      </c>
      <c r="E891" s="4" t="s">
        <v>61</v>
      </c>
      <c r="F891" s="4" t="s">
        <v>334</v>
      </c>
      <c r="G891" s="4" t="s">
        <v>334</v>
      </c>
      <c r="H891" s="4"/>
      <c r="I891" s="4"/>
      <c r="J891" s="4" t="s">
        <v>59</v>
      </c>
      <c r="K891" s="4" t="s">
        <v>58</v>
      </c>
      <c r="L891" s="4" t="s">
        <v>57</v>
      </c>
      <c r="M891" s="4" t="s">
        <v>32</v>
      </c>
      <c r="N891" s="4" t="s">
        <v>96</v>
      </c>
      <c r="O891" s="5" t="s">
        <v>68</v>
      </c>
      <c r="P891" s="4" t="s">
        <v>54</v>
      </c>
      <c r="Q891" s="10">
        <v>580843.31999999995</v>
      </c>
      <c r="R891" s="10">
        <v>0</v>
      </c>
      <c r="S891" s="9">
        <f t="shared" si="28"/>
        <v>580843.31999999995</v>
      </c>
      <c r="T891" s="4" t="s">
        <v>53</v>
      </c>
      <c r="U891" s="4" t="s">
        <v>130</v>
      </c>
      <c r="V891" s="4"/>
      <c r="W891" s="4">
        <v>-40</v>
      </c>
      <c r="X891" s="4" t="s">
        <v>129</v>
      </c>
      <c r="Y891" s="4"/>
      <c r="Z891" s="7" t="s">
        <v>14</v>
      </c>
      <c r="AA891" s="36" t="s">
        <v>27</v>
      </c>
      <c r="AB891" s="4" t="s">
        <v>2603</v>
      </c>
      <c r="AC891" s="22">
        <f t="shared" si="29"/>
        <v>227.78169411764705</v>
      </c>
      <c r="AD891" s="23">
        <v>0</v>
      </c>
    </row>
    <row r="892" spans="1:30" x14ac:dyDescent="0.35">
      <c r="A892" s="7">
        <v>915</v>
      </c>
      <c r="B892" s="6">
        <v>45896</v>
      </c>
      <c r="C892" s="6">
        <v>45896</v>
      </c>
      <c r="D892" s="4" t="s">
        <v>349</v>
      </c>
      <c r="E892" s="4" t="s">
        <v>61</v>
      </c>
      <c r="F892" s="4" t="s">
        <v>348</v>
      </c>
      <c r="G892" s="4" t="s">
        <v>348</v>
      </c>
      <c r="H892" s="4"/>
      <c r="I892" s="4"/>
      <c r="J892" s="4" t="s">
        <v>59</v>
      </c>
      <c r="K892" s="4" t="s">
        <v>58</v>
      </c>
      <c r="L892" s="4" t="s">
        <v>57</v>
      </c>
      <c r="M892" s="4" t="s">
        <v>32</v>
      </c>
      <c r="N892" s="4" t="s">
        <v>106</v>
      </c>
      <c r="O892" s="5" t="s">
        <v>105</v>
      </c>
      <c r="P892" s="4" t="s">
        <v>54</v>
      </c>
      <c r="Q892" s="10">
        <v>28500</v>
      </c>
      <c r="R892" s="10">
        <v>0</v>
      </c>
      <c r="S892" s="9">
        <f t="shared" si="28"/>
        <v>28500</v>
      </c>
      <c r="T892" s="4" t="s">
        <v>53</v>
      </c>
      <c r="U892" s="4" t="s">
        <v>154</v>
      </c>
      <c r="V892" s="4"/>
      <c r="W892" s="4">
        <v>-5</v>
      </c>
      <c r="X892" s="4" t="s">
        <v>124</v>
      </c>
      <c r="Y892" s="4"/>
      <c r="Z892" s="7" t="s">
        <v>14</v>
      </c>
      <c r="AA892" s="36" t="s">
        <v>15</v>
      </c>
      <c r="AB892" s="4" t="s">
        <v>2606</v>
      </c>
      <c r="AC892" s="22">
        <f t="shared" si="29"/>
        <v>11.176470588235293</v>
      </c>
      <c r="AD892" s="23">
        <v>0</v>
      </c>
    </row>
    <row r="893" spans="1:30" x14ac:dyDescent="0.35">
      <c r="A893" s="7">
        <v>916</v>
      </c>
      <c r="B893" s="6">
        <v>45896</v>
      </c>
      <c r="C893" s="6">
        <v>45896</v>
      </c>
      <c r="D893" s="4" t="s">
        <v>347</v>
      </c>
      <c r="E893" s="4" t="s">
        <v>61</v>
      </c>
      <c r="F893" s="4" t="s">
        <v>346</v>
      </c>
      <c r="G893" s="4" t="s">
        <v>346</v>
      </c>
      <c r="H893" s="4"/>
      <c r="I893" s="4"/>
      <c r="J893" s="4" t="s">
        <v>59</v>
      </c>
      <c r="K893" s="4" t="s">
        <v>58</v>
      </c>
      <c r="L893" s="4" t="s">
        <v>57</v>
      </c>
      <c r="M893" s="4" t="s">
        <v>32</v>
      </c>
      <c r="N893" s="4" t="s">
        <v>106</v>
      </c>
      <c r="O893" s="5" t="s">
        <v>105</v>
      </c>
      <c r="P893" s="4" t="s">
        <v>54</v>
      </c>
      <c r="Q893" s="10">
        <v>22800</v>
      </c>
      <c r="R893" s="10">
        <v>0</v>
      </c>
      <c r="S893" s="9">
        <f t="shared" si="28"/>
        <v>22800</v>
      </c>
      <c r="T893" s="4" t="s">
        <v>53</v>
      </c>
      <c r="U893" s="4" t="s">
        <v>151</v>
      </c>
      <c r="V893" s="4"/>
      <c r="W893" s="4">
        <v>-4</v>
      </c>
      <c r="X893" s="4" t="s">
        <v>124</v>
      </c>
      <c r="Y893" s="4"/>
      <c r="Z893" s="7" t="s">
        <v>14</v>
      </c>
      <c r="AA893" s="36" t="s">
        <v>15</v>
      </c>
      <c r="AB893" s="4" t="s">
        <v>2606</v>
      </c>
      <c r="AC893" s="22">
        <f t="shared" si="29"/>
        <v>8.9411764705882355</v>
      </c>
      <c r="AD893" s="23">
        <v>0</v>
      </c>
    </row>
    <row r="894" spans="1:30" x14ac:dyDescent="0.35">
      <c r="A894" s="7">
        <v>917</v>
      </c>
      <c r="B894" s="6">
        <v>45896</v>
      </c>
      <c r="C894" s="6">
        <v>45896</v>
      </c>
      <c r="D894" s="4" t="s">
        <v>345</v>
      </c>
      <c r="E894" s="4" t="s">
        <v>61</v>
      </c>
      <c r="F894" s="4" t="s">
        <v>344</v>
      </c>
      <c r="G894" s="4" t="s">
        <v>344</v>
      </c>
      <c r="H894" s="4"/>
      <c r="I894" s="4"/>
      <c r="J894" s="4" t="s">
        <v>59</v>
      </c>
      <c r="K894" s="4" t="s">
        <v>58</v>
      </c>
      <c r="L894" s="4" t="s">
        <v>57</v>
      </c>
      <c r="M894" s="4" t="s">
        <v>32</v>
      </c>
      <c r="N894" s="4" t="s">
        <v>106</v>
      </c>
      <c r="O894" s="5" t="s">
        <v>105</v>
      </c>
      <c r="P894" s="4" t="s">
        <v>54</v>
      </c>
      <c r="Q894" s="10">
        <v>56000</v>
      </c>
      <c r="R894" s="10">
        <v>0</v>
      </c>
      <c r="S894" s="9">
        <f t="shared" si="28"/>
        <v>56000</v>
      </c>
      <c r="T894" s="4" t="s">
        <v>53</v>
      </c>
      <c r="U894" s="4" t="s">
        <v>148</v>
      </c>
      <c r="V894" s="4"/>
      <c r="W894" s="4">
        <v>-8</v>
      </c>
      <c r="X894" s="4" t="s">
        <v>94</v>
      </c>
      <c r="Y894" s="4"/>
      <c r="Z894" s="7" t="s">
        <v>14</v>
      </c>
      <c r="AA894" s="36" t="s">
        <v>15</v>
      </c>
      <c r="AB894" s="4" t="s">
        <v>2606</v>
      </c>
      <c r="AC894" s="22">
        <f t="shared" si="29"/>
        <v>21.96078431372549</v>
      </c>
      <c r="AD894" s="23">
        <v>0</v>
      </c>
    </row>
    <row r="895" spans="1:30" x14ac:dyDescent="0.35">
      <c r="A895" s="7">
        <v>918</v>
      </c>
      <c r="B895" s="6">
        <v>45896</v>
      </c>
      <c r="C895" s="6">
        <v>45896</v>
      </c>
      <c r="D895" s="4" t="s">
        <v>343</v>
      </c>
      <c r="E895" s="4" t="s">
        <v>61</v>
      </c>
      <c r="F895" s="4" t="s">
        <v>342</v>
      </c>
      <c r="G895" s="4" t="s">
        <v>342</v>
      </c>
      <c r="H895" s="4"/>
      <c r="I895" s="4"/>
      <c r="J895" s="4" t="s">
        <v>59</v>
      </c>
      <c r="K895" s="4" t="s">
        <v>58</v>
      </c>
      <c r="L895" s="4" t="s">
        <v>57</v>
      </c>
      <c r="M895" s="4" t="s">
        <v>32</v>
      </c>
      <c r="N895" s="4" t="s">
        <v>106</v>
      </c>
      <c r="O895" s="5" t="s">
        <v>105</v>
      </c>
      <c r="P895" s="4" t="s">
        <v>54</v>
      </c>
      <c r="Q895" s="10">
        <v>40000</v>
      </c>
      <c r="R895" s="10">
        <v>0</v>
      </c>
      <c r="S895" s="9">
        <f t="shared" si="28"/>
        <v>40000</v>
      </c>
      <c r="T895" s="4" t="s">
        <v>53</v>
      </c>
      <c r="U895" s="4" t="s">
        <v>145</v>
      </c>
      <c r="V895" s="4"/>
      <c r="W895" s="4">
        <v>-8</v>
      </c>
      <c r="X895" s="4" t="s">
        <v>94</v>
      </c>
      <c r="Y895" s="4"/>
      <c r="Z895" s="7" t="s">
        <v>14</v>
      </c>
      <c r="AA895" s="36" t="s">
        <v>15</v>
      </c>
      <c r="AB895" s="4" t="s">
        <v>2606</v>
      </c>
      <c r="AC895" s="22">
        <f t="shared" si="29"/>
        <v>15.686274509803921</v>
      </c>
      <c r="AD895" s="23">
        <v>0</v>
      </c>
    </row>
    <row r="896" spans="1:30" x14ac:dyDescent="0.35">
      <c r="A896" s="7">
        <v>919</v>
      </c>
      <c r="B896" s="6">
        <v>45897.54420138889</v>
      </c>
      <c r="C896" s="6">
        <v>45897</v>
      </c>
      <c r="D896" s="7" t="s">
        <v>1998</v>
      </c>
      <c r="E896" s="7" t="s">
        <v>1331</v>
      </c>
      <c r="F896" s="7" t="s">
        <v>2000</v>
      </c>
      <c r="G896" s="7" t="s">
        <v>1996</v>
      </c>
      <c r="H896" s="7" t="s">
        <v>1894</v>
      </c>
      <c r="I896" s="7" t="s">
        <v>1893</v>
      </c>
      <c r="J896" s="7" t="s">
        <v>1816</v>
      </c>
      <c r="K896" s="7" t="s">
        <v>1815</v>
      </c>
      <c r="L896" s="7" t="s">
        <v>1905</v>
      </c>
      <c r="M896" s="7" t="s">
        <v>22</v>
      </c>
      <c r="N896" s="7" t="s">
        <v>1995</v>
      </c>
      <c r="O896" s="7" t="s">
        <v>55</v>
      </c>
      <c r="P896" s="7" t="s">
        <v>54</v>
      </c>
      <c r="Q896" s="9">
        <v>1800000</v>
      </c>
      <c r="R896" s="9">
        <v>0</v>
      </c>
      <c r="S896" s="9">
        <f t="shared" si="28"/>
        <v>1800000</v>
      </c>
      <c r="T896" s="4" t="s">
        <v>53</v>
      </c>
      <c r="U896" s="7" t="s">
        <v>1904</v>
      </c>
      <c r="V896" s="7" t="s">
        <v>1823</v>
      </c>
      <c r="W896" s="9">
        <v>30</v>
      </c>
      <c r="X896" s="7" t="s">
        <v>1903</v>
      </c>
      <c r="Y896" s="7"/>
      <c r="Z896" s="7" t="s">
        <v>14</v>
      </c>
      <c r="AA896" s="36" t="s">
        <v>22</v>
      </c>
      <c r="AB896" s="4" t="s">
        <v>2835</v>
      </c>
      <c r="AC896" s="22">
        <f t="shared" si="29"/>
        <v>705.88235294117646</v>
      </c>
      <c r="AD896" s="23">
        <v>0</v>
      </c>
    </row>
    <row r="897" spans="1:30" x14ac:dyDescent="0.35">
      <c r="A897" s="7">
        <v>920</v>
      </c>
      <c r="B897" s="6">
        <v>45897.54420138889</v>
      </c>
      <c r="C897" s="6">
        <v>45897</v>
      </c>
      <c r="D897" s="7" t="s">
        <v>1998</v>
      </c>
      <c r="E897" s="7" t="s">
        <v>1331</v>
      </c>
      <c r="F897" s="7" t="s">
        <v>1999</v>
      </c>
      <c r="G897" s="7" t="s">
        <v>1996</v>
      </c>
      <c r="H897" s="7" t="s">
        <v>1894</v>
      </c>
      <c r="I897" s="7" t="s">
        <v>1893</v>
      </c>
      <c r="J897" s="7" t="s">
        <v>1816</v>
      </c>
      <c r="K897" s="7" t="s">
        <v>1815</v>
      </c>
      <c r="L897" s="7" t="s">
        <v>1905</v>
      </c>
      <c r="M897" s="7" t="s">
        <v>22</v>
      </c>
      <c r="N897" s="7" t="s">
        <v>1995</v>
      </c>
      <c r="O897" s="7" t="s">
        <v>55</v>
      </c>
      <c r="P897" s="7" t="s">
        <v>54</v>
      </c>
      <c r="Q897" s="9">
        <v>1800000</v>
      </c>
      <c r="R897" s="9">
        <v>0</v>
      </c>
      <c r="S897" s="9">
        <f t="shared" si="28"/>
        <v>1800000</v>
      </c>
      <c r="T897" s="4" t="s">
        <v>53</v>
      </c>
      <c r="U897" s="7" t="s">
        <v>1904</v>
      </c>
      <c r="V897" s="7" t="s">
        <v>1823</v>
      </c>
      <c r="W897" s="9">
        <v>30</v>
      </c>
      <c r="X897" s="7" t="s">
        <v>1903</v>
      </c>
      <c r="Y897" s="7"/>
      <c r="Z897" s="7" t="s">
        <v>14</v>
      </c>
      <c r="AA897" s="36" t="s">
        <v>22</v>
      </c>
      <c r="AB897" s="4" t="s">
        <v>2835</v>
      </c>
      <c r="AC897" s="22">
        <f t="shared" si="29"/>
        <v>705.88235294117646</v>
      </c>
      <c r="AD897" s="23">
        <v>0</v>
      </c>
    </row>
    <row r="898" spans="1:30" x14ac:dyDescent="0.35">
      <c r="A898" s="7">
        <v>921</v>
      </c>
      <c r="B898" s="6">
        <v>45897.54420138889</v>
      </c>
      <c r="C898" s="6">
        <v>45897</v>
      </c>
      <c r="D898" s="7" t="s">
        <v>1998</v>
      </c>
      <c r="E898" s="7" t="s">
        <v>1331</v>
      </c>
      <c r="F898" s="7" t="s">
        <v>1997</v>
      </c>
      <c r="G898" s="7" t="s">
        <v>1996</v>
      </c>
      <c r="H898" s="7" t="s">
        <v>1894</v>
      </c>
      <c r="I898" s="7" t="s">
        <v>1893</v>
      </c>
      <c r="J898" s="7" t="s">
        <v>1816</v>
      </c>
      <c r="K898" s="7" t="s">
        <v>1815</v>
      </c>
      <c r="L898" s="7" t="s">
        <v>1905</v>
      </c>
      <c r="M898" s="7" t="s">
        <v>22</v>
      </c>
      <c r="N898" s="7" t="s">
        <v>1995</v>
      </c>
      <c r="O898" s="7" t="s">
        <v>55</v>
      </c>
      <c r="P898" s="7" t="s">
        <v>54</v>
      </c>
      <c r="Q898" s="9">
        <v>630000</v>
      </c>
      <c r="R898" s="9">
        <v>0</v>
      </c>
      <c r="S898" s="9">
        <f t="shared" si="28"/>
        <v>630000</v>
      </c>
      <c r="T898" s="4" t="s">
        <v>53</v>
      </c>
      <c r="U898" s="7" t="s">
        <v>1904</v>
      </c>
      <c r="V898" s="7" t="s">
        <v>1823</v>
      </c>
      <c r="W898" s="9">
        <v>60</v>
      </c>
      <c r="X898" s="7" t="s">
        <v>1903</v>
      </c>
      <c r="Y898" s="7"/>
      <c r="Z898" s="7" t="s">
        <v>14</v>
      </c>
      <c r="AA898" s="36" t="s">
        <v>22</v>
      </c>
      <c r="AB898" s="4" t="s">
        <v>2835</v>
      </c>
      <c r="AC898" s="22">
        <f t="shared" si="29"/>
        <v>247.05882352941177</v>
      </c>
      <c r="AD898" s="23">
        <v>0</v>
      </c>
    </row>
    <row r="899" spans="1:30" hidden="1" x14ac:dyDescent="0.35">
      <c r="A899" s="7">
        <v>922</v>
      </c>
      <c r="B899" s="6">
        <v>45898</v>
      </c>
      <c r="C899" s="6">
        <v>45898</v>
      </c>
      <c r="D899" s="7" t="s">
        <v>1717</v>
      </c>
      <c r="E899" s="7" t="s">
        <v>61</v>
      </c>
      <c r="F899" s="7" t="s">
        <v>1716</v>
      </c>
      <c r="G899" s="7" t="s">
        <v>1716</v>
      </c>
      <c r="H899" s="7"/>
      <c r="I899" s="7"/>
      <c r="J899" s="7" t="s">
        <v>59</v>
      </c>
      <c r="K899" s="7" t="s">
        <v>58</v>
      </c>
      <c r="L899" s="7" t="s">
        <v>325</v>
      </c>
      <c r="M899" s="7" t="s">
        <v>33</v>
      </c>
      <c r="N899" s="7" t="s">
        <v>1699</v>
      </c>
      <c r="O899" s="7" t="s">
        <v>1703</v>
      </c>
      <c r="P899" s="7" t="s">
        <v>1703</v>
      </c>
      <c r="Q899" s="9">
        <v>1302542.3700000001</v>
      </c>
      <c r="R899" s="9">
        <v>0</v>
      </c>
      <c r="S899" s="9">
        <f t="shared" ref="S899:S962" si="30">+Q899-R899</f>
        <v>1302542.3700000001</v>
      </c>
      <c r="T899" s="4" t="s">
        <v>53</v>
      </c>
      <c r="U899" s="7" t="s">
        <v>1702</v>
      </c>
      <c r="V899" s="4"/>
      <c r="W899" s="9">
        <v>-1</v>
      </c>
      <c r="X899" s="7" t="s">
        <v>94</v>
      </c>
      <c r="Y899" s="7"/>
      <c r="Z899" s="7" t="s">
        <v>7</v>
      </c>
      <c r="AA899" s="37" t="s">
        <v>9</v>
      </c>
      <c r="AB899" s="16"/>
      <c r="AC899" s="22">
        <f t="shared" si="29"/>
        <v>510.80092941176474</v>
      </c>
      <c r="AD899" s="23">
        <v>0</v>
      </c>
    </row>
    <row r="900" spans="1:30" x14ac:dyDescent="0.35">
      <c r="A900" s="7">
        <v>923</v>
      </c>
      <c r="B900" s="6">
        <v>45898</v>
      </c>
      <c r="C900" s="6">
        <v>45898</v>
      </c>
      <c r="D900" s="4" t="s">
        <v>609</v>
      </c>
      <c r="E900" s="4" t="s">
        <v>61</v>
      </c>
      <c r="F900" s="4" t="s">
        <v>608</v>
      </c>
      <c r="G900" s="4" t="s">
        <v>608</v>
      </c>
      <c r="H900" s="4"/>
      <c r="I900" s="4"/>
      <c r="J900" s="4" t="s">
        <v>59</v>
      </c>
      <c r="K900" s="4" t="s">
        <v>58</v>
      </c>
      <c r="L900" s="4" t="s">
        <v>57</v>
      </c>
      <c r="M900" s="4" t="s">
        <v>32</v>
      </c>
      <c r="N900" s="4" t="s">
        <v>266</v>
      </c>
      <c r="O900" s="5" t="s">
        <v>55</v>
      </c>
      <c r="P900" s="4" t="s">
        <v>126</v>
      </c>
      <c r="Q900" s="10">
        <v>67895.149999999994</v>
      </c>
      <c r="R900" s="10">
        <v>0</v>
      </c>
      <c r="S900" s="9">
        <f t="shared" si="30"/>
        <v>67895.149999999994</v>
      </c>
      <c r="T900" s="4" t="s">
        <v>53</v>
      </c>
      <c r="U900" s="4" t="s">
        <v>607</v>
      </c>
      <c r="V900" s="4"/>
      <c r="W900" s="4">
        <v>-1</v>
      </c>
      <c r="X900" s="4" t="s">
        <v>94</v>
      </c>
      <c r="Y900" s="4"/>
      <c r="Z900" s="7" t="s">
        <v>14</v>
      </c>
      <c r="AA900" s="36" t="s">
        <v>22</v>
      </c>
      <c r="AB900" s="4" t="s">
        <v>2835</v>
      </c>
      <c r="AC900" s="22">
        <f t="shared" si="29"/>
        <v>26.625549019607842</v>
      </c>
      <c r="AD900" s="23">
        <v>0</v>
      </c>
    </row>
    <row r="901" spans="1:30" x14ac:dyDescent="0.35">
      <c r="A901" s="7">
        <v>924</v>
      </c>
      <c r="B901" s="6">
        <v>45898</v>
      </c>
      <c r="C901" s="6">
        <v>45898</v>
      </c>
      <c r="D901" s="4" t="s">
        <v>606</v>
      </c>
      <c r="E901" s="4" t="s">
        <v>61</v>
      </c>
      <c r="F901" s="4" t="s">
        <v>605</v>
      </c>
      <c r="G901" s="4" t="s">
        <v>605</v>
      </c>
      <c r="H901" s="4"/>
      <c r="I901" s="4"/>
      <c r="J901" s="4" t="s">
        <v>59</v>
      </c>
      <c r="K901" s="4" t="s">
        <v>58</v>
      </c>
      <c r="L901" s="4" t="s">
        <v>57</v>
      </c>
      <c r="M901" s="4" t="s">
        <v>32</v>
      </c>
      <c r="N901" s="4" t="s">
        <v>266</v>
      </c>
      <c r="O901" s="5" t="s">
        <v>55</v>
      </c>
      <c r="P901" s="4" t="s">
        <v>126</v>
      </c>
      <c r="Q901" s="10">
        <v>256074.07</v>
      </c>
      <c r="R901" s="10">
        <v>0</v>
      </c>
      <c r="S901" s="9">
        <f t="shared" si="30"/>
        <v>256074.07</v>
      </c>
      <c r="T901" s="4" t="s">
        <v>53</v>
      </c>
      <c r="U901" s="4" t="s">
        <v>604</v>
      </c>
      <c r="V901" s="4"/>
      <c r="W901" s="4">
        <v>-1</v>
      </c>
      <c r="X901" s="4" t="s">
        <v>94</v>
      </c>
      <c r="Y901" s="4"/>
      <c r="Z901" s="7" t="s">
        <v>14</v>
      </c>
      <c r="AA901" s="36" t="s">
        <v>22</v>
      </c>
      <c r="AB901" s="4" t="s">
        <v>2835</v>
      </c>
      <c r="AC901" s="22">
        <f t="shared" si="29"/>
        <v>100.42120392156863</v>
      </c>
      <c r="AD901" s="23">
        <v>0</v>
      </c>
    </row>
    <row r="902" spans="1:30" x14ac:dyDescent="0.35">
      <c r="A902" s="7">
        <v>925</v>
      </c>
      <c r="B902" s="6">
        <v>45898</v>
      </c>
      <c r="C902" s="6">
        <v>45898</v>
      </c>
      <c r="D902" s="4" t="s">
        <v>603</v>
      </c>
      <c r="E902" s="4" t="s">
        <v>61</v>
      </c>
      <c r="F902" s="4" t="s">
        <v>602</v>
      </c>
      <c r="G902" s="4" t="s">
        <v>602</v>
      </c>
      <c r="H902" s="4"/>
      <c r="I902" s="4"/>
      <c r="J902" s="4" t="s">
        <v>59</v>
      </c>
      <c r="K902" s="4" t="s">
        <v>58</v>
      </c>
      <c r="L902" s="4" t="s">
        <v>57</v>
      </c>
      <c r="M902" s="4" t="s">
        <v>32</v>
      </c>
      <c r="N902" s="4" t="s">
        <v>266</v>
      </c>
      <c r="O902" s="5" t="s">
        <v>55</v>
      </c>
      <c r="P902" s="4" t="s">
        <v>126</v>
      </c>
      <c r="Q902" s="10">
        <v>407862.17</v>
      </c>
      <c r="R902" s="10">
        <v>0</v>
      </c>
      <c r="S902" s="9">
        <f t="shared" si="30"/>
        <v>407862.17</v>
      </c>
      <c r="T902" s="4" t="s">
        <v>53</v>
      </c>
      <c r="U902" s="4" t="s">
        <v>601</v>
      </c>
      <c r="V902" s="4"/>
      <c r="W902" s="4">
        <v>-1</v>
      </c>
      <c r="X902" s="4" t="s">
        <v>94</v>
      </c>
      <c r="Y902" s="4"/>
      <c r="Z902" s="7" t="s">
        <v>14</v>
      </c>
      <c r="AA902" s="36" t="s">
        <v>22</v>
      </c>
      <c r="AB902" s="4" t="s">
        <v>2835</v>
      </c>
      <c r="AC902" s="22">
        <f t="shared" si="29"/>
        <v>159.94594901960784</v>
      </c>
      <c r="AD902" s="23">
        <v>0</v>
      </c>
    </row>
    <row r="903" spans="1:30" x14ac:dyDescent="0.35">
      <c r="A903" s="7">
        <v>926</v>
      </c>
      <c r="B903" s="6">
        <v>45898</v>
      </c>
      <c r="C903" s="6">
        <v>45898</v>
      </c>
      <c r="D903" s="4" t="s">
        <v>600</v>
      </c>
      <c r="E903" s="4" t="s">
        <v>61</v>
      </c>
      <c r="F903" s="4" t="s">
        <v>599</v>
      </c>
      <c r="G903" s="4" t="s">
        <v>599</v>
      </c>
      <c r="H903" s="4"/>
      <c r="I903" s="4"/>
      <c r="J903" s="4" t="s">
        <v>59</v>
      </c>
      <c r="K903" s="4" t="s">
        <v>58</v>
      </c>
      <c r="L903" s="4" t="s">
        <v>57</v>
      </c>
      <c r="M903" s="4" t="s">
        <v>32</v>
      </c>
      <c r="N903" s="4" t="s">
        <v>266</v>
      </c>
      <c r="O903" s="5" t="s">
        <v>55</v>
      </c>
      <c r="P903" s="4" t="s">
        <v>54</v>
      </c>
      <c r="Q903" s="10">
        <v>105000</v>
      </c>
      <c r="R903" s="10">
        <v>0</v>
      </c>
      <c r="S903" s="9">
        <f t="shared" si="30"/>
        <v>105000</v>
      </c>
      <c r="T903" s="4" t="s">
        <v>53</v>
      </c>
      <c r="U903" s="4" t="s">
        <v>121</v>
      </c>
      <c r="V903" s="4"/>
      <c r="W903" s="4">
        <v>-7</v>
      </c>
      <c r="X903" s="4" t="s">
        <v>94</v>
      </c>
      <c r="Y903" s="4"/>
      <c r="Z903" s="7" t="s">
        <v>14</v>
      </c>
      <c r="AA903" s="36" t="s">
        <v>22</v>
      </c>
      <c r="AB903" s="4" t="s">
        <v>2835</v>
      </c>
      <c r="AC903" s="22">
        <f t="shared" si="29"/>
        <v>41.176470588235297</v>
      </c>
      <c r="AD903" s="23">
        <v>0</v>
      </c>
    </row>
    <row r="904" spans="1:30" x14ac:dyDescent="0.35">
      <c r="A904" s="7">
        <v>927</v>
      </c>
      <c r="B904" s="6">
        <v>45898</v>
      </c>
      <c r="C904" s="6">
        <v>45898</v>
      </c>
      <c r="D904" s="4" t="s">
        <v>598</v>
      </c>
      <c r="E904" s="4" t="s">
        <v>61</v>
      </c>
      <c r="F904" s="4" t="s">
        <v>597</v>
      </c>
      <c r="G904" s="4" t="s">
        <v>597</v>
      </c>
      <c r="H904" s="4"/>
      <c r="I904" s="4"/>
      <c r="J904" s="4" t="s">
        <v>59</v>
      </c>
      <c r="K904" s="4" t="s">
        <v>58</v>
      </c>
      <c r="L904" s="4" t="s">
        <v>57</v>
      </c>
      <c r="M904" s="4" t="s">
        <v>32</v>
      </c>
      <c r="N904" s="4" t="s">
        <v>266</v>
      </c>
      <c r="O904" s="5" t="s">
        <v>55</v>
      </c>
      <c r="P904" s="4" t="s">
        <v>54</v>
      </c>
      <c r="Q904" s="10">
        <v>19325.93</v>
      </c>
      <c r="R904" s="10">
        <v>0</v>
      </c>
      <c r="S904" s="9">
        <f t="shared" si="30"/>
        <v>19325.93</v>
      </c>
      <c r="T904" s="4" t="s">
        <v>53</v>
      </c>
      <c r="U904" s="4" t="s">
        <v>117</v>
      </c>
      <c r="V904" s="4"/>
      <c r="W904" s="4">
        <v>-6</v>
      </c>
      <c r="X904" s="4" t="s">
        <v>94</v>
      </c>
      <c r="Y904" s="4"/>
      <c r="Z904" s="7" t="s">
        <v>14</v>
      </c>
      <c r="AA904" s="36" t="s">
        <v>22</v>
      </c>
      <c r="AB904" s="4" t="s">
        <v>2835</v>
      </c>
      <c r="AC904" s="22">
        <f t="shared" si="29"/>
        <v>7.578796078431373</v>
      </c>
      <c r="AD904" s="23">
        <v>0</v>
      </c>
    </row>
    <row r="905" spans="1:30" x14ac:dyDescent="0.35">
      <c r="A905" s="7">
        <v>928</v>
      </c>
      <c r="B905" s="6">
        <v>45898</v>
      </c>
      <c r="C905" s="6">
        <v>45898</v>
      </c>
      <c r="D905" s="4" t="s">
        <v>596</v>
      </c>
      <c r="E905" s="4" t="s">
        <v>61</v>
      </c>
      <c r="F905" s="4" t="s">
        <v>595</v>
      </c>
      <c r="G905" s="4" t="s">
        <v>595</v>
      </c>
      <c r="H905" s="4"/>
      <c r="I905" s="4"/>
      <c r="J905" s="4" t="s">
        <v>59</v>
      </c>
      <c r="K905" s="4" t="s">
        <v>58</v>
      </c>
      <c r="L905" s="4" t="s">
        <v>57</v>
      </c>
      <c r="M905" s="4" t="s">
        <v>32</v>
      </c>
      <c r="N905" s="4" t="s">
        <v>266</v>
      </c>
      <c r="O905" s="5" t="s">
        <v>55</v>
      </c>
      <c r="P905" s="4" t="s">
        <v>54</v>
      </c>
      <c r="Q905" s="10">
        <v>81950.179999999993</v>
      </c>
      <c r="R905" s="10">
        <v>0</v>
      </c>
      <c r="S905" s="9">
        <f t="shared" si="30"/>
        <v>81950.179999999993</v>
      </c>
      <c r="T905" s="4" t="s">
        <v>53</v>
      </c>
      <c r="U905" s="4" t="s">
        <v>271</v>
      </c>
      <c r="V905" s="4"/>
      <c r="W905" s="4">
        <v>-20</v>
      </c>
      <c r="X905" s="4" t="s">
        <v>124</v>
      </c>
      <c r="Y905" s="4"/>
      <c r="Z905" s="7" t="s">
        <v>14</v>
      </c>
      <c r="AA905" s="36" t="s">
        <v>22</v>
      </c>
      <c r="AB905" s="4" t="s">
        <v>2835</v>
      </c>
      <c r="AC905" s="22">
        <f t="shared" si="29"/>
        <v>32.137325490196076</v>
      </c>
      <c r="AD905" s="23">
        <v>0</v>
      </c>
    </row>
    <row r="906" spans="1:30" x14ac:dyDescent="0.35">
      <c r="A906" s="7">
        <v>929</v>
      </c>
      <c r="B906" s="6">
        <v>45898</v>
      </c>
      <c r="C906" s="6">
        <v>45898</v>
      </c>
      <c r="D906" s="4" t="s">
        <v>594</v>
      </c>
      <c r="E906" s="4" t="s">
        <v>61</v>
      </c>
      <c r="F906" s="4" t="s">
        <v>593</v>
      </c>
      <c r="G906" s="4" t="s">
        <v>593</v>
      </c>
      <c r="H906" s="4"/>
      <c r="I906" s="4"/>
      <c r="J906" s="4" t="s">
        <v>59</v>
      </c>
      <c r="K906" s="4" t="s">
        <v>58</v>
      </c>
      <c r="L906" s="4" t="s">
        <v>57</v>
      </c>
      <c r="M906" s="4" t="s">
        <v>32</v>
      </c>
      <c r="N906" s="4" t="s">
        <v>266</v>
      </c>
      <c r="O906" s="5" t="s">
        <v>55</v>
      </c>
      <c r="P906" s="4" t="s">
        <v>54</v>
      </c>
      <c r="Q906" s="10">
        <v>45000</v>
      </c>
      <c r="R906" s="10">
        <v>0</v>
      </c>
      <c r="S906" s="9">
        <f t="shared" si="30"/>
        <v>45000</v>
      </c>
      <c r="T906" s="4" t="s">
        <v>53</v>
      </c>
      <c r="U906" s="4" t="s">
        <v>320</v>
      </c>
      <c r="V906" s="4"/>
      <c r="W906" s="4">
        <v>-50</v>
      </c>
      <c r="X906" s="4" t="s">
        <v>94</v>
      </c>
      <c r="Y906" s="4"/>
      <c r="Z906" s="7" t="s">
        <v>14</v>
      </c>
      <c r="AA906" s="36" t="s">
        <v>22</v>
      </c>
      <c r="AB906" s="4" t="s">
        <v>2835</v>
      </c>
      <c r="AC906" s="22">
        <f t="shared" si="29"/>
        <v>17.647058823529413</v>
      </c>
      <c r="AD906" s="23">
        <v>0</v>
      </c>
    </row>
    <row r="907" spans="1:30" x14ac:dyDescent="0.35">
      <c r="A907" s="7">
        <v>930</v>
      </c>
      <c r="B907" s="6">
        <v>45898</v>
      </c>
      <c r="C907" s="6">
        <v>45898</v>
      </c>
      <c r="D907" s="4" t="s">
        <v>374</v>
      </c>
      <c r="E907" s="4" t="s">
        <v>61</v>
      </c>
      <c r="F907" s="4" t="s">
        <v>373</v>
      </c>
      <c r="G907" s="4" t="s">
        <v>373</v>
      </c>
      <c r="H907" s="4"/>
      <c r="I907" s="4"/>
      <c r="J907" s="4" t="s">
        <v>59</v>
      </c>
      <c r="K907" s="4" t="s">
        <v>58</v>
      </c>
      <c r="L907" s="4" t="s">
        <v>57</v>
      </c>
      <c r="M907" s="4" t="s">
        <v>32</v>
      </c>
      <c r="N907" s="4" t="s">
        <v>106</v>
      </c>
      <c r="O907" s="5" t="s">
        <v>105</v>
      </c>
      <c r="P907" s="4" t="s">
        <v>54</v>
      </c>
      <c r="Q907" s="10">
        <v>70000</v>
      </c>
      <c r="R907" s="10">
        <v>0</v>
      </c>
      <c r="S907" s="9">
        <f t="shared" si="30"/>
        <v>70000</v>
      </c>
      <c r="T907" s="4" t="s">
        <v>53</v>
      </c>
      <c r="U907" s="4" t="s">
        <v>148</v>
      </c>
      <c r="V907" s="4"/>
      <c r="W907" s="4">
        <v>-10</v>
      </c>
      <c r="X907" s="4" t="s">
        <v>94</v>
      </c>
      <c r="Y907" s="4"/>
      <c r="Z907" s="7" t="s">
        <v>14</v>
      </c>
      <c r="AA907" s="36" t="s">
        <v>15</v>
      </c>
      <c r="AB907" s="4" t="s">
        <v>2606</v>
      </c>
      <c r="AC907" s="22">
        <f t="shared" si="29"/>
        <v>27.450980392156861</v>
      </c>
      <c r="AD907" s="23">
        <v>0</v>
      </c>
    </row>
    <row r="908" spans="1:30" x14ac:dyDescent="0.35">
      <c r="A908" s="7">
        <v>931</v>
      </c>
      <c r="B908" s="6">
        <v>45898</v>
      </c>
      <c r="C908" s="6">
        <v>45898</v>
      </c>
      <c r="D908" s="4" t="s">
        <v>372</v>
      </c>
      <c r="E908" s="4" t="s">
        <v>61</v>
      </c>
      <c r="F908" s="4" t="s">
        <v>371</v>
      </c>
      <c r="G908" s="4" t="s">
        <v>371</v>
      </c>
      <c r="H908" s="4"/>
      <c r="I908" s="4"/>
      <c r="J908" s="4" t="s">
        <v>59</v>
      </c>
      <c r="K908" s="4" t="s">
        <v>58</v>
      </c>
      <c r="L908" s="4" t="s">
        <v>57</v>
      </c>
      <c r="M908" s="4" t="s">
        <v>32</v>
      </c>
      <c r="N908" s="4" t="s">
        <v>106</v>
      </c>
      <c r="O908" s="5" t="s">
        <v>105</v>
      </c>
      <c r="P908" s="4" t="s">
        <v>54</v>
      </c>
      <c r="Q908" s="10">
        <v>20000</v>
      </c>
      <c r="R908" s="10">
        <v>0</v>
      </c>
      <c r="S908" s="9">
        <f t="shared" si="30"/>
        <v>20000</v>
      </c>
      <c r="T908" s="4" t="s">
        <v>53</v>
      </c>
      <c r="U908" s="4" t="s">
        <v>145</v>
      </c>
      <c r="V908" s="4"/>
      <c r="W908" s="4">
        <v>-4</v>
      </c>
      <c r="X908" s="4" t="s">
        <v>94</v>
      </c>
      <c r="Y908" s="4"/>
      <c r="Z908" s="7" t="s">
        <v>14</v>
      </c>
      <c r="AA908" s="36" t="s">
        <v>15</v>
      </c>
      <c r="AB908" s="4" t="s">
        <v>2606</v>
      </c>
      <c r="AC908" s="22">
        <f t="shared" si="29"/>
        <v>7.8431372549019605</v>
      </c>
      <c r="AD908" s="23">
        <v>0</v>
      </c>
    </row>
    <row r="909" spans="1:30" x14ac:dyDescent="0.35">
      <c r="A909" s="7">
        <v>932</v>
      </c>
      <c r="B909" s="6">
        <v>45898</v>
      </c>
      <c r="C909" s="6">
        <v>45898</v>
      </c>
      <c r="D909" s="4" t="s">
        <v>370</v>
      </c>
      <c r="E909" s="4" t="s">
        <v>61</v>
      </c>
      <c r="F909" s="4" t="s">
        <v>369</v>
      </c>
      <c r="G909" s="4" t="s">
        <v>369</v>
      </c>
      <c r="H909" s="4"/>
      <c r="I909" s="4"/>
      <c r="J909" s="4" t="s">
        <v>59</v>
      </c>
      <c r="K909" s="4" t="s">
        <v>58</v>
      </c>
      <c r="L909" s="4" t="s">
        <v>57</v>
      </c>
      <c r="M909" s="4" t="s">
        <v>32</v>
      </c>
      <c r="N909" s="4" t="s">
        <v>106</v>
      </c>
      <c r="O909" s="5" t="s">
        <v>105</v>
      </c>
      <c r="P909" s="4" t="s">
        <v>54</v>
      </c>
      <c r="Q909" s="10">
        <v>24300</v>
      </c>
      <c r="R909" s="10">
        <v>0</v>
      </c>
      <c r="S909" s="9">
        <f t="shared" si="30"/>
        <v>24300</v>
      </c>
      <c r="T909" s="4" t="s">
        <v>53</v>
      </c>
      <c r="U909" s="4" t="s">
        <v>142</v>
      </c>
      <c r="V909" s="4"/>
      <c r="W909" s="4">
        <v>-2</v>
      </c>
      <c r="X909" s="4" t="s">
        <v>124</v>
      </c>
      <c r="Y909" s="4"/>
      <c r="Z909" s="7" t="s">
        <v>14</v>
      </c>
      <c r="AA909" s="36" t="s">
        <v>15</v>
      </c>
      <c r="AB909" s="4" t="s">
        <v>2606</v>
      </c>
      <c r="AC909" s="22">
        <f t="shared" si="29"/>
        <v>9.5294117647058822</v>
      </c>
      <c r="AD909" s="23">
        <v>0</v>
      </c>
    </row>
    <row r="910" spans="1:30" x14ac:dyDescent="0.35">
      <c r="A910" s="7">
        <v>933</v>
      </c>
      <c r="B910" s="6">
        <v>45898</v>
      </c>
      <c r="C910" s="6">
        <v>45898</v>
      </c>
      <c r="D910" s="4" t="s">
        <v>368</v>
      </c>
      <c r="E910" s="4" t="s">
        <v>61</v>
      </c>
      <c r="F910" s="4" t="s">
        <v>367</v>
      </c>
      <c r="G910" s="4" t="s">
        <v>367</v>
      </c>
      <c r="H910" s="4"/>
      <c r="I910" s="4"/>
      <c r="J910" s="4" t="s">
        <v>59</v>
      </c>
      <c r="K910" s="4" t="s">
        <v>58</v>
      </c>
      <c r="L910" s="4" t="s">
        <v>57</v>
      </c>
      <c r="M910" s="4" t="s">
        <v>32</v>
      </c>
      <c r="N910" s="4" t="s">
        <v>106</v>
      </c>
      <c r="O910" s="5" t="s">
        <v>105</v>
      </c>
      <c r="P910" s="4" t="s">
        <v>54</v>
      </c>
      <c r="Q910" s="10">
        <v>34200</v>
      </c>
      <c r="R910" s="10">
        <v>0</v>
      </c>
      <c r="S910" s="9">
        <f t="shared" si="30"/>
        <v>34200</v>
      </c>
      <c r="T910" s="4" t="s">
        <v>53</v>
      </c>
      <c r="U910" s="4" t="s">
        <v>154</v>
      </c>
      <c r="V910" s="4"/>
      <c r="W910" s="4">
        <v>-6</v>
      </c>
      <c r="X910" s="4" t="s">
        <v>124</v>
      </c>
      <c r="Y910" s="4"/>
      <c r="Z910" s="7" t="s">
        <v>14</v>
      </c>
      <c r="AA910" s="36" t="s">
        <v>15</v>
      </c>
      <c r="AB910" s="4" t="s">
        <v>2606</v>
      </c>
      <c r="AC910" s="22">
        <f t="shared" si="29"/>
        <v>13.411764705882353</v>
      </c>
      <c r="AD910" s="23">
        <v>0</v>
      </c>
    </row>
    <row r="911" spans="1:30" x14ac:dyDescent="0.35">
      <c r="A911" s="7">
        <v>934</v>
      </c>
      <c r="B911" s="6">
        <v>45898</v>
      </c>
      <c r="C911" s="6">
        <v>45898</v>
      </c>
      <c r="D911" s="4" t="s">
        <v>366</v>
      </c>
      <c r="E911" s="4" t="s">
        <v>61</v>
      </c>
      <c r="F911" s="4" t="s">
        <v>365</v>
      </c>
      <c r="G911" s="4" t="s">
        <v>365</v>
      </c>
      <c r="H911" s="4"/>
      <c r="I911" s="4"/>
      <c r="J911" s="4" t="s">
        <v>59</v>
      </c>
      <c r="K911" s="4" t="s">
        <v>58</v>
      </c>
      <c r="L911" s="4" t="s">
        <v>57</v>
      </c>
      <c r="M911" s="4" t="s">
        <v>32</v>
      </c>
      <c r="N911" s="4" t="s">
        <v>106</v>
      </c>
      <c r="O911" s="5" t="s">
        <v>105</v>
      </c>
      <c r="P911" s="4" t="s">
        <v>54</v>
      </c>
      <c r="Q911" s="10">
        <v>28500</v>
      </c>
      <c r="R911" s="10">
        <v>0</v>
      </c>
      <c r="S911" s="9">
        <f t="shared" si="30"/>
        <v>28500</v>
      </c>
      <c r="T911" s="4" t="s">
        <v>53</v>
      </c>
      <c r="U911" s="4" t="s">
        <v>151</v>
      </c>
      <c r="V911" s="4"/>
      <c r="W911" s="4">
        <v>-5</v>
      </c>
      <c r="X911" s="4" t="s">
        <v>124</v>
      </c>
      <c r="Y911" s="4"/>
      <c r="Z911" s="7" t="s">
        <v>14</v>
      </c>
      <c r="AA911" s="36" t="s">
        <v>15</v>
      </c>
      <c r="AB911" s="4" t="s">
        <v>2606</v>
      </c>
      <c r="AC911" s="22">
        <f t="shared" si="29"/>
        <v>11.176470588235293</v>
      </c>
      <c r="AD911" s="23">
        <v>0</v>
      </c>
    </row>
    <row r="912" spans="1:30" x14ac:dyDescent="0.35">
      <c r="A912" s="7">
        <v>935</v>
      </c>
      <c r="B912" s="6">
        <v>45898</v>
      </c>
      <c r="C912" s="6">
        <v>45898</v>
      </c>
      <c r="D912" s="4" t="s">
        <v>364</v>
      </c>
      <c r="E912" s="4" t="s">
        <v>61</v>
      </c>
      <c r="F912" s="4" t="s">
        <v>363</v>
      </c>
      <c r="G912" s="4" t="s">
        <v>363</v>
      </c>
      <c r="H912" s="4"/>
      <c r="I912" s="4"/>
      <c r="J912" s="4" t="s">
        <v>59</v>
      </c>
      <c r="K912" s="4" t="s">
        <v>58</v>
      </c>
      <c r="L912" s="4" t="s">
        <v>57</v>
      </c>
      <c r="M912" s="4" t="s">
        <v>32</v>
      </c>
      <c r="N912" s="4" t="s">
        <v>106</v>
      </c>
      <c r="O912" s="5" t="s">
        <v>105</v>
      </c>
      <c r="P912" s="4" t="s">
        <v>54</v>
      </c>
      <c r="Q912" s="10">
        <v>210000</v>
      </c>
      <c r="R912" s="10">
        <v>0</v>
      </c>
      <c r="S912" s="9">
        <f t="shared" si="30"/>
        <v>210000</v>
      </c>
      <c r="T912" s="4" t="s">
        <v>53</v>
      </c>
      <c r="U912" s="4" t="s">
        <v>148</v>
      </c>
      <c r="V912" s="4"/>
      <c r="W912" s="4">
        <v>-30</v>
      </c>
      <c r="X912" s="4" t="s">
        <v>94</v>
      </c>
      <c r="Y912" s="4"/>
      <c r="Z912" s="7" t="s">
        <v>14</v>
      </c>
      <c r="AA912" s="36" t="s">
        <v>15</v>
      </c>
      <c r="AB912" s="4" t="s">
        <v>2606</v>
      </c>
      <c r="AC912" s="22">
        <f t="shared" si="29"/>
        <v>82.352941176470594</v>
      </c>
      <c r="AD912" s="23">
        <v>0</v>
      </c>
    </row>
    <row r="913" spans="1:30" x14ac:dyDescent="0.35">
      <c r="A913" s="7">
        <v>936</v>
      </c>
      <c r="B913" s="6">
        <v>45898</v>
      </c>
      <c r="C913" s="6">
        <v>45898</v>
      </c>
      <c r="D913" s="4" t="s">
        <v>362</v>
      </c>
      <c r="E913" s="4" t="s">
        <v>61</v>
      </c>
      <c r="F913" s="4" t="s">
        <v>361</v>
      </c>
      <c r="G913" s="4" t="s">
        <v>361</v>
      </c>
      <c r="H913" s="4"/>
      <c r="I913" s="4"/>
      <c r="J913" s="4" t="s">
        <v>59</v>
      </c>
      <c r="K913" s="4" t="s">
        <v>58</v>
      </c>
      <c r="L913" s="4" t="s">
        <v>57</v>
      </c>
      <c r="M913" s="4" t="s">
        <v>32</v>
      </c>
      <c r="N913" s="4" t="s">
        <v>106</v>
      </c>
      <c r="O913" s="5" t="s">
        <v>105</v>
      </c>
      <c r="P913" s="4" t="s">
        <v>54</v>
      </c>
      <c r="Q913" s="10">
        <v>50000</v>
      </c>
      <c r="R913" s="10">
        <v>0</v>
      </c>
      <c r="S913" s="9">
        <f t="shared" si="30"/>
        <v>50000</v>
      </c>
      <c r="T913" s="4" t="s">
        <v>53</v>
      </c>
      <c r="U913" s="4" t="s">
        <v>145</v>
      </c>
      <c r="V913" s="4"/>
      <c r="W913" s="4">
        <v>-10</v>
      </c>
      <c r="X913" s="4" t="s">
        <v>94</v>
      </c>
      <c r="Y913" s="4"/>
      <c r="Z913" s="7" t="s">
        <v>14</v>
      </c>
      <c r="AA913" s="36" t="s">
        <v>15</v>
      </c>
      <c r="AB913" s="4" t="s">
        <v>2606</v>
      </c>
      <c r="AC913" s="22">
        <f t="shared" si="29"/>
        <v>19.607843137254903</v>
      </c>
      <c r="AD913" s="23">
        <v>0</v>
      </c>
    </row>
    <row r="914" spans="1:30" x14ac:dyDescent="0.35">
      <c r="A914" s="7">
        <v>937</v>
      </c>
      <c r="B914" s="6">
        <v>45898</v>
      </c>
      <c r="C914" s="6">
        <v>45898</v>
      </c>
      <c r="D914" s="4" t="s">
        <v>360</v>
      </c>
      <c r="E914" s="4" t="s">
        <v>61</v>
      </c>
      <c r="F914" s="4" t="s">
        <v>359</v>
      </c>
      <c r="G914" s="4" t="s">
        <v>359</v>
      </c>
      <c r="H914" s="4"/>
      <c r="I914" s="4"/>
      <c r="J914" s="4" t="s">
        <v>59</v>
      </c>
      <c r="K914" s="4" t="s">
        <v>58</v>
      </c>
      <c r="L914" s="4" t="s">
        <v>57</v>
      </c>
      <c r="M914" s="4" t="s">
        <v>32</v>
      </c>
      <c r="N914" s="4" t="s">
        <v>106</v>
      </c>
      <c r="O914" s="5" t="s">
        <v>105</v>
      </c>
      <c r="P914" s="4" t="s">
        <v>54</v>
      </c>
      <c r="Q914" s="10">
        <v>32209.89</v>
      </c>
      <c r="R914" s="10">
        <v>0</v>
      </c>
      <c r="S914" s="9">
        <f t="shared" si="30"/>
        <v>32209.89</v>
      </c>
      <c r="T914" s="4" t="s">
        <v>53</v>
      </c>
      <c r="U914" s="4" t="s">
        <v>117</v>
      </c>
      <c r="V914" s="4"/>
      <c r="W914" s="4">
        <v>-10</v>
      </c>
      <c r="X914" s="4" t="s">
        <v>94</v>
      </c>
      <c r="Y914" s="4"/>
      <c r="Z914" s="7" t="s">
        <v>14</v>
      </c>
      <c r="AA914" s="36" t="s">
        <v>15</v>
      </c>
      <c r="AB914" s="4" t="s">
        <v>2606</v>
      </c>
      <c r="AC914" s="22">
        <f t="shared" si="29"/>
        <v>12.631329411764705</v>
      </c>
      <c r="AD914" s="23">
        <v>0</v>
      </c>
    </row>
    <row r="915" spans="1:30" x14ac:dyDescent="0.35">
      <c r="A915" s="7">
        <v>938</v>
      </c>
      <c r="B915" s="6">
        <v>45898</v>
      </c>
      <c r="C915" s="6">
        <v>45898</v>
      </c>
      <c r="D915" s="4" t="s">
        <v>358</v>
      </c>
      <c r="E915" s="4" t="s">
        <v>61</v>
      </c>
      <c r="F915" s="4" t="s">
        <v>357</v>
      </c>
      <c r="G915" s="4" t="s">
        <v>357</v>
      </c>
      <c r="H915" s="4"/>
      <c r="I915" s="4"/>
      <c r="J915" s="4" t="s">
        <v>59</v>
      </c>
      <c r="K915" s="4" t="s">
        <v>58</v>
      </c>
      <c r="L915" s="4" t="s">
        <v>57</v>
      </c>
      <c r="M915" s="4" t="s">
        <v>32</v>
      </c>
      <c r="N915" s="4" t="s">
        <v>106</v>
      </c>
      <c r="O915" s="5" t="s">
        <v>105</v>
      </c>
      <c r="P915" s="4" t="s">
        <v>54</v>
      </c>
      <c r="Q915" s="10">
        <v>726054.14</v>
      </c>
      <c r="R915" s="10">
        <v>0</v>
      </c>
      <c r="S915" s="9">
        <f t="shared" si="30"/>
        <v>726054.14</v>
      </c>
      <c r="T915" s="4" t="s">
        <v>53</v>
      </c>
      <c r="U915" s="4" t="s">
        <v>130</v>
      </c>
      <c r="V915" s="4"/>
      <c r="W915" s="4">
        <v>-50</v>
      </c>
      <c r="X915" s="4" t="s">
        <v>129</v>
      </c>
      <c r="Y915" s="4"/>
      <c r="Z915" s="7" t="s">
        <v>14</v>
      </c>
      <c r="AA915" s="36" t="s">
        <v>15</v>
      </c>
      <c r="AB915" s="4" t="s">
        <v>2606</v>
      </c>
      <c r="AC915" s="22">
        <f t="shared" si="29"/>
        <v>284.7271137254902</v>
      </c>
      <c r="AD915" s="23">
        <v>0</v>
      </c>
    </row>
    <row r="916" spans="1:30" x14ac:dyDescent="0.35">
      <c r="A916" s="7">
        <v>939</v>
      </c>
      <c r="B916" s="6">
        <v>45898</v>
      </c>
      <c r="C916" s="6">
        <v>45898</v>
      </c>
      <c r="D916" s="4" t="s">
        <v>356</v>
      </c>
      <c r="E916" s="4" t="s">
        <v>61</v>
      </c>
      <c r="F916" s="4" t="s">
        <v>355</v>
      </c>
      <c r="G916" s="4" t="s">
        <v>355</v>
      </c>
      <c r="H916" s="4"/>
      <c r="I916" s="4"/>
      <c r="J916" s="4" t="s">
        <v>59</v>
      </c>
      <c r="K916" s="4" t="s">
        <v>58</v>
      </c>
      <c r="L916" s="4" t="s">
        <v>57</v>
      </c>
      <c r="M916" s="4" t="s">
        <v>32</v>
      </c>
      <c r="N916" s="4" t="s">
        <v>106</v>
      </c>
      <c r="O916" s="5" t="s">
        <v>105</v>
      </c>
      <c r="P916" s="4" t="s">
        <v>54</v>
      </c>
      <c r="Q916" s="10">
        <v>1027792.35</v>
      </c>
      <c r="R916" s="10">
        <v>0</v>
      </c>
      <c r="S916" s="9">
        <f t="shared" si="30"/>
        <v>1027792.35</v>
      </c>
      <c r="T916" s="4" t="s">
        <v>53</v>
      </c>
      <c r="U916" s="4" t="s">
        <v>175</v>
      </c>
      <c r="V916" s="4"/>
      <c r="W916" s="4">
        <v>-50</v>
      </c>
      <c r="X916" s="4" t="s">
        <v>129</v>
      </c>
      <c r="Y916" s="4"/>
      <c r="Z916" s="7" t="s">
        <v>14</v>
      </c>
      <c r="AA916" s="36" t="s">
        <v>15</v>
      </c>
      <c r="AB916" s="4" t="s">
        <v>2606</v>
      </c>
      <c r="AC916" s="22">
        <f t="shared" si="29"/>
        <v>403.05582352941178</v>
      </c>
      <c r="AD916" s="23">
        <v>0</v>
      </c>
    </row>
    <row r="917" spans="1:30" x14ac:dyDescent="0.35">
      <c r="A917" s="7">
        <v>940</v>
      </c>
      <c r="B917" s="6">
        <v>45898</v>
      </c>
      <c r="C917" s="6">
        <v>45898</v>
      </c>
      <c r="D917" s="4" t="s">
        <v>354</v>
      </c>
      <c r="E917" s="4" t="s">
        <v>61</v>
      </c>
      <c r="F917" s="4" t="s">
        <v>353</v>
      </c>
      <c r="G917" s="4" t="s">
        <v>353</v>
      </c>
      <c r="H917" s="4"/>
      <c r="I917" s="4"/>
      <c r="J917" s="4" t="s">
        <v>59</v>
      </c>
      <c r="K917" s="4" t="s">
        <v>58</v>
      </c>
      <c r="L917" s="4" t="s">
        <v>57</v>
      </c>
      <c r="M917" s="4" t="s">
        <v>32</v>
      </c>
      <c r="N917" s="4" t="s">
        <v>106</v>
      </c>
      <c r="O917" s="5" t="s">
        <v>105</v>
      </c>
      <c r="P917" s="4" t="s">
        <v>54</v>
      </c>
      <c r="Q917" s="10">
        <v>731791.81</v>
      </c>
      <c r="R917" s="10">
        <v>0</v>
      </c>
      <c r="S917" s="9">
        <f t="shared" si="30"/>
        <v>731791.81</v>
      </c>
      <c r="T917" s="4" t="s">
        <v>53</v>
      </c>
      <c r="U917" s="4" t="s">
        <v>172</v>
      </c>
      <c r="V917" s="4"/>
      <c r="W917" s="4">
        <v>-20</v>
      </c>
      <c r="X917" s="4" t="s">
        <v>129</v>
      </c>
      <c r="Y917" s="4"/>
      <c r="Z917" s="7" t="s">
        <v>14</v>
      </c>
      <c r="AA917" s="36" t="s">
        <v>15</v>
      </c>
      <c r="AB917" s="4" t="s">
        <v>2606</v>
      </c>
      <c r="AC917" s="22">
        <f t="shared" si="29"/>
        <v>286.97718039215687</v>
      </c>
      <c r="AD917" s="23">
        <v>0</v>
      </c>
    </row>
    <row r="918" spans="1:30" x14ac:dyDescent="0.35">
      <c r="A918" s="7">
        <v>941</v>
      </c>
      <c r="B918" s="6">
        <v>45898</v>
      </c>
      <c r="C918" s="6">
        <v>45898</v>
      </c>
      <c r="D918" s="4" t="s">
        <v>352</v>
      </c>
      <c r="E918" s="4" t="s">
        <v>61</v>
      </c>
      <c r="F918" s="4" t="s">
        <v>351</v>
      </c>
      <c r="G918" s="4" t="s">
        <v>351</v>
      </c>
      <c r="H918" s="4"/>
      <c r="I918" s="4"/>
      <c r="J918" s="4" t="s">
        <v>59</v>
      </c>
      <c r="K918" s="4" t="s">
        <v>58</v>
      </c>
      <c r="L918" s="4" t="s">
        <v>57</v>
      </c>
      <c r="M918" s="4" t="s">
        <v>32</v>
      </c>
      <c r="N918" s="4" t="s">
        <v>106</v>
      </c>
      <c r="O918" s="5" t="s">
        <v>105</v>
      </c>
      <c r="P918" s="4" t="s">
        <v>54</v>
      </c>
      <c r="Q918" s="10">
        <v>568295.1</v>
      </c>
      <c r="R918" s="10">
        <v>0</v>
      </c>
      <c r="S918" s="9">
        <f t="shared" si="30"/>
        <v>568295.1</v>
      </c>
      <c r="T918" s="4" t="s">
        <v>53</v>
      </c>
      <c r="U918" s="4" t="s">
        <v>350</v>
      </c>
      <c r="V918" s="4"/>
      <c r="W918" s="4">
        <v>-10</v>
      </c>
      <c r="X918" s="4" t="s">
        <v>129</v>
      </c>
      <c r="Y918" s="4"/>
      <c r="Z918" s="7" t="s">
        <v>14</v>
      </c>
      <c r="AA918" s="36" t="s">
        <v>15</v>
      </c>
      <c r="AB918" s="4" t="s">
        <v>2606</v>
      </c>
      <c r="AC918" s="22">
        <f t="shared" si="29"/>
        <v>222.86082352941176</v>
      </c>
      <c r="AD918" s="23">
        <v>0</v>
      </c>
    </row>
    <row r="919" spans="1:30" x14ac:dyDescent="0.35">
      <c r="A919" s="7">
        <v>942</v>
      </c>
      <c r="B919" s="6">
        <v>45899</v>
      </c>
      <c r="C919" s="6">
        <v>45899</v>
      </c>
      <c r="D919" s="4" t="s">
        <v>388</v>
      </c>
      <c r="E919" s="4" t="s">
        <v>61</v>
      </c>
      <c r="F919" s="4" t="s">
        <v>387</v>
      </c>
      <c r="G919" s="4" t="s">
        <v>387</v>
      </c>
      <c r="H919" s="4"/>
      <c r="I919" s="4"/>
      <c r="J919" s="4" t="s">
        <v>59</v>
      </c>
      <c r="K919" s="4" t="s">
        <v>58</v>
      </c>
      <c r="L919" s="4" t="s">
        <v>57</v>
      </c>
      <c r="M919" s="4" t="s">
        <v>32</v>
      </c>
      <c r="N919" s="4" t="s">
        <v>106</v>
      </c>
      <c r="O919" s="5" t="s">
        <v>105</v>
      </c>
      <c r="P919" s="4" t="s">
        <v>54</v>
      </c>
      <c r="Q919" s="10">
        <v>32209.89</v>
      </c>
      <c r="R919" s="10">
        <v>0</v>
      </c>
      <c r="S919" s="9">
        <f t="shared" si="30"/>
        <v>32209.89</v>
      </c>
      <c r="T919" s="4" t="s">
        <v>53</v>
      </c>
      <c r="U919" s="4" t="s">
        <v>117</v>
      </c>
      <c r="V919" s="4"/>
      <c r="W919" s="4">
        <v>-10</v>
      </c>
      <c r="X919" s="4" t="s">
        <v>94</v>
      </c>
      <c r="Y919" s="4"/>
      <c r="Z919" s="7" t="s">
        <v>14</v>
      </c>
      <c r="AA919" s="36" t="s">
        <v>15</v>
      </c>
      <c r="AB919" s="4" t="s">
        <v>2606</v>
      </c>
      <c r="AC919" s="22">
        <f t="shared" si="29"/>
        <v>12.631329411764705</v>
      </c>
      <c r="AD919" s="23">
        <v>0</v>
      </c>
    </row>
    <row r="920" spans="1:30" x14ac:dyDescent="0.35">
      <c r="A920" s="7">
        <v>943</v>
      </c>
      <c r="B920" s="6">
        <v>45899</v>
      </c>
      <c r="C920" s="6">
        <v>45899</v>
      </c>
      <c r="D920" s="4" t="s">
        <v>386</v>
      </c>
      <c r="E920" s="4" t="s">
        <v>61</v>
      </c>
      <c r="F920" s="4" t="s">
        <v>385</v>
      </c>
      <c r="G920" s="4" t="s">
        <v>385</v>
      </c>
      <c r="H920" s="4"/>
      <c r="I920" s="4"/>
      <c r="J920" s="4" t="s">
        <v>59</v>
      </c>
      <c r="K920" s="4" t="s">
        <v>58</v>
      </c>
      <c r="L920" s="4" t="s">
        <v>57</v>
      </c>
      <c r="M920" s="4" t="s">
        <v>32</v>
      </c>
      <c r="N920" s="4" t="s">
        <v>106</v>
      </c>
      <c r="O920" s="5" t="s">
        <v>105</v>
      </c>
      <c r="P920" s="4" t="s">
        <v>54</v>
      </c>
      <c r="Q920" s="10">
        <v>143750</v>
      </c>
      <c r="R920" s="10">
        <v>0</v>
      </c>
      <c r="S920" s="9">
        <f t="shared" si="30"/>
        <v>143750</v>
      </c>
      <c r="T920" s="4" t="s">
        <v>53</v>
      </c>
      <c r="U920" s="4" t="s">
        <v>133</v>
      </c>
      <c r="V920" s="4"/>
      <c r="W920" s="4">
        <v>-28.75</v>
      </c>
      <c r="X920" s="4" t="s">
        <v>124</v>
      </c>
      <c r="Y920" s="4"/>
      <c r="Z920" s="7" t="s">
        <v>14</v>
      </c>
      <c r="AA920" s="36" t="s">
        <v>15</v>
      </c>
      <c r="AB920" s="4" t="s">
        <v>2606</v>
      </c>
      <c r="AC920" s="22">
        <f t="shared" si="29"/>
        <v>56.372549019607845</v>
      </c>
      <c r="AD920" s="23">
        <v>0</v>
      </c>
    </row>
    <row r="921" spans="1:30" x14ac:dyDescent="0.35">
      <c r="A921" s="7">
        <v>944</v>
      </c>
      <c r="B921" s="6">
        <v>45899</v>
      </c>
      <c r="C921" s="6">
        <v>45899</v>
      </c>
      <c r="D921" s="4" t="s">
        <v>384</v>
      </c>
      <c r="E921" s="4" t="s">
        <v>61</v>
      </c>
      <c r="F921" s="4" t="s">
        <v>383</v>
      </c>
      <c r="G921" s="4" t="s">
        <v>383</v>
      </c>
      <c r="H921" s="4"/>
      <c r="I921" s="4"/>
      <c r="J921" s="4" t="s">
        <v>59</v>
      </c>
      <c r="K921" s="4" t="s">
        <v>58</v>
      </c>
      <c r="L921" s="4" t="s">
        <v>57</v>
      </c>
      <c r="M921" s="4" t="s">
        <v>32</v>
      </c>
      <c r="N921" s="4" t="s">
        <v>106</v>
      </c>
      <c r="O921" s="5" t="s">
        <v>105</v>
      </c>
      <c r="P921" s="4" t="s">
        <v>54</v>
      </c>
      <c r="Q921" s="10">
        <v>2373575.7200000002</v>
      </c>
      <c r="R921" s="10">
        <v>0</v>
      </c>
      <c r="S921" s="9">
        <f t="shared" si="30"/>
        <v>2373575.7200000002</v>
      </c>
      <c r="T921" s="4" t="s">
        <v>53</v>
      </c>
      <c r="U921" s="4" t="s">
        <v>257</v>
      </c>
      <c r="V921" s="4"/>
      <c r="W921" s="4">
        <v>-250</v>
      </c>
      <c r="X921" s="4" t="s">
        <v>129</v>
      </c>
      <c r="Y921" s="4"/>
      <c r="Z921" s="7" t="s">
        <v>14</v>
      </c>
      <c r="AA921" s="36" t="s">
        <v>15</v>
      </c>
      <c r="AB921" s="4" t="s">
        <v>2606</v>
      </c>
      <c r="AC921" s="22">
        <f t="shared" si="29"/>
        <v>930.81400784313735</v>
      </c>
      <c r="AD921" s="23">
        <v>0</v>
      </c>
    </row>
    <row r="922" spans="1:30" x14ac:dyDescent="0.35">
      <c r="A922" s="7">
        <v>945</v>
      </c>
      <c r="B922" s="6">
        <v>45899</v>
      </c>
      <c r="C922" s="6">
        <v>45899</v>
      </c>
      <c r="D922" s="4" t="s">
        <v>382</v>
      </c>
      <c r="E922" s="4" t="s">
        <v>61</v>
      </c>
      <c r="F922" s="4" t="s">
        <v>381</v>
      </c>
      <c r="G922" s="4" t="s">
        <v>381</v>
      </c>
      <c r="H922" s="4"/>
      <c r="I922" s="4"/>
      <c r="J922" s="4" t="s">
        <v>59</v>
      </c>
      <c r="K922" s="4" t="s">
        <v>58</v>
      </c>
      <c r="L922" s="4" t="s">
        <v>57</v>
      </c>
      <c r="M922" s="4" t="s">
        <v>32</v>
      </c>
      <c r="N922" s="4" t="s">
        <v>106</v>
      </c>
      <c r="O922" s="5" t="s">
        <v>105</v>
      </c>
      <c r="P922" s="4" t="s">
        <v>54</v>
      </c>
      <c r="Q922" s="10">
        <v>2904216.56</v>
      </c>
      <c r="R922" s="10">
        <v>0</v>
      </c>
      <c r="S922" s="9">
        <f t="shared" si="30"/>
        <v>2904216.56</v>
      </c>
      <c r="T922" s="4" t="s">
        <v>53</v>
      </c>
      <c r="U922" s="4" t="s">
        <v>130</v>
      </c>
      <c r="V922" s="4"/>
      <c r="W922" s="4">
        <v>-200</v>
      </c>
      <c r="X922" s="4" t="s">
        <v>129</v>
      </c>
      <c r="Y922" s="4"/>
      <c r="Z922" s="7" t="s">
        <v>14</v>
      </c>
      <c r="AA922" s="36" t="s">
        <v>15</v>
      </c>
      <c r="AB922" s="4" t="s">
        <v>2606</v>
      </c>
      <c r="AC922" s="22">
        <f t="shared" si="29"/>
        <v>1138.9084549019608</v>
      </c>
      <c r="AD922" s="23">
        <v>0</v>
      </c>
    </row>
    <row r="923" spans="1:30" x14ac:dyDescent="0.35">
      <c r="A923" s="7">
        <v>946</v>
      </c>
      <c r="B923" s="6">
        <v>45899</v>
      </c>
      <c r="C923" s="6">
        <v>45899</v>
      </c>
      <c r="D923" s="4" t="s">
        <v>380</v>
      </c>
      <c r="E923" s="4" t="s">
        <v>61</v>
      </c>
      <c r="F923" s="4" t="s">
        <v>379</v>
      </c>
      <c r="G923" s="4" t="s">
        <v>379</v>
      </c>
      <c r="H923" s="4"/>
      <c r="I923" s="4"/>
      <c r="J923" s="4" t="s">
        <v>59</v>
      </c>
      <c r="K923" s="4" t="s">
        <v>58</v>
      </c>
      <c r="L923" s="4" t="s">
        <v>57</v>
      </c>
      <c r="M923" s="4" t="s">
        <v>32</v>
      </c>
      <c r="N923" s="4" t="s">
        <v>106</v>
      </c>
      <c r="O923" s="5" t="s">
        <v>105</v>
      </c>
      <c r="P923" s="4" t="s">
        <v>54</v>
      </c>
      <c r="Q923" s="10">
        <v>4111169.42</v>
      </c>
      <c r="R923" s="10">
        <v>0</v>
      </c>
      <c r="S923" s="9">
        <f t="shared" si="30"/>
        <v>4111169.42</v>
      </c>
      <c r="T923" s="4" t="s">
        <v>53</v>
      </c>
      <c r="U923" s="4" t="s">
        <v>175</v>
      </c>
      <c r="V923" s="4"/>
      <c r="W923" s="4">
        <v>-200</v>
      </c>
      <c r="X923" s="4" t="s">
        <v>129</v>
      </c>
      <c r="Y923" s="4"/>
      <c r="Z923" s="7" t="s">
        <v>14</v>
      </c>
      <c r="AA923" s="36" t="s">
        <v>15</v>
      </c>
      <c r="AB923" s="4" t="s">
        <v>2606</v>
      </c>
      <c r="AC923" s="22">
        <f t="shared" si="29"/>
        <v>1612.2233019607843</v>
      </c>
      <c r="AD923" s="23">
        <v>0</v>
      </c>
    </row>
    <row r="924" spans="1:30" x14ac:dyDescent="0.35">
      <c r="A924" s="7">
        <v>947</v>
      </c>
      <c r="B924" s="6">
        <v>45899</v>
      </c>
      <c r="C924" s="6">
        <v>45899</v>
      </c>
      <c r="D924" s="4" t="s">
        <v>378</v>
      </c>
      <c r="E924" s="4" t="s">
        <v>61</v>
      </c>
      <c r="F924" s="4" t="s">
        <v>377</v>
      </c>
      <c r="G924" s="4" t="s">
        <v>377</v>
      </c>
      <c r="H924" s="4"/>
      <c r="I924" s="4"/>
      <c r="J924" s="4" t="s">
        <v>59</v>
      </c>
      <c r="K924" s="4" t="s">
        <v>58</v>
      </c>
      <c r="L924" s="4" t="s">
        <v>57</v>
      </c>
      <c r="M924" s="4" t="s">
        <v>32</v>
      </c>
      <c r="N924" s="4" t="s">
        <v>106</v>
      </c>
      <c r="O924" s="5" t="s">
        <v>105</v>
      </c>
      <c r="P924" s="4" t="s">
        <v>54</v>
      </c>
      <c r="Q924" s="10">
        <v>3658959.1</v>
      </c>
      <c r="R924" s="10">
        <v>0</v>
      </c>
      <c r="S924" s="9">
        <f t="shared" si="30"/>
        <v>3658959.1</v>
      </c>
      <c r="T924" s="4" t="s">
        <v>53</v>
      </c>
      <c r="U924" s="4" t="s">
        <v>172</v>
      </c>
      <c r="V924" s="4"/>
      <c r="W924" s="4">
        <v>-100</v>
      </c>
      <c r="X924" s="4" t="s">
        <v>129</v>
      </c>
      <c r="Y924" s="4"/>
      <c r="Z924" s="7" t="s">
        <v>14</v>
      </c>
      <c r="AA924" s="36" t="s">
        <v>15</v>
      </c>
      <c r="AB924" s="4" t="s">
        <v>2606</v>
      </c>
      <c r="AC924" s="22">
        <f t="shared" si="29"/>
        <v>1434.8859215686275</v>
      </c>
      <c r="AD924" s="23">
        <v>0</v>
      </c>
    </row>
    <row r="925" spans="1:30" x14ac:dyDescent="0.35">
      <c r="A925" s="7">
        <v>948</v>
      </c>
      <c r="B925" s="6">
        <v>45899</v>
      </c>
      <c r="C925" s="6">
        <v>45899</v>
      </c>
      <c r="D925" s="4" t="s">
        <v>376</v>
      </c>
      <c r="E925" s="4" t="s">
        <v>61</v>
      </c>
      <c r="F925" s="4" t="s">
        <v>375</v>
      </c>
      <c r="G925" s="4" t="s">
        <v>375</v>
      </c>
      <c r="H925" s="4"/>
      <c r="I925" s="4"/>
      <c r="J925" s="4" t="s">
        <v>59</v>
      </c>
      <c r="K925" s="4" t="s">
        <v>58</v>
      </c>
      <c r="L925" s="4" t="s">
        <v>57</v>
      </c>
      <c r="M925" s="4" t="s">
        <v>32</v>
      </c>
      <c r="N925" s="4" t="s">
        <v>106</v>
      </c>
      <c r="O925" s="5" t="s">
        <v>105</v>
      </c>
      <c r="P925" s="4" t="s">
        <v>54</v>
      </c>
      <c r="Q925" s="10">
        <v>1136590.2</v>
      </c>
      <c r="R925" s="10">
        <v>0</v>
      </c>
      <c r="S925" s="9">
        <f t="shared" si="30"/>
        <v>1136590.2</v>
      </c>
      <c r="T925" s="4" t="s">
        <v>53</v>
      </c>
      <c r="U925" s="4" t="s">
        <v>350</v>
      </c>
      <c r="V925" s="4"/>
      <c r="W925" s="4">
        <v>-20</v>
      </c>
      <c r="X925" s="4" t="s">
        <v>129</v>
      </c>
      <c r="Y925" s="4"/>
      <c r="Z925" s="7" t="s">
        <v>14</v>
      </c>
      <c r="AA925" s="36" t="s">
        <v>15</v>
      </c>
      <c r="AB925" s="4" t="s">
        <v>2606</v>
      </c>
      <c r="AC925" s="22">
        <f t="shared" si="29"/>
        <v>445.72164705882352</v>
      </c>
      <c r="AD925" s="23">
        <v>0</v>
      </c>
    </row>
    <row r="926" spans="1:30" x14ac:dyDescent="0.35">
      <c r="A926" s="7">
        <v>949</v>
      </c>
      <c r="B926" s="6">
        <v>45901.598124999997</v>
      </c>
      <c r="C926" s="6">
        <v>45901</v>
      </c>
      <c r="D926" s="7" t="s">
        <v>1994</v>
      </c>
      <c r="E926" s="7" t="s">
        <v>61</v>
      </c>
      <c r="F926" s="7" t="s">
        <v>1993</v>
      </c>
      <c r="G926" s="7" t="s">
        <v>1993</v>
      </c>
      <c r="H926" s="7"/>
      <c r="I926" s="7"/>
      <c r="J926" s="7" t="s">
        <v>1816</v>
      </c>
      <c r="K926" s="7" t="s">
        <v>1815</v>
      </c>
      <c r="L926" s="7" t="s">
        <v>1992</v>
      </c>
      <c r="M926" s="7" t="s">
        <v>18</v>
      </c>
      <c r="N926" s="7" t="s">
        <v>266</v>
      </c>
      <c r="O926" s="7" t="s">
        <v>55</v>
      </c>
      <c r="P926" s="7" t="s">
        <v>54</v>
      </c>
      <c r="Q926" s="9">
        <v>3449600</v>
      </c>
      <c r="R926" s="9">
        <v>0</v>
      </c>
      <c r="S926" s="9">
        <f t="shared" si="30"/>
        <v>3449600</v>
      </c>
      <c r="T926" s="4" t="s">
        <v>53</v>
      </c>
      <c r="U926" s="7" t="s">
        <v>1991</v>
      </c>
      <c r="V926" s="7" t="s">
        <v>1990</v>
      </c>
      <c r="W926" s="9">
        <v>-200</v>
      </c>
      <c r="X926" s="7" t="s">
        <v>124</v>
      </c>
      <c r="Y926" s="7"/>
      <c r="Z926" s="7" t="s">
        <v>14</v>
      </c>
      <c r="AA926" s="36" t="s">
        <v>22</v>
      </c>
      <c r="AB926" s="4" t="s">
        <v>2835</v>
      </c>
      <c r="AC926" s="22">
        <f t="shared" si="29"/>
        <v>1352.7843137254902</v>
      </c>
      <c r="AD926" s="23">
        <v>0</v>
      </c>
    </row>
    <row r="927" spans="1:30" x14ac:dyDescent="0.35">
      <c r="A927" s="7">
        <v>950</v>
      </c>
      <c r="B927" s="6">
        <v>45901</v>
      </c>
      <c r="C927" s="6">
        <v>45901</v>
      </c>
      <c r="D927" s="4" t="s">
        <v>270</v>
      </c>
      <c r="E927" s="4" t="s">
        <v>61</v>
      </c>
      <c r="F927" s="4" t="s">
        <v>269</v>
      </c>
      <c r="G927" s="4" t="s">
        <v>269</v>
      </c>
      <c r="H927" s="4"/>
      <c r="I927" s="4"/>
      <c r="J927" s="4" t="s">
        <v>59</v>
      </c>
      <c r="K927" s="4" t="s">
        <v>58</v>
      </c>
      <c r="L927" s="4" t="s">
        <v>57</v>
      </c>
      <c r="M927" s="4" t="s">
        <v>32</v>
      </c>
      <c r="N927" s="4" t="s">
        <v>266</v>
      </c>
      <c r="O927" s="5" t="s">
        <v>55</v>
      </c>
      <c r="P927" s="4" t="s">
        <v>54</v>
      </c>
      <c r="Q927" s="10">
        <v>75000</v>
      </c>
      <c r="R927" s="10">
        <v>0</v>
      </c>
      <c r="S927" s="9">
        <f t="shared" si="30"/>
        <v>75000</v>
      </c>
      <c r="T927" s="4" t="s">
        <v>53</v>
      </c>
      <c r="U927" s="4" t="s">
        <v>121</v>
      </c>
      <c r="V927" s="4"/>
      <c r="W927" s="4">
        <v>-5</v>
      </c>
      <c r="X927" s="4" t="s">
        <v>94</v>
      </c>
      <c r="Y927" s="4"/>
      <c r="Z927" s="7" t="s">
        <v>14</v>
      </c>
      <c r="AA927" s="36" t="s">
        <v>22</v>
      </c>
      <c r="AB927" s="4" t="s">
        <v>2835</v>
      </c>
      <c r="AC927" s="22">
        <f t="shared" si="29"/>
        <v>29.411764705882351</v>
      </c>
      <c r="AD927" s="23">
        <v>0</v>
      </c>
    </row>
    <row r="928" spans="1:30" x14ac:dyDescent="0.35">
      <c r="A928" s="7">
        <v>951</v>
      </c>
      <c r="B928" s="6">
        <v>45901</v>
      </c>
      <c r="C928" s="6">
        <v>45901</v>
      </c>
      <c r="D928" s="4" t="s">
        <v>268</v>
      </c>
      <c r="E928" s="4" t="s">
        <v>61</v>
      </c>
      <c r="F928" s="4" t="s">
        <v>267</v>
      </c>
      <c r="G928" s="4" t="s">
        <v>267</v>
      </c>
      <c r="H928" s="4"/>
      <c r="I928" s="4"/>
      <c r="J928" s="4" t="s">
        <v>59</v>
      </c>
      <c r="K928" s="4" t="s">
        <v>58</v>
      </c>
      <c r="L928" s="4" t="s">
        <v>57</v>
      </c>
      <c r="M928" s="4" t="s">
        <v>32</v>
      </c>
      <c r="N928" s="4" t="s">
        <v>266</v>
      </c>
      <c r="O928" s="5" t="s">
        <v>55</v>
      </c>
      <c r="P928" s="4" t="s">
        <v>54</v>
      </c>
      <c r="Q928" s="10">
        <v>71750</v>
      </c>
      <c r="R928" s="10">
        <v>0</v>
      </c>
      <c r="S928" s="9">
        <f t="shared" si="30"/>
        <v>71750</v>
      </c>
      <c r="T928" s="4" t="s">
        <v>53</v>
      </c>
      <c r="U928" s="4" t="s">
        <v>133</v>
      </c>
      <c r="V928" s="4"/>
      <c r="W928" s="4">
        <v>-14.35</v>
      </c>
      <c r="X928" s="4" t="s">
        <v>124</v>
      </c>
      <c r="Y928" s="4"/>
      <c r="Z928" s="7" t="s">
        <v>14</v>
      </c>
      <c r="AA928" s="36" t="s">
        <v>22</v>
      </c>
      <c r="AB928" s="4" t="s">
        <v>2835</v>
      </c>
      <c r="AC928" s="22">
        <f t="shared" si="29"/>
        <v>28.137254901960784</v>
      </c>
      <c r="AD928" s="23">
        <v>0</v>
      </c>
    </row>
    <row r="929" spans="1:30" x14ac:dyDescent="0.35">
      <c r="A929" s="7">
        <v>952</v>
      </c>
      <c r="B929" s="6">
        <v>45901</v>
      </c>
      <c r="C929" s="6">
        <v>45901</v>
      </c>
      <c r="D929" s="4" t="s">
        <v>199</v>
      </c>
      <c r="E929" s="4" t="s">
        <v>61</v>
      </c>
      <c r="F929" s="4" t="s">
        <v>198</v>
      </c>
      <c r="G929" s="4" t="s">
        <v>198</v>
      </c>
      <c r="H929" s="4"/>
      <c r="I929" s="4"/>
      <c r="J929" s="4" t="s">
        <v>59</v>
      </c>
      <c r="K929" s="4" t="s">
        <v>58</v>
      </c>
      <c r="L929" s="4" t="s">
        <v>57</v>
      </c>
      <c r="M929" s="4" t="s">
        <v>32</v>
      </c>
      <c r="N929" s="4" t="s">
        <v>197</v>
      </c>
      <c r="O929" s="5" t="s">
        <v>105</v>
      </c>
      <c r="P929" s="4" t="s">
        <v>196</v>
      </c>
      <c r="Q929" s="10">
        <v>1204309.1499999999</v>
      </c>
      <c r="R929" s="10">
        <v>0</v>
      </c>
      <c r="S929" s="9">
        <f t="shared" si="30"/>
        <v>1204309.1499999999</v>
      </c>
      <c r="T929" s="4" t="s">
        <v>53</v>
      </c>
      <c r="U929" s="4" t="s">
        <v>195</v>
      </c>
      <c r="V929" s="4"/>
      <c r="W929" s="4">
        <v>-210</v>
      </c>
      <c r="X929" s="4" t="s">
        <v>94</v>
      </c>
      <c r="Y929" s="4"/>
      <c r="Z929" s="7" t="s">
        <v>14</v>
      </c>
      <c r="AA929" s="36" t="s">
        <v>29</v>
      </c>
      <c r="AB929" s="4" t="s">
        <v>2607</v>
      </c>
      <c r="AC929" s="22">
        <f t="shared" si="29"/>
        <v>472.27809803921565</v>
      </c>
      <c r="AD929" s="23">
        <v>0</v>
      </c>
    </row>
    <row r="930" spans="1:30" x14ac:dyDescent="0.35">
      <c r="A930" s="7">
        <v>953</v>
      </c>
      <c r="B930" s="6">
        <v>45901</v>
      </c>
      <c r="C930" s="6">
        <v>45901</v>
      </c>
      <c r="D930" s="4" t="s">
        <v>156</v>
      </c>
      <c r="E930" s="4" t="s">
        <v>61</v>
      </c>
      <c r="F930" s="4" t="s">
        <v>155</v>
      </c>
      <c r="G930" s="4" t="s">
        <v>155</v>
      </c>
      <c r="H930" s="4"/>
      <c r="I930" s="4"/>
      <c r="J930" s="4" t="s">
        <v>59</v>
      </c>
      <c r="K930" s="4" t="s">
        <v>58</v>
      </c>
      <c r="L930" s="4" t="s">
        <v>57</v>
      </c>
      <c r="M930" s="4" t="s">
        <v>32</v>
      </c>
      <c r="N930" s="4" t="s">
        <v>106</v>
      </c>
      <c r="O930" s="5" t="s">
        <v>105</v>
      </c>
      <c r="P930" s="4" t="s">
        <v>54</v>
      </c>
      <c r="Q930" s="10">
        <v>28500</v>
      </c>
      <c r="R930" s="10">
        <v>0</v>
      </c>
      <c r="S930" s="9">
        <f t="shared" si="30"/>
        <v>28500</v>
      </c>
      <c r="T930" s="4" t="s">
        <v>53</v>
      </c>
      <c r="U930" s="4" t="s">
        <v>154</v>
      </c>
      <c r="V930" s="4"/>
      <c r="W930" s="4">
        <v>-5</v>
      </c>
      <c r="X930" s="4" t="s">
        <v>124</v>
      </c>
      <c r="Y930" s="4"/>
      <c r="Z930" s="7" t="s">
        <v>14</v>
      </c>
      <c r="AA930" s="36" t="s">
        <v>15</v>
      </c>
      <c r="AB930" s="4" t="s">
        <v>2606</v>
      </c>
      <c r="AC930" s="22">
        <f t="shared" si="29"/>
        <v>11.176470588235293</v>
      </c>
      <c r="AD930" s="23">
        <v>0</v>
      </c>
    </row>
    <row r="931" spans="1:30" x14ac:dyDescent="0.35">
      <c r="A931" s="7">
        <v>954</v>
      </c>
      <c r="B931" s="6">
        <v>45901</v>
      </c>
      <c r="C931" s="6">
        <v>45901</v>
      </c>
      <c r="D931" s="4" t="s">
        <v>153</v>
      </c>
      <c r="E931" s="4" t="s">
        <v>61</v>
      </c>
      <c r="F931" s="4" t="s">
        <v>152</v>
      </c>
      <c r="G931" s="4" t="s">
        <v>152</v>
      </c>
      <c r="H931" s="4"/>
      <c r="I931" s="4"/>
      <c r="J931" s="4" t="s">
        <v>59</v>
      </c>
      <c r="K931" s="4" t="s">
        <v>58</v>
      </c>
      <c r="L931" s="4" t="s">
        <v>57</v>
      </c>
      <c r="M931" s="4" t="s">
        <v>32</v>
      </c>
      <c r="N931" s="4" t="s">
        <v>106</v>
      </c>
      <c r="O931" s="5" t="s">
        <v>105</v>
      </c>
      <c r="P931" s="4" t="s">
        <v>54</v>
      </c>
      <c r="Q931" s="10">
        <v>11400</v>
      </c>
      <c r="R931" s="10">
        <v>0</v>
      </c>
      <c r="S931" s="9">
        <f t="shared" si="30"/>
        <v>11400</v>
      </c>
      <c r="T931" s="4" t="s">
        <v>53</v>
      </c>
      <c r="U931" s="4" t="s">
        <v>151</v>
      </c>
      <c r="V931" s="4"/>
      <c r="W931" s="4">
        <v>-2</v>
      </c>
      <c r="X931" s="4" t="s">
        <v>124</v>
      </c>
      <c r="Y931" s="4"/>
      <c r="Z931" s="7" t="s">
        <v>14</v>
      </c>
      <c r="AA931" s="36" t="s">
        <v>15</v>
      </c>
      <c r="AB931" s="4" t="s">
        <v>2606</v>
      </c>
      <c r="AC931" s="22">
        <f t="shared" si="29"/>
        <v>4.4705882352941178</v>
      </c>
      <c r="AD931" s="23">
        <v>0</v>
      </c>
    </row>
    <row r="932" spans="1:30" x14ac:dyDescent="0.35">
      <c r="A932" s="7">
        <v>955</v>
      </c>
      <c r="B932" s="6">
        <v>45901</v>
      </c>
      <c r="C932" s="6">
        <v>45901</v>
      </c>
      <c r="D932" s="4" t="s">
        <v>150</v>
      </c>
      <c r="E932" s="4" t="s">
        <v>61</v>
      </c>
      <c r="F932" s="4" t="s">
        <v>149</v>
      </c>
      <c r="G932" s="4" t="s">
        <v>149</v>
      </c>
      <c r="H932" s="4"/>
      <c r="I932" s="4"/>
      <c r="J932" s="4" t="s">
        <v>59</v>
      </c>
      <c r="K932" s="4" t="s">
        <v>58</v>
      </c>
      <c r="L932" s="4" t="s">
        <v>57</v>
      </c>
      <c r="M932" s="4" t="s">
        <v>32</v>
      </c>
      <c r="N932" s="4" t="s">
        <v>106</v>
      </c>
      <c r="O932" s="5" t="s">
        <v>105</v>
      </c>
      <c r="P932" s="4" t="s">
        <v>54</v>
      </c>
      <c r="Q932" s="10">
        <v>70000</v>
      </c>
      <c r="R932" s="10">
        <v>0</v>
      </c>
      <c r="S932" s="9">
        <f t="shared" si="30"/>
        <v>70000</v>
      </c>
      <c r="T932" s="4" t="s">
        <v>53</v>
      </c>
      <c r="U932" s="4" t="s">
        <v>148</v>
      </c>
      <c r="V932" s="4"/>
      <c r="W932" s="4">
        <v>-10</v>
      </c>
      <c r="X932" s="4" t="s">
        <v>94</v>
      </c>
      <c r="Y932" s="4"/>
      <c r="Z932" s="7" t="s">
        <v>14</v>
      </c>
      <c r="AA932" s="36" t="s">
        <v>15</v>
      </c>
      <c r="AB932" s="4" t="s">
        <v>2606</v>
      </c>
      <c r="AC932" s="22">
        <f t="shared" si="29"/>
        <v>27.450980392156861</v>
      </c>
      <c r="AD932" s="23">
        <v>0</v>
      </c>
    </row>
    <row r="933" spans="1:30" x14ac:dyDescent="0.35">
      <c r="A933" s="7">
        <v>956</v>
      </c>
      <c r="B933" s="6">
        <v>45901</v>
      </c>
      <c r="C933" s="6">
        <v>45901</v>
      </c>
      <c r="D933" s="4" t="s">
        <v>147</v>
      </c>
      <c r="E933" s="4" t="s">
        <v>61</v>
      </c>
      <c r="F933" s="4" t="s">
        <v>146</v>
      </c>
      <c r="G933" s="4" t="s">
        <v>146</v>
      </c>
      <c r="H933" s="4"/>
      <c r="I933" s="4"/>
      <c r="J933" s="4" t="s">
        <v>59</v>
      </c>
      <c r="K933" s="4" t="s">
        <v>58</v>
      </c>
      <c r="L933" s="4" t="s">
        <v>57</v>
      </c>
      <c r="M933" s="4" t="s">
        <v>32</v>
      </c>
      <c r="N933" s="4" t="s">
        <v>106</v>
      </c>
      <c r="O933" s="5" t="s">
        <v>105</v>
      </c>
      <c r="P933" s="4" t="s">
        <v>54</v>
      </c>
      <c r="Q933" s="10">
        <v>25000</v>
      </c>
      <c r="R933" s="10">
        <v>0</v>
      </c>
      <c r="S933" s="9">
        <f t="shared" si="30"/>
        <v>25000</v>
      </c>
      <c r="T933" s="4" t="s">
        <v>53</v>
      </c>
      <c r="U933" s="4" t="s">
        <v>145</v>
      </c>
      <c r="V933" s="4"/>
      <c r="W933" s="4">
        <v>-5</v>
      </c>
      <c r="X933" s="4" t="s">
        <v>94</v>
      </c>
      <c r="Y933" s="4"/>
      <c r="Z933" s="7" t="s">
        <v>14</v>
      </c>
      <c r="AA933" s="36" t="s">
        <v>15</v>
      </c>
      <c r="AB933" s="4" t="s">
        <v>2606</v>
      </c>
      <c r="AC933" s="22">
        <f t="shared" si="29"/>
        <v>9.8039215686274517</v>
      </c>
      <c r="AD933" s="23">
        <v>0</v>
      </c>
    </row>
    <row r="934" spans="1:30" x14ac:dyDescent="0.35">
      <c r="A934" s="7">
        <v>957</v>
      </c>
      <c r="B934" s="6">
        <v>45901</v>
      </c>
      <c r="C934" s="6">
        <v>45901</v>
      </c>
      <c r="D934" s="4" t="s">
        <v>144</v>
      </c>
      <c r="E934" s="4" t="s">
        <v>61</v>
      </c>
      <c r="F934" s="4" t="s">
        <v>143</v>
      </c>
      <c r="G934" s="4" t="s">
        <v>143</v>
      </c>
      <c r="H934" s="4"/>
      <c r="I934" s="4"/>
      <c r="J934" s="4" t="s">
        <v>59</v>
      </c>
      <c r="K934" s="4" t="s">
        <v>58</v>
      </c>
      <c r="L934" s="4" t="s">
        <v>57</v>
      </c>
      <c r="M934" s="4" t="s">
        <v>32</v>
      </c>
      <c r="N934" s="4" t="s">
        <v>106</v>
      </c>
      <c r="O934" s="5" t="s">
        <v>105</v>
      </c>
      <c r="P934" s="4" t="s">
        <v>54</v>
      </c>
      <c r="Q934" s="10">
        <v>36450</v>
      </c>
      <c r="R934" s="10">
        <v>0</v>
      </c>
      <c r="S934" s="9">
        <f t="shared" si="30"/>
        <v>36450</v>
      </c>
      <c r="T934" s="4" t="s">
        <v>53</v>
      </c>
      <c r="U934" s="4" t="s">
        <v>142</v>
      </c>
      <c r="V934" s="4"/>
      <c r="W934" s="4">
        <v>-3</v>
      </c>
      <c r="X934" s="4" t="s">
        <v>124</v>
      </c>
      <c r="Y934" s="4"/>
      <c r="Z934" s="7" t="s">
        <v>14</v>
      </c>
      <c r="AA934" s="36" t="s">
        <v>15</v>
      </c>
      <c r="AB934" s="4" t="s">
        <v>2606</v>
      </c>
      <c r="AC934" s="22">
        <f t="shared" si="29"/>
        <v>14.294117647058824</v>
      </c>
      <c r="AD934" s="23">
        <v>0</v>
      </c>
    </row>
    <row r="935" spans="1:30" x14ac:dyDescent="0.35">
      <c r="A935" s="7">
        <v>958</v>
      </c>
      <c r="B935" s="6">
        <v>45901</v>
      </c>
      <c r="C935" s="6">
        <v>45901</v>
      </c>
      <c r="D935" s="4" t="s">
        <v>141</v>
      </c>
      <c r="E935" s="4" t="s">
        <v>61</v>
      </c>
      <c r="F935" s="4" t="s">
        <v>140</v>
      </c>
      <c r="G935" s="4" t="s">
        <v>140</v>
      </c>
      <c r="H935" s="4"/>
      <c r="I935" s="4"/>
      <c r="J935" s="4" t="s">
        <v>59</v>
      </c>
      <c r="K935" s="4" t="s">
        <v>58</v>
      </c>
      <c r="L935" s="4" t="s">
        <v>57</v>
      </c>
      <c r="M935" s="4" t="s">
        <v>32</v>
      </c>
      <c r="N935" s="4" t="s">
        <v>106</v>
      </c>
      <c r="O935" s="5" t="s">
        <v>105</v>
      </c>
      <c r="P935" s="4" t="s">
        <v>54</v>
      </c>
      <c r="Q935" s="10">
        <v>25767.919999999998</v>
      </c>
      <c r="R935" s="10">
        <v>0</v>
      </c>
      <c r="S935" s="9">
        <f t="shared" si="30"/>
        <v>25767.919999999998</v>
      </c>
      <c r="T935" s="4" t="s">
        <v>53</v>
      </c>
      <c r="U935" s="4" t="s">
        <v>117</v>
      </c>
      <c r="V935" s="4"/>
      <c r="W935" s="4">
        <v>-8</v>
      </c>
      <c r="X935" s="4" t="s">
        <v>94</v>
      </c>
      <c r="Y935" s="4"/>
      <c r="Z935" s="7" t="s">
        <v>14</v>
      </c>
      <c r="AA935" s="36" t="s">
        <v>15</v>
      </c>
      <c r="AB935" s="4" t="s">
        <v>2606</v>
      </c>
      <c r="AC935" s="22">
        <f t="shared" si="29"/>
        <v>10.105066666666666</v>
      </c>
      <c r="AD935" s="23">
        <v>0</v>
      </c>
    </row>
    <row r="936" spans="1:30" hidden="1" x14ac:dyDescent="0.35">
      <c r="A936" s="7">
        <v>959</v>
      </c>
      <c r="B936" s="6">
        <v>45902.289907407408</v>
      </c>
      <c r="C936" s="6">
        <v>45902</v>
      </c>
      <c r="D936" s="7" t="s">
        <v>1982</v>
      </c>
      <c r="E936" s="7" t="s">
        <v>1981</v>
      </c>
      <c r="F936" s="7" t="s">
        <v>1989</v>
      </c>
      <c r="G936" s="7" t="s">
        <v>1979</v>
      </c>
      <c r="H936" s="7" t="s">
        <v>1984</v>
      </c>
      <c r="I936" s="7" t="s">
        <v>1983</v>
      </c>
      <c r="J936" s="7" t="s">
        <v>1816</v>
      </c>
      <c r="K936" s="7" t="s">
        <v>1815</v>
      </c>
      <c r="L936" s="7" t="s">
        <v>1814</v>
      </c>
      <c r="M936" s="7" t="s">
        <v>28</v>
      </c>
      <c r="N936" s="7" t="s">
        <v>1825</v>
      </c>
      <c r="O936" s="7" t="s">
        <v>105</v>
      </c>
      <c r="P936" s="7" t="s">
        <v>1775</v>
      </c>
      <c r="Q936" s="9">
        <v>690000</v>
      </c>
      <c r="R936" s="9">
        <v>0</v>
      </c>
      <c r="S936" s="9">
        <f t="shared" si="30"/>
        <v>690000</v>
      </c>
      <c r="T936" s="4" t="s">
        <v>53</v>
      </c>
      <c r="U936" s="7"/>
      <c r="V936" s="7"/>
      <c r="W936" s="9">
        <v>1</v>
      </c>
      <c r="X936" s="7"/>
      <c r="Y936" s="7"/>
      <c r="Z936" s="7" t="s">
        <v>14</v>
      </c>
      <c r="AA936" s="36" t="s">
        <v>28</v>
      </c>
      <c r="AB936" s="4"/>
      <c r="AC936" s="22">
        <f t="shared" si="29"/>
        <v>270.58823529411762</v>
      </c>
      <c r="AD936" s="23">
        <v>0</v>
      </c>
    </row>
    <row r="937" spans="1:30" hidden="1" x14ac:dyDescent="0.35">
      <c r="A937" s="7">
        <v>960</v>
      </c>
      <c r="B937" s="6">
        <v>45902.596956018519</v>
      </c>
      <c r="C937" s="6">
        <v>45902</v>
      </c>
      <c r="D937" s="7" t="s">
        <v>1982</v>
      </c>
      <c r="E937" s="7" t="s">
        <v>1981</v>
      </c>
      <c r="F937" s="7" t="s">
        <v>1989</v>
      </c>
      <c r="G937" s="7" t="s">
        <v>1979</v>
      </c>
      <c r="H937" s="7" t="s">
        <v>1978</v>
      </c>
      <c r="I937" s="7" t="s">
        <v>1977</v>
      </c>
      <c r="J937" s="7" t="s">
        <v>1816</v>
      </c>
      <c r="K937" s="7" t="s">
        <v>1815</v>
      </c>
      <c r="L937" s="7" t="s">
        <v>1814</v>
      </c>
      <c r="M937" s="7" t="s">
        <v>28</v>
      </c>
      <c r="N937" s="7" t="s">
        <v>1825</v>
      </c>
      <c r="O937" s="7" t="s">
        <v>105</v>
      </c>
      <c r="P937" s="7" t="s">
        <v>1775</v>
      </c>
      <c r="Q937" s="9">
        <v>30000</v>
      </c>
      <c r="R937" s="9">
        <v>0</v>
      </c>
      <c r="S937" s="9">
        <f t="shared" si="30"/>
        <v>30000</v>
      </c>
      <c r="T937" s="4" t="s">
        <v>53</v>
      </c>
      <c r="U937" s="7"/>
      <c r="V937" s="7"/>
      <c r="W937" s="9">
        <v>1</v>
      </c>
      <c r="X937" s="7"/>
      <c r="Y937" s="7"/>
      <c r="Z937" s="7" t="s">
        <v>14</v>
      </c>
      <c r="AA937" s="36" t="s">
        <v>28</v>
      </c>
      <c r="AB937" s="4"/>
      <c r="AC937" s="22">
        <f t="shared" si="29"/>
        <v>11.764705882352942</v>
      </c>
      <c r="AD937" s="23">
        <v>0</v>
      </c>
    </row>
    <row r="938" spans="1:30" hidden="1" x14ac:dyDescent="0.35">
      <c r="A938" s="7">
        <v>961</v>
      </c>
      <c r="B938" s="6">
        <v>45902.596956018519</v>
      </c>
      <c r="C938" s="6">
        <v>45902</v>
      </c>
      <c r="D938" s="7" t="s">
        <v>1982</v>
      </c>
      <c r="E938" s="7" t="s">
        <v>1981</v>
      </c>
      <c r="F938" s="7" t="s">
        <v>1988</v>
      </c>
      <c r="G938" s="7" t="s">
        <v>1979</v>
      </c>
      <c r="H938" s="7" t="s">
        <v>1978</v>
      </c>
      <c r="I938" s="7" t="s">
        <v>1977</v>
      </c>
      <c r="J938" s="7" t="s">
        <v>1816</v>
      </c>
      <c r="K938" s="7" t="s">
        <v>1815</v>
      </c>
      <c r="L938" s="7" t="s">
        <v>1814</v>
      </c>
      <c r="M938" s="7" t="s">
        <v>28</v>
      </c>
      <c r="N938" s="7" t="s">
        <v>1825</v>
      </c>
      <c r="O938" s="7" t="s">
        <v>105</v>
      </c>
      <c r="P938" s="7" t="s">
        <v>1775</v>
      </c>
      <c r="Q938" s="9">
        <v>20000</v>
      </c>
      <c r="R938" s="9">
        <v>0</v>
      </c>
      <c r="S938" s="9">
        <f t="shared" si="30"/>
        <v>20000</v>
      </c>
      <c r="T938" s="4" t="s">
        <v>53</v>
      </c>
      <c r="U938" s="7"/>
      <c r="V938" s="7"/>
      <c r="W938" s="9">
        <v>1</v>
      </c>
      <c r="X938" s="7"/>
      <c r="Y938" s="7"/>
      <c r="Z938" s="7" t="s">
        <v>14</v>
      </c>
      <c r="AA938" s="36" t="s">
        <v>28</v>
      </c>
      <c r="AB938" s="4"/>
      <c r="AC938" s="22">
        <f t="shared" si="29"/>
        <v>7.8431372549019605</v>
      </c>
      <c r="AD938" s="23">
        <v>0</v>
      </c>
    </row>
    <row r="939" spans="1:30" hidden="1" x14ac:dyDescent="0.35">
      <c r="A939" s="7">
        <v>962</v>
      </c>
      <c r="B939" s="6">
        <v>45902.289907407408</v>
      </c>
      <c r="C939" s="6">
        <v>45902</v>
      </c>
      <c r="D939" s="7" t="s">
        <v>1982</v>
      </c>
      <c r="E939" s="7" t="s">
        <v>1981</v>
      </c>
      <c r="F939" s="7" t="s">
        <v>1988</v>
      </c>
      <c r="G939" s="7" t="s">
        <v>1979</v>
      </c>
      <c r="H939" s="7" t="s">
        <v>1984</v>
      </c>
      <c r="I939" s="7" t="s">
        <v>1983</v>
      </c>
      <c r="J939" s="7" t="s">
        <v>1816</v>
      </c>
      <c r="K939" s="7" t="s">
        <v>1815</v>
      </c>
      <c r="L939" s="7" t="s">
        <v>1814</v>
      </c>
      <c r="M939" s="7" t="s">
        <v>28</v>
      </c>
      <c r="N939" s="7" t="s">
        <v>1825</v>
      </c>
      <c r="O939" s="7" t="s">
        <v>105</v>
      </c>
      <c r="P939" s="7" t="s">
        <v>1775</v>
      </c>
      <c r="Q939" s="9">
        <v>381000</v>
      </c>
      <c r="R939" s="9">
        <v>0</v>
      </c>
      <c r="S939" s="9">
        <f t="shared" si="30"/>
        <v>381000</v>
      </c>
      <c r="T939" s="4" t="s">
        <v>53</v>
      </c>
      <c r="U939" s="7"/>
      <c r="V939" s="7"/>
      <c r="W939" s="9">
        <v>1</v>
      </c>
      <c r="X939" s="7"/>
      <c r="Y939" s="7"/>
      <c r="Z939" s="7" t="s">
        <v>14</v>
      </c>
      <c r="AA939" s="36" t="s">
        <v>28</v>
      </c>
      <c r="AB939" s="4"/>
      <c r="AC939" s="22">
        <f t="shared" ref="AC939:AC1002" si="31">+S939/$AC$1</f>
        <v>149.41176470588235</v>
      </c>
      <c r="AD939" s="23">
        <v>0</v>
      </c>
    </row>
    <row r="940" spans="1:30" hidden="1" x14ac:dyDescent="0.35">
      <c r="A940" s="7">
        <v>963</v>
      </c>
      <c r="B940" s="6">
        <v>45902.289907407408</v>
      </c>
      <c r="C940" s="6">
        <v>45902</v>
      </c>
      <c r="D940" s="7" t="s">
        <v>1982</v>
      </c>
      <c r="E940" s="7" t="s">
        <v>1981</v>
      </c>
      <c r="F940" s="7" t="s">
        <v>1985</v>
      </c>
      <c r="G940" s="7" t="s">
        <v>1979</v>
      </c>
      <c r="H940" s="7" t="s">
        <v>1984</v>
      </c>
      <c r="I940" s="7" t="s">
        <v>1983</v>
      </c>
      <c r="J940" s="7" t="s">
        <v>1816</v>
      </c>
      <c r="K940" s="7" t="s">
        <v>1815</v>
      </c>
      <c r="L940" s="7" t="s">
        <v>1814</v>
      </c>
      <c r="M940" s="7" t="s">
        <v>28</v>
      </c>
      <c r="N940" s="7" t="s">
        <v>1825</v>
      </c>
      <c r="O940" s="7" t="s">
        <v>105</v>
      </c>
      <c r="P940" s="7" t="s">
        <v>1775</v>
      </c>
      <c r="Q940" s="9">
        <v>3595000</v>
      </c>
      <c r="R940" s="9">
        <v>0</v>
      </c>
      <c r="S940" s="9">
        <f t="shared" si="30"/>
        <v>3595000</v>
      </c>
      <c r="T940" s="4" t="s">
        <v>53</v>
      </c>
      <c r="U940" s="7"/>
      <c r="V940" s="7"/>
      <c r="W940" s="9">
        <v>1</v>
      </c>
      <c r="X940" s="7"/>
      <c r="Y940" s="7"/>
      <c r="Z940" s="7" t="s">
        <v>14</v>
      </c>
      <c r="AA940" s="36" t="s">
        <v>28</v>
      </c>
      <c r="AB940" s="4"/>
      <c r="AC940" s="22">
        <f t="shared" si="31"/>
        <v>1409.8039215686274</v>
      </c>
      <c r="AD940" s="23">
        <v>0</v>
      </c>
    </row>
    <row r="941" spans="1:30" hidden="1" x14ac:dyDescent="0.35">
      <c r="A941" s="7">
        <v>964</v>
      </c>
      <c r="B941" s="6">
        <v>45902.289907407408</v>
      </c>
      <c r="C941" s="6">
        <v>45902</v>
      </c>
      <c r="D941" s="7" t="s">
        <v>1982</v>
      </c>
      <c r="E941" s="7" t="s">
        <v>1981</v>
      </c>
      <c r="F941" s="7" t="s">
        <v>1986</v>
      </c>
      <c r="G941" s="7" t="s">
        <v>1979</v>
      </c>
      <c r="H941" s="7" t="s">
        <v>1984</v>
      </c>
      <c r="I941" s="7" t="s">
        <v>1983</v>
      </c>
      <c r="J941" s="7" t="s">
        <v>1816</v>
      </c>
      <c r="K941" s="7" t="s">
        <v>1815</v>
      </c>
      <c r="L941" s="7" t="s">
        <v>1814</v>
      </c>
      <c r="M941" s="7" t="s">
        <v>28</v>
      </c>
      <c r="N941" s="7" t="s">
        <v>1825</v>
      </c>
      <c r="O941" s="7" t="s">
        <v>105</v>
      </c>
      <c r="P941" s="7" t="s">
        <v>1775</v>
      </c>
      <c r="Q941" s="9">
        <v>2094836</v>
      </c>
      <c r="R941" s="9">
        <v>0</v>
      </c>
      <c r="S941" s="9">
        <f t="shared" si="30"/>
        <v>2094836</v>
      </c>
      <c r="T941" s="4" t="s">
        <v>53</v>
      </c>
      <c r="U941" s="7"/>
      <c r="V941" s="7"/>
      <c r="W941" s="9">
        <v>1</v>
      </c>
      <c r="X941" s="7"/>
      <c r="Y941" s="7"/>
      <c r="Z941" s="7" t="s">
        <v>14</v>
      </c>
      <c r="AA941" s="36" t="s">
        <v>28</v>
      </c>
      <c r="AB941" s="4"/>
      <c r="AC941" s="22">
        <f t="shared" si="31"/>
        <v>821.50431372549019</v>
      </c>
      <c r="AD941" s="23">
        <v>0</v>
      </c>
    </row>
    <row r="942" spans="1:30" hidden="1" x14ac:dyDescent="0.35">
      <c r="A942" s="7">
        <v>965</v>
      </c>
      <c r="B942" s="6">
        <v>45902.289907407408</v>
      </c>
      <c r="C942" s="6">
        <v>45902</v>
      </c>
      <c r="D942" s="7" t="s">
        <v>1982</v>
      </c>
      <c r="E942" s="7" t="s">
        <v>1981</v>
      </c>
      <c r="F942" s="7" t="s">
        <v>1987</v>
      </c>
      <c r="G942" s="7" t="s">
        <v>1979</v>
      </c>
      <c r="H942" s="7" t="s">
        <v>1984</v>
      </c>
      <c r="I942" s="7" t="s">
        <v>1983</v>
      </c>
      <c r="J942" s="7" t="s">
        <v>1816</v>
      </c>
      <c r="K942" s="7" t="s">
        <v>1815</v>
      </c>
      <c r="L942" s="7" t="s">
        <v>1814</v>
      </c>
      <c r="M942" s="7" t="s">
        <v>28</v>
      </c>
      <c r="N942" s="7" t="s">
        <v>1825</v>
      </c>
      <c r="O942" s="7" t="s">
        <v>105</v>
      </c>
      <c r="P942" s="7" t="s">
        <v>1775</v>
      </c>
      <c r="Q942" s="9">
        <v>136864</v>
      </c>
      <c r="R942" s="9">
        <v>0</v>
      </c>
      <c r="S942" s="9">
        <f t="shared" si="30"/>
        <v>136864</v>
      </c>
      <c r="T942" s="4" t="s">
        <v>53</v>
      </c>
      <c r="U942" s="7"/>
      <c r="V942" s="7"/>
      <c r="W942" s="9">
        <v>1</v>
      </c>
      <c r="X942" s="7"/>
      <c r="Y942" s="7"/>
      <c r="Z942" s="7" t="s">
        <v>14</v>
      </c>
      <c r="AA942" s="36" t="s">
        <v>28</v>
      </c>
      <c r="AB942" s="4"/>
      <c r="AC942" s="22">
        <f t="shared" si="31"/>
        <v>53.672156862745098</v>
      </c>
      <c r="AD942" s="23">
        <v>0</v>
      </c>
    </row>
    <row r="943" spans="1:30" hidden="1" x14ac:dyDescent="0.35">
      <c r="A943" s="7">
        <v>966</v>
      </c>
      <c r="B943" s="6">
        <v>45902.596956018519</v>
      </c>
      <c r="C943" s="6">
        <v>45902</v>
      </c>
      <c r="D943" s="7" t="s">
        <v>1982</v>
      </c>
      <c r="E943" s="7" t="s">
        <v>1981</v>
      </c>
      <c r="F943" s="7" t="s">
        <v>1986</v>
      </c>
      <c r="G943" s="7" t="s">
        <v>1979</v>
      </c>
      <c r="H943" s="7" t="s">
        <v>1978</v>
      </c>
      <c r="I943" s="7" t="s">
        <v>1977</v>
      </c>
      <c r="J943" s="7" t="s">
        <v>1816</v>
      </c>
      <c r="K943" s="7" t="s">
        <v>1815</v>
      </c>
      <c r="L943" s="7" t="s">
        <v>1814</v>
      </c>
      <c r="M943" s="7" t="s">
        <v>28</v>
      </c>
      <c r="N943" s="7" t="s">
        <v>1825</v>
      </c>
      <c r="O943" s="7" t="s">
        <v>105</v>
      </c>
      <c r="P943" s="7" t="s">
        <v>1775</v>
      </c>
      <c r="Q943" s="9">
        <v>1252627</v>
      </c>
      <c r="R943" s="9">
        <v>0</v>
      </c>
      <c r="S943" s="9">
        <f t="shared" si="30"/>
        <v>1252627</v>
      </c>
      <c r="T943" s="4" t="s">
        <v>53</v>
      </c>
      <c r="U943" s="7"/>
      <c r="V943" s="7"/>
      <c r="W943" s="9">
        <v>1</v>
      </c>
      <c r="X943" s="7"/>
      <c r="Y943" s="7"/>
      <c r="Z943" s="7" t="s">
        <v>14</v>
      </c>
      <c r="AA943" s="36" t="s">
        <v>28</v>
      </c>
      <c r="AB943" s="4"/>
      <c r="AC943" s="22">
        <f t="shared" si="31"/>
        <v>491.22627450980394</v>
      </c>
      <c r="AD943" s="23">
        <v>0</v>
      </c>
    </row>
    <row r="944" spans="1:30" hidden="1" x14ac:dyDescent="0.35">
      <c r="A944" s="7">
        <v>967</v>
      </c>
      <c r="B944" s="6">
        <v>45902.596956018519</v>
      </c>
      <c r="C944" s="6">
        <v>45902</v>
      </c>
      <c r="D944" s="7" t="s">
        <v>1982</v>
      </c>
      <c r="E944" s="7" t="s">
        <v>1981</v>
      </c>
      <c r="F944" s="7" t="s">
        <v>1985</v>
      </c>
      <c r="G944" s="7" t="s">
        <v>1979</v>
      </c>
      <c r="H944" s="7" t="s">
        <v>1978</v>
      </c>
      <c r="I944" s="7" t="s">
        <v>1977</v>
      </c>
      <c r="J944" s="7" t="s">
        <v>1816</v>
      </c>
      <c r="K944" s="7" t="s">
        <v>1815</v>
      </c>
      <c r="L944" s="7" t="s">
        <v>1814</v>
      </c>
      <c r="M944" s="7" t="s">
        <v>28</v>
      </c>
      <c r="N944" s="7" t="s">
        <v>1825</v>
      </c>
      <c r="O944" s="7" t="s">
        <v>105</v>
      </c>
      <c r="P944" s="7" t="s">
        <v>1775</v>
      </c>
      <c r="Q944" s="9">
        <v>3387740</v>
      </c>
      <c r="R944" s="9">
        <v>0</v>
      </c>
      <c r="S944" s="9">
        <f t="shared" si="30"/>
        <v>3387740</v>
      </c>
      <c r="T944" s="4" t="s">
        <v>53</v>
      </c>
      <c r="U944" s="7"/>
      <c r="V944" s="7"/>
      <c r="W944" s="9">
        <v>1</v>
      </c>
      <c r="X944" s="7"/>
      <c r="Y944" s="7"/>
      <c r="Z944" s="7" t="s">
        <v>14</v>
      </c>
      <c r="AA944" s="36" t="s">
        <v>28</v>
      </c>
      <c r="AB944" s="4"/>
      <c r="AC944" s="22">
        <f t="shared" si="31"/>
        <v>1328.5254901960784</v>
      </c>
      <c r="AD944" s="23">
        <v>0</v>
      </c>
    </row>
    <row r="945" spans="1:30" hidden="1" x14ac:dyDescent="0.35">
      <c r="A945" s="7">
        <v>968</v>
      </c>
      <c r="B945" s="6">
        <v>45902.289907407408</v>
      </c>
      <c r="C945" s="6">
        <v>45902</v>
      </c>
      <c r="D945" s="7" t="s">
        <v>1982</v>
      </c>
      <c r="E945" s="7" t="s">
        <v>1981</v>
      </c>
      <c r="F945" s="7" t="s">
        <v>1980</v>
      </c>
      <c r="G945" s="7" t="s">
        <v>1979</v>
      </c>
      <c r="H945" s="7" t="s">
        <v>1984</v>
      </c>
      <c r="I945" s="7" t="s">
        <v>1983</v>
      </c>
      <c r="J945" s="7" t="s">
        <v>1816</v>
      </c>
      <c r="K945" s="7" t="s">
        <v>1815</v>
      </c>
      <c r="L945" s="7" t="s">
        <v>1814</v>
      </c>
      <c r="M945" s="7" t="s">
        <v>28</v>
      </c>
      <c r="N945" s="7" t="s">
        <v>1825</v>
      </c>
      <c r="O945" s="7" t="s">
        <v>105</v>
      </c>
      <c r="P945" s="7" t="s">
        <v>1775</v>
      </c>
      <c r="Q945" s="9">
        <v>9387751</v>
      </c>
      <c r="R945" s="9">
        <v>0</v>
      </c>
      <c r="S945" s="9">
        <f t="shared" si="30"/>
        <v>9387751</v>
      </c>
      <c r="T945" s="4" t="s">
        <v>53</v>
      </c>
      <c r="U945" s="7"/>
      <c r="V945" s="7"/>
      <c r="W945" s="9">
        <v>1</v>
      </c>
      <c r="X945" s="7"/>
      <c r="Y945" s="7"/>
      <c r="Z945" s="7" t="s">
        <v>14</v>
      </c>
      <c r="AA945" s="36" t="s">
        <v>28</v>
      </c>
      <c r="AB945" s="4"/>
      <c r="AC945" s="22">
        <f t="shared" si="31"/>
        <v>3681.4709803921569</v>
      </c>
      <c r="AD945" s="23">
        <v>0</v>
      </c>
    </row>
    <row r="946" spans="1:30" hidden="1" x14ac:dyDescent="0.35">
      <c r="A946" s="7">
        <v>969</v>
      </c>
      <c r="B946" s="6">
        <v>45902.596956018519</v>
      </c>
      <c r="C946" s="6">
        <v>45902</v>
      </c>
      <c r="D946" s="7" t="s">
        <v>1982</v>
      </c>
      <c r="E946" s="7" t="s">
        <v>1981</v>
      </c>
      <c r="F946" s="7" t="s">
        <v>1980</v>
      </c>
      <c r="G946" s="7" t="s">
        <v>1979</v>
      </c>
      <c r="H946" s="7" t="s">
        <v>1978</v>
      </c>
      <c r="I946" s="7" t="s">
        <v>1977</v>
      </c>
      <c r="J946" s="7" t="s">
        <v>1816</v>
      </c>
      <c r="K946" s="7" t="s">
        <v>1815</v>
      </c>
      <c r="L946" s="7" t="s">
        <v>1814</v>
      </c>
      <c r="M946" s="7" t="s">
        <v>28</v>
      </c>
      <c r="N946" s="7" t="s">
        <v>1825</v>
      </c>
      <c r="O946" s="7" t="s">
        <v>105</v>
      </c>
      <c r="P946" s="7" t="s">
        <v>1775</v>
      </c>
      <c r="Q946" s="9">
        <v>1050000</v>
      </c>
      <c r="R946" s="9">
        <v>0</v>
      </c>
      <c r="S946" s="9">
        <f t="shared" si="30"/>
        <v>1050000</v>
      </c>
      <c r="T946" s="4" t="s">
        <v>53</v>
      </c>
      <c r="U946" s="7"/>
      <c r="V946" s="7"/>
      <c r="W946" s="9">
        <v>1</v>
      </c>
      <c r="X946" s="7"/>
      <c r="Y946" s="7"/>
      <c r="Z946" s="7" t="s">
        <v>14</v>
      </c>
      <c r="AA946" s="36" t="s">
        <v>28</v>
      </c>
      <c r="AB946" s="4"/>
      <c r="AC946" s="22">
        <f t="shared" si="31"/>
        <v>411.76470588235293</v>
      </c>
      <c r="AD946" s="23">
        <v>0</v>
      </c>
    </row>
    <row r="947" spans="1:30" x14ac:dyDescent="0.35">
      <c r="A947" s="7">
        <v>970</v>
      </c>
      <c r="B947" s="6">
        <v>45902</v>
      </c>
      <c r="C947" s="6">
        <v>45902</v>
      </c>
      <c r="D947" s="4" t="s">
        <v>275</v>
      </c>
      <c r="E947" s="4" t="s">
        <v>61</v>
      </c>
      <c r="F947" s="4" t="s">
        <v>274</v>
      </c>
      <c r="G947" s="4" t="s">
        <v>274</v>
      </c>
      <c r="H947" s="4"/>
      <c r="I947" s="4"/>
      <c r="J947" s="4" t="s">
        <v>59</v>
      </c>
      <c r="K947" s="4" t="s">
        <v>58</v>
      </c>
      <c r="L947" s="4" t="s">
        <v>57</v>
      </c>
      <c r="M947" s="4" t="s">
        <v>32</v>
      </c>
      <c r="N947" s="4" t="s">
        <v>266</v>
      </c>
      <c r="O947" s="5" t="s">
        <v>55</v>
      </c>
      <c r="P947" s="4" t="s">
        <v>54</v>
      </c>
      <c r="Q947" s="10">
        <v>75000</v>
      </c>
      <c r="R947" s="10">
        <v>0</v>
      </c>
      <c r="S947" s="9">
        <f t="shared" si="30"/>
        <v>75000</v>
      </c>
      <c r="T947" s="4" t="s">
        <v>53</v>
      </c>
      <c r="U947" s="4" t="s">
        <v>121</v>
      </c>
      <c r="V947" s="4"/>
      <c r="W947" s="4">
        <v>-5</v>
      </c>
      <c r="X947" s="4" t="s">
        <v>94</v>
      </c>
      <c r="Y947" s="4"/>
      <c r="Z947" s="7" t="s">
        <v>14</v>
      </c>
      <c r="AA947" s="36" t="s">
        <v>22</v>
      </c>
      <c r="AB947" s="4" t="s">
        <v>2835</v>
      </c>
      <c r="AC947" s="22">
        <f t="shared" si="31"/>
        <v>29.411764705882351</v>
      </c>
      <c r="AD947" s="23">
        <v>0</v>
      </c>
    </row>
    <row r="948" spans="1:30" x14ac:dyDescent="0.35">
      <c r="A948" s="7">
        <v>971</v>
      </c>
      <c r="B948" s="6">
        <v>45902</v>
      </c>
      <c r="C948" s="6">
        <v>45902</v>
      </c>
      <c r="D948" s="4" t="s">
        <v>273</v>
      </c>
      <c r="E948" s="4" t="s">
        <v>61</v>
      </c>
      <c r="F948" s="4" t="s">
        <v>272</v>
      </c>
      <c r="G948" s="4" t="s">
        <v>272</v>
      </c>
      <c r="H948" s="4"/>
      <c r="I948" s="4"/>
      <c r="J948" s="4" t="s">
        <v>59</v>
      </c>
      <c r="K948" s="4" t="s">
        <v>58</v>
      </c>
      <c r="L948" s="4" t="s">
        <v>57</v>
      </c>
      <c r="M948" s="4" t="s">
        <v>32</v>
      </c>
      <c r="N948" s="4" t="s">
        <v>266</v>
      </c>
      <c r="O948" s="5" t="s">
        <v>55</v>
      </c>
      <c r="P948" s="4" t="s">
        <v>54</v>
      </c>
      <c r="Q948" s="10">
        <v>61462.64</v>
      </c>
      <c r="R948" s="10">
        <v>0</v>
      </c>
      <c r="S948" s="9">
        <f t="shared" si="30"/>
        <v>61462.64</v>
      </c>
      <c r="T948" s="4" t="s">
        <v>53</v>
      </c>
      <c r="U948" s="4" t="s">
        <v>271</v>
      </c>
      <c r="V948" s="4"/>
      <c r="W948" s="4">
        <v>-15</v>
      </c>
      <c r="X948" s="4" t="s">
        <v>124</v>
      </c>
      <c r="Y948" s="4"/>
      <c r="Z948" s="7" t="s">
        <v>14</v>
      </c>
      <c r="AA948" s="36" t="s">
        <v>22</v>
      </c>
      <c r="AB948" s="4" t="s">
        <v>2835</v>
      </c>
      <c r="AC948" s="22">
        <f t="shared" si="31"/>
        <v>24.102996078431371</v>
      </c>
      <c r="AD948" s="23">
        <v>0</v>
      </c>
    </row>
    <row r="949" spans="1:30" x14ac:dyDescent="0.35">
      <c r="A949" s="7">
        <v>972</v>
      </c>
      <c r="B949" s="6">
        <v>45902</v>
      </c>
      <c r="C949" s="6">
        <v>45902</v>
      </c>
      <c r="D949" s="4" t="s">
        <v>162</v>
      </c>
      <c r="E949" s="4" t="s">
        <v>61</v>
      </c>
      <c r="F949" s="4" t="s">
        <v>161</v>
      </c>
      <c r="G949" s="4" t="s">
        <v>161</v>
      </c>
      <c r="H949" s="4"/>
      <c r="I949" s="4"/>
      <c r="J949" s="4" t="s">
        <v>59</v>
      </c>
      <c r="K949" s="4" t="s">
        <v>58</v>
      </c>
      <c r="L949" s="4" t="s">
        <v>57</v>
      </c>
      <c r="M949" s="4" t="s">
        <v>32</v>
      </c>
      <c r="N949" s="4" t="s">
        <v>106</v>
      </c>
      <c r="O949" s="5" t="s">
        <v>105</v>
      </c>
      <c r="P949" s="4" t="s">
        <v>54</v>
      </c>
      <c r="Q949" s="10">
        <v>34200</v>
      </c>
      <c r="R949" s="10">
        <v>0</v>
      </c>
      <c r="S949" s="9">
        <f t="shared" si="30"/>
        <v>34200</v>
      </c>
      <c r="T949" s="4" t="s">
        <v>53</v>
      </c>
      <c r="U949" s="4" t="s">
        <v>154</v>
      </c>
      <c r="V949" s="4"/>
      <c r="W949" s="4">
        <v>-6</v>
      </c>
      <c r="X949" s="4" t="s">
        <v>124</v>
      </c>
      <c r="Y949" s="4"/>
      <c r="Z949" s="7" t="s">
        <v>14</v>
      </c>
      <c r="AA949" s="36" t="s">
        <v>15</v>
      </c>
      <c r="AB949" s="4" t="s">
        <v>2606</v>
      </c>
      <c r="AC949" s="22">
        <f t="shared" si="31"/>
        <v>13.411764705882353</v>
      </c>
      <c r="AD949" s="23">
        <v>0</v>
      </c>
    </row>
    <row r="950" spans="1:30" x14ac:dyDescent="0.35">
      <c r="A950" s="7">
        <v>973</v>
      </c>
      <c r="B950" s="6">
        <v>45902</v>
      </c>
      <c r="C950" s="6">
        <v>45902</v>
      </c>
      <c r="D950" s="4" t="s">
        <v>160</v>
      </c>
      <c r="E950" s="4" t="s">
        <v>61</v>
      </c>
      <c r="F950" s="4" t="s">
        <v>159</v>
      </c>
      <c r="G950" s="4" t="s">
        <v>159</v>
      </c>
      <c r="H950" s="4"/>
      <c r="I950" s="4"/>
      <c r="J950" s="4" t="s">
        <v>59</v>
      </c>
      <c r="K950" s="4" t="s">
        <v>58</v>
      </c>
      <c r="L950" s="4" t="s">
        <v>57</v>
      </c>
      <c r="M950" s="4" t="s">
        <v>32</v>
      </c>
      <c r="N950" s="4" t="s">
        <v>106</v>
      </c>
      <c r="O950" s="5" t="s">
        <v>105</v>
      </c>
      <c r="P950" s="4" t="s">
        <v>54</v>
      </c>
      <c r="Q950" s="10">
        <v>490000</v>
      </c>
      <c r="R950" s="10">
        <v>0</v>
      </c>
      <c r="S950" s="9">
        <f t="shared" si="30"/>
        <v>490000</v>
      </c>
      <c r="T950" s="4" t="s">
        <v>53</v>
      </c>
      <c r="U950" s="4" t="s">
        <v>148</v>
      </c>
      <c r="V950" s="4"/>
      <c r="W950" s="4">
        <v>-70</v>
      </c>
      <c r="X950" s="4" t="s">
        <v>94</v>
      </c>
      <c r="Y950" s="4"/>
      <c r="Z950" s="7" t="s">
        <v>14</v>
      </c>
      <c r="AA950" s="36" t="s">
        <v>15</v>
      </c>
      <c r="AB950" s="4" t="s">
        <v>2606</v>
      </c>
      <c r="AC950" s="22">
        <f t="shared" si="31"/>
        <v>192.15686274509804</v>
      </c>
      <c r="AD950" s="23">
        <v>0</v>
      </c>
    </row>
    <row r="951" spans="1:30" x14ac:dyDescent="0.35">
      <c r="A951" s="7">
        <v>974</v>
      </c>
      <c r="B951" s="6">
        <v>45902</v>
      </c>
      <c r="C951" s="6">
        <v>45902</v>
      </c>
      <c r="D951" s="4" t="s">
        <v>158</v>
      </c>
      <c r="E951" s="4" t="s">
        <v>61</v>
      </c>
      <c r="F951" s="4" t="s">
        <v>157</v>
      </c>
      <c r="G951" s="4" t="s">
        <v>157</v>
      </c>
      <c r="H951" s="4"/>
      <c r="I951" s="4"/>
      <c r="J951" s="4" t="s">
        <v>59</v>
      </c>
      <c r="K951" s="4" t="s">
        <v>58</v>
      </c>
      <c r="L951" s="4" t="s">
        <v>57</v>
      </c>
      <c r="M951" s="4" t="s">
        <v>32</v>
      </c>
      <c r="N951" s="4" t="s">
        <v>106</v>
      </c>
      <c r="O951" s="5" t="s">
        <v>105</v>
      </c>
      <c r="P951" s="4" t="s">
        <v>54</v>
      </c>
      <c r="Q951" s="10">
        <v>16104.95</v>
      </c>
      <c r="R951" s="10">
        <v>0</v>
      </c>
      <c r="S951" s="9">
        <f t="shared" si="30"/>
        <v>16104.95</v>
      </c>
      <c r="T951" s="4" t="s">
        <v>53</v>
      </c>
      <c r="U951" s="4" t="s">
        <v>117</v>
      </c>
      <c r="V951" s="4"/>
      <c r="W951" s="4">
        <v>-5</v>
      </c>
      <c r="X951" s="4" t="s">
        <v>94</v>
      </c>
      <c r="Y951" s="4"/>
      <c r="Z951" s="7" t="s">
        <v>14</v>
      </c>
      <c r="AA951" s="36" t="s">
        <v>15</v>
      </c>
      <c r="AB951" s="4" t="s">
        <v>2606</v>
      </c>
      <c r="AC951" s="22">
        <f t="shared" si="31"/>
        <v>6.315666666666667</v>
      </c>
      <c r="AD951" s="23">
        <v>0</v>
      </c>
    </row>
    <row r="952" spans="1:30" x14ac:dyDescent="0.35">
      <c r="A952" s="7">
        <v>975</v>
      </c>
      <c r="B952" s="6">
        <v>45903</v>
      </c>
      <c r="C952" s="6">
        <v>45903</v>
      </c>
      <c r="D952" s="4" t="s">
        <v>281</v>
      </c>
      <c r="E952" s="4" t="s">
        <v>61</v>
      </c>
      <c r="F952" s="4" t="s">
        <v>280</v>
      </c>
      <c r="G952" s="4" t="s">
        <v>280</v>
      </c>
      <c r="H952" s="4"/>
      <c r="I952" s="4"/>
      <c r="J952" s="4" t="s">
        <v>59</v>
      </c>
      <c r="K952" s="4" t="s">
        <v>58</v>
      </c>
      <c r="L952" s="4" t="s">
        <v>57</v>
      </c>
      <c r="M952" s="4" t="s">
        <v>32</v>
      </c>
      <c r="N952" s="4" t="s">
        <v>266</v>
      </c>
      <c r="O952" s="5" t="s">
        <v>55</v>
      </c>
      <c r="P952" s="4" t="s">
        <v>54</v>
      </c>
      <c r="Q952" s="10">
        <v>75000</v>
      </c>
      <c r="R952" s="10">
        <v>0</v>
      </c>
      <c r="S952" s="9">
        <f t="shared" si="30"/>
        <v>75000</v>
      </c>
      <c r="T952" s="4" t="s">
        <v>53</v>
      </c>
      <c r="U952" s="4" t="s">
        <v>121</v>
      </c>
      <c r="V952" s="4"/>
      <c r="W952" s="4">
        <v>-5</v>
      </c>
      <c r="X952" s="4" t="s">
        <v>94</v>
      </c>
      <c r="Y952" s="4"/>
      <c r="Z952" s="7" t="s">
        <v>14</v>
      </c>
      <c r="AA952" s="36" t="s">
        <v>22</v>
      </c>
      <c r="AB952" s="4" t="s">
        <v>2835</v>
      </c>
      <c r="AC952" s="22">
        <f t="shared" si="31"/>
        <v>29.411764705882351</v>
      </c>
      <c r="AD952" s="23">
        <v>0</v>
      </c>
    </row>
    <row r="953" spans="1:30" x14ac:dyDescent="0.35">
      <c r="A953" s="7">
        <v>976</v>
      </c>
      <c r="B953" s="6">
        <v>45903</v>
      </c>
      <c r="C953" s="6">
        <v>45903</v>
      </c>
      <c r="D953" s="4" t="s">
        <v>279</v>
      </c>
      <c r="E953" s="4" t="s">
        <v>61</v>
      </c>
      <c r="F953" s="4" t="s">
        <v>278</v>
      </c>
      <c r="G953" s="4" t="s">
        <v>278</v>
      </c>
      <c r="H953" s="4"/>
      <c r="I953" s="4"/>
      <c r="J953" s="4" t="s">
        <v>59</v>
      </c>
      <c r="K953" s="4" t="s">
        <v>58</v>
      </c>
      <c r="L953" s="4" t="s">
        <v>57</v>
      </c>
      <c r="M953" s="4" t="s">
        <v>32</v>
      </c>
      <c r="N953" s="4" t="s">
        <v>266</v>
      </c>
      <c r="O953" s="5" t="s">
        <v>55</v>
      </c>
      <c r="P953" s="4" t="s">
        <v>54</v>
      </c>
      <c r="Q953" s="10">
        <v>19325.93</v>
      </c>
      <c r="R953" s="10">
        <v>0</v>
      </c>
      <c r="S953" s="9">
        <f t="shared" si="30"/>
        <v>19325.93</v>
      </c>
      <c r="T953" s="4" t="s">
        <v>53</v>
      </c>
      <c r="U953" s="4" t="s">
        <v>117</v>
      </c>
      <c r="V953" s="4"/>
      <c r="W953" s="4">
        <v>-6</v>
      </c>
      <c r="X953" s="4" t="s">
        <v>94</v>
      </c>
      <c r="Y953" s="4"/>
      <c r="Z953" s="7" t="s">
        <v>14</v>
      </c>
      <c r="AA953" s="36" t="s">
        <v>22</v>
      </c>
      <c r="AB953" s="4" t="s">
        <v>2835</v>
      </c>
      <c r="AC953" s="22">
        <f t="shared" si="31"/>
        <v>7.578796078431373</v>
      </c>
      <c r="AD953" s="23">
        <v>0</v>
      </c>
    </row>
    <row r="954" spans="1:30" x14ac:dyDescent="0.35">
      <c r="A954" s="7">
        <v>977</v>
      </c>
      <c r="B954" s="6">
        <v>45903</v>
      </c>
      <c r="C954" s="6">
        <v>45903</v>
      </c>
      <c r="D954" s="4" t="s">
        <v>277</v>
      </c>
      <c r="E954" s="4" t="s">
        <v>61</v>
      </c>
      <c r="F954" s="4" t="s">
        <v>276</v>
      </c>
      <c r="G954" s="4" t="s">
        <v>276</v>
      </c>
      <c r="H954" s="4"/>
      <c r="I954" s="4"/>
      <c r="J954" s="4" t="s">
        <v>59</v>
      </c>
      <c r="K954" s="4" t="s">
        <v>58</v>
      </c>
      <c r="L954" s="4" t="s">
        <v>57</v>
      </c>
      <c r="M954" s="4" t="s">
        <v>32</v>
      </c>
      <c r="N954" s="4" t="s">
        <v>266</v>
      </c>
      <c r="O954" s="5" t="s">
        <v>55</v>
      </c>
      <c r="P954" s="4" t="s">
        <v>54</v>
      </c>
      <c r="Q954" s="10">
        <v>81950.19</v>
      </c>
      <c r="R954" s="10">
        <v>0</v>
      </c>
      <c r="S954" s="9">
        <f t="shared" si="30"/>
        <v>81950.19</v>
      </c>
      <c r="T954" s="4" t="s">
        <v>53</v>
      </c>
      <c r="U954" s="4" t="s">
        <v>271</v>
      </c>
      <c r="V954" s="4"/>
      <c r="W954" s="4">
        <v>-20</v>
      </c>
      <c r="X954" s="4" t="s">
        <v>124</v>
      </c>
      <c r="Y954" s="4"/>
      <c r="Z954" s="7" t="s">
        <v>14</v>
      </c>
      <c r="AA954" s="36" t="s">
        <v>22</v>
      </c>
      <c r="AB954" s="4" t="s">
        <v>2835</v>
      </c>
      <c r="AC954" s="22">
        <f t="shared" si="31"/>
        <v>32.137329411764703</v>
      </c>
      <c r="AD954" s="23">
        <v>0</v>
      </c>
    </row>
    <row r="955" spans="1:30" x14ac:dyDescent="0.35">
      <c r="A955" s="7">
        <v>978</v>
      </c>
      <c r="B955" s="6">
        <v>45904</v>
      </c>
      <c r="C955" s="6">
        <v>45904</v>
      </c>
      <c r="D955" s="4" t="s">
        <v>179</v>
      </c>
      <c r="E955" s="4" t="s">
        <v>61</v>
      </c>
      <c r="F955" s="4" t="s">
        <v>178</v>
      </c>
      <c r="G955" s="4" t="s">
        <v>178</v>
      </c>
      <c r="H955" s="4"/>
      <c r="I955" s="4"/>
      <c r="J955" s="4" t="s">
        <v>59</v>
      </c>
      <c r="K955" s="4" t="s">
        <v>58</v>
      </c>
      <c r="L955" s="4" t="s">
        <v>57</v>
      </c>
      <c r="M955" s="4" t="s">
        <v>32</v>
      </c>
      <c r="N955" s="4" t="s">
        <v>106</v>
      </c>
      <c r="O955" s="5" t="s">
        <v>105</v>
      </c>
      <c r="P955" s="4" t="s">
        <v>54</v>
      </c>
      <c r="Q955" s="10">
        <v>726054.14</v>
      </c>
      <c r="R955" s="10">
        <v>0</v>
      </c>
      <c r="S955" s="9">
        <f t="shared" si="30"/>
        <v>726054.14</v>
      </c>
      <c r="T955" s="4" t="s">
        <v>53</v>
      </c>
      <c r="U955" s="4" t="s">
        <v>130</v>
      </c>
      <c r="V955" s="4"/>
      <c r="W955" s="4">
        <v>-50</v>
      </c>
      <c r="X955" s="4" t="s">
        <v>129</v>
      </c>
      <c r="Y955" s="4"/>
      <c r="Z955" s="7" t="s">
        <v>14</v>
      </c>
      <c r="AA955" s="36" t="s">
        <v>15</v>
      </c>
      <c r="AB955" s="4" t="s">
        <v>2606</v>
      </c>
      <c r="AC955" s="22">
        <f t="shared" si="31"/>
        <v>284.7271137254902</v>
      </c>
      <c r="AD955" s="23">
        <v>0</v>
      </c>
    </row>
    <row r="956" spans="1:30" x14ac:dyDescent="0.35">
      <c r="A956" s="7">
        <v>979</v>
      </c>
      <c r="B956" s="6">
        <v>45904</v>
      </c>
      <c r="C956" s="6">
        <v>45904</v>
      </c>
      <c r="D956" s="4" t="s">
        <v>177</v>
      </c>
      <c r="E956" s="4" t="s">
        <v>61</v>
      </c>
      <c r="F956" s="4" t="s">
        <v>176</v>
      </c>
      <c r="G956" s="4" t="s">
        <v>176</v>
      </c>
      <c r="H956" s="4"/>
      <c r="I956" s="4"/>
      <c r="J956" s="4" t="s">
        <v>59</v>
      </c>
      <c r="K956" s="4" t="s">
        <v>58</v>
      </c>
      <c r="L956" s="4" t="s">
        <v>57</v>
      </c>
      <c r="M956" s="4" t="s">
        <v>32</v>
      </c>
      <c r="N956" s="4" t="s">
        <v>106</v>
      </c>
      <c r="O956" s="5" t="s">
        <v>105</v>
      </c>
      <c r="P956" s="4" t="s">
        <v>54</v>
      </c>
      <c r="Q956" s="10">
        <v>1438909.3</v>
      </c>
      <c r="R956" s="10">
        <v>0</v>
      </c>
      <c r="S956" s="9">
        <f t="shared" si="30"/>
        <v>1438909.3</v>
      </c>
      <c r="T956" s="4" t="s">
        <v>53</v>
      </c>
      <c r="U956" s="4" t="s">
        <v>175</v>
      </c>
      <c r="V956" s="4"/>
      <c r="W956" s="4">
        <v>-70</v>
      </c>
      <c r="X956" s="4" t="s">
        <v>129</v>
      </c>
      <c r="Y956" s="4"/>
      <c r="Z956" s="7" t="s">
        <v>14</v>
      </c>
      <c r="AA956" s="36" t="s">
        <v>15</v>
      </c>
      <c r="AB956" s="4" t="s">
        <v>2606</v>
      </c>
      <c r="AC956" s="22">
        <f t="shared" si="31"/>
        <v>564.27815686274516</v>
      </c>
      <c r="AD956" s="23">
        <v>0</v>
      </c>
    </row>
    <row r="957" spans="1:30" x14ac:dyDescent="0.35">
      <c r="A957" s="7">
        <v>980</v>
      </c>
      <c r="B957" s="6">
        <v>45904</v>
      </c>
      <c r="C957" s="6">
        <v>45904</v>
      </c>
      <c r="D957" s="4" t="s">
        <v>174</v>
      </c>
      <c r="E957" s="4" t="s">
        <v>61</v>
      </c>
      <c r="F957" s="4" t="s">
        <v>173</v>
      </c>
      <c r="G957" s="4" t="s">
        <v>173</v>
      </c>
      <c r="H957" s="4"/>
      <c r="I957" s="4"/>
      <c r="J957" s="4" t="s">
        <v>59</v>
      </c>
      <c r="K957" s="4" t="s">
        <v>58</v>
      </c>
      <c r="L957" s="4" t="s">
        <v>57</v>
      </c>
      <c r="M957" s="4" t="s">
        <v>32</v>
      </c>
      <c r="N957" s="4" t="s">
        <v>106</v>
      </c>
      <c r="O957" s="5" t="s">
        <v>105</v>
      </c>
      <c r="P957" s="4" t="s">
        <v>54</v>
      </c>
      <c r="Q957" s="10">
        <v>1829479.55</v>
      </c>
      <c r="R957" s="10">
        <v>0</v>
      </c>
      <c r="S957" s="9">
        <f t="shared" si="30"/>
        <v>1829479.55</v>
      </c>
      <c r="T957" s="4" t="s">
        <v>53</v>
      </c>
      <c r="U957" s="4" t="s">
        <v>172</v>
      </c>
      <c r="V957" s="4"/>
      <c r="W957" s="4">
        <v>-50</v>
      </c>
      <c r="X957" s="4" t="s">
        <v>129</v>
      </c>
      <c r="Y957" s="4"/>
      <c r="Z957" s="7" t="s">
        <v>14</v>
      </c>
      <c r="AA957" s="36" t="s">
        <v>15</v>
      </c>
      <c r="AB957" s="4" t="s">
        <v>2606</v>
      </c>
      <c r="AC957" s="22">
        <f t="shared" si="31"/>
        <v>717.44296078431375</v>
      </c>
      <c r="AD957" s="23">
        <v>0</v>
      </c>
    </row>
    <row r="958" spans="1:30" x14ac:dyDescent="0.35">
      <c r="A958" s="7">
        <v>981</v>
      </c>
      <c r="B958" s="6">
        <v>45904</v>
      </c>
      <c r="C958" s="6">
        <v>45904</v>
      </c>
      <c r="D958" s="4" t="s">
        <v>171</v>
      </c>
      <c r="E958" s="4" t="s">
        <v>61</v>
      </c>
      <c r="F958" s="4" t="s">
        <v>170</v>
      </c>
      <c r="G958" s="4" t="s">
        <v>170</v>
      </c>
      <c r="H958" s="4"/>
      <c r="I958" s="4"/>
      <c r="J958" s="4" t="s">
        <v>59</v>
      </c>
      <c r="K958" s="4" t="s">
        <v>58</v>
      </c>
      <c r="L958" s="4" t="s">
        <v>57</v>
      </c>
      <c r="M958" s="4" t="s">
        <v>32</v>
      </c>
      <c r="N958" s="4" t="s">
        <v>106</v>
      </c>
      <c r="O958" s="5" t="s">
        <v>105</v>
      </c>
      <c r="P958" s="4" t="s">
        <v>54</v>
      </c>
      <c r="Q958" s="10">
        <v>145000</v>
      </c>
      <c r="R958" s="10">
        <v>0</v>
      </c>
      <c r="S958" s="9">
        <f t="shared" si="30"/>
        <v>145000</v>
      </c>
      <c r="T958" s="4" t="s">
        <v>53</v>
      </c>
      <c r="U958" s="4" t="s">
        <v>133</v>
      </c>
      <c r="V958" s="4"/>
      <c r="W958" s="4">
        <v>-29</v>
      </c>
      <c r="X958" s="4" t="s">
        <v>124</v>
      </c>
      <c r="Y958" s="4"/>
      <c r="Z958" s="7" t="s">
        <v>14</v>
      </c>
      <c r="AA958" s="36" t="s">
        <v>15</v>
      </c>
      <c r="AB958" s="4" t="s">
        <v>2606</v>
      </c>
      <c r="AC958" s="22">
        <f t="shared" si="31"/>
        <v>56.862745098039213</v>
      </c>
      <c r="AD958" s="23">
        <v>0</v>
      </c>
    </row>
    <row r="959" spans="1:30" x14ac:dyDescent="0.35">
      <c r="A959" s="7">
        <v>982</v>
      </c>
      <c r="B959" s="6">
        <v>45904</v>
      </c>
      <c r="C959" s="6">
        <v>45904</v>
      </c>
      <c r="D959" s="4" t="s">
        <v>169</v>
      </c>
      <c r="E959" s="4" t="s">
        <v>61</v>
      </c>
      <c r="F959" s="4" t="s">
        <v>168</v>
      </c>
      <c r="G959" s="4" t="s">
        <v>168</v>
      </c>
      <c r="H959" s="4"/>
      <c r="I959" s="4"/>
      <c r="J959" s="4" t="s">
        <v>59</v>
      </c>
      <c r="K959" s="4" t="s">
        <v>58</v>
      </c>
      <c r="L959" s="4" t="s">
        <v>57</v>
      </c>
      <c r="M959" s="4" t="s">
        <v>32</v>
      </c>
      <c r="N959" s="4" t="s">
        <v>106</v>
      </c>
      <c r="O959" s="5" t="s">
        <v>105</v>
      </c>
      <c r="P959" s="4" t="s">
        <v>54</v>
      </c>
      <c r="Q959" s="10">
        <v>560000</v>
      </c>
      <c r="R959" s="10">
        <v>0</v>
      </c>
      <c r="S959" s="9">
        <f t="shared" si="30"/>
        <v>560000</v>
      </c>
      <c r="T959" s="4" t="s">
        <v>53</v>
      </c>
      <c r="U959" s="4" t="s">
        <v>148</v>
      </c>
      <c r="V959" s="4"/>
      <c r="W959" s="4">
        <v>-80</v>
      </c>
      <c r="X959" s="4" t="s">
        <v>94</v>
      </c>
      <c r="Y959" s="4"/>
      <c r="Z959" s="7" t="s">
        <v>14</v>
      </c>
      <c r="AA959" s="36" t="s">
        <v>15</v>
      </c>
      <c r="AB959" s="4" t="s">
        <v>2606</v>
      </c>
      <c r="AC959" s="22">
        <f t="shared" si="31"/>
        <v>219.60784313725489</v>
      </c>
      <c r="AD959" s="23">
        <v>0</v>
      </c>
    </row>
    <row r="960" spans="1:30" x14ac:dyDescent="0.35">
      <c r="A960" s="7">
        <v>983</v>
      </c>
      <c r="B960" s="6">
        <v>45904</v>
      </c>
      <c r="C960" s="6">
        <v>45904</v>
      </c>
      <c r="D960" s="4" t="s">
        <v>167</v>
      </c>
      <c r="E960" s="4" t="s">
        <v>61</v>
      </c>
      <c r="F960" s="4" t="s">
        <v>166</v>
      </c>
      <c r="G960" s="4" t="s">
        <v>166</v>
      </c>
      <c r="H960" s="4"/>
      <c r="I960" s="4"/>
      <c r="J960" s="4" t="s">
        <v>59</v>
      </c>
      <c r="K960" s="4" t="s">
        <v>58</v>
      </c>
      <c r="L960" s="4" t="s">
        <v>57</v>
      </c>
      <c r="M960" s="4" t="s">
        <v>32</v>
      </c>
      <c r="N960" s="4" t="s">
        <v>106</v>
      </c>
      <c r="O960" s="5" t="s">
        <v>105</v>
      </c>
      <c r="P960" s="4" t="s">
        <v>54</v>
      </c>
      <c r="Q960" s="10">
        <v>703389.8</v>
      </c>
      <c r="R960" s="10">
        <v>0</v>
      </c>
      <c r="S960" s="9">
        <f t="shared" si="30"/>
        <v>703389.8</v>
      </c>
      <c r="T960" s="4" t="s">
        <v>53</v>
      </c>
      <c r="U960" s="4" t="s">
        <v>165</v>
      </c>
      <c r="V960" s="4"/>
      <c r="W960" s="4">
        <v>-20</v>
      </c>
      <c r="X960" s="4" t="s">
        <v>94</v>
      </c>
      <c r="Y960" s="4"/>
      <c r="Z960" s="7" t="s">
        <v>14</v>
      </c>
      <c r="AA960" s="36" t="s">
        <v>15</v>
      </c>
      <c r="AB960" s="4" t="s">
        <v>2606</v>
      </c>
      <c r="AC960" s="22">
        <f t="shared" si="31"/>
        <v>275.83913725490197</v>
      </c>
      <c r="AD960" s="23">
        <v>0</v>
      </c>
    </row>
    <row r="961" spans="1:30" x14ac:dyDescent="0.35">
      <c r="A961" s="7">
        <v>984</v>
      </c>
      <c r="B961" s="6">
        <v>45904</v>
      </c>
      <c r="C961" s="6">
        <v>45904</v>
      </c>
      <c r="D961" s="4" t="s">
        <v>164</v>
      </c>
      <c r="E961" s="4" t="s">
        <v>61</v>
      </c>
      <c r="F961" s="4" t="s">
        <v>163</v>
      </c>
      <c r="G961" s="4" t="s">
        <v>163</v>
      </c>
      <c r="H961" s="4"/>
      <c r="I961" s="4"/>
      <c r="J961" s="4" t="s">
        <v>59</v>
      </c>
      <c r="K961" s="4" t="s">
        <v>58</v>
      </c>
      <c r="L961" s="4" t="s">
        <v>57</v>
      </c>
      <c r="M961" s="4" t="s">
        <v>32</v>
      </c>
      <c r="N961" s="4" t="s">
        <v>106</v>
      </c>
      <c r="O961" s="5" t="s">
        <v>105</v>
      </c>
      <c r="P961" s="4" t="s">
        <v>54</v>
      </c>
      <c r="Q961" s="10">
        <v>32209.89</v>
      </c>
      <c r="R961" s="10">
        <v>0</v>
      </c>
      <c r="S961" s="9">
        <f t="shared" si="30"/>
        <v>32209.89</v>
      </c>
      <c r="T961" s="4" t="s">
        <v>53</v>
      </c>
      <c r="U961" s="4" t="s">
        <v>117</v>
      </c>
      <c r="V961" s="4"/>
      <c r="W961" s="4">
        <v>-10</v>
      </c>
      <c r="X961" s="4" t="s">
        <v>94</v>
      </c>
      <c r="Y961" s="4"/>
      <c r="Z961" s="7" t="s">
        <v>14</v>
      </c>
      <c r="AA961" s="36" t="s">
        <v>15</v>
      </c>
      <c r="AB961" s="4" t="s">
        <v>2606</v>
      </c>
      <c r="AC961" s="22">
        <f t="shared" si="31"/>
        <v>12.631329411764705</v>
      </c>
      <c r="AD961" s="23">
        <v>0</v>
      </c>
    </row>
    <row r="962" spans="1:30" x14ac:dyDescent="0.35">
      <c r="A962" s="7">
        <v>985</v>
      </c>
      <c r="B962" s="6">
        <v>45908.386956018519</v>
      </c>
      <c r="C962" s="6">
        <v>45908</v>
      </c>
      <c r="D962" s="7" t="s">
        <v>1976</v>
      </c>
      <c r="E962" s="7" t="s">
        <v>1331</v>
      </c>
      <c r="F962" s="7" t="s">
        <v>1499</v>
      </c>
      <c r="G962" s="7" t="s">
        <v>1975</v>
      </c>
      <c r="H962" s="7" t="s">
        <v>1497</v>
      </c>
      <c r="I962" s="7" t="s">
        <v>1496</v>
      </c>
      <c r="J962" s="7" t="s">
        <v>1816</v>
      </c>
      <c r="K962" s="7" t="s">
        <v>1815</v>
      </c>
      <c r="L962" s="7" t="s">
        <v>1915</v>
      </c>
      <c r="M962" s="7" t="s">
        <v>20</v>
      </c>
      <c r="N962" s="7" t="s">
        <v>1324</v>
      </c>
      <c r="O962" s="7" t="s">
        <v>68</v>
      </c>
      <c r="P962" s="7" t="s">
        <v>68</v>
      </c>
      <c r="Q962" s="9">
        <v>322480</v>
      </c>
      <c r="R962" s="9">
        <v>0</v>
      </c>
      <c r="S962" s="9">
        <f t="shared" si="30"/>
        <v>322480</v>
      </c>
      <c r="T962" s="4" t="s">
        <v>53</v>
      </c>
      <c r="U962" s="7"/>
      <c r="V962" s="7"/>
      <c r="W962" s="9">
        <v>1</v>
      </c>
      <c r="X962" s="7"/>
      <c r="Y962" s="7"/>
      <c r="Z962" s="7" t="s">
        <v>14</v>
      </c>
      <c r="AA962" s="36" t="s">
        <v>20</v>
      </c>
      <c r="AB962" s="4" t="s">
        <v>2602</v>
      </c>
      <c r="AC962" s="22">
        <f t="shared" si="31"/>
        <v>126.46274509803922</v>
      </c>
      <c r="AD962" s="23">
        <v>0</v>
      </c>
    </row>
    <row r="963" spans="1:30" hidden="1" x14ac:dyDescent="0.35">
      <c r="A963" s="7">
        <v>986</v>
      </c>
      <c r="B963" s="6">
        <v>45908.384363425925</v>
      </c>
      <c r="C963" s="6">
        <v>45908</v>
      </c>
      <c r="D963" s="7" t="s">
        <v>1974</v>
      </c>
      <c r="E963" s="7" t="s">
        <v>1331</v>
      </c>
      <c r="F963" s="7" t="s">
        <v>1499</v>
      </c>
      <c r="G963" s="7" t="s">
        <v>1973</v>
      </c>
      <c r="H963" s="7" t="s">
        <v>1497</v>
      </c>
      <c r="I963" s="7" t="s">
        <v>1496</v>
      </c>
      <c r="J963" s="7" t="s">
        <v>1816</v>
      </c>
      <c r="K963" s="7" t="s">
        <v>1815</v>
      </c>
      <c r="L963" s="7" t="s">
        <v>1814</v>
      </c>
      <c r="M963" s="7" t="s">
        <v>28</v>
      </c>
      <c r="N963" s="7" t="s">
        <v>1813</v>
      </c>
      <c r="O963" s="7" t="s">
        <v>1704</v>
      </c>
      <c r="P963" s="7" t="s">
        <v>1703</v>
      </c>
      <c r="Q963" s="9">
        <v>716300</v>
      </c>
      <c r="R963" s="9">
        <v>0</v>
      </c>
      <c r="S963" s="9">
        <f t="shared" ref="S963:S1026" si="32">+Q963-R963</f>
        <v>716300</v>
      </c>
      <c r="T963" s="4" t="s">
        <v>53</v>
      </c>
      <c r="U963" s="7"/>
      <c r="V963" s="7"/>
      <c r="W963" s="9">
        <v>1</v>
      </c>
      <c r="X963" s="7"/>
      <c r="Y963" s="7"/>
      <c r="Z963" s="7" t="s">
        <v>14</v>
      </c>
      <c r="AA963" s="36" t="s">
        <v>28</v>
      </c>
      <c r="AB963" s="4"/>
      <c r="AC963" s="22">
        <f t="shared" si="31"/>
        <v>280.9019607843137</v>
      </c>
      <c r="AD963" s="23">
        <v>0</v>
      </c>
    </row>
    <row r="964" spans="1:30" hidden="1" x14ac:dyDescent="0.35">
      <c r="A964" s="7">
        <v>987</v>
      </c>
      <c r="B964" s="6">
        <v>45908.381481481483</v>
      </c>
      <c r="C964" s="6">
        <v>45908</v>
      </c>
      <c r="D964" s="7" t="s">
        <v>1972</v>
      </c>
      <c r="E964" s="7" t="s">
        <v>1331</v>
      </c>
      <c r="F964" s="7" t="s">
        <v>1499</v>
      </c>
      <c r="G964" s="7" t="s">
        <v>1971</v>
      </c>
      <c r="H964" s="7" t="s">
        <v>1497</v>
      </c>
      <c r="I964" s="7" t="s">
        <v>1496</v>
      </c>
      <c r="J964" s="7" t="s">
        <v>1816</v>
      </c>
      <c r="K964" s="7" t="s">
        <v>1815</v>
      </c>
      <c r="L964" s="7" t="s">
        <v>1814</v>
      </c>
      <c r="M964" s="7" t="s">
        <v>28</v>
      </c>
      <c r="N964" s="7" t="s">
        <v>1813</v>
      </c>
      <c r="O964" s="7" t="s">
        <v>1704</v>
      </c>
      <c r="P964" s="7" t="s">
        <v>1703</v>
      </c>
      <c r="Q964" s="9">
        <v>3691700</v>
      </c>
      <c r="R964" s="9">
        <v>0</v>
      </c>
      <c r="S964" s="9">
        <f t="shared" si="32"/>
        <v>3691700</v>
      </c>
      <c r="T964" s="4" t="s">
        <v>53</v>
      </c>
      <c r="U964" s="7"/>
      <c r="V964" s="7"/>
      <c r="W964" s="9">
        <v>1</v>
      </c>
      <c r="X964" s="7"/>
      <c r="Y964" s="7"/>
      <c r="Z964" s="7" t="s">
        <v>14</v>
      </c>
      <c r="AA964" s="36" t="s">
        <v>28</v>
      </c>
      <c r="AB964" s="4"/>
      <c r="AC964" s="22">
        <f t="shared" si="31"/>
        <v>1447.7254901960785</v>
      </c>
      <c r="AD964" s="23">
        <v>0</v>
      </c>
    </row>
    <row r="965" spans="1:30" hidden="1" x14ac:dyDescent="0.35">
      <c r="A965" s="7">
        <v>988</v>
      </c>
      <c r="B965" s="6">
        <v>45908.371319444443</v>
      </c>
      <c r="C965" s="6">
        <v>45908</v>
      </c>
      <c r="D965" s="7" t="s">
        <v>1970</v>
      </c>
      <c r="E965" s="7" t="s">
        <v>1331</v>
      </c>
      <c r="F965" s="7" t="s">
        <v>1499</v>
      </c>
      <c r="G965" s="7" t="s">
        <v>1969</v>
      </c>
      <c r="H965" s="7" t="s">
        <v>1497</v>
      </c>
      <c r="I965" s="7" t="s">
        <v>1496</v>
      </c>
      <c r="J965" s="7" t="s">
        <v>1816</v>
      </c>
      <c r="K965" s="7" t="s">
        <v>1815</v>
      </c>
      <c r="L965" s="7" t="s">
        <v>1814</v>
      </c>
      <c r="M965" s="7" t="s">
        <v>28</v>
      </c>
      <c r="N965" s="7" t="s">
        <v>1813</v>
      </c>
      <c r="O965" s="7" t="s">
        <v>1704</v>
      </c>
      <c r="P965" s="7" t="s">
        <v>1703</v>
      </c>
      <c r="Q965" s="9">
        <v>5537550</v>
      </c>
      <c r="R965" s="9">
        <v>0</v>
      </c>
      <c r="S965" s="9">
        <f t="shared" si="32"/>
        <v>5537550</v>
      </c>
      <c r="T965" s="4" t="s">
        <v>53</v>
      </c>
      <c r="U965" s="7"/>
      <c r="V965" s="7"/>
      <c r="W965" s="9">
        <v>1</v>
      </c>
      <c r="X965" s="7"/>
      <c r="Y965" s="7"/>
      <c r="Z965" s="7" t="s">
        <v>14</v>
      </c>
      <c r="AA965" s="36" t="s">
        <v>28</v>
      </c>
      <c r="AB965" s="4"/>
      <c r="AC965" s="22">
        <f t="shared" si="31"/>
        <v>2171.5882352941176</v>
      </c>
      <c r="AD965" s="23">
        <v>0</v>
      </c>
    </row>
    <row r="966" spans="1:30" x14ac:dyDescent="0.35">
      <c r="A966" s="7">
        <v>989</v>
      </c>
      <c r="B966" s="6">
        <v>45908.360995370371</v>
      </c>
      <c r="C966" s="6">
        <v>45908</v>
      </c>
      <c r="D966" s="7" t="s">
        <v>1968</v>
      </c>
      <c r="E966" s="7" t="s">
        <v>1331</v>
      </c>
      <c r="F966" s="7" t="s">
        <v>1499</v>
      </c>
      <c r="G966" s="7" t="s">
        <v>1967</v>
      </c>
      <c r="H966" s="7" t="s">
        <v>1497</v>
      </c>
      <c r="I966" s="7" t="s">
        <v>1496</v>
      </c>
      <c r="J966" s="7" t="s">
        <v>1816</v>
      </c>
      <c r="K966" s="7" t="s">
        <v>1815</v>
      </c>
      <c r="L966" s="7" t="s">
        <v>1915</v>
      </c>
      <c r="M966" s="7" t="s">
        <v>20</v>
      </c>
      <c r="N966" s="7" t="s">
        <v>1324</v>
      </c>
      <c r="O966" s="7" t="s">
        <v>68</v>
      </c>
      <c r="P966" s="7" t="s">
        <v>68</v>
      </c>
      <c r="Q966" s="9">
        <v>2230042</v>
      </c>
      <c r="R966" s="9">
        <v>0</v>
      </c>
      <c r="S966" s="9">
        <f t="shared" si="32"/>
        <v>2230042</v>
      </c>
      <c r="T966" s="4" t="s">
        <v>53</v>
      </c>
      <c r="U966" s="7"/>
      <c r="V966" s="7"/>
      <c r="W966" s="9">
        <v>1</v>
      </c>
      <c r="X966" s="7"/>
      <c r="Y966" s="7"/>
      <c r="Z966" s="7" t="s">
        <v>14</v>
      </c>
      <c r="AA966" s="36" t="s">
        <v>20</v>
      </c>
      <c r="AB966" s="4" t="s">
        <v>2602</v>
      </c>
      <c r="AC966" s="22">
        <f t="shared" si="31"/>
        <v>874.5262745098039</v>
      </c>
      <c r="AD966" s="23">
        <v>0</v>
      </c>
    </row>
    <row r="967" spans="1:30" hidden="1" x14ac:dyDescent="0.35">
      <c r="A967" s="7">
        <v>990</v>
      </c>
      <c r="B967" s="6">
        <v>45908.358136574076</v>
      </c>
      <c r="C967" s="6">
        <v>45908</v>
      </c>
      <c r="D967" s="7" t="s">
        <v>1966</v>
      </c>
      <c r="E967" s="7" t="s">
        <v>1331</v>
      </c>
      <c r="F967" s="7" t="s">
        <v>1499</v>
      </c>
      <c r="G967" s="7" t="s">
        <v>1965</v>
      </c>
      <c r="H967" s="7" t="s">
        <v>1497</v>
      </c>
      <c r="I967" s="7" t="s">
        <v>1496</v>
      </c>
      <c r="J967" s="7" t="s">
        <v>1816</v>
      </c>
      <c r="K967" s="7" t="s">
        <v>1815</v>
      </c>
      <c r="L967" s="7" t="s">
        <v>1814</v>
      </c>
      <c r="M967" s="7" t="s">
        <v>28</v>
      </c>
      <c r="N967" s="7" t="s">
        <v>1813</v>
      </c>
      <c r="O967" s="7" t="s">
        <v>1704</v>
      </c>
      <c r="P967" s="7" t="s">
        <v>1703</v>
      </c>
      <c r="Q967" s="9">
        <v>1845850</v>
      </c>
      <c r="R967" s="9">
        <v>0</v>
      </c>
      <c r="S967" s="9">
        <f t="shared" si="32"/>
        <v>1845850</v>
      </c>
      <c r="T967" s="4" t="s">
        <v>53</v>
      </c>
      <c r="U967" s="7"/>
      <c r="V967" s="7"/>
      <c r="W967" s="9">
        <v>1</v>
      </c>
      <c r="X967" s="7"/>
      <c r="Y967" s="7"/>
      <c r="Z967" s="7" t="s">
        <v>14</v>
      </c>
      <c r="AA967" s="36" t="s">
        <v>28</v>
      </c>
      <c r="AB967" s="4"/>
      <c r="AC967" s="22">
        <f t="shared" si="31"/>
        <v>723.86274509803923</v>
      </c>
      <c r="AD967" s="23">
        <v>0</v>
      </c>
    </row>
    <row r="968" spans="1:30" x14ac:dyDescent="0.35">
      <c r="A968" s="7">
        <v>991</v>
      </c>
      <c r="B968" s="6">
        <v>45908.28979166667</v>
      </c>
      <c r="C968" s="6">
        <v>45908</v>
      </c>
      <c r="D968" s="7" t="s">
        <v>1964</v>
      </c>
      <c r="E968" s="7" t="s">
        <v>1331</v>
      </c>
      <c r="F968" s="7" t="s">
        <v>1499</v>
      </c>
      <c r="G968" s="7" t="s">
        <v>1963</v>
      </c>
      <c r="H968" s="7" t="s">
        <v>1497</v>
      </c>
      <c r="I968" s="7" t="s">
        <v>1496</v>
      </c>
      <c r="J968" s="7" t="s">
        <v>1816</v>
      </c>
      <c r="K968" s="7" t="s">
        <v>1815</v>
      </c>
      <c r="L968" s="7" t="s">
        <v>1915</v>
      </c>
      <c r="M968" s="7" t="s">
        <v>20</v>
      </c>
      <c r="N968" s="7" t="s">
        <v>1324</v>
      </c>
      <c r="O968" s="7" t="s">
        <v>68</v>
      </c>
      <c r="P968" s="7" t="s">
        <v>68</v>
      </c>
      <c r="Q968" s="9">
        <v>1120850</v>
      </c>
      <c r="R968" s="9">
        <v>0</v>
      </c>
      <c r="S968" s="9">
        <f t="shared" si="32"/>
        <v>1120850</v>
      </c>
      <c r="T968" s="4" t="s">
        <v>53</v>
      </c>
      <c r="U968" s="7"/>
      <c r="V968" s="7"/>
      <c r="W968" s="9">
        <v>1</v>
      </c>
      <c r="X968" s="7"/>
      <c r="Y968" s="7"/>
      <c r="Z968" s="7" t="s">
        <v>14</v>
      </c>
      <c r="AA968" s="36" t="s">
        <v>20</v>
      </c>
      <c r="AB968" s="4" t="s">
        <v>2602</v>
      </c>
      <c r="AC968" s="22">
        <f t="shared" si="31"/>
        <v>439.54901960784315</v>
      </c>
      <c r="AD968" s="23">
        <v>0</v>
      </c>
    </row>
    <row r="969" spans="1:30" x14ac:dyDescent="0.35">
      <c r="A969" s="7">
        <v>992</v>
      </c>
      <c r="B969" s="6">
        <v>45908.279872685183</v>
      </c>
      <c r="C969" s="6">
        <v>45908</v>
      </c>
      <c r="D969" s="7" t="s">
        <v>1962</v>
      </c>
      <c r="E969" s="7" t="s">
        <v>1331</v>
      </c>
      <c r="F969" s="7" t="s">
        <v>1499</v>
      </c>
      <c r="G969" s="7" t="s">
        <v>1961</v>
      </c>
      <c r="H969" s="7" t="s">
        <v>1497</v>
      </c>
      <c r="I969" s="7" t="s">
        <v>1496</v>
      </c>
      <c r="J969" s="7" t="s">
        <v>1816</v>
      </c>
      <c r="K969" s="7" t="s">
        <v>1815</v>
      </c>
      <c r="L969" s="7" t="s">
        <v>1915</v>
      </c>
      <c r="M969" s="7" t="s">
        <v>20</v>
      </c>
      <c r="N969" s="7" t="s">
        <v>1324</v>
      </c>
      <c r="O969" s="7" t="s">
        <v>68</v>
      </c>
      <c r="P969" s="7" t="s">
        <v>68</v>
      </c>
      <c r="Q969" s="9">
        <v>1483350</v>
      </c>
      <c r="R969" s="9">
        <v>0</v>
      </c>
      <c r="S969" s="9">
        <f t="shared" si="32"/>
        <v>1483350</v>
      </c>
      <c r="T969" s="4" t="s">
        <v>53</v>
      </c>
      <c r="U969" s="7"/>
      <c r="V969" s="7"/>
      <c r="W969" s="9">
        <v>1</v>
      </c>
      <c r="X969" s="7"/>
      <c r="Y969" s="7"/>
      <c r="Z969" s="7" t="s">
        <v>14</v>
      </c>
      <c r="AA969" s="36" t="s">
        <v>20</v>
      </c>
      <c r="AB969" s="4" t="s">
        <v>2602</v>
      </c>
      <c r="AC969" s="22">
        <f t="shared" si="31"/>
        <v>581.70588235294122</v>
      </c>
      <c r="AD969" s="23">
        <v>0</v>
      </c>
    </row>
    <row r="970" spans="1:30" x14ac:dyDescent="0.35">
      <c r="A970" s="7">
        <v>993</v>
      </c>
      <c r="B970" s="6">
        <v>45908.24423611111</v>
      </c>
      <c r="C970" s="6">
        <v>45908</v>
      </c>
      <c r="D970" s="7" t="s">
        <v>1960</v>
      </c>
      <c r="E970" s="7" t="s">
        <v>1331</v>
      </c>
      <c r="F970" s="7" t="s">
        <v>1499</v>
      </c>
      <c r="G970" s="7" t="s">
        <v>1959</v>
      </c>
      <c r="H970" s="7" t="s">
        <v>1497</v>
      </c>
      <c r="I970" s="7" t="s">
        <v>1496</v>
      </c>
      <c r="J970" s="7" t="s">
        <v>1816</v>
      </c>
      <c r="K970" s="7" t="s">
        <v>1815</v>
      </c>
      <c r="L970" s="7" t="s">
        <v>1915</v>
      </c>
      <c r="M970" s="7" t="s">
        <v>20</v>
      </c>
      <c r="N970" s="7" t="s">
        <v>1324</v>
      </c>
      <c r="O970" s="7" t="s">
        <v>68</v>
      </c>
      <c r="P970" s="7" t="s">
        <v>68</v>
      </c>
      <c r="Q970" s="9">
        <v>1134770</v>
      </c>
      <c r="R970" s="9">
        <v>0</v>
      </c>
      <c r="S970" s="9">
        <f t="shared" si="32"/>
        <v>1134770</v>
      </c>
      <c r="T970" s="4" t="s">
        <v>53</v>
      </c>
      <c r="U970" s="7"/>
      <c r="V970" s="7"/>
      <c r="W970" s="9">
        <v>1</v>
      </c>
      <c r="X970" s="7"/>
      <c r="Y970" s="7"/>
      <c r="Z970" s="7" t="s">
        <v>14</v>
      </c>
      <c r="AA970" s="36" t="s">
        <v>20</v>
      </c>
      <c r="AB970" s="4" t="s">
        <v>2602</v>
      </c>
      <c r="AC970" s="22">
        <f t="shared" si="31"/>
        <v>445.00784313725489</v>
      </c>
      <c r="AD970" s="23">
        <v>0</v>
      </c>
    </row>
    <row r="971" spans="1:30" hidden="1" x14ac:dyDescent="0.35">
      <c r="A971" s="7">
        <v>994</v>
      </c>
      <c r="B971" s="6">
        <v>45908.409016203703</v>
      </c>
      <c r="C971" s="6">
        <v>45908</v>
      </c>
      <c r="D971" s="7" t="s">
        <v>1958</v>
      </c>
      <c r="E971" s="7" t="s">
        <v>1050</v>
      </c>
      <c r="F971" s="7"/>
      <c r="G971" s="7" t="s">
        <v>1957</v>
      </c>
      <c r="H971" s="7"/>
      <c r="I971" s="7"/>
      <c r="J971" s="7" t="s">
        <v>1816</v>
      </c>
      <c r="K971" s="7" t="s">
        <v>1815</v>
      </c>
      <c r="L971" s="7" t="s">
        <v>1956</v>
      </c>
      <c r="M971" s="7" t="s">
        <v>30</v>
      </c>
      <c r="N971" s="7" t="s">
        <v>211</v>
      </c>
      <c r="O971" s="7" t="s">
        <v>210</v>
      </c>
      <c r="P971" s="7" t="s">
        <v>210</v>
      </c>
      <c r="Q971" s="9">
        <v>900000</v>
      </c>
      <c r="R971" s="9">
        <v>0</v>
      </c>
      <c r="S971" s="9">
        <f t="shared" si="32"/>
        <v>900000</v>
      </c>
      <c r="T971" s="4" t="s">
        <v>53</v>
      </c>
      <c r="U971" s="7"/>
      <c r="V971" s="7"/>
      <c r="W971" s="9">
        <v>1</v>
      </c>
      <c r="X971" s="7"/>
      <c r="Y971" s="7"/>
      <c r="Z971" s="7" t="s">
        <v>14</v>
      </c>
      <c r="AA971" s="36" t="s">
        <v>30</v>
      </c>
      <c r="AB971" s="4"/>
      <c r="AC971" s="22">
        <f t="shared" si="31"/>
        <v>352.94117647058823</v>
      </c>
      <c r="AD971" s="23">
        <v>0</v>
      </c>
    </row>
    <row r="972" spans="1:30" x14ac:dyDescent="0.35">
      <c r="A972" s="7">
        <v>995</v>
      </c>
      <c r="B972" s="6">
        <v>45908.247858796298</v>
      </c>
      <c r="C972" s="6">
        <v>45908</v>
      </c>
      <c r="D972" s="7" t="s">
        <v>1955</v>
      </c>
      <c r="E972" s="7" t="s">
        <v>1331</v>
      </c>
      <c r="F972" s="7" t="s">
        <v>1954</v>
      </c>
      <c r="G972" s="7" t="s">
        <v>1953</v>
      </c>
      <c r="H972" s="7" t="s">
        <v>1497</v>
      </c>
      <c r="I972" s="7" t="s">
        <v>1496</v>
      </c>
      <c r="J972" s="7" t="s">
        <v>1816</v>
      </c>
      <c r="K972" s="7" t="s">
        <v>1815</v>
      </c>
      <c r="L972" s="7" t="s">
        <v>1915</v>
      </c>
      <c r="M972" s="7" t="s">
        <v>20</v>
      </c>
      <c r="N972" s="7" t="s">
        <v>1324</v>
      </c>
      <c r="O972" s="7" t="s">
        <v>68</v>
      </c>
      <c r="P972" s="7" t="s">
        <v>68</v>
      </c>
      <c r="Q972" s="9">
        <v>0</v>
      </c>
      <c r="R972" s="9">
        <v>2172042</v>
      </c>
      <c r="S972" s="9">
        <f t="shared" si="32"/>
        <v>-2172042</v>
      </c>
      <c r="T972" s="4" t="s">
        <v>53</v>
      </c>
      <c r="U972" s="7"/>
      <c r="V972" s="7"/>
      <c r="W972" s="9">
        <v>1</v>
      </c>
      <c r="X972" s="7"/>
      <c r="Y972" s="7"/>
      <c r="Z972" s="7" t="s">
        <v>14</v>
      </c>
      <c r="AA972" s="36" t="s">
        <v>20</v>
      </c>
      <c r="AB972" s="4" t="s">
        <v>2602</v>
      </c>
      <c r="AC972" s="22">
        <f t="shared" si="31"/>
        <v>-851.78117647058821</v>
      </c>
      <c r="AD972" s="23">
        <v>0</v>
      </c>
    </row>
    <row r="973" spans="1:30" x14ac:dyDescent="0.35">
      <c r="A973" s="7">
        <v>996</v>
      </c>
      <c r="B973" s="6">
        <v>45908</v>
      </c>
      <c r="C973" s="6">
        <v>45908</v>
      </c>
      <c r="D973" s="4" t="s">
        <v>286</v>
      </c>
      <c r="E973" s="4" t="s">
        <v>61</v>
      </c>
      <c r="F973" s="4" t="s">
        <v>285</v>
      </c>
      <c r="G973" s="4" t="s">
        <v>285</v>
      </c>
      <c r="H973" s="4"/>
      <c r="I973" s="4"/>
      <c r="J973" s="4" t="s">
        <v>59</v>
      </c>
      <c r="K973" s="4" t="s">
        <v>58</v>
      </c>
      <c r="L973" s="4" t="s">
        <v>57</v>
      </c>
      <c r="M973" s="4" t="s">
        <v>32</v>
      </c>
      <c r="N973" s="4" t="s">
        <v>266</v>
      </c>
      <c r="O973" s="5" t="s">
        <v>55</v>
      </c>
      <c r="P973" s="4" t="s">
        <v>54</v>
      </c>
      <c r="Q973" s="10">
        <v>90000</v>
      </c>
      <c r="R973" s="10">
        <v>0</v>
      </c>
      <c r="S973" s="9">
        <f t="shared" si="32"/>
        <v>90000</v>
      </c>
      <c r="T973" s="4" t="s">
        <v>53</v>
      </c>
      <c r="U973" s="4" t="s">
        <v>121</v>
      </c>
      <c r="V973" s="4"/>
      <c r="W973" s="4">
        <v>-6</v>
      </c>
      <c r="X973" s="4" t="s">
        <v>94</v>
      </c>
      <c r="Y973" s="4"/>
      <c r="Z973" s="7" t="s">
        <v>14</v>
      </c>
      <c r="AA973" s="36" t="s">
        <v>22</v>
      </c>
      <c r="AB973" s="4" t="s">
        <v>2835</v>
      </c>
      <c r="AC973" s="22">
        <f t="shared" si="31"/>
        <v>35.294117647058826</v>
      </c>
      <c r="AD973" s="23">
        <v>0</v>
      </c>
    </row>
    <row r="974" spans="1:30" x14ac:dyDescent="0.35">
      <c r="A974" s="7">
        <v>997</v>
      </c>
      <c r="B974" s="6">
        <v>45908</v>
      </c>
      <c r="C974" s="6">
        <v>45908</v>
      </c>
      <c r="D974" s="4" t="s">
        <v>284</v>
      </c>
      <c r="E974" s="4" t="s">
        <v>61</v>
      </c>
      <c r="F974" s="4" t="s">
        <v>283</v>
      </c>
      <c r="G974" s="4" t="s">
        <v>283</v>
      </c>
      <c r="H974" s="4"/>
      <c r="I974" s="4"/>
      <c r="J974" s="4" t="s">
        <v>59</v>
      </c>
      <c r="K974" s="4" t="s">
        <v>58</v>
      </c>
      <c r="L974" s="4" t="s">
        <v>57</v>
      </c>
      <c r="M974" s="4" t="s">
        <v>32</v>
      </c>
      <c r="N974" s="4" t="s">
        <v>266</v>
      </c>
      <c r="O974" s="5" t="s">
        <v>55</v>
      </c>
      <c r="P974" s="4" t="s">
        <v>54</v>
      </c>
      <c r="Q974" s="10">
        <v>48000</v>
      </c>
      <c r="R974" s="10">
        <v>0</v>
      </c>
      <c r="S974" s="9">
        <f t="shared" si="32"/>
        <v>48000</v>
      </c>
      <c r="T974" s="4" t="s">
        <v>53</v>
      </c>
      <c r="U974" s="4" t="s">
        <v>282</v>
      </c>
      <c r="V974" s="4"/>
      <c r="W974" s="4">
        <v>-1</v>
      </c>
      <c r="X974" s="4" t="s">
        <v>94</v>
      </c>
      <c r="Y974" s="4"/>
      <c r="Z974" s="7" t="s">
        <v>14</v>
      </c>
      <c r="AA974" s="36" t="s">
        <v>22</v>
      </c>
      <c r="AB974" s="4" t="s">
        <v>2835</v>
      </c>
      <c r="AC974" s="22">
        <f t="shared" si="31"/>
        <v>18.823529411764707</v>
      </c>
      <c r="AD974" s="23">
        <v>0</v>
      </c>
    </row>
    <row r="975" spans="1:30" x14ac:dyDescent="0.35">
      <c r="A975" s="7">
        <v>998</v>
      </c>
      <c r="B975" s="6">
        <v>45908</v>
      </c>
      <c r="C975" s="6">
        <v>45908</v>
      </c>
      <c r="D975" s="4" t="s">
        <v>208</v>
      </c>
      <c r="E975" s="4" t="s">
        <v>61</v>
      </c>
      <c r="F975" s="4" t="s">
        <v>207</v>
      </c>
      <c r="G975" s="4" t="s">
        <v>207</v>
      </c>
      <c r="H975" s="4"/>
      <c r="I975" s="4"/>
      <c r="J975" s="4" t="s">
        <v>59</v>
      </c>
      <c r="K975" s="4" t="s">
        <v>58</v>
      </c>
      <c r="L975" s="4" t="s">
        <v>57</v>
      </c>
      <c r="M975" s="4" t="s">
        <v>32</v>
      </c>
      <c r="N975" s="4" t="s">
        <v>197</v>
      </c>
      <c r="O975" s="5" t="s">
        <v>105</v>
      </c>
      <c r="P975" s="4" t="s">
        <v>196</v>
      </c>
      <c r="Q975" s="10">
        <v>179236.3</v>
      </c>
      <c r="R975" s="10">
        <v>0</v>
      </c>
      <c r="S975" s="9">
        <f t="shared" si="32"/>
        <v>179236.3</v>
      </c>
      <c r="T975" s="4" t="s">
        <v>53</v>
      </c>
      <c r="U975" s="4" t="s">
        <v>206</v>
      </c>
      <c r="V975" s="4"/>
      <c r="W975" s="4">
        <v>-305</v>
      </c>
      <c r="X975" s="4" t="s">
        <v>205</v>
      </c>
      <c r="Y975" s="4"/>
      <c r="Z975" s="7" t="s">
        <v>14</v>
      </c>
      <c r="AA975" s="36" t="s">
        <v>29</v>
      </c>
      <c r="AB975" s="4" t="s">
        <v>2607</v>
      </c>
      <c r="AC975" s="22">
        <f t="shared" si="31"/>
        <v>70.288745098039215</v>
      </c>
      <c r="AD975" s="23">
        <v>0</v>
      </c>
    </row>
    <row r="976" spans="1:30" x14ac:dyDescent="0.35">
      <c r="A976" s="7">
        <v>999</v>
      </c>
      <c r="B976" s="6">
        <v>45908</v>
      </c>
      <c r="C976" s="6">
        <v>45908</v>
      </c>
      <c r="D976" s="4" t="s">
        <v>204</v>
      </c>
      <c r="E976" s="4" t="s">
        <v>61</v>
      </c>
      <c r="F976" s="4" t="s">
        <v>203</v>
      </c>
      <c r="G976" s="4" t="s">
        <v>203</v>
      </c>
      <c r="H976" s="4"/>
      <c r="I976" s="4"/>
      <c r="J976" s="4" t="s">
        <v>59</v>
      </c>
      <c r="K976" s="4" t="s">
        <v>58</v>
      </c>
      <c r="L976" s="4" t="s">
        <v>57</v>
      </c>
      <c r="M976" s="4" t="s">
        <v>32</v>
      </c>
      <c r="N976" s="4" t="s">
        <v>197</v>
      </c>
      <c r="O976" s="5" t="s">
        <v>105</v>
      </c>
      <c r="P976" s="4" t="s">
        <v>196</v>
      </c>
      <c r="Q976" s="10">
        <v>560000</v>
      </c>
      <c r="R976" s="10">
        <v>0</v>
      </c>
      <c r="S976" s="9">
        <f t="shared" si="32"/>
        <v>560000</v>
      </c>
      <c r="T976" s="4" t="s">
        <v>53</v>
      </c>
      <c r="U976" s="4" t="s">
        <v>202</v>
      </c>
      <c r="V976" s="4"/>
      <c r="W976" s="4">
        <v>-2</v>
      </c>
      <c r="X976" s="4" t="s">
        <v>94</v>
      </c>
      <c r="Y976" s="4"/>
      <c r="Z976" s="7" t="s">
        <v>14</v>
      </c>
      <c r="AA976" s="36" t="s">
        <v>29</v>
      </c>
      <c r="AB976" s="4" t="s">
        <v>2607</v>
      </c>
      <c r="AC976" s="22">
        <f t="shared" si="31"/>
        <v>219.60784313725489</v>
      </c>
      <c r="AD976" s="23">
        <v>0</v>
      </c>
    </row>
    <row r="977" spans="1:30" x14ac:dyDescent="0.35">
      <c r="A977" s="7">
        <v>1000</v>
      </c>
      <c r="B977" s="6">
        <v>45908</v>
      </c>
      <c r="C977" s="6">
        <v>45908</v>
      </c>
      <c r="D977" s="4" t="s">
        <v>201</v>
      </c>
      <c r="E977" s="4" t="s">
        <v>61</v>
      </c>
      <c r="F977" s="4" t="s">
        <v>200</v>
      </c>
      <c r="G977" s="4" t="s">
        <v>200</v>
      </c>
      <c r="H977" s="4"/>
      <c r="I977" s="4"/>
      <c r="J977" s="4" t="s">
        <v>59</v>
      </c>
      <c r="K977" s="4" t="s">
        <v>58</v>
      </c>
      <c r="L977" s="4" t="s">
        <v>57</v>
      </c>
      <c r="M977" s="4" t="s">
        <v>32</v>
      </c>
      <c r="N977" s="4" t="s">
        <v>197</v>
      </c>
      <c r="O977" s="5" t="s">
        <v>105</v>
      </c>
      <c r="P977" s="4" t="s">
        <v>196</v>
      </c>
      <c r="Q977" s="10">
        <v>2408618.29</v>
      </c>
      <c r="R977" s="10">
        <v>0</v>
      </c>
      <c r="S977" s="9">
        <f t="shared" si="32"/>
        <v>2408618.29</v>
      </c>
      <c r="T977" s="4" t="s">
        <v>53</v>
      </c>
      <c r="U977" s="4" t="s">
        <v>195</v>
      </c>
      <c r="V977" s="4"/>
      <c r="W977" s="4">
        <v>-420</v>
      </c>
      <c r="X977" s="4" t="s">
        <v>94</v>
      </c>
      <c r="Y977" s="4"/>
      <c r="Z977" s="7" t="s">
        <v>14</v>
      </c>
      <c r="AA977" s="36" t="s">
        <v>29</v>
      </c>
      <c r="AB977" s="4" t="s">
        <v>2607</v>
      </c>
      <c r="AC977" s="22">
        <f t="shared" si="31"/>
        <v>944.55619215686272</v>
      </c>
      <c r="AD977" s="23">
        <v>0</v>
      </c>
    </row>
    <row r="978" spans="1:30" x14ac:dyDescent="0.35">
      <c r="A978" s="7">
        <v>1001</v>
      </c>
      <c r="B978" s="6">
        <v>45908</v>
      </c>
      <c r="C978" s="6">
        <v>45908</v>
      </c>
      <c r="D978" s="4" t="s">
        <v>135</v>
      </c>
      <c r="E978" s="4" t="s">
        <v>61</v>
      </c>
      <c r="F978" s="4" t="s">
        <v>134</v>
      </c>
      <c r="G978" s="4" t="s">
        <v>134</v>
      </c>
      <c r="H978" s="4"/>
      <c r="I978" s="4"/>
      <c r="J978" s="4" t="s">
        <v>59</v>
      </c>
      <c r="K978" s="4" t="s">
        <v>58</v>
      </c>
      <c r="L978" s="4" t="s">
        <v>57</v>
      </c>
      <c r="M978" s="4" t="s">
        <v>32</v>
      </c>
      <c r="N978" s="4" t="s">
        <v>96</v>
      </c>
      <c r="O978" s="5" t="s">
        <v>68</v>
      </c>
      <c r="P978" s="4" t="s">
        <v>54</v>
      </c>
      <c r="Q978" s="10">
        <v>74000</v>
      </c>
      <c r="R978" s="10">
        <v>0</v>
      </c>
      <c r="S978" s="9">
        <f t="shared" si="32"/>
        <v>74000</v>
      </c>
      <c r="T978" s="4" t="s">
        <v>53</v>
      </c>
      <c r="U978" s="4" t="s">
        <v>133</v>
      </c>
      <c r="V978" s="4"/>
      <c r="W978" s="4">
        <v>-14.8</v>
      </c>
      <c r="X978" s="4" t="s">
        <v>124</v>
      </c>
      <c r="Y978" s="4"/>
      <c r="Z978" s="7" t="s">
        <v>14</v>
      </c>
      <c r="AA978" s="36" t="s">
        <v>27</v>
      </c>
      <c r="AB978" s="4" t="s">
        <v>2603</v>
      </c>
      <c r="AC978" s="22">
        <f t="shared" si="31"/>
        <v>29.019607843137255</v>
      </c>
      <c r="AD978" s="23">
        <v>0</v>
      </c>
    </row>
    <row r="979" spans="1:30" x14ac:dyDescent="0.35">
      <c r="A979" s="7">
        <v>1002</v>
      </c>
      <c r="B979" s="6">
        <v>45908</v>
      </c>
      <c r="C979" s="6">
        <v>45908</v>
      </c>
      <c r="D979" s="4" t="s">
        <v>132</v>
      </c>
      <c r="E979" s="4" t="s">
        <v>61</v>
      </c>
      <c r="F979" s="4" t="s">
        <v>131</v>
      </c>
      <c r="G979" s="4" t="s">
        <v>131</v>
      </c>
      <c r="H979" s="4"/>
      <c r="I979" s="4"/>
      <c r="J979" s="4" t="s">
        <v>59</v>
      </c>
      <c r="K979" s="4" t="s">
        <v>58</v>
      </c>
      <c r="L979" s="4" t="s">
        <v>57</v>
      </c>
      <c r="M979" s="4" t="s">
        <v>32</v>
      </c>
      <c r="N979" s="4" t="s">
        <v>96</v>
      </c>
      <c r="O979" s="5" t="s">
        <v>68</v>
      </c>
      <c r="P979" s="4" t="s">
        <v>54</v>
      </c>
      <c r="Q979" s="10">
        <v>580843.31000000006</v>
      </c>
      <c r="R979" s="10">
        <v>0</v>
      </c>
      <c r="S979" s="9">
        <f t="shared" si="32"/>
        <v>580843.31000000006</v>
      </c>
      <c r="T979" s="4" t="s">
        <v>53</v>
      </c>
      <c r="U979" s="4" t="s">
        <v>130</v>
      </c>
      <c r="V979" s="4"/>
      <c r="W979" s="4">
        <v>-40</v>
      </c>
      <c r="X979" s="4" t="s">
        <v>129</v>
      </c>
      <c r="Y979" s="4"/>
      <c r="Z979" s="7" t="s">
        <v>14</v>
      </c>
      <c r="AA979" s="36" t="s">
        <v>27</v>
      </c>
      <c r="AB979" s="4" t="s">
        <v>2603</v>
      </c>
      <c r="AC979" s="22">
        <f t="shared" si="31"/>
        <v>227.78169019607844</v>
      </c>
      <c r="AD979" s="23">
        <v>0</v>
      </c>
    </row>
    <row r="980" spans="1:30" hidden="1" x14ac:dyDescent="0.35">
      <c r="A980" s="7">
        <v>1003</v>
      </c>
      <c r="B980" s="6">
        <v>45909.570254629631</v>
      </c>
      <c r="C980" s="6">
        <v>45909</v>
      </c>
      <c r="D980" s="7" t="s">
        <v>1952</v>
      </c>
      <c r="E980" s="7" t="s">
        <v>1819</v>
      </c>
      <c r="F980" s="7" t="s">
        <v>1818</v>
      </c>
      <c r="G980" s="7" t="s">
        <v>1951</v>
      </c>
      <c r="H980" s="7"/>
      <c r="I980" s="7"/>
      <c r="J980" s="7" t="s">
        <v>1816</v>
      </c>
      <c r="K980" s="7" t="s">
        <v>1815</v>
      </c>
      <c r="L980" s="7" t="s">
        <v>1814</v>
      </c>
      <c r="M980" s="7" t="s">
        <v>28</v>
      </c>
      <c r="N980" s="7" t="s">
        <v>1813</v>
      </c>
      <c r="O980" s="7" t="s">
        <v>1704</v>
      </c>
      <c r="P980" s="7" t="s">
        <v>1703</v>
      </c>
      <c r="Q980" s="9">
        <v>982678.8</v>
      </c>
      <c r="R980" s="9">
        <v>0</v>
      </c>
      <c r="S980" s="9">
        <f t="shared" si="32"/>
        <v>982678.8</v>
      </c>
      <c r="T980" s="4" t="s">
        <v>53</v>
      </c>
      <c r="U980" s="7"/>
      <c r="V980" s="7"/>
      <c r="W980" s="9">
        <v>1</v>
      </c>
      <c r="X980" s="7"/>
      <c r="Y980" s="7"/>
      <c r="Z980" s="7" t="s">
        <v>14</v>
      </c>
      <c r="AA980" s="36" t="s">
        <v>28</v>
      </c>
      <c r="AB980" s="4"/>
      <c r="AC980" s="22">
        <f t="shared" si="31"/>
        <v>385.36423529411769</v>
      </c>
      <c r="AD980" s="23">
        <v>0</v>
      </c>
    </row>
    <row r="981" spans="1:30" hidden="1" x14ac:dyDescent="0.35">
      <c r="A981" s="7">
        <v>1004</v>
      </c>
      <c r="B981" s="6">
        <v>45909.568449074075</v>
      </c>
      <c r="C981" s="6">
        <v>45909</v>
      </c>
      <c r="D981" s="7" t="s">
        <v>1950</v>
      </c>
      <c r="E981" s="7" t="s">
        <v>1819</v>
      </c>
      <c r="F981" s="7" t="s">
        <v>1818</v>
      </c>
      <c r="G981" s="7" t="s">
        <v>1949</v>
      </c>
      <c r="H981" s="7"/>
      <c r="I981" s="7"/>
      <c r="J981" s="7" t="s">
        <v>1816</v>
      </c>
      <c r="K981" s="7" t="s">
        <v>1815</v>
      </c>
      <c r="L981" s="7" t="s">
        <v>1814</v>
      </c>
      <c r="M981" s="7" t="s">
        <v>28</v>
      </c>
      <c r="N981" s="7" t="s">
        <v>1813</v>
      </c>
      <c r="O981" s="7" t="s">
        <v>1704</v>
      </c>
      <c r="P981" s="7" t="s">
        <v>1703</v>
      </c>
      <c r="Q981" s="9">
        <v>3818700</v>
      </c>
      <c r="R981" s="9">
        <v>0</v>
      </c>
      <c r="S981" s="9">
        <f t="shared" si="32"/>
        <v>3818700</v>
      </c>
      <c r="T981" s="4" t="s">
        <v>53</v>
      </c>
      <c r="U981" s="7"/>
      <c r="V981" s="7"/>
      <c r="W981" s="9">
        <v>1</v>
      </c>
      <c r="X981" s="7"/>
      <c r="Y981" s="7"/>
      <c r="Z981" s="7" t="s">
        <v>14</v>
      </c>
      <c r="AA981" s="36" t="s">
        <v>28</v>
      </c>
      <c r="AB981" s="4"/>
      <c r="AC981" s="22">
        <f t="shared" si="31"/>
        <v>1497.5294117647059</v>
      </c>
      <c r="AD981" s="23">
        <v>0</v>
      </c>
    </row>
    <row r="982" spans="1:30" hidden="1" x14ac:dyDescent="0.35">
      <c r="A982" s="7">
        <v>1005</v>
      </c>
      <c r="B982" s="6">
        <v>45909.566331018519</v>
      </c>
      <c r="C982" s="6">
        <v>45909</v>
      </c>
      <c r="D982" s="7" t="s">
        <v>1948</v>
      </c>
      <c r="E982" s="7" t="s">
        <v>1819</v>
      </c>
      <c r="F982" s="7" t="s">
        <v>1818</v>
      </c>
      <c r="G982" s="7" t="s">
        <v>1947</v>
      </c>
      <c r="H982" s="7"/>
      <c r="I982" s="7"/>
      <c r="J982" s="7" t="s">
        <v>1816</v>
      </c>
      <c r="K982" s="7" t="s">
        <v>1815</v>
      </c>
      <c r="L982" s="7" t="s">
        <v>1814</v>
      </c>
      <c r="M982" s="7" t="s">
        <v>28</v>
      </c>
      <c r="N982" s="7" t="s">
        <v>1813</v>
      </c>
      <c r="O982" s="7" t="s">
        <v>1704</v>
      </c>
      <c r="P982" s="7" t="s">
        <v>1703</v>
      </c>
      <c r="Q982" s="9">
        <v>5346180</v>
      </c>
      <c r="R982" s="9">
        <v>0</v>
      </c>
      <c r="S982" s="9">
        <f t="shared" si="32"/>
        <v>5346180</v>
      </c>
      <c r="T982" s="4" t="s">
        <v>53</v>
      </c>
      <c r="U982" s="7"/>
      <c r="V982" s="7"/>
      <c r="W982" s="9">
        <v>1</v>
      </c>
      <c r="X982" s="7"/>
      <c r="Y982" s="7"/>
      <c r="Z982" s="7" t="s">
        <v>14</v>
      </c>
      <c r="AA982" s="36" t="s">
        <v>28</v>
      </c>
      <c r="AB982" s="4"/>
      <c r="AC982" s="22">
        <f t="shared" si="31"/>
        <v>2096.5411764705882</v>
      </c>
      <c r="AD982" s="23">
        <v>0</v>
      </c>
    </row>
    <row r="983" spans="1:30" x14ac:dyDescent="0.35">
      <c r="A983" s="7">
        <v>1006</v>
      </c>
      <c r="B983" s="6">
        <v>45909</v>
      </c>
      <c r="C983" s="6">
        <v>45909</v>
      </c>
      <c r="D983" s="4" t="s">
        <v>290</v>
      </c>
      <c r="E983" s="4" t="s">
        <v>61</v>
      </c>
      <c r="F983" s="4" t="s">
        <v>289</v>
      </c>
      <c r="G983" s="4" t="s">
        <v>289</v>
      </c>
      <c r="H983" s="4"/>
      <c r="I983" s="4"/>
      <c r="J983" s="4" t="s">
        <v>59</v>
      </c>
      <c r="K983" s="4" t="s">
        <v>58</v>
      </c>
      <c r="L983" s="4" t="s">
        <v>57</v>
      </c>
      <c r="M983" s="4" t="s">
        <v>32</v>
      </c>
      <c r="N983" s="4" t="s">
        <v>266</v>
      </c>
      <c r="O983" s="5" t="s">
        <v>55</v>
      </c>
      <c r="P983" s="4" t="s">
        <v>54</v>
      </c>
      <c r="Q983" s="10">
        <v>16104.95</v>
      </c>
      <c r="R983" s="10">
        <v>0</v>
      </c>
      <c r="S983" s="9">
        <f t="shared" si="32"/>
        <v>16104.95</v>
      </c>
      <c r="T983" s="4" t="s">
        <v>53</v>
      </c>
      <c r="U983" s="4" t="s">
        <v>117</v>
      </c>
      <c r="V983" s="4"/>
      <c r="W983" s="4">
        <v>-5</v>
      </c>
      <c r="X983" s="4" t="s">
        <v>94</v>
      </c>
      <c r="Y983" s="4"/>
      <c r="Z983" s="7" t="s">
        <v>14</v>
      </c>
      <c r="AA983" s="36" t="s">
        <v>22</v>
      </c>
      <c r="AB983" s="4" t="s">
        <v>2835</v>
      </c>
      <c r="AC983" s="22">
        <f t="shared" si="31"/>
        <v>6.315666666666667</v>
      </c>
      <c r="AD983" s="23">
        <v>0</v>
      </c>
    </row>
    <row r="984" spans="1:30" x14ac:dyDescent="0.35">
      <c r="A984" s="7">
        <v>1007</v>
      </c>
      <c r="B984" s="6">
        <v>45909</v>
      </c>
      <c r="C984" s="6">
        <v>45909</v>
      </c>
      <c r="D984" s="4" t="s">
        <v>288</v>
      </c>
      <c r="E984" s="4" t="s">
        <v>61</v>
      </c>
      <c r="F984" s="4" t="s">
        <v>287</v>
      </c>
      <c r="G984" s="4" t="s">
        <v>287</v>
      </c>
      <c r="H984" s="4"/>
      <c r="I984" s="4"/>
      <c r="J984" s="4" t="s">
        <v>59</v>
      </c>
      <c r="K984" s="4" t="s">
        <v>58</v>
      </c>
      <c r="L984" s="4" t="s">
        <v>57</v>
      </c>
      <c r="M984" s="4" t="s">
        <v>32</v>
      </c>
      <c r="N984" s="4" t="s">
        <v>266</v>
      </c>
      <c r="O984" s="5" t="s">
        <v>55</v>
      </c>
      <c r="P984" s="4" t="s">
        <v>54</v>
      </c>
      <c r="Q984" s="10">
        <v>61462.64</v>
      </c>
      <c r="R984" s="10">
        <v>0</v>
      </c>
      <c r="S984" s="9">
        <f t="shared" si="32"/>
        <v>61462.64</v>
      </c>
      <c r="T984" s="4" t="s">
        <v>53</v>
      </c>
      <c r="U984" s="4" t="s">
        <v>271</v>
      </c>
      <c r="V984" s="4"/>
      <c r="W984" s="4">
        <v>-15</v>
      </c>
      <c r="X984" s="4" t="s">
        <v>124</v>
      </c>
      <c r="Y984" s="4"/>
      <c r="Z984" s="7" t="s">
        <v>14</v>
      </c>
      <c r="AA984" s="36" t="s">
        <v>22</v>
      </c>
      <c r="AB984" s="4" t="s">
        <v>2835</v>
      </c>
      <c r="AC984" s="22">
        <f t="shared" si="31"/>
        <v>24.102996078431371</v>
      </c>
      <c r="AD984" s="23">
        <v>0</v>
      </c>
    </row>
    <row r="985" spans="1:30" hidden="1" x14ac:dyDescent="0.35">
      <c r="A985" s="7">
        <v>1008</v>
      </c>
      <c r="B985" s="6">
        <v>45909</v>
      </c>
      <c r="C985" s="6">
        <v>45909</v>
      </c>
      <c r="D985" s="4" t="s">
        <v>216</v>
      </c>
      <c r="E985" s="4" t="s">
        <v>61</v>
      </c>
      <c r="F985" s="4" t="s">
        <v>215</v>
      </c>
      <c r="G985" s="4" t="s">
        <v>215</v>
      </c>
      <c r="H985" s="4"/>
      <c r="I985" s="4"/>
      <c r="J985" s="4" t="s">
        <v>59</v>
      </c>
      <c r="K985" s="4" t="s">
        <v>58</v>
      </c>
      <c r="L985" s="4" t="s">
        <v>57</v>
      </c>
      <c r="M985" s="4" t="s">
        <v>32</v>
      </c>
      <c r="N985" s="4" t="s">
        <v>211</v>
      </c>
      <c r="O985" s="5" t="s">
        <v>210</v>
      </c>
      <c r="P985" s="4" t="s">
        <v>210</v>
      </c>
      <c r="Q985" s="10">
        <v>76204</v>
      </c>
      <c r="R985" s="10">
        <v>0</v>
      </c>
      <c r="S985" s="9">
        <f t="shared" si="32"/>
        <v>76204</v>
      </c>
      <c r="T985" s="4" t="s">
        <v>53</v>
      </c>
      <c r="U985" s="4" t="s">
        <v>214</v>
      </c>
      <c r="V985" s="4"/>
      <c r="W985" s="4">
        <v>-16</v>
      </c>
      <c r="X985" s="4" t="s">
        <v>51</v>
      </c>
      <c r="Y985" s="4"/>
      <c r="Z985" s="7" t="s">
        <v>14</v>
      </c>
      <c r="AA985" s="36" t="s">
        <v>30</v>
      </c>
      <c r="AB985" s="4"/>
      <c r="AC985" s="22">
        <f t="shared" si="31"/>
        <v>29.88392156862745</v>
      </c>
      <c r="AD985" s="23">
        <v>0</v>
      </c>
    </row>
    <row r="986" spans="1:30" hidden="1" x14ac:dyDescent="0.35">
      <c r="A986" s="7">
        <v>1009</v>
      </c>
      <c r="B986" s="6">
        <v>45909</v>
      </c>
      <c r="C986" s="6">
        <v>45909</v>
      </c>
      <c r="D986" s="4" t="s">
        <v>213</v>
      </c>
      <c r="E986" s="4" t="s">
        <v>61</v>
      </c>
      <c r="F986" s="4" t="s">
        <v>212</v>
      </c>
      <c r="G986" s="4" t="s">
        <v>212</v>
      </c>
      <c r="H986" s="4"/>
      <c r="I986" s="4"/>
      <c r="J986" s="4" t="s">
        <v>59</v>
      </c>
      <c r="K986" s="4" t="s">
        <v>58</v>
      </c>
      <c r="L986" s="4" t="s">
        <v>57</v>
      </c>
      <c r="M986" s="4" t="s">
        <v>32</v>
      </c>
      <c r="N986" s="4" t="s">
        <v>211</v>
      </c>
      <c r="O986" s="5" t="s">
        <v>210</v>
      </c>
      <c r="P986" s="4" t="s">
        <v>210</v>
      </c>
      <c r="Q986" s="10">
        <v>540000</v>
      </c>
      <c r="R986" s="10">
        <v>0</v>
      </c>
      <c r="S986" s="9">
        <f t="shared" si="32"/>
        <v>540000</v>
      </c>
      <c r="T986" s="4" t="s">
        <v>53</v>
      </c>
      <c r="U986" s="4" t="s">
        <v>209</v>
      </c>
      <c r="V986" s="4"/>
      <c r="W986" s="4">
        <v>-3</v>
      </c>
      <c r="X986" s="4" t="s">
        <v>94</v>
      </c>
      <c r="Y986" s="4"/>
      <c r="Z986" s="7" t="s">
        <v>14</v>
      </c>
      <c r="AA986" s="36" t="s">
        <v>30</v>
      </c>
      <c r="AB986" s="4"/>
      <c r="AC986" s="22">
        <f t="shared" si="31"/>
        <v>211.76470588235293</v>
      </c>
      <c r="AD986" s="23">
        <v>0</v>
      </c>
    </row>
    <row r="987" spans="1:30" x14ac:dyDescent="0.35">
      <c r="A987" s="7">
        <v>1010</v>
      </c>
      <c r="B987" s="6">
        <v>45909</v>
      </c>
      <c r="C987" s="6">
        <v>45909</v>
      </c>
      <c r="D987" s="4" t="s">
        <v>137</v>
      </c>
      <c r="E987" s="4" t="s">
        <v>61</v>
      </c>
      <c r="F987" s="4" t="s">
        <v>136</v>
      </c>
      <c r="G987" s="4" t="s">
        <v>136</v>
      </c>
      <c r="H987" s="4"/>
      <c r="I987" s="4"/>
      <c r="J987" s="4" t="s">
        <v>59</v>
      </c>
      <c r="K987" s="4" t="s">
        <v>58</v>
      </c>
      <c r="L987" s="4" t="s">
        <v>57</v>
      </c>
      <c r="M987" s="4" t="s">
        <v>32</v>
      </c>
      <c r="N987" s="4" t="s">
        <v>96</v>
      </c>
      <c r="O987" s="5" t="s">
        <v>68</v>
      </c>
      <c r="P987" s="4" t="s">
        <v>54</v>
      </c>
      <c r="Q987" s="10">
        <v>435632.48</v>
      </c>
      <c r="R987" s="10">
        <v>0</v>
      </c>
      <c r="S987" s="9">
        <f t="shared" si="32"/>
        <v>435632.48</v>
      </c>
      <c r="T987" s="4" t="s">
        <v>53</v>
      </c>
      <c r="U987" s="4" t="s">
        <v>130</v>
      </c>
      <c r="V987" s="4"/>
      <c r="W987" s="4">
        <v>-30</v>
      </c>
      <c r="X987" s="4" t="s">
        <v>129</v>
      </c>
      <c r="Y987" s="4"/>
      <c r="Z987" s="7" t="s">
        <v>14</v>
      </c>
      <c r="AA987" s="36" t="s">
        <v>27</v>
      </c>
      <c r="AB987" s="4" t="s">
        <v>2603</v>
      </c>
      <c r="AC987" s="22">
        <f t="shared" si="31"/>
        <v>170.83626666666666</v>
      </c>
      <c r="AD987" s="23">
        <v>0</v>
      </c>
    </row>
    <row r="988" spans="1:30" x14ac:dyDescent="0.35">
      <c r="A988" s="7">
        <v>1011</v>
      </c>
      <c r="B988" s="6">
        <v>45910</v>
      </c>
      <c r="C988" s="6">
        <v>45910</v>
      </c>
      <c r="D988" s="4" t="s">
        <v>108</v>
      </c>
      <c r="E988" s="4" t="s">
        <v>61</v>
      </c>
      <c r="F988" s="4" t="s">
        <v>107</v>
      </c>
      <c r="G988" s="4" t="s">
        <v>107</v>
      </c>
      <c r="H988" s="4"/>
      <c r="I988" s="4"/>
      <c r="J988" s="4" t="s">
        <v>59</v>
      </c>
      <c r="K988" s="4" t="s">
        <v>58</v>
      </c>
      <c r="L988" s="4" t="s">
        <v>97</v>
      </c>
      <c r="M988" s="4" t="s">
        <v>34</v>
      </c>
      <c r="N988" s="4" t="s">
        <v>106</v>
      </c>
      <c r="O988" s="5" t="s">
        <v>105</v>
      </c>
      <c r="P988" s="4" t="s">
        <v>54</v>
      </c>
      <c r="Q988" s="10">
        <v>84178.47</v>
      </c>
      <c r="R988" s="10">
        <v>0</v>
      </c>
      <c r="S988" s="9">
        <f t="shared" si="32"/>
        <v>84178.47</v>
      </c>
      <c r="T988" s="4" t="s">
        <v>53</v>
      </c>
      <c r="U988" s="4" t="s">
        <v>95</v>
      </c>
      <c r="V988" s="4"/>
      <c r="W988" s="4">
        <v>-4</v>
      </c>
      <c r="X988" s="4" t="s">
        <v>94</v>
      </c>
      <c r="Y988" s="4"/>
      <c r="Z988" s="7" t="s">
        <v>14</v>
      </c>
      <c r="AA988" s="36" t="s">
        <v>15</v>
      </c>
      <c r="AB988" s="4" t="s">
        <v>2606</v>
      </c>
      <c r="AC988" s="22">
        <f t="shared" si="31"/>
        <v>33.011164705882351</v>
      </c>
      <c r="AD988" s="23">
        <v>0</v>
      </c>
    </row>
    <row r="989" spans="1:30" x14ac:dyDescent="0.35">
      <c r="A989" s="7">
        <v>1012</v>
      </c>
      <c r="B989" s="6">
        <v>45910</v>
      </c>
      <c r="C989" s="6">
        <v>45910</v>
      </c>
      <c r="D989" s="4" t="s">
        <v>101</v>
      </c>
      <c r="E989" s="4" t="s">
        <v>61</v>
      </c>
      <c r="F989" s="4" t="s">
        <v>100</v>
      </c>
      <c r="G989" s="4" t="s">
        <v>100</v>
      </c>
      <c r="H989" s="4"/>
      <c r="I989" s="4"/>
      <c r="J989" s="4" t="s">
        <v>59</v>
      </c>
      <c r="K989" s="4" t="s">
        <v>58</v>
      </c>
      <c r="L989" s="4" t="s">
        <v>97</v>
      </c>
      <c r="M989" s="4" t="s">
        <v>34</v>
      </c>
      <c r="N989" s="4" t="s">
        <v>96</v>
      </c>
      <c r="O989" s="5" t="s">
        <v>68</v>
      </c>
      <c r="P989" s="4" t="s">
        <v>54</v>
      </c>
      <c r="Q989" s="10">
        <v>105223.08</v>
      </c>
      <c r="R989" s="10">
        <v>0</v>
      </c>
      <c r="S989" s="9">
        <f t="shared" si="32"/>
        <v>105223.08</v>
      </c>
      <c r="T989" s="4" t="s">
        <v>53</v>
      </c>
      <c r="U989" s="4" t="s">
        <v>95</v>
      </c>
      <c r="V989" s="4"/>
      <c r="W989" s="4">
        <v>-5</v>
      </c>
      <c r="X989" s="4" t="s">
        <v>94</v>
      </c>
      <c r="Y989" s="4"/>
      <c r="Z989" s="7" t="s">
        <v>14</v>
      </c>
      <c r="AA989" s="36" t="s">
        <v>27</v>
      </c>
      <c r="AB989" s="4" t="s">
        <v>2603</v>
      </c>
      <c r="AC989" s="22">
        <f t="shared" si="31"/>
        <v>41.26395294117647</v>
      </c>
      <c r="AD989" s="23">
        <v>0</v>
      </c>
    </row>
    <row r="990" spans="1:30" x14ac:dyDescent="0.35">
      <c r="A990" s="7">
        <v>1013</v>
      </c>
      <c r="B990" s="6">
        <v>45910</v>
      </c>
      <c r="C990" s="6">
        <v>45910</v>
      </c>
      <c r="D990" s="4" t="s">
        <v>99</v>
      </c>
      <c r="E990" s="4" t="s">
        <v>61</v>
      </c>
      <c r="F990" s="4" t="s">
        <v>98</v>
      </c>
      <c r="G990" s="4" t="s">
        <v>98</v>
      </c>
      <c r="H990" s="4"/>
      <c r="I990" s="4"/>
      <c r="J990" s="4" t="s">
        <v>59</v>
      </c>
      <c r="K990" s="4" t="s">
        <v>58</v>
      </c>
      <c r="L990" s="4" t="s">
        <v>97</v>
      </c>
      <c r="M990" s="4" t="s">
        <v>34</v>
      </c>
      <c r="N990" s="4" t="s">
        <v>96</v>
      </c>
      <c r="O990" s="5" t="s">
        <v>68</v>
      </c>
      <c r="P990" s="4" t="s">
        <v>54</v>
      </c>
      <c r="Q990" s="10">
        <v>84178.47</v>
      </c>
      <c r="R990" s="10">
        <v>0</v>
      </c>
      <c r="S990" s="9">
        <f t="shared" si="32"/>
        <v>84178.47</v>
      </c>
      <c r="T990" s="4" t="s">
        <v>53</v>
      </c>
      <c r="U990" s="4" t="s">
        <v>95</v>
      </c>
      <c r="V990" s="4"/>
      <c r="W990" s="4">
        <v>-4</v>
      </c>
      <c r="X990" s="4" t="s">
        <v>94</v>
      </c>
      <c r="Y990" s="4"/>
      <c r="Z990" s="7" t="s">
        <v>14</v>
      </c>
      <c r="AA990" s="36" t="s">
        <v>27</v>
      </c>
      <c r="AB990" s="4" t="s">
        <v>2603</v>
      </c>
      <c r="AC990" s="22">
        <f t="shared" si="31"/>
        <v>33.011164705882351</v>
      </c>
      <c r="AD990" s="23">
        <v>0</v>
      </c>
    </row>
    <row r="991" spans="1:30" x14ac:dyDescent="0.35">
      <c r="A991" s="7">
        <v>1014</v>
      </c>
      <c r="B991" s="6">
        <v>45911</v>
      </c>
      <c r="C991" s="6">
        <v>45911</v>
      </c>
      <c r="D991" s="4" t="s">
        <v>294</v>
      </c>
      <c r="E991" s="4" t="s">
        <v>61</v>
      </c>
      <c r="F991" s="4" t="s">
        <v>293</v>
      </c>
      <c r="G991" s="4" t="s">
        <v>293</v>
      </c>
      <c r="H991" s="4"/>
      <c r="I991" s="4"/>
      <c r="J991" s="4" t="s">
        <v>59</v>
      </c>
      <c r="K991" s="4" t="s">
        <v>58</v>
      </c>
      <c r="L991" s="4" t="s">
        <v>57</v>
      </c>
      <c r="M991" s="4" t="s">
        <v>32</v>
      </c>
      <c r="N991" s="4" t="s">
        <v>266</v>
      </c>
      <c r="O991" s="5" t="s">
        <v>55</v>
      </c>
      <c r="P991" s="4" t="s">
        <v>54</v>
      </c>
      <c r="Q991" s="10">
        <v>16104.95</v>
      </c>
      <c r="R991" s="10">
        <v>0</v>
      </c>
      <c r="S991" s="9">
        <f t="shared" si="32"/>
        <v>16104.95</v>
      </c>
      <c r="T991" s="4" t="s">
        <v>53</v>
      </c>
      <c r="U991" s="4" t="s">
        <v>117</v>
      </c>
      <c r="V991" s="4"/>
      <c r="W991" s="4">
        <v>-5</v>
      </c>
      <c r="X991" s="4" t="s">
        <v>94</v>
      </c>
      <c r="Y991" s="4"/>
      <c r="Z991" s="7" t="s">
        <v>14</v>
      </c>
      <c r="AA991" s="36" t="s">
        <v>22</v>
      </c>
      <c r="AB991" s="4" t="s">
        <v>2835</v>
      </c>
      <c r="AC991" s="22">
        <f t="shared" si="31"/>
        <v>6.315666666666667</v>
      </c>
      <c r="AD991" s="23">
        <v>0</v>
      </c>
    </row>
    <row r="992" spans="1:30" x14ac:dyDescent="0.35">
      <c r="A992" s="7">
        <v>1015</v>
      </c>
      <c r="B992" s="6">
        <v>45911</v>
      </c>
      <c r="C992" s="6">
        <v>45911</v>
      </c>
      <c r="D992" s="4" t="s">
        <v>292</v>
      </c>
      <c r="E992" s="4" t="s">
        <v>61</v>
      </c>
      <c r="F992" s="4" t="s">
        <v>291</v>
      </c>
      <c r="G992" s="4" t="s">
        <v>291</v>
      </c>
      <c r="H992" s="4"/>
      <c r="I992" s="4"/>
      <c r="J992" s="4" t="s">
        <v>59</v>
      </c>
      <c r="K992" s="4" t="s">
        <v>58</v>
      </c>
      <c r="L992" s="4" t="s">
        <v>57</v>
      </c>
      <c r="M992" s="4" t="s">
        <v>32</v>
      </c>
      <c r="N992" s="4" t="s">
        <v>266</v>
      </c>
      <c r="O992" s="5" t="s">
        <v>55</v>
      </c>
      <c r="P992" s="4" t="s">
        <v>54</v>
      </c>
      <c r="Q992" s="10">
        <v>81950.19</v>
      </c>
      <c r="R992" s="10">
        <v>0</v>
      </c>
      <c r="S992" s="9">
        <f t="shared" si="32"/>
        <v>81950.19</v>
      </c>
      <c r="T992" s="4" t="s">
        <v>53</v>
      </c>
      <c r="U992" s="4" t="s">
        <v>271</v>
      </c>
      <c r="V992" s="4"/>
      <c r="W992" s="4">
        <v>-20</v>
      </c>
      <c r="X992" s="4" t="s">
        <v>124</v>
      </c>
      <c r="Y992" s="4"/>
      <c r="Z992" s="7" t="s">
        <v>14</v>
      </c>
      <c r="AA992" s="36" t="s">
        <v>22</v>
      </c>
      <c r="AB992" s="4" t="s">
        <v>2835</v>
      </c>
      <c r="AC992" s="22">
        <f t="shared" si="31"/>
        <v>32.137329411764703</v>
      </c>
      <c r="AD992" s="23">
        <v>0</v>
      </c>
    </row>
    <row r="993" spans="1:30" hidden="1" x14ac:dyDescent="0.35">
      <c r="A993" s="7">
        <v>1016</v>
      </c>
      <c r="B993" s="6">
        <v>45912</v>
      </c>
      <c r="C993" s="6">
        <v>45912</v>
      </c>
      <c r="D993" s="7" t="s">
        <v>1715</v>
      </c>
      <c r="E993" s="7" t="s">
        <v>61</v>
      </c>
      <c r="F993" s="7" t="s">
        <v>1714</v>
      </c>
      <c r="G993" s="7" t="s">
        <v>1713</v>
      </c>
      <c r="H993" s="7"/>
      <c r="I993" s="7"/>
      <c r="J993" s="7" t="s">
        <v>59</v>
      </c>
      <c r="K993" s="7" t="s">
        <v>58</v>
      </c>
      <c r="L993" s="7" t="s">
        <v>325</v>
      </c>
      <c r="M993" s="7" t="s">
        <v>1764</v>
      </c>
      <c r="N993" s="7" t="s">
        <v>1699</v>
      </c>
      <c r="O993" s="7" t="s">
        <v>1703</v>
      </c>
      <c r="P993" s="7" t="s">
        <v>1712</v>
      </c>
      <c r="Q993" s="9">
        <v>1850000</v>
      </c>
      <c r="R993" s="9">
        <v>0</v>
      </c>
      <c r="S993" s="9">
        <f t="shared" si="32"/>
        <v>1850000</v>
      </c>
      <c r="T993" s="4" t="s">
        <v>53</v>
      </c>
      <c r="U993" s="7" t="s">
        <v>1711</v>
      </c>
      <c r="V993" s="4"/>
      <c r="W993" s="9">
        <v>-1</v>
      </c>
      <c r="X993" s="7" t="s">
        <v>94</v>
      </c>
      <c r="Y993" s="7"/>
      <c r="Z993" s="7" t="s">
        <v>7</v>
      </c>
      <c r="AA993" s="37" t="s">
        <v>8</v>
      </c>
      <c r="AB993" s="16"/>
      <c r="AC993" s="22">
        <f t="shared" si="31"/>
        <v>725.49019607843138</v>
      </c>
      <c r="AD993" s="23">
        <v>0</v>
      </c>
    </row>
    <row r="994" spans="1:30" hidden="1" x14ac:dyDescent="0.35">
      <c r="A994" s="7">
        <v>1017</v>
      </c>
      <c r="B994" s="6">
        <v>45912</v>
      </c>
      <c r="C994" s="6">
        <v>45912</v>
      </c>
      <c r="D994" s="4" t="s">
        <v>237</v>
      </c>
      <c r="E994" s="4" t="s">
        <v>61</v>
      </c>
      <c r="F994" s="4" t="s">
        <v>236</v>
      </c>
      <c r="G994" s="4" t="s">
        <v>236</v>
      </c>
      <c r="H994" s="4"/>
      <c r="I994" s="4"/>
      <c r="J994" s="4" t="s">
        <v>59</v>
      </c>
      <c r="K994" s="4" t="s">
        <v>58</v>
      </c>
      <c r="L994" s="4" t="s">
        <v>57</v>
      </c>
      <c r="M994" s="4" t="s">
        <v>32</v>
      </c>
      <c r="N994" s="4" t="s">
        <v>211</v>
      </c>
      <c r="O994" s="5" t="s">
        <v>210</v>
      </c>
      <c r="P994" s="4" t="s">
        <v>210</v>
      </c>
      <c r="Q994" s="10">
        <v>2288.14</v>
      </c>
      <c r="R994" s="10">
        <v>0</v>
      </c>
      <c r="S994" s="9">
        <f t="shared" si="32"/>
        <v>2288.14</v>
      </c>
      <c r="T994" s="4" t="s">
        <v>53</v>
      </c>
      <c r="U994" s="4" t="s">
        <v>220</v>
      </c>
      <c r="V994" s="4"/>
      <c r="W994" s="4">
        <v>-2</v>
      </c>
      <c r="X994" s="4" t="s">
        <v>94</v>
      </c>
      <c r="Y994" s="4"/>
      <c r="Z994" s="7" t="s">
        <v>14</v>
      </c>
      <c r="AA994" s="36" t="s">
        <v>30</v>
      </c>
      <c r="AB994" s="4"/>
      <c r="AC994" s="22">
        <f t="shared" si="31"/>
        <v>0.89730980392156856</v>
      </c>
      <c r="AD994" s="23">
        <v>0</v>
      </c>
    </row>
    <row r="995" spans="1:30" hidden="1" x14ac:dyDescent="0.35">
      <c r="A995" s="7">
        <v>1018</v>
      </c>
      <c r="B995" s="6">
        <v>45912</v>
      </c>
      <c r="C995" s="6">
        <v>45912</v>
      </c>
      <c r="D995" s="4" t="s">
        <v>235</v>
      </c>
      <c r="E995" s="4" t="s">
        <v>61</v>
      </c>
      <c r="F995" s="4" t="s">
        <v>234</v>
      </c>
      <c r="G995" s="4" t="s">
        <v>234</v>
      </c>
      <c r="H995" s="4"/>
      <c r="I995" s="4"/>
      <c r="J995" s="4" t="s">
        <v>59</v>
      </c>
      <c r="K995" s="4" t="s">
        <v>58</v>
      </c>
      <c r="L995" s="4" t="s">
        <v>57</v>
      </c>
      <c r="M995" s="4" t="s">
        <v>32</v>
      </c>
      <c r="N995" s="4" t="s">
        <v>211</v>
      </c>
      <c r="O995" s="5" t="s">
        <v>210</v>
      </c>
      <c r="P995" s="4" t="s">
        <v>210</v>
      </c>
      <c r="Q995" s="10">
        <v>1556.14</v>
      </c>
      <c r="R995" s="10">
        <v>0</v>
      </c>
      <c r="S995" s="9">
        <f t="shared" si="32"/>
        <v>1556.14</v>
      </c>
      <c r="T995" s="4" t="s">
        <v>53</v>
      </c>
      <c r="U995" s="4" t="s">
        <v>233</v>
      </c>
      <c r="V995" s="4"/>
      <c r="W995" s="4">
        <v>-1</v>
      </c>
      <c r="X995" s="4" t="s">
        <v>94</v>
      </c>
      <c r="Y995" s="4"/>
      <c r="Z995" s="7" t="s">
        <v>14</v>
      </c>
      <c r="AA995" s="36" t="s">
        <v>30</v>
      </c>
      <c r="AB995" s="4"/>
      <c r="AC995" s="22">
        <f t="shared" si="31"/>
        <v>0.61025098039215686</v>
      </c>
      <c r="AD995" s="23">
        <v>0</v>
      </c>
    </row>
    <row r="996" spans="1:30" hidden="1" x14ac:dyDescent="0.35">
      <c r="A996" s="7">
        <v>1019</v>
      </c>
      <c r="B996" s="6">
        <v>45912</v>
      </c>
      <c r="C996" s="6">
        <v>45912</v>
      </c>
      <c r="D996" s="4" t="s">
        <v>232</v>
      </c>
      <c r="E996" s="4" t="s">
        <v>61</v>
      </c>
      <c r="F996" s="4" t="s">
        <v>231</v>
      </c>
      <c r="G996" s="4" t="s">
        <v>231</v>
      </c>
      <c r="H996" s="4"/>
      <c r="I996" s="4"/>
      <c r="J996" s="4" t="s">
        <v>59</v>
      </c>
      <c r="K996" s="4" t="s">
        <v>58</v>
      </c>
      <c r="L996" s="4" t="s">
        <v>57</v>
      </c>
      <c r="M996" s="4" t="s">
        <v>32</v>
      </c>
      <c r="N996" s="4" t="s">
        <v>211</v>
      </c>
      <c r="O996" s="5" t="s">
        <v>210</v>
      </c>
      <c r="P996" s="4" t="s">
        <v>210</v>
      </c>
      <c r="Q996" s="10">
        <v>25000</v>
      </c>
      <c r="R996" s="10">
        <v>0</v>
      </c>
      <c r="S996" s="9">
        <f t="shared" si="32"/>
        <v>25000</v>
      </c>
      <c r="T996" s="4" t="s">
        <v>53</v>
      </c>
      <c r="U996" s="4" t="s">
        <v>226</v>
      </c>
      <c r="V996" s="4"/>
      <c r="W996" s="4">
        <v>-5</v>
      </c>
      <c r="X996" s="4" t="s">
        <v>51</v>
      </c>
      <c r="Y996" s="4"/>
      <c r="Z996" s="7" t="s">
        <v>14</v>
      </c>
      <c r="AA996" s="36" t="s">
        <v>30</v>
      </c>
      <c r="AB996" s="4"/>
      <c r="AC996" s="22">
        <f t="shared" si="31"/>
        <v>9.8039215686274517</v>
      </c>
      <c r="AD996" s="23">
        <v>0</v>
      </c>
    </row>
    <row r="997" spans="1:30" hidden="1" x14ac:dyDescent="0.35">
      <c r="A997" s="7">
        <v>1020</v>
      </c>
      <c r="B997" s="6">
        <v>45912</v>
      </c>
      <c r="C997" s="6">
        <v>45912</v>
      </c>
      <c r="D997" s="4" t="s">
        <v>230</v>
      </c>
      <c r="E997" s="4" t="s">
        <v>61</v>
      </c>
      <c r="F997" s="4" t="s">
        <v>229</v>
      </c>
      <c r="G997" s="4" t="s">
        <v>229</v>
      </c>
      <c r="H997" s="4"/>
      <c r="I997" s="4"/>
      <c r="J997" s="4" t="s">
        <v>59</v>
      </c>
      <c r="K997" s="4" t="s">
        <v>58</v>
      </c>
      <c r="L997" s="4" t="s">
        <v>57</v>
      </c>
      <c r="M997" s="4" t="s">
        <v>32</v>
      </c>
      <c r="N997" s="4" t="s">
        <v>211</v>
      </c>
      <c r="O997" s="5" t="s">
        <v>210</v>
      </c>
      <c r="P997" s="4" t="s">
        <v>210</v>
      </c>
      <c r="Q997" s="10">
        <v>785.6</v>
      </c>
      <c r="R997" s="10">
        <v>0</v>
      </c>
      <c r="S997" s="9">
        <f t="shared" si="32"/>
        <v>785.6</v>
      </c>
      <c r="T997" s="4" t="s">
        <v>53</v>
      </c>
      <c r="U997" s="4" t="s">
        <v>223</v>
      </c>
      <c r="V997" s="4"/>
      <c r="W997" s="4">
        <v>-1</v>
      </c>
      <c r="X997" s="4" t="s">
        <v>94</v>
      </c>
      <c r="Y997" s="4"/>
      <c r="Z997" s="7" t="s">
        <v>14</v>
      </c>
      <c r="AA997" s="36" t="s">
        <v>30</v>
      </c>
      <c r="AB997" s="4"/>
      <c r="AC997" s="22">
        <f t="shared" si="31"/>
        <v>0.30807843137254903</v>
      </c>
      <c r="AD997" s="23">
        <v>0</v>
      </c>
    </row>
    <row r="998" spans="1:30" hidden="1" x14ac:dyDescent="0.35">
      <c r="A998" s="7">
        <v>1021</v>
      </c>
      <c r="B998" s="6">
        <v>45912</v>
      </c>
      <c r="C998" s="6">
        <v>45912</v>
      </c>
      <c r="D998" s="4" t="s">
        <v>228</v>
      </c>
      <c r="E998" s="4" t="s">
        <v>61</v>
      </c>
      <c r="F998" s="4" t="s">
        <v>227</v>
      </c>
      <c r="G998" s="4" t="s">
        <v>227</v>
      </c>
      <c r="H998" s="4"/>
      <c r="I998" s="4"/>
      <c r="J998" s="4" t="s">
        <v>59</v>
      </c>
      <c r="K998" s="4" t="s">
        <v>58</v>
      </c>
      <c r="L998" s="4" t="s">
        <v>57</v>
      </c>
      <c r="M998" s="4" t="s">
        <v>32</v>
      </c>
      <c r="N998" s="4" t="s">
        <v>211</v>
      </c>
      <c r="O998" s="5" t="s">
        <v>210</v>
      </c>
      <c r="P998" s="4" t="s">
        <v>210</v>
      </c>
      <c r="Q998" s="10">
        <v>50000</v>
      </c>
      <c r="R998" s="10">
        <v>0</v>
      </c>
      <c r="S998" s="9">
        <f t="shared" si="32"/>
        <v>50000</v>
      </c>
      <c r="T998" s="4" t="s">
        <v>53</v>
      </c>
      <c r="U998" s="4" t="s">
        <v>226</v>
      </c>
      <c r="V998" s="4"/>
      <c r="W998" s="4">
        <v>-10</v>
      </c>
      <c r="X998" s="4" t="s">
        <v>51</v>
      </c>
      <c r="Y998" s="4"/>
      <c r="Z998" s="7" t="s">
        <v>14</v>
      </c>
      <c r="AA998" s="36" t="s">
        <v>30</v>
      </c>
      <c r="AB998" s="4"/>
      <c r="AC998" s="22">
        <f t="shared" si="31"/>
        <v>19.607843137254903</v>
      </c>
      <c r="AD998" s="23">
        <v>0</v>
      </c>
    </row>
    <row r="999" spans="1:30" hidden="1" x14ac:dyDescent="0.35">
      <c r="A999" s="7">
        <v>1022</v>
      </c>
      <c r="B999" s="6">
        <v>45912</v>
      </c>
      <c r="C999" s="6">
        <v>45912</v>
      </c>
      <c r="D999" s="4" t="s">
        <v>225</v>
      </c>
      <c r="E999" s="4" t="s">
        <v>61</v>
      </c>
      <c r="F999" s="4" t="s">
        <v>224</v>
      </c>
      <c r="G999" s="4" t="s">
        <v>224</v>
      </c>
      <c r="H999" s="4"/>
      <c r="I999" s="4"/>
      <c r="J999" s="4" t="s">
        <v>59</v>
      </c>
      <c r="K999" s="4" t="s">
        <v>58</v>
      </c>
      <c r="L999" s="4" t="s">
        <v>57</v>
      </c>
      <c r="M999" s="4" t="s">
        <v>32</v>
      </c>
      <c r="N999" s="4" t="s">
        <v>211</v>
      </c>
      <c r="O999" s="5" t="s">
        <v>210</v>
      </c>
      <c r="P999" s="4" t="s">
        <v>210</v>
      </c>
      <c r="Q999" s="10">
        <v>785.6</v>
      </c>
      <c r="R999" s="10">
        <v>0</v>
      </c>
      <c r="S999" s="9">
        <f t="shared" si="32"/>
        <v>785.6</v>
      </c>
      <c r="T999" s="4" t="s">
        <v>53</v>
      </c>
      <c r="U999" s="4" t="s">
        <v>223</v>
      </c>
      <c r="V999" s="4"/>
      <c r="W999" s="4">
        <v>-1</v>
      </c>
      <c r="X999" s="4" t="s">
        <v>94</v>
      </c>
      <c r="Y999" s="4"/>
      <c r="Z999" s="7" t="s">
        <v>14</v>
      </c>
      <c r="AA999" s="36" t="s">
        <v>30</v>
      </c>
      <c r="AB999" s="4"/>
      <c r="AC999" s="22">
        <f t="shared" si="31"/>
        <v>0.30807843137254903</v>
      </c>
      <c r="AD999" s="23">
        <v>0</v>
      </c>
    </row>
    <row r="1000" spans="1:30" hidden="1" x14ac:dyDescent="0.35">
      <c r="A1000" s="7">
        <v>1023</v>
      </c>
      <c r="B1000" s="6">
        <v>45912</v>
      </c>
      <c r="C1000" s="6">
        <v>45912</v>
      </c>
      <c r="D1000" s="4" t="s">
        <v>222</v>
      </c>
      <c r="E1000" s="4" t="s">
        <v>61</v>
      </c>
      <c r="F1000" s="4" t="s">
        <v>221</v>
      </c>
      <c r="G1000" s="4" t="s">
        <v>221</v>
      </c>
      <c r="H1000" s="4"/>
      <c r="I1000" s="4"/>
      <c r="J1000" s="4" t="s">
        <v>59</v>
      </c>
      <c r="K1000" s="4" t="s">
        <v>58</v>
      </c>
      <c r="L1000" s="4" t="s">
        <v>57</v>
      </c>
      <c r="M1000" s="4" t="s">
        <v>32</v>
      </c>
      <c r="N1000" s="4" t="s">
        <v>211</v>
      </c>
      <c r="O1000" s="5" t="s">
        <v>210</v>
      </c>
      <c r="P1000" s="4" t="s">
        <v>210</v>
      </c>
      <c r="Q1000" s="10">
        <v>3432.19</v>
      </c>
      <c r="R1000" s="10">
        <v>0</v>
      </c>
      <c r="S1000" s="9">
        <f t="shared" si="32"/>
        <v>3432.19</v>
      </c>
      <c r="T1000" s="4" t="s">
        <v>53</v>
      </c>
      <c r="U1000" s="4" t="s">
        <v>220</v>
      </c>
      <c r="V1000" s="4"/>
      <c r="W1000" s="4">
        <v>-3</v>
      </c>
      <c r="X1000" s="4" t="s">
        <v>94</v>
      </c>
      <c r="Y1000" s="4"/>
      <c r="Z1000" s="7" t="s">
        <v>14</v>
      </c>
      <c r="AA1000" s="36" t="s">
        <v>30</v>
      </c>
      <c r="AB1000" s="4"/>
      <c r="AC1000" s="22">
        <f t="shared" si="31"/>
        <v>1.345956862745098</v>
      </c>
      <c r="AD1000" s="23">
        <v>0</v>
      </c>
    </row>
    <row r="1001" spans="1:30" hidden="1" x14ac:dyDescent="0.35">
      <c r="A1001" s="7">
        <v>1024</v>
      </c>
      <c r="B1001" s="6">
        <v>45912</v>
      </c>
      <c r="C1001" s="6">
        <v>45912</v>
      </c>
      <c r="D1001" s="4" t="s">
        <v>219</v>
      </c>
      <c r="E1001" s="4" t="s">
        <v>61</v>
      </c>
      <c r="F1001" s="4" t="s">
        <v>218</v>
      </c>
      <c r="G1001" s="4" t="s">
        <v>218</v>
      </c>
      <c r="H1001" s="4"/>
      <c r="I1001" s="4"/>
      <c r="J1001" s="4" t="s">
        <v>59</v>
      </c>
      <c r="K1001" s="4" t="s">
        <v>58</v>
      </c>
      <c r="L1001" s="4" t="s">
        <v>57</v>
      </c>
      <c r="M1001" s="4" t="s">
        <v>32</v>
      </c>
      <c r="N1001" s="4" t="s">
        <v>211</v>
      </c>
      <c r="O1001" s="5" t="s">
        <v>210</v>
      </c>
      <c r="P1001" s="4" t="s">
        <v>210</v>
      </c>
      <c r="Q1001" s="10">
        <v>3050.84</v>
      </c>
      <c r="R1001" s="10">
        <v>0</v>
      </c>
      <c r="S1001" s="9">
        <f t="shared" si="32"/>
        <v>3050.84</v>
      </c>
      <c r="T1001" s="4" t="s">
        <v>53</v>
      </c>
      <c r="U1001" s="4" t="s">
        <v>217</v>
      </c>
      <c r="V1001" s="4"/>
      <c r="W1001" s="4">
        <v>-2</v>
      </c>
      <c r="X1001" s="4" t="s">
        <v>205</v>
      </c>
      <c r="Y1001" s="4"/>
      <c r="Z1001" s="7" t="s">
        <v>14</v>
      </c>
      <c r="AA1001" s="36" t="s">
        <v>30</v>
      </c>
      <c r="AB1001" s="4"/>
      <c r="AC1001" s="22">
        <f t="shared" si="31"/>
        <v>1.1964078431372549</v>
      </c>
      <c r="AD1001" s="23">
        <v>0</v>
      </c>
    </row>
    <row r="1002" spans="1:30" hidden="1" x14ac:dyDescent="0.35">
      <c r="A1002" s="7">
        <v>1025</v>
      </c>
      <c r="B1002" s="6">
        <v>45913.371435185189</v>
      </c>
      <c r="C1002" s="6">
        <v>45913</v>
      </c>
      <c r="D1002" s="7" t="s">
        <v>1946</v>
      </c>
      <c r="E1002" s="7" t="s">
        <v>1819</v>
      </c>
      <c r="F1002" s="7" t="s">
        <v>1945</v>
      </c>
      <c r="G1002" s="7" t="s">
        <v>1944</v>
      </c>
      <c r="H1002" s="7"/>
      <c r="I1002" s="7"/>
      <c r="J1002" s="7" t="s">
        <v>1816</v>
      </c>
      <c r="K1002" s="7" t="s">
        <v>1815</v>
      </c>
      <c r="L1002" s="7" t="s">
        <v>1814</v>
      </c>
      <c r="M1002" s="7" t="s">
        <v>28</v>
      </c>
      <c r="N1002" s="7" t="s">
        <v>1813</v>
      </c>
      <c r="O1002" s="7" t="s">
        <v>1704</v>
      </c>
      <c r="P1002" s="7" t="s">
        <v>1703</v>
      </c>
      <c r="Q1002" s="9">
        <v>263000</v>
      </c>
      <c r="R1002" s="9">
        <v>0</v>
      </c>
      <c r="S1002" s="9">
        <f t="shared" si="32"/>
        <v>263000</v>
      </c>
      <c r="T1002" s="4" t="s">
        <v>53</v>
      </c>
      <c r="U1002" s="7"/>
      <c r="V1002" s="7"/>
      <c r="W1002" s="9">
        <v>1</v>
      </c>
      <c r="X1002" s="7"/>
      <c r="Y1002" s="7"/>
      <c r="Z1002" s="7" t="s">
        <v>14</v>
      </c>
      <c r="AA1002" s="36" t="s">
        <v>28</v>
      </c>
      <c r="AB1002" s="4"/>
      <c r="AC1002" s="22">
        <f t="shared" si="31"/>
        <v>103.13725490196079</v>
      </c>
      <c r="AD1002" s="23">
        <v>0</v>
      </c>
    </row>
    <row r="1003" spans="1:30" hidden="1" x14ac:dyDescent="0.35">
      <c r="A1003" s="7">
        <v>1026</v>
      </c>
      <c r="B1003" s="6">
        <v>45915.528645833336</v>
      </c>
      <c r="C1003" s="6">
        <v>45915</v>
      </c>
      <c r="D1003" s="7" t="s">
        <v>1943</v>
      </c>
      <c r="E1003" s="7" t="s">
        <v>1331</v>
      </c>
      <c r="F1003" s="7" t="s">
        <v>1940</v>
      </c>
      <c r="G1003" s="7" t="s">
        <v>1942</v>
      </c>
      <c r="H1003" s="7" t="s">
        <v>1938</v>
      </c>
      <c r="I1003" s="7" t="s">
        <v>1937</v>
      </c>
      <c r="J1003" s="7" t="s">
        <v>1816</v>
      </c>
      <c r="K1003" s="7" t="s">
        <v>1815</v>
      </c>
      <c r="L1003" s="7" t="s">
        <v>1814</v>
      </c>
      <c r="M1003" s="7" t="s">
        <v>28</v>
      </c>
      <c r="N1003" s="7" t="s">
        <v>1813</v>
      </c>
      <c r="O1003" s="7" t="s">
        <v>1704</v>
      </c>
      <c r="P1003" s="7" t="s">
        <v>1703</v>
      </c>
      <c r="Q1003" s="9">
        <v>1260000</v>
      </c>
      <c r="R1003" s="9">
        <v>0</v>
      </c>
      <c r="S1003" s="9">
        <f t="shared" si="32"/>
        <v>1260000</v>
      </c>
      <c r="T1003" s="4" t="s">
        <v>53</v>
      </c>
      <c r="U1003" s="7"/>
      <c r="V1003" s="7"/>
      <c r="W1003" s="9">
        <v>1</v>
      </c>
      <c r="X1003" s="7"/>
      <c r="Y1003" s="7"/>
      <c r="Z1003" s="7" t="s">
        <v>14</v>
      </c>
      <c r="AA1003" s="36" t="s">
        <v>28</v>
      </c>
      <c r="AB1003" s="4"/>
      <c r="AC1003" s="22">
        <f t="shared" ref="AC1003:AC1066" si="33">+S1003/$AC$1</f>
        <v>494.11764705882354</v>
      </c>
      <c r="AD1003" s="23">
        <v>0</v>
      </c>
    </row>
    <row r="1004" spans="1:30" hidden="1" x14ac:dyDescent="0.35">
      <c r="A1004" s="7">
        <v>1027</v>
      </c>
      <c r="B1004" s="6">
        <v>45915.525497685187</v>
      </c>
      <c r="C1004" s="6">
        <v>45915</v>
      </c>
      <c r="D1004" s="7" t="s">
        <v>1941</v>
      </c>
      <c r="E1004" s="7" t="s">
        <v>1331</v>
      </c>
      <c r="F1004" s="7" t="s">
        <v>1940</v>
      </c>
      <c r="G1004" s="7" t="s">
        <v>1939</v>
      </c>
      <c r="H1004" s="7" t="s">
        <v>1938</v>
      </c>
      <c r="I1004" s="7" t="s">
        <v>1937</v>
      </c>
      <c r="J1004" s="7" t="s">
        <v>1816</v>
      </c>
      <c r="K1004" s="7" t="s">
        <v>1815</v>
      </c>
      <c r="L1004" s="7" t="s">
        <v>1814</v>
      </c>
      <c r="M1004" s="7" t="s">
        <v>28</v>
      </c>
      <c r="N1004" s="7" t="s">
        <v>1813</v>
      </c>
      <c r="O1004" s="7" t="s">
        <v>1704</v>
      </c>
      <c r="P1004" s="7" t="s">
        <v>1703</v>
      </c>
      <c r="Q1004" s="9">
        <v>180000</v>
      </c>
      <c r="R1004" s="9">
        <v>0</v>
      </c>
      <c r="S1004" s="9">
        <f t="shared" si="32"/>
        <v>180000</v>
      </c>
      <c r="T1004" s="4" t="s">
        <v>53</v>
      </c>
      <c r="U1004" s="7"/>
      <c r="V1004" s="7"/>
      <c r="W1004" s="9">
        <v>1</v>
      </c>
      <c r="X1004" s="7"/>
      <c r="Y1004" s="7"/>
      <c r="Z1004" s="7" t="s">
        <v>14</v>
      </c>
      <c r="AA1004" s="36" t="s">
        <v>28</v>
      </c>
      <c r="AB1004" s="4"/>
      <c r="AC1004" s="22">
        <f t="shared" si="33"/>
        <v>70.588235294117652</v>
      </c>
      <c r="AD1004" s="23">
        <v>0</v>
      </c>
    </row>
    <row r="1005" spans="1:30" x14ac:dyDescent="0.35">
      <c r="A1005" s="7">
        <v>1028</v>
      </c>
      <c r="B1005" s="6">
        <v>45915.468807870369</v>
      </c>
      <c r="C1005" s="6">
        <v>45915</v>
      </c>
      <c r="D1005" s="7" t="s">
        <v>1936</v>
      </c>
      <c r="E1005" s="7" t="s">
        <v>1331</v>
      </c>
      <c r="F1005" s="7" t="s">
        <v>1933</v>
      </c>
      <c r="G1005" s="7" t="s">
        <v>1935</v>
      </c>
      <c r="H1005" s="7" t="s">
        <v>1931</v>
      </c>
      <c r="I1005" s="7" t="s">
        <v>1930</v>
      </c>
      <c r="J1005" s="7" t="s">
        <v>1816</v>
      </c>
      <c r="K1005" s="7" t="s">
        <v>1815</v>
      </c>
      <c r="L1005" s="7" t="s">
        <v>1915</v>
      </c>
      <c r="M1005" s="7" t="s">
        <v>20</v>
      </c>
      <c r="N1005" s="7" t="s">
        <v>1324</v>
      </c>
      <c r="O1005" s="7" t="s">
        <v>68</v>
      </c>
      <c r="P1005" s="7" t="s">
        <v>68</v>
      </c>
      <c r="Q1005" s="9">
        <v>3154134</v>
      </c>
      <c r="R1005" s="9">
        <v>0</v>
      </c>
      <c r="S1005" s="9">
        <f t="shared" si="32"/>
        <v>3154134</v>
      </c>
      <c r="T1005" s="4" t="s">
        <v>53</v>
      </c>
      <c r="U1005" s="7"/>
      <c r="V1005" s="7"/>
      <c r="W1005" s="9">
        <v>1</v>
      </c>
      <c r="X1005" s="7"/>
      <c r="Y1005" s="7"/>
      <c r="Z1005" s="7" t="s">
        <v>14</v>
      </c>
      <c r="AA1005" s="36" t="s">
        <v>20</v>
      </c>
      <c r="AB1005" s="4" t="s">
        <v>2602</v>
      </c>
      <c r="AC1005" s="22">
        <f t="shared" si="33"/>
        <v>1236.9152941176471</v>
      </c>
      <c r="AD1005" s="23">
        <v>0</v>
      </c>
    </row>
    <row r="1006" spans="1:30" x14ac:dyDescent="0.35">
      <c r="A1006" s="7">
        <v>1029</v>
      </c>
      <c r="B1006" s="6">
        <v>45915.463935185187</v>
      </c>
      <c r="C1006" s="6">
        <v>45915</v>
      </c>
      <c r="D1006" s="7" t="s">
        <v>1934</v>
      </c>
      <c r="E1006" s="7" t="s">
        <v>1331</v>
      </c>
      <c r="F1006" s="7" t="s">
        <v>1933</v>
      </c>
      <c r="G1006" s="7" t="s">
        <v>1932</v>
      </c>
      <c r="H1006" s="7" t="s">
        <v>1931</v>
      </c>
      <c r="I1006" s="7" t="s">
        <v>1930</v>
      </c>
      <c r="J1006" s="7" t="s">
        <v>1816</v>
      </c>
      <c r="K1006" s="7" t="s">
        <v>1815</v>
      </c>
      <c r="L1006" s="7" t="s">
        <v>1915</v>
      </c>
      <c r="M1006" s="7" t="s">
        <v>20</v>
      </c>
      <c r="N1006" s="7" t="s">
        <v>1324</v>
      </c>
      <c r="O1006" s="7" t="s">
        <v>68</v>
      </c>
      <c r="P1006" s="7" t="s">
        <v>68</v>
      </c>
      <c r="Q1006" s="9">
        <v>1242111</v>
      </c>
      <c r="R1006" s="9">
        <v>0</v>
      </c>
      <c r="S1006" s="9">
        <f t="shared" si="32"/>
        <v>1242111</v>
      </c>
      <c r="T1006" s="4" t="s">
        <v>53</v>
      </c>
      <c r="U1006" s="7"/>
      <c r="V1006" s="7"/>
      <c r="W1006" s="9">
        <v>1</v>
      </c>
      <c r="X1006" s="7"/>
      <c r="Y1006" s="7"/>
      <c r="Z1006" s="7" t="s">
        <v>14</v>
      </c>
      <c r="AA1006" s="36" t="s">
        <v>20</v>
      </c>
      <c r="AB1006" s="4" t="s">
        <v>2602</v>
      </c>
      <c r="AC1006" s="22">
        <f t="shared" si="33"/>
        <v>487.10235294117649</v>
      </c>
      <c r="AD1006" s="23">
        <v>0</v>
      </c>
    </row>
    <row r="1007" spans="1:30" x14ac:dyDescent="0.35">
      <c r="A1007" s="7">
        <v>1030</v>
      </c>
      <c r="B1007" s="6">
        <v>45915.463935185187</v>
      </c>
      <c r="C1007" s="6">
        <v>45915</v>
      </c>
      <c r="D1007" s="7" t="s">
        <v>1934</v>
      </c>
      <c r="E1007" s="7" t="s">
        <v>1331</v>
      </c>
      <c r="F1007" s="7" t="s">
        <v>1933</v>
      </c>
      <c r="G1007" s="7" t="s">
        <v>1932</v>
      </c>
      <c r="H1007" s="7" t="s">
        <v>1931</v>
      </c>
      <c r="I1007" s="7" t="s">
        <v>1930</v>
      </c>
      <c r="J1007" s="7" t="s">
        <v>1816</v>
      </c>
      <c r="K1007" s="7" t="s">
        <v>1815</v>
      </c>
      <c r="L1007" s="7" t="s">
        <v>1915</v>
      </c>
      <c r="M1007" s="7" t="s">
        <v>20</v>
      </c>
      <c r="N1007" s="7" t="s">
        <v>1324</v>
      </c>
      <c r="O1007" s="7" t="s">
        <v>68</v>
      </c>
      <c r="P1007" s="7" t="s">
        <v>68</v>
      </c>
      <c r="Q1007" s="9">
        <v>54842.22</v>
      </c>
      <c r="R1007" s="9">
        <v>0</v>
      </c>
      <c r="S1007" s="9">
        <f t="shared" si="32"/>
        <v>54842.22</v>
      </c>
      <c r="T1007" s="4" t="s">
        <v>53</v>
      </c>
      <c r="U1007" s="7"/>
      <c r="V1007" s="7"/>
      <c r="W1007" s="9">
        <v>1</v>
      </c>
      <c r="X1007" s="7"/>
      <c r="Y1007" s="7"/>
      <c r="Z1007" s="7" t="s">
        <v>14</v>
      </c>
      <c r="AA1007" s="36" t="s">
        <v>20</v>
      </c>
      <c r="AB1007" s="4" t="s">
        <v>2602</v>
      </c>
      <c r="AC1007" s="22">
        <f t="shared" si="33"/>
        <v>21.506752941176472</v>
      </c>
      <c r="AD1007" s="23">
        <v>0</v>
      </c>
    </row>
    <row r="1008" spans="1:30" x14ac:dyDescent="0.35">
      <c r="A1008" s="7">
        <v>1031</v>
      </c>
      <c r="B1008" s="6">
        <v>45915.446712962963</v>
      </c>
      <c r="C1008" s="6">
        <v>45915</v>
      </c>
      <c r="D1008" s="7" t="s">
        <v>1929</v>
      </c>
      <c r="E1008" s="7" t="s">
        <v>1331</v>
      </c>
      <c r="F1008" s="7" t="s">
        <v>1499</v>
      </c>
      <c r="G1008" s="7" t="s">
        <v>1928</v>
      </c>
      <c r="H1008" s="7" t="s">
        <v>1927</v>
      </c>
      <c r="I1008" s="7" t="s">
        <v>1926</v>
      </c>
      <c r="J1008" s="7" t="s">
        <v>1816</v>
      </c>
      <c r="K1008" s="7" t="s">
        <v>1815</v>
      </c>
      <c r="L1008" s="7" t="s">
        <v>1915</v>
      </c>
      <c r="M1008" s="7" t="s">
        <v>20</v>
      </c>
      <c r="N1008" s="7" t="s">
        <v>1324</v>
      </c>
      <c r="O1008" s="7" t="s">
        <v>68</v>
      </c>
      <c r="P1008" s="7" t="s">
        <v>68</v>
      </c>
      <c r="Q1008" s="9">
        <v>1391000</v>
      </c>
      <c r="R1008" s="9">
        <v>0</v>
      </c>
      <c r="S1008" s="9">
        <f t="shared" si="32"/>
        <v>1391000</v>
      </c>
      <c r="T1008" s="4" t="s">
        <v>53</v>
      </c>
      <c r="U1008" s="7"/>
      <c r="V1008" s="7"/>
      <c r="W1008" s="9">
        <v>1</v>
      </c>
      <c r="X1008" s="7"/>
      <c r="Y1008" s="7"/>
      <c r="Z1008" s="7" t="s">
        <v>14</v>
      </c>
      <c r="AA1008" s="36" t="s">
        <v>20</v>
      </c>
      <c r="AB1008" s="4" t="s">
        <v>2602</v>
      </c>
      <c r="AC1008" s="22">
        <f t="shared" si="33"/>
        <v>545.49019607843138</v>
      </c>
      <c r="AD1008" s="23">
        <v>0</v>
      </c>
    </row>
    <row r="1009" spans="1:30" x14ac:dyDescent="0.35">
      <c r="A1009" s="7">
        <v>1032</v>
      </c>
      <c r="B1009" s="6">
        <v>45915.568506944444</v>
      </c>
      <c r="C1009" s="6">
        <v>45915</v>
      </c>
      <c r="D1009" s="7" t="s">
        <v>1925</v>
      </c>
      <c r="E1009" s="7" t="s">
        <v>1819</v>
      </c>
      <c r="F1009" s="7" t="s">
        <v>1920</v>
      </c>
      <c r="G1009" s="7" t="s">
        <v>1924</v>
      </c>
      <c r="H1009" s="7"/>
      <c r="I1009" s="7"/>
      <c r="J1009" s="7" t="s">
        <v>1816</v>
      </c>
      <c r="K1009" s="7" t="s">
        <v>1815</v>
      </c>
      <c r="L1009" s="7" t="s">
        <v>1915</v>
      </c>
      <c r="M1009" s="7" t="s">
        <v>20</v>
      </c>
      <c r="N1009" s="7" t="s">
        <v>1324</v>
      </c>
      <c r="O1009" s="7" t="s">
        <v>68</v>
      </c>
      <c r="P1009" s="7" t="s">
        <v>68</v>
      </c>
      <c r="Q1009" s="9">
        <v>150000</v>
      </c>
      <c r="R1009" s="9">
        <v>0</v>
      </c>
      <c r="S1009" s="9">
        <f t="shared" si="32"/>
        <v>150000</v>
      </c>
      <c r="T1009" s="4" t="s">
        <v>53</v>
      </c>
      <c r="U1009" s="7"/>
      <c r="V1009" s="7"/>
      <c r="W1009" s="9">
        <v>1</v>
      </c>
      <c r="X1009" s="7"/>
      <c r="Y1009" s="7"/>
      <c r="Z1009" s="7" t="s">
        <v>14</v>
      </c>
      <c r="AA1009" s="36" t="s">
        <v>20</v>
      </c>
      <c r="AB1009" s="4" t="s">
        <v>2602</v>
      </c>
      <c r="AC1009" s="22">
        <f t="shared" si="33"/>
        <v>58.823529411764703</v>
      </c>
      <c r="AD1009" s="23">
        <v>0</v>
      </c>
    </row>
    <row r="1010" spans="1:30" x14ac:dyDescent="0.35">
      <c r="A1010" s="7">
        <v>1033</v>
      </c>
      <c r="B1010" s="6">
        <v>45915.567314814813</v>
      </c>
      <c r="C1010" s="6">
        <v>45915</v>
      </c>
      <c r="D1010" s="7" t="s">
        <v>1923</v>
      </c>
      <c r="E1010" s="7" t="s">
        <v>1819</v>
      </c>
      <c r="F1010" s="7" t="s">
        <v>1920</v>
      </c>
      <c r="G1010" s="7" t="s">
        <v>1922</v>
      </c>
      <c r="H1010" s="7"/>
      <c r="I1010" s="7"/>
      <c r="J1010" s="7" t="s">
        <v>1816</v>
      </c>
      <c r="K1010" s="7" t="s">
        <v>1815</v>
      </c>
      <c r="L1010" s="7" t="s">
        <v>1915</v>
      </c>
      <c r="M1010" s="7" t="s">
        <v>20</v>
      </c>
      <c r="N1010" s="7" t="s">
        <v>1324</v>
      </c>
      <c r="O1010" s="7" t="s">
        <v>68</v>
      </c>
      <c r="P1010" s="7" t="s">
        <v>68</v>
      </c>
      <c r="Q1010" s="9">
        <v>150000</v>
      </c>
      <c r="R1010" s="9">
        <v>0</v>
      </c>
      <c r="S1010" s="9">
        <f t="shared" si="32"/>
        <v>150000</v>
      </c>
      <c r="T1010" s="4" t="s">
        <v>53</v>
      </c>
      <c r="U1010" s="7"/>
      <c r="V1010" s="7"/>
      <c r="W1010" s="9">
        <v>1</v>
      </c>
      <c r="X1010" s="7"/>
      <c r="Y1010" s="7"/>
      <c r="Z1010" s="7" t="s">
        <v>14</v>
      </c>
      <c r="AA1010" s="36" t="s">
        <v>20</v>
      </c>
      <c r="AB1010" s="4" t="s">
        <v>2602</v>
      </c>
      <c r="AC1010" s="22">
        <f t="shared" si="33"/>
        <v>58.823529411764703</v>
      </c>
      <c r="AD1010" s="23">
        <v>0</v>
      </c>
    </row>
    <row r="1011" spans="1:30" x14ac:dyDescent="0.35">
      <c r="A1011" s="7">
        <v>1034</v>
      </c>
      <c r="B1011" s="6">
        <v>45915.56591435185</v>
      </c>
      <c r="C1011" s="6">
        <v>45915</v>
      </c>
      <c r="D1011" s="7" t="s">
        <v>1921</v>
      </c>
      <c r="E1011" s="7" t="s">
        <v>1819</v>
      </c>
      <c r="F1011" s="7" t="s">
        <v>1920</v>
      </c>
      <c r="G1011" s="7" t="s">
        <v>1919</v>
      </c>
      <c r="H1011" s="7"/>
      <c r="I1011" s="7"/>
      <c r="J1011" s="7" t="s">
        <v>1816</v>
      </c>
      <c r="K1011" s="7" t="s">
        <v>1815</v>
      </c>
      <c r="L1011" s="7" t="s">
        <v>1915</v>
      </c>
      <c r="M1011" s="7" t="s">
        <v>20</v>
      </c>
      <c r="N1011" s="7" t="s">
        <v>1324</v>
      </c>
      <c r="O1011" s="7" t="s">
        <v>68</v>
      </c>
      <c r="P1011" s="7" t="s">
        <v>68</v>
      </c>
      <c r="Q1011" s="9">
        <v>150000</v>
      </c>
      <c r="R1011" s="9">
        <v>0</v>
      </c>
      <c r="S1011" s="9">
        <f t="shared" si="32"/>
        <v>150000</v>
      </c>
      <c r="T1011" s="4" t="s">
        <v>53</v>
      </c>
      <c r="U1011" s="7"/>
      <c r="V1011" s="7"/>
      <c r="W1011" s="9">
        <v>1</v>
      </c>
      <c r="X1011" s="7"/>
      <c r="Y1011" s="7"/>
      <c r="Z1011" s="7" t="s">
        <v>14</v>
      </c>
      <c r="AA1011" s="36" t="s">
        <v>20</v>
      </c>
      <c r="AB1011" s="4" t="s">
        <v>2602</v>
      </c>
      <c r="AC1011" s="22">
        <f t="shared" si="33"/>
        <v>58.823529411764703</v>
      </c>
      <c r="AD1011" s="23">
        <v>0</v>
      </c>
    </row>
    <row r="1012" spans="1:30" x14ac:dyDescent="0.35">
      <c r="A1012" s="7">
        <v>1035</v>
      </c>
      <c r="B1012" s="6">
        <v>45915.564155092594</v>
      </c>
      <c r="C1012" s="6">
        <v>45915</v>
      </c>
      <c r="D1012" s="7" t="s">
        <v>1918</v>
      </c>
      <c r="E1012" s="7" t="s">
        <v>1819</v>
      </c>
      <c r="F1012" s="7" t="s">
        <v>1917</v>
      </c>
      <c r="G1012" s="7" t="s">
        <v>1916</v>
      </c>
      <c r="H1012" s="7"/>
      <c r="I1012" s="7"/>
      <c r="J1012" s="7" t="s">
        <v>1816</v>
      </c>
      <c r="K1012" s="7" t="s">
        <v>1815</v>
      </c>
      <c r="L1012" s="7" t="s">
        <v>1915</v>
      </c>
      <c r="M1012" s="7" t="s">
        <v>20</v>
      </c>
      <c r="N1012" s="7" t="s">
        <v>1324</v>
      </c>
      <c r="O1012" s="7" t="s">
        <v>68</v>
      </c>
      <c r="P1012" s="7" t="s">
        <v>68</v>
      </c>
      <c r="Q1012" s="9">
        <v>150000</v>
      </c>
      <c r="R1012" s="9">
        <v>0</v>
      </c>
      <c r="S1012" s="9">
        <f t="shared" si="32"/>
        <v>150000</v>
      </c>
      <c r="T1012" s="4" t="s">
        <v>53</v>
      </c>
      <c r="U1012" s="7"/>
      <c r="V1012" s="7"/>
      <c r="W1012" s="9">
        <v>1</v>
      </c>
      <c r="X1012" s="7"/>
      <c r="Y1012" s="7"/>
      <c r="Z1012" s="7" t="s">
        <v>14</v>
      </c>
      <c r="AA1012" s="36" t="s">
        <v>20</v>
      </c>
      <c r="AB1012" s="4" t="s">
        <v>2602</v>
      </c>
      <c r="AC1012" s="22">
        <f t="shared" si="33"/>
        <v>58.823529411764703</v>
      </c>
      <c r="AD1012" s="23">
        <v>0</v>
      </c>
    </row>
    <row r="1013" spans="1:30" x14ac:dyDescent="0.35">
      <c r="A1013" s="7">
        <v>1036</v>
      </c>
      <c r="B1013" s="6">
        <v>45915</v>
      </c>
      <c r="C1013" s="6">
        <v>45915</v>
      </c>
      <c r="D1013" s="4" t="s">
        <v>296</v>
      </c>
      <c r="E1013" s="4" t="s">
        <v>61</v>
      </c>
      <c r="F1013" s="4" t="s">
        <v>295</v>
      </c>
      <c r="G1013" s="4" t="s">
        <v>295</v>
      </c>
      <c r="H1013" s="4"/>
      <c r="I1013" s="4"/>
      <c r="J1013" s="4" t="s">
        <v>59</v>
      </c>
      <c r="K1013" s="4" t="s">
        <v>58</v>
      </c>
      <c r="L1013" s="4" t="s">
        <v>57</v>
      </c>
      <c r="M1013" s="4" t="s">
        <v>32</v>
      </c>
      <c r="N1013" s="4" t="s">
        <v>266</v>
      </c>
      <c r="O1013" s="5" t="s">
        <v>55</v>
      </c>
      <c r="P1013" s="4" t="s">
        <v>54</v>
      </c>
      <c r="Q1013" s="10">
        <v>120000</v>
      </c>
      <c r="R1013" s="10">
        <v>0</v>
      </c>
      <c r="S1013" s="9">
        <f t="shared" si="32"/>
        <v>120000</v>
      </c>
      <c r="T1013" s="4" t="s">
        <v>53</v>
      </c>
      <c r="U1013" s="4" t="s">
        <v>121</v>
      </c>
      <c r="V1013" s="4"/>
      <c r="W1013" s="4">
        <v>-8</v>
      </c>
      <c r="X1013" s="4" t="s">
        <v>94</v>
      </c>
      <c r="Y1013" s="4"/>
      <c r="Z1013" s="7" t="s">
        <v>14</v>
      </c>
      <c r="AA1013" s="36" t="s">
        <v>22</v>
      </c>
      <c r="AB1013" s="4" t="s">
        <v>2835</v>
      </c>
      <c r="AC1013" s="22">
        <f t="shared" si="33"/>
        <v>47.058823529411768</v>
      </c>
      <c r="AD1013" s="23">
        <v>0</v>
      </c>
    </row>
    <row r="1014" spans="1:30" hidden="1" x14ac:dyDescent="0.35">
      <c r="A1014" s="7">
        <v>1037</v>
      </c>
      <c r="B1014" s="6">
        <v>45915</v>
      </c>
      <c r="C1014" s="6">
        <v>45915</v>
      </c>
      <c r="D1014" s="4" t="s">
        <v>242</v>
      </c>
      <c r="E1014" s="4" t="s">
        <v>61</v>
      </c>
      <c r="F1014" s="4" t="s">
        <v>241</v>
      </c>
      <c r="G1014" s="4" t="s">
        <v>241</v>
      </c>
      <c r="H1014" s="4"/>
      <c r="I1014" s="4"/>
      <c r="J1014" s="4" t="s">
        <v>59</v>
      </c>
      <c r="K1014" s="4" t="s">
        <v>58</v>
      </c>
      <c r="L1014" s="4" t="s">
        <v>57</v>
      </c>
      <c r="M1014" s="4" t="s">
        <v>32</v>
      </c>
      <c r="N1014" s="4" t="s">
        <v>211</v>
      </c>
      <c r="O1014" s="5" t="s">
        <v>210</v>
      </c>
      <c r="P1014" s="4" t="s">
        <v>210</v>
      </c>
      <c r="Q1014" s="10">
        <v>3112.27</v>
      </c>
      <c r="R1014" s="10">
        <v>0</v>
      </c>
      <c r="S1014" s="9">
        <f t="shared" si="32"/>
        <v>3112.27</v>
      </c>
      <c r="T1014" s="4" t="s">
        <v>53</v>
      </c>
      <c r="U1014" s="4" t="s">
        <v>233</v>
      </c>
      <c r="V1014" s="4"/>
      <c r="W1014" s="4">
        <v>-2</v>
      </c>
      <c r="X1014" s="4" t="s">
        <v>94</v>
      </c>
      <c r="Y1014" s="4"/>
      <c r="Z1014" s="7" t="s">
        <v>14</v>
      </c>
      <c r="AA1014" s="36" t="s">
        <v>30</v>
      </c>
      <c r="AB1014" s="4"/>
      <c r="AC1014" s="22">
        <f t="shared" si="33"/>
        <v>1.2204980392156863</v>
      </c>
      <c r="AD1014" s="23">
        <v>0</v>
      </c>
    </row>
    <row r="1015" spans="1:30" hidden="1" x14ac:dyDescent="0.35">
      <c r="A1015" s="7">
        <v>1038</v>
      </c>
      <c r="B1015" s="6">
        <v>45915</v>
      </c>
      <c r="C1015" s="6">
        <v>45915</v>
      </c>
      <c r="D1015" s="4" t="s">
        <v>240</v>
      </c>
      <c r="E1015" s="4" t="s">
        <v>61</v>
      </c>
      <c r="F1015" s="4" t="s">
        <v>239</v>
      </c>
      <c r="G1015" s="4" t="s">
        <v>239</v>
      </c>
      <c r="H1015" s="4"/>
      <c r="I1015" s="4"/>
      <c r="J1015" s="4" t="s">
        <v>59</v>
      </c>
      <c r="K1015" s="4" t="s">
        <v>58</v>
      </c>
      <c r="L1015" s="4" t="s">
        <v>57</v>
      </c>
      <c r="M1015" s="4" t="s">
        <v>32</v>
      </c>
      <c r="N1015" s="4" t="s">
        <v>211</v>
      </c>
      <c r="O1015" s="5" t="s">
        <v>210</v>
      </c>
      <c r="P1015" s="4" t="s">
        <v>210</v>
      </c>
      <c r="Q1015" s="10">
        <v>12881.36</v>
      </c>
      <c r="R1015" s="10">
        <v>0</v>
      </c>
      <c r="S1015" s="9">
        <f t="shared" si="32"/>
        <v>12881.36</v>
      </c>
      <c r="T1015" s="4" t="s">
        <v>53</v>
      </c>
      <c r="U1015" s="4" t="s">
        <v>238</v>
      </c>
      <c r="V1015" s="4"/>
      <c r="W1015" s="4">
        <v>-4</v>
      </c>
      <c r="X1015" s="4" t="s">
        <v>94</v>
      </c>
      <c r="Y1015" s="4"/>
      <c r="Z1015" s="7" t="s">
        <v>14</v>
      </c>
      <c r="AA1015" s="36" t="s">
        <v>30</v>
      </c>
      <c r="AB1015" s="4"/>
      <c r="AC1015" s="22">
        <f t="shared" si="33"/>
        <v>5.0515137254901967</v>
      </c>
      <c r="AD1015" s="23">
        <v>0</v>
      </c>
    </row>
    <row r="1016" spans="1:30" x14ac:dyDescent="0.35">
      <c r="A1016" s="7">
        <v>1039</v>
      </c>
      <c r="B1016" s="6">
        <v>45915</v>
      </c>
      <c r="C1016" s="6">
        <v>45915</v>
      </c>
      <c r="D1016" s="4" t="s">
        <v>183</v>
      </c>
      <c r="E1016" s="4" t="s">
        <v>61</v>
      </c>
      <c r="F1016" s="4" t="s">
        <v>182</v>
      </c>
      <c r="G1016" s="4" t="s">
        <v>182</v>
      </c>
      <c r="H1016" s="4"/>
      <c r="I1016" s="4"/>
      <c r="J1016" s="4" t="s">
        <v>59</v>
      </c>
      <c r="K1016" s="4" t="s">
        <v>58</v>
      </c>
      <c r="L1016" s="4" t="s">
        <v>57</v>
      </c>
      <c r="M1016" s="4" t="s">
        <v>32</v>
      </c>
      <c r="N1016" s="4" t="s">
        <v>106</v>
      </c>
      <c r="O1016" s="5" t="s">
        <v>105</v>
      </c>
      <c r="P1016" s="4" t="s">
        <v>54</v>
      </c>
      <c r="Q1016" s="10">
        <v>560000</v>
      </c>
      <c r="R1016" s="10">
        <v>0</v>
      </c>
      <c r="S1016" s="9">
        <f t="shared" si="32"/>
        <v>560000</v>
      </c>
      <c r="T1016" s="4" t="s">
        <v>53</v>
      </c>
      <c r="U1016" s="4" t="s">
        <v>148</v>
      </c>
      <c r="V1016" s="4"/>
      <c r="W1016" s="4">
        <v>-80</v>
      </c>
      <c r="X1016" s="4" t="s">
        <v>94</v>
      </c>
      <c r="Y1016" s="4"/>
      <c r="Z1016" s="7" t="s">
        <v>14</v>
      </c>
      <c r="AA1016" s="36" t="s">
        <v>15</v>
      </c>
      <c r="AB1016" s="4" t="s">
        <v>2606</v>
      </c>
      <c r="AC1016" s="22">
        <f t="shared" si="33"/>
        <v>219.60784313725489</v>
      </c>
      <c r="AD1016" s="23">
        <v>0</v>
      </c>
    </row>
    <row r="1017" spans="1:30" x14ac:dyDescent="0.35">
      <c r="A1017" s="7">
        <v>1040</v>
      </c>
      <c r="B1017" s="6">
        <v>45915</v>
      </c>
      <c r="C1017" s="6">
        <v>45915</v>
      </c>
      <c r="D1017" s="4" t="s">
        <v>181</v>
      </c>
      <c r="E1017" s="4" t="s">
        <v>61</v>
      </c>
      <c r="F1017" s="4" t="s">
        <v>180</v>
      </c>
      <c r="G1017" s="4" t="s">
        <v>180</v>
      </c>
      <c r="H1017" s="4"/>
      <c r="I1017" s="4"/>
      <c r="J1017" s="4" t="s">
        <v>59</v>
      </c>
      <c r="K1017" s="4" t="s">
        <v>58</v>
      </c>
      <c r="L1017" s="4" t="s">
        <v>57</v>
      </c>
      <c r="M1017" s="4" t="s">
        <v>32</v>
      </c>
      <c r="N1017" s="4" t="s">
        <v>106</v>
      </c>
      <c r="O1017" s="5" t="s">
        <v>105</v>
      </c>
      <c r="P1017" s="4" t="s">
        <v>54</v>
      </c>
      <c r="Q1017" s="10">
        <v>703389.8</v>
      </c>
      <c r="R1017" s="10">
        <v>0</v>
      </c>
      <c r="S1017" s="9">
        <f t="shared" si="32"/>
        <v>703389.8</v>
      </c>
      <c r="T1017" s="4" t="s">
        <v>53</v>
      </c>
      <c r="U1017" s="4" t="s">
        <v>165</v>
      </c>
      <c r="V1017" s="4"/>
      <c r="W1017" s="4">
        <v>-20</v>
      </c>
      <c r="X1017" s="4" t="s">
        <v>94</v>
      </c>
      <c r="Y1017" s="4"/>
      <c r="Z1017" s="7" t="s">
        <v>14</v>
      </c>
      <c r="AA1017" s="36" t="s">
        <v>15</v>
      </c>
      <c r="AB1017" s="4" t="s">
        <v>2606</v>
      </c>
      <c r="AC1017" s="22">
        <f t="shared" si="33"/>
        <v>275.83913725490197</v>
      </c>
      <c r="AD1017" s="23">
        <v>0</v>
      </c>
    </row>
    <row r="1018" spans="1:30" x14ac:dyDescent="0.35">
      <c r="A1018" s="7">
        <v>1041</v>
      </c>
      <c r="B1018" s="6">
        <v>45916.390266203707</v>
      </c>
      <c r="C1018" s="6">
        <v>45916</v>
      </c>
      <c r="D1018" s="7" t="s">
        <v>1912</v>
      </c>
      <c r="E1018" s="7" t="s">
        <v>1331</v>
      </c>
      <c r="F1018" s="7" t="s">
        <v>1914</v>
      </c>
      <c r="G1018" s="7" t="s">
        <v>1910</v>
      </c>
      <c r="H1018" s="7" t="s">
        <v>1894</v>
      </c>
      <c r="I1018" s="7" t="s">
        <v>1893</v>
      </c>
      <c r="J1018" s="7" t="s">
        <v>1816</v>
      </c>
      <c r="K1018" s="7" t="s">
        <v>1815</v>
      </c>
      <c r="L1018" s="7" t="s">
        <v>1883</v>
      </c>
      <c r="M1018" s="7" t="s">
        <v>17</v>
      </c>
      <c r="N1018" s="7" t="s">
        <v>1504</v>
      </c>
      <c r="O1018" s="7" t="s">
        <v>1065</v>
      </c>
      <c r="P1018" s="7" t="s">
        <v>54</v>
      </c>
      <c r="Q1018" s="9">
        <v>609000</v>
      </c>
      <c r="R1018" s="9">
        <v>0</v>
      </c>
      <c r="S1018" s="9">
        <f t="shared" si="32"/>
        <v>609000</v>
      </c>
      <c r="T1018" s="4" t="s">
        <v>53</v>
      </c>
      <c r="U1018" s="7" t="s">
        <v>1904</v>
      </c>
      <c r="V1018" s="7" t="s">
        <v>1823</v>
      </c>
      <c r="W1018" s="9">
        <v>58</v>
      </c>
      <c r="X1018" s="7" t="s">
        <v>1903</v>
      </c>
      <c r="Y1018" s="7"/>
      <c r="Z1018" s="7" t="s">
        <v>14</v>
      </c>
      <c r="AA1018" s="36" t="s">
        <v>17</v>
      </c>
      <c r="AB1018" s="4" t="s">
        <v>2602</v>
      </c>
      <c r="AC1018" s="22">
        <f t="shared" si="33"/>
        <v>238.8235294117647</v>
      </c>
      <c r="AD1018" s="23">
        <v>0</v>
      </c>
    </row>
    <row r="1019" spans="1:30" x14ac:dyDescent="0.35">
      <c r="A1019" s="7">
        <v>1042</v>
      </c>
      <c r="B1019" s="6">
        <v>45916.390266203707</v>
      </c>
      <c r="C1019" s="6">
        <v>45916</v>
      </c>
      <c r="D1019" s="7" t="s">
        <v>1912</v>
      </c>
      <c r="E1019" s="7" t="s">
        <v>1331</v>
      </c>
      <c r="F1019" s="7" t="s">
        <v>1913</v>
      </c>
      <c r="G1019" s="7" t="s">
        <v>1910</v>
      </c>
      <c r="H1019" s="7" t="s">
        <v>1894</v>
      </c>
      <c r="I1019" s="7" t="s">
        <v>1893</v>
      </c>
      <c r="J1019" s="7" t="s">
        <v>1816</v>
      </c>
      <c r="K1019" s="7" t="s">
        <v>1815</v>
      </c>
      <c r="L1019" s="7" t="s">
        <v>1883</v>
      </c>
      <c r="M1019" s="7" t="s">
        <v>17</v>
      </c>
      <c r="N1019" s="7" t="s">
        <v>1504</v>
      </c>
      <c r="O1019" s="7" t="s">
        <v>1065</v>
      </c>
      <c r="P1019" s="7" t="s">
        <v>54</v>
      </c>
      <c r="Q1019" s="9">
        <v>1740000</v>
      </c>
      <c r="R1019" s="9">
        <v>0</v>
      </c>
      <c r="S1019" s="9">
        <f t="shared" si="32"/>
        <v>1740000</v>
      </c>
      <c r="T1019" s="4" t="s">
        <v>53</v>
      </c>
      <c r="U1019" s="7" t="s">
        <v>1904</v>
      </c>
      <c r="V1019" s="7" t="s">
        <v>1823</v>
      </c>
      <c r="W1019" s="9">
        <v>29</v>
      </c>
      <c r="X1019" s="7" t="s">
        <v>1903</v>
      </c>
      <c r="Y1019" s="7"/>
      <c r="Z1019" s="7" t="s">
        <v>14</v>
      </c>
      <c r="AA1019" s="36" t="s">
        <v>17</v>
      </c>
      <c r="AB1019" s="4" t="s">
        <v>2602</v>
      </c>
      <c r="AC1019" s="22">
        <f t="shared" si="33"/>
        <v>682.35294117647061</v>
      </c>
      <c r="AD1019" s="23">
        <v>0</v>
      </c>
    </row>
    <row r="1020" spans="1:30" x14ac:dyDescent="0.35">
      <c r="A1020" s="7">
        <v>1043</v>
      </c>
      <c r="B1020" s="6">
        <v>45916.390266203707</v>
      </c>
      <c r="C1020" s="6">
        <v>45916</v>
      </c>
      <c r="D1020" s="7" t="s">
        <v>1912</v>
      </c>
      <c r="E1020" s="7" t="s">
        <v>1331</v>
      </c>
      <c r="F1020" s="7" t="s">
        <v>1911</v>
      </c>
      <c r="G1020" s="7" t="s">
        <v>1910</v>
      </c>
      <c r="H1020" s="7" t="s">
        <v>1894</v>
      </c>
      <c r="I1020" s="7" t="s">
        <v>1893</v>
      </c>
      <c r="J1020" s="7" t="s">
        <v>1816</v>
      </c>
      <c r="K1020" s="7" t="s">
        <v>1815</v>
      </c>
      <c r="L1020" s="7" t="s">
        <v>1883</v>
      </c>
      <c r="M1020" s="7" t="s">
        <v>17</v>
      </c>
      <c r="N1020" s="7" t="s">
        <v>1504</v>
      </c>
      <c r="O1020" s="7" t="s">
        <v>1065</v>
      </c>
      <c r="P1020" s="7" t="s">
        <v>54</v>
      </c>
      <c r="Q1020" s="9">
        <v>1740000</v>
      </c>
      <c r="R1020" s="9">
        <v>0</v>
      </c>
      <c r="S1020" s="9">
        <f t="shared" si="32"/>
        <v>1740000</v>
      </c>
      <c r="T1020" s="4" t="s">
        <v>53</v>
      </c>
      <c r="U1020" s="7" t="s">
        <v>1904</v>
      </c>
      <c r="V1020" s="7" t="s">
        <v>1823</v>
      </c>
      <c r="W1020" s="9">
        <v>29</v>
      </c>
      <c r="X1020" s="7" t="s">
        <v>1903</v>
      </c>
      <c r="Y1020" s="7"/>
      <c r="Z1020" s="7" t="s">
        <v>14</v>
      </c>
      <c r="AA1020" s="36" t="s">
        <v>17</v>
      </c>
      <c r="AB1020" s="4" t="s">
        <v>2602</v>
      </c>
      <c r="AC1020" s="22">
        <f t="shared" si="33"/>
        <v>682.35294117647061</v>
      </c>
      <c r="AD1020" s="23">
        <v>0</v>
      </c>
    </row>
    <row r="1021" spans="1:30" x14ac:dyDescent="0.35">
      <c r="A1021" s="7">
        <v>1044</v>
      </c>
      <c r="B1021" s="6">
        <v>45916.351863425924</v>
      </c>
      <c r="C1021" s="6">
        <v>45916</v>
      </c>
      <c r="D1021" s="7" t="s">
        <v>1908</v>
      </c>
      <c r="E1021" s="7" t="s">
        <v>1331</v>
      </c>
      <c r="F1021" s="7" t="s">
        <v>1909</v>
      </c>
      <c r="G1021" s="7" t="s">
        <v>1906</v>
      </c>
      <c r="H1021" s="7" t="s">
        <v>1894</v>
      </c>
      <c r="I1021" s="7" t="s">
        <v>1893</v>
      </c>
      <c r="J1021" s="7" t="s">
        <v>1816</v>
      </c>
      <c r="K1021" s="7" t="s">
        <v>1815</v>
      </c>
      <c r="L1021" s="7" t="s">
        <v>1905</v>
      </c>
      <c r="M1021" s="7" t="s">
        <v>22</v>
      </c>
      <c r="N1021" s="7" t="s">
        <v>266</v>
      </c>
      <c r="O1021" s="7" t="s">
        <v>55</v>
      </c>
      <c r="P1021" s="7" t="s">
        <v>54</v>
      </c>
      <c r="Q1021" s="9">
        <v>1680000</v>
      </c>
      <c r="R1021" s="9">
        <v>0</v>
      </c>
      <c r="S1021" s="9">
        <f t="shared" si="32"/>
        <v>1680000</v>
      </c>
      <c r="T1021" s="4" t="s">
        <v>53</v>
      </c>
      <c r="U1021" s="7" t="s">
        <v>1904</v>
      </c>
      <c r="V1021" s="7" t="s">
        <v>1823</v>
      </c>
      <c r="W1021" s="9">
        <v>28</v>
      </c>
      <c r="X1021" s="7" t="s">
        <v>1903</v>
      </c>
      <c r="Y1021" s="7"/>
      <c r="Z1021" s="7" t="s">
        <v>14</v>
      </c>
      <c r="AA1021" s="36" t="s">
        <v>22</v>
      </c>
      <c r="AB1021" s="4" t="s">
        <v>2835</v>
      </c>
      <c r="AC1021" s="22">
        <f t="shared" si="33"/>
        <v>658.82352941176475</v>
      </c>
      <c r="AD1021" s="23">
        <v>0</v>
      </c>
    </row>
    <row r="1022" spans="1:30" x14ac:dyDescent="0.35">
      <c r="A1022" s="7">
        <v>1045</v>
      </c>
      <c r="B1022" s="6">
        <v>45916.351863425924</v>
      </c>
      <c r="C1022" s="6">
        <v>45916</v>
      </c>
      <c r="D1022" s="7" t="s">
        <v>1908</v>
      </c>
      <c r="E1022" s="7" t="s">
        <v>1331</v>
      </c>
      <c r="F1022" s="7" t="s">
        <v>1907</v>
      </c>
      <c r="G1022" s="7" t="s">
        <v>1906</v>
      </c>
      <c r="H1022" s="7" t="s">
        <v>1894</v>
      </c>
      <c r="I1022" s="7" t="s">
        <v>1893</v>
      </c>
      <c r="J1022" s="7" t="s">
        <v>1816</v>
      </c>
      <c r="K1022" s="7" t="s">
        <v>1815</v>
      </c>
      <c r="L1022" s="7" t="s">
        <v>1905</v>
      </c>
      <c r="M1022" s="7" t="s">
        <v>22</v>
      </c>
      <c r="N1022" s="7" t="s">
        <v>266</v>
      </c>
      <c r="O1022" s="7" t="s">
        <v>55</v>
      </c>
      <c r="P1022" s="7" t="s">
        <v>54</v>
      </c>
      <c r="Q1022" s="9">
        <v>1800000</v>
      </c>
      <c r="R1022" s="9">
        <v>0</v>
      </c>
      <c r="S1022" s="9">
        <f t="shared" si="32"/>
        <v>1800000</v>
      </c>
      <c r="T1022" s="4" t="s">
        <v>53</v>
      </c>
      <c r="U1022" s="7" t="s">
        <v>1904</v>
      </c>
      <c r="V1022" s="7" t="s">
        <v>1823</v>
      </c>
      <c r="W1022" s="9">
        <v>30</v>
      </c>
      <c r="X1022" s="7" t="s">
        <v>1903</v>
      </c>
      <c r="Y1022" s="7"/>
      <c r="Z1022" s="7" t="s">
        <v>14</v>
      </c>
      <c r="AA1022" s="36" t="s">
        <v>22</v>
      </c>
      <c r="AB1022" s="4" t="s">
        <v>2835</v>
      </c>
      <c r="AC1022" s="22">
        <f t="shared" si="33"/>
        <v>705.88235294117646</v>
      </c>
      <c r="AD1022" s="23">
        <v>0</v>
      </c>
    </row>
    <row r="1023" spans="1:30" hidden="1" x14ac:dyDescent="0.35">
      <c r="A1023" s="7">
        <v>1046</v>
      </c>
      <c r="B1023" s="6">
        <v>45916</v>
      </c>
      <c r="C1023" s="6">
        <v>45916</v>
      </c>
      <c r="D1023" s="7" t="s">
        <v>1710</v>
      </c>
      <c r="E1023" s="7" t="s">
        <v>61</v>
      </c>
      <c r="F1023" s="7" t="s">
        <v>1709</v>
      </c>
      <c r="G1023" s="7" t="s">
        <v>1709</v>
      </c>
      <c r="H1023" s="7"/>
      <c r="I1023" s="7"/>
      <c r="J1023" s="7" t="s">
        <v>59</v>
      </c>
      <c r="K1023" s="7" t="s">
        <v>58</v>
      </c>
      <c r="L1023" s="7" t="s">
        <v>325</v>
      </c>
      <c r="M1023" s="7" t="s">
        <v>1764</v>
      </c>
      <c r="N1023" s="7" t="s">
        <v>118</v>
      </c>
      <c r="O1023" s="7" t="s">
        <v>1065</v>
      </c>
      <c r="P1023" s="7" t="s">
        <v>196</v>
      </c>
      <c r="Q1023" s="9">
        <v>2890000</v>
      </c>
      <c r="R1023" s="9">
        <v>0</v>
      </c>
      <c r="S1023" s="9">
        <f t="shared" si="32"/>
        <v>2890000</v>
      </c>
      <c r="T1023" s="4" t="s">
        <v>53</v>
      </c>
      <c r="U1023" s="7" t="s">
        <v>1708</v>
      </c>
      <c r="V1023" s="4"/>
      <c r="W1023" s="9">
        <v>-1</v>
      </c>
      <c r="X1023" s="7" t="s">
        <v>94</v>
      </c>
      <c r="Y1023" s="7"/>
      <c r="Z1023" s="7" t="s">
        <v>7</v>
      </c>
      <c r="AA1023" s="37" t="s">
        <v>8</v>
      </c>
      <c r="AB1023" s="16"/>
      <c r="AC1023" s="22">
        <f t="shared" si="33"/>
        <v>1133.3333333333333</v>
      </c>
      <c r="AD1023" s="23">
        <v>0</v>
      </c>
    </row>
    <row r="1024" spans="1:30" x14ac:dyDescent="0.35">
      <c r="A1024" s="7">
        <v>1047</v>
      </c>
      <c r="B1024" s="6">
        <v>45916</v>
      </c>
      <c r="C1024" s="6">
        <v>45916</v>
      </c>
      <c r="D1024" s="4" t="s">
        <v>302</v>
      </c>
      <c r="E1024" s="4" t="s">
        <v>61</v>
      </c>
      <c r="F1024" s="4" t="s">
        <v>301</v>
      </c>
      <c r="G1024" s="4" t="s">
        <v>301</v>
      </c>
      <c r="H1024" s="4"/>
      <c r="I1024" s="4"/>
      <c r="J1024" s="4" t="s">
        <v>59</v>
      </c>
      <c r="K1024" s="4" t="s">
        <v>58</v>
      </c>
      <c r="L1024" s="4" t="s">
        <v>57</v>
      </c>
      <c r="M1024" s="4" t="s">
        <v>32</v>
      </c>
      <c r="N1024" s="4" t="s">
        <v>266</v>
      </c>
      <c r="O1024" s="5" t="s">
        <v>55</v>
      </c>
      <c r="P1024" s="4" t="s">
        <v>54</v>
      </c>
      <c r="Q1024" s="10">
        <v>120000</v>
      </c>
      <c r="R1024" s="10">
        <v>0</v>
      </c>
      <c r="S1024" s="9">
        <f t="shared" si="32"/>
        <v>120000</v>
      </c>
      <c r="T1024" s="4" t="s">
        <v>53</v>
      </c>
      <c r="U1024" s="4" t="s">
        <v>121</v>
      </c>
      <c r="V1024" s="4"/>
      <c r="W1024" s="4">
        <v>-8</v>
      </c>
      <c r="X1024" s="4" t="s">
        <v>94</v>
      </c>
      <c r="Y1024" s="4"/>
      <c r="Z1024" s="7" t="s">
        <v>14</v>
      </c>
      <c r="AA1024" s="36" t="s">
        <v>22</v>
      </c>
      <c r="AB1024" s="4" t="s">
        <v>2835</v>
      </c>
      <c r="AC1024" s="22">
        <f t="shared" si="33"/>
        <v>47.058823529411768</v>
      </c>
      <c r="AD1024" s="23">
        <v>0</v>
      </c>
    </row>
    <row r="1025" spans="1:30" x14ac:dyDescent="0.35">
      <c r="A1025" s="7">
        <v>1048</v>
      </c>
      <c r="B1025" s="6">
        <v>45916</v>
      </c>
      <c r="C1025" s="6">
        <v>45916</v>
      </c>
      <c r="D1025" s="4" t="s">
        <v>300</v>
      </c>
      <c r="E1025" s="4" t="s">
        <v>61</v>
      </c>
      <c r="F1025" s="4" t="s">
        <v>299</v>
      </c>
      <c r="G1025" s="4" t="s">
        <v>299</v>
      </c>
      <c r="H1025" s="4"/>
      <c r="I1025" s="4"/>
      <c r="J1025" s="4" t="s">
        <v>59</v>
      </c>
      <c r="K1025" s="4" t="s">
        <v>58</v>
      </c>
      <c r="L1025" s="4" t="s">
        <v>57</v>
      </c>
      <c r="M1025" s="4" t="s">
        <v>32</v>
      </c>
      <c r="N1025" s="4" t="s">
        <v>266</v>
      </c>
      <c r="O1025" s="5" t="s">
        <v>55</v>
      </c>
      <c r="P1025" s="4" t="s">
        <v>54</v>
      </c>
      <c r="Q1025" s="10">
        <v>96000</v>
      </c>
      <c r="R1025" s="10">
        <v>0</v>
      </c>
      <c r="S1025" s="9">
        <f t="shared" si="32"/>
        <v>96000</v>
      </c>
      <c r="T1025" s="4" t="s">
        <v>53</v>
      </c>
      <c r="U1025" s="4" t="s">
        <v>282</v>
      </c>
      <c r="V1025" s="4"/>
      <c r="W1025" s="4">
        <v>-2</v>
      </c>
      <c r="X1025" s="4" t="s">
        <v>94</v>
      </c>
      <c r="Y1025" s="4"/>
      <c r="Z1025" s="7" t="s">
        <v>14</v>
      </c>
      <c r="AA1025" s="36" t="s">
        <v>22</v>
      </c>
      <c r="AB1025" s="4" t="s">
        <v>2835</v>
      </c>
      <c r="AC1025" s="22">
        <f t="shared" si="33"/>
        <v>37.647058823529413</v>
      </c>
      <c r="AD1025" s="23">
        <v>0</v>
      </c>
    </row>
    <row r="1026" spans="1:30" x14ac:dyDescent="0.35">
      <c r="A1026" s="7">
        <v>1049</v>
      </c>
      <c r="B1026" s="6">
        <v>45916</v>
      </c>
      <c r="C1026" s="6">
        <v>45916</v>
      </c>
      <c r="D1026" s="4" t="s">
        <v>298</v>
      </c>
      <c r="E1026" s="4" t="s">
        <v>61</v>
      </c>
      <c r="F1026" s="4" t="s">
        <v>297</v>
      </c>
      <c r="G1026" s="4" t="s">
        <v>297</v>
      </c>
      <c r="H1026" s="4"/>
      <c r="I1026" s="4"/>
      <c r="J1026" s="4" t="s">
        <v>59</v>
      </c>
      <c r="K1026" s="4" t="s">
        <v>58</v>
      </c>
      <c r="L1026" s="4" t="s">
        <v>57</v>
      </c>
      <c r="M1026" s="4" t="s">
        <v>32</v>
      </c>
      <c r="N1026" s="4" t="s">
        <v>266</v>
      </c>
      <c r="O1026" s="5" t="s">
        <v>55</v>
      </c>
      <c r="P1026" s="4" t="s">
        <v>54</v>
      </c>
      <c r="Q1026" s="10">
        <v>81950.19</v>
      </c>
      <c r="R1026" s="10">
        <v>0</v>
      </c>
      <c r="S1026" s="9">
        <f t="shared" si="32"/>
        <v>81950.19</v>
      </c>
      <c r="T1026" s="4" t="s">
        <v>53</v>
      </c>
      <c r="U1026" s="4" t="s">
        <v>271</v>
      </c>
      <c r="V1026" s="4"/>
      <c r="W1026" s="4">
        <v>-20</v>
      </c>
      <c r="X1026" s="4" t="s">
        <v>124</v>
      </c>
      <c r="Y1026" s="4"/>
      <c r="Z1026" s="7" t="s">
        <v>14</v>
      </c>
      <c r="AA1026" s="36" t="s">
        <v>22</v>
      </c>
      <c r="AB1026" s="4" t="s">
        <v>2835</v>
      </c>
      <c r="AC1026" s="22">
        <f t="shared" si="33"/>
        <v>32.137329411764703</v>
      </c>
      <c r="AD1026" s="23">
        <v>0</v>
      </c>
    </row>
    <row r="1027" spans="1:30" hidden="1" x14ac:dyDescent="0.35">
      <c r="A1027" s="7">
        <v>1050</v>
      </c>
      <c r="B1027" s="6">
        <v>45917</v>
      </c>
      <c r="C1027" s="6">
        <v>45917</v>
      </c>
      <c r="D1027" s="4" t="s">
        <v>244</v>
      </c>
      <c r="E1027" s="4" t="s">
        <v>61</v>
      </c>
      <c r="F1027" s="4" t="s">
        <v>243</v>
      </c>
      <c r="G1027" s="4" t="s">
        <v>243</v>
      </c>
      <c r="H1027" s="4"/>
      <c r="I1027" s="4"/>
      <c r="J1027" s="4" t="s">
        <v>59</v>
      </c>
      <c r="K1027" s="4" t="s">
        <v>58</v>
      </c>
      <c r="L1027" s="4" t="s">
        <v>57</v>
      </c>
      <c r="M1027" s="4" t="s">
        <v>32</v>
      </c>
      <c r="N1027" s="4" t="s">
        <v>211</v>
      </c>
      <c r="O1027" s="5" t="s">
        <v>210</v>
      </c>
      <c r="P1027" s="4" t="s">
        <v>210</v>
      </c>
      <c r="Q1027" s="10">
        <v>25000</v>
      </c>
      <c r="R1027" s="10">
        <v>0</v>
      </c>
      <c r="S1027" s="9">
        <f t="shared" ref="S1027:S1090" si="34">+Q1027-R1027</f>
        <v>25000</v>
      </c>
      <c r="T1027" s="4" t="s">
        <v>53</v>
      </c>
      <c r="U1027" s="4" t="s">
        <v>226</v>
      </c>
      <c r="V1027" s="4"/>
      <c r="W1027" s="4">
        <v>-5</v>
      </c>
      <c r="X1027" s="4" t="s">
        <v>51</v>
      </c>
      <c r="Y1027" s="4"/>
      <c r="Z1027" s="7" t="s">
        <v>14</v>
      </c>
      <c r="AA1027" s="36" t="s">
        <v>30</v>
      </c>
      <c r="AB1027" s="4"/>
      <c r="AC1027" s="22">
        <f t="shared" si="33"/>
        <v>9.8039215686274517</v>
      </c>
      <c r="AD1027" s="23">
        <v>0</v>
      </c>
    </row>
    <row r="1028" spans="1:30" x14ac:dyDescent="0.35">
      <c r="A1028" s="7">
        <v>1051</v>
      </c>
      <c r="B1028" s="6">
        <v>45917</v>
      </c>
      <c r="C1028" s="6">
        <v>45917</v>
      </c>
      <c r="D1028" s="4" t="s">
        <v>186</v>
      </c>
      <c r="E1028" s="4" t="s">
        <v>61</v>
      </c>
      <c r="F1028" s="4" t="s">
        <v>185</v>
      </c>
      <c r="G1028" s="4" t="s">
        <v>185</v>
      </c>
      <c r="H1028" s="4"/>
      <c r="I1028" s="4"/>
      <c r="J1028" s="4" t="s">
        <v>59</v>
      </c>
      <c r="K1028" s="4" t="s">
        <v>58</v>
      </c>
      <c r="L1028" s="4" t="s">
        <v>57</v>
      </c>
      <c r="M1028" s="4" t="s">
        <v>32</v>
      </c>
      <c r="N1028" s="4" t="s">
        <v>106</v>
      </c>
      <c r="O1028" s="5" t="s">
        <v>105</v>
      </c>
      <c r="P1028" s="4" t="s">
        <v>54</v>
      </c>
      <c r="Q1028" s="10">
        <v>12753000</v>
      </c>
      <c r="R1028" s="10">
        <v>0</v>
      </c>
      <c r="S1028" s="9">
        <f t="shared" si="34"/>
        <v>12753000</v>
      </c>
      <c r="T1028" s="4" t="s">
        <v>53</v>
      </c>
      <c r="U1028" s="4" t="s">
        <v>184</v>
      </c>
      <c r="V1028" s="4"/>
      <c r="W1028" s="4">
        <v>-255060</v>
      </c>
      <c r="X1028" s="4" t="s">
        <v>124</v>
      </c>
      <c r="Y1028" s="4"/>
      <c r="Z1028" s="7" t="s">
        <v>14</v>
      </c>
      <c r="AA1028" s="36" t="s">
        <v>15</v>
      </c>
      <c r="AB1028" s="4" t="s">
        <v>2606</v>
      </c>
      <c r="AC1028" s="22">
        <f t="shared" si="33"/>
        <v>5001.1764705882351</v>
      </c>
      <c r="AD1028" s="23">
        <v>0</v>
      </c>
    </row>
    <row r="1029" spans="1:30" x14ac:dyDescent="0.35">
      <c r="A1029" s="7">
        <v>1052</v>
      </c>
      <c r="B1029" s="6">
        <v>45918.610706018517</v>
      </c>
      <c r="C1029" s="6">
        <v>45918</v>
      </c>
      <c r="D1029" s="7" t="s">
        <v>1902</v>
      </c>
      <c r="E1029" s="7" t="s">
        <v>61</v>
      </c>
      <c r="F1029" s="7" t="s">
        <v>1901</v>
      </c>
      <c r="G1029" s="7" t="s">
        <v>1901</v>
      </c>
      <c r="H1029" s="7"/>
      <c r="I1029" s="7"/>
      <c r="J1029" s="7" t="s">
        <v>1816</v>
      </c>
      <c r="K1029" s="7" t="s">
        <v>1815</v>
      </c>
      <c r="L1029" s="7" t="s">
        <v>1883</v>
      </c>
      <c r="M1029" s="7" t="s">
        <v>17</v>
      </c>
      <c r="N1029" s="7" t="s">
        <v>118</v>
      </c>
      <c r="O1029" s="7" t="s">
        <v>1900</v>
      </c>
      <c r="P1029" s="7" t="s">
        <v>1775</v>
      </c>
      <c r="Q1029" s="9">
        <v>991000</v>
      </c>
      <c r="R1029" s="9">
        <v>0</v>
      </c>
      <c r="S1029" s="9">
        <f t="shared" si="34"/>
        <v>991000</v>
      </c>
      <c r="T1029" s="4" t="s">
        <v>53</v>
      </c>
      <c r="U1029" s="7" t="s">
        <v>1899</v>
      </c>
      <c r="V1029" s="7" t="s">
        <v>1898</v>
      </c>
      <c r="W1029" s="9">
        <v>-5</v>
      </c>
      <c r="X1029" s="7" t="s">
        <v>94</v>
      </c>
      <c r="Y1029" s="7"/>
      <c r="Z1029" s="7" t="s">
        <v>14</v>
      </c>
      <c r="AA1029" s="36" t="s">
        <v>17</v>
      </c>
      <c r="AB1029" s="4" t="s">
        <v>2602</v>
      </c>
      <c r="AC1029" s="22">
        <f t="shared" si="33"/>
        <v>388.62745098039215</v>
      </c>
      <c r="AD1029" s="23">
        <v>0</v>
      </c>
    </row>
    <row r="1030" spans="1:30" x14ac:dyDescent="0.35">
      <c r="A1030" s="7">
        <v>1053</v>
      </c>
      <c r="B1030" s="6">
        <v>45918</v>
      </c>
      <c r="C1030" s="6">
        <v>45918</v>
      </c>
      <c r="D1030" s="4" t="s">
        <v>306</v>
      </c>
      <c r="E1030" s="4" t="s">
        <v>61</v>
      </c>
      <c r="F1030" s="4" t="s">
        <v>305</v>
      </c>
      <c r="G1030" s="4" t="s">
        <v>305</v>
      </c>
      <c r="H1030" s="4"/>
      <c r="I1030" s="4"/>
      <c r="J1030" s="4" t="s">
        <v>59</v>
      </c>
      <c r="K1030" s="4" t="s">
        <v>58</v>
      </c>
      <c r="L1030" s="4" t="s">
        <v>57</v>
      </c>
      <c r="M1030" s="4" t="s">
        <v>32</v>
      </c>
      <c r="N1030" s="4" t="s">
        <v>266</v>
      </c>
      <c r="O1030" s="5" t="s">
        <v>55</v>
      </c>
      <c r="P1030" s="4" t="s">
        <v>54</v>
      </c>
      <c r="Q1030" s="10">
        <v>81950.19</v>
      </c>
      <c r="R1030" s="10">
        <v>0</v>
      </c>
      <c r="S1030" s="9">
        <f t="shared" si="34"/>
        <v>81950.19</v>
      </c>
      <c r="T1030" s="4" t="s">
        <v>53</v>
      </c>
      <c r="U1030" s="4" t="s">
        <v>271</v>
      </c>
      <c r="V1030" s="4"/>
      <c r="W1030" s="4">
        <v>-20</v>
      </c>
      <c r="X1030" s="4" t="s">
        <v>124</v>
      </c>
      <c r="Y1030" s="4"/>
      <c r="Z1030" s="7" t="s">
        <v>14</v>
      </c>
      <c r="AA1030" s="36" t="s">
        <v>22</v>
      </c>
      <c r="AB1030" s="4" t="s">
        <v>2835</v>
      </c>
      <c r="AC1030" s="22">
        <f t="shared" si="33"/>
        <v>32.137329411764703</v>
      </c>
      <c r="AD1030" s="23">
        <v>0</v>
      </c>
    </row>
    <row r="1031" spans="1:30" x14ac:dyDescent="0.35">
      <c r="A1031" s="7">
        <v>1054</v>
      </c>
      <c r="B1031" s="6">
        <v>45918</v>
      </c>
      <c r="C1031" s="6">
        <v>45918</v>
      </c>
      <c r="D1031" s="4" t="s">
        <v>304</v>
      </c>
      <c r="E1031" s="4" t="s">
        <v>61</v>
      </c>
      <c r="F1031" s="4" t="s">
        <v>303</v>
      </c>
      <c r="G1031" s="4" t="s">
        <v>303</v>
      </c>
      <c r="H1031" s="4"/>
      <c r="I1031" s="4"/>
      <c r="J1031" s="4" t="s">
        <v>59</v>
      </c>
      <c r="K1031" s="4" t="s">
        <v>58</v>
      </c>
      <c r="L1031" s="4" t="s">
        <v>57</v>
      </c>
      <c r="M1031" s="4" t="s">
        <v>32</v>
      </c>
      <c r="N1031" s="4" t="s">
        <v>266</v>
      </c>
      <c r="O1031" s="5" t="s">
        <v>55</v>
      </c>
      <c r="P1031" s="4" t="s">
        <v>54</v>
      </c>
      <c r="Q1031" s="10">
        <v>19325.919999999998</v>
      </c>
      <c r="R1031" s="10">
        <v>0</v>
      </c>
      <c r="S1031" s="9">
        <f t="shared" si="34"/>
        <v>19325.919999999998</v>
      </c>
      <c r="T1031" s="4" t="s">
        <v>53</v>
      </c>
      <c r="U1031" s="4" t="s">
        <v>117</v>
      </c>
      <c r="V1031" s="4"/>
      <c r="W1031" s="4">
        <v>-6</v>
      </c>
      <c r="X1031" s="4" t="s">
        <v>94</v>
      </c>
      <c r="Y1031" s="4"/>
      <c r="Z1031" s="7" t="s">
        <v>14</v>
      </c>
      <c r="AA1031" s="36" t="s">
        <v>22</v>
      </c>
      <c r="AB1031" s="4" t="s">
        <v>2835</v>
      </c>
      <c r="AC1031" s="22">
        <f t="shared" si="33"/>
        <v>7.5787921568627441</v>
      </c>
      <c r="AD1031" s="23">
        <v>0</v>
      </c>
    </row>
    <row r="1032" spans="1:30" hidden="1" x14ac:dyDescent="0.35">
      <c r="A1032" s="7">
        <v>1055</v>
      </c>
      <c r="B1032" s="6">
        <v>45918</v>
      </c>
      <c r="C1032" s="6">
        <v>45918</v>
      </c>
      <c r="D1032" s="4" t="s">
        <v>249</v>
      </c>
      <c r="E1032" s="4" t="s">
        <v>61</v>
      </c>
      <c r="F1032" s="4" t="s">
        <v>248</v>
      </c>
      <c r="G1032" s="4" t="s">
        <v>248</v>
      </c>
      <c r="H1032" s="4"/>
      <c r="I1032" s="4"/>
      <c r="J1032" s="4" t="s">
        <v>59</v>
      </c>
      <c r="K1032" s="4" t="s">
        <v>58</v>
      </c>
      <c r="L1032" s="4" t="s">
        <v>57</v>
      </c>
      <c r="M1032" s="4" t="s">
        <v>32</v>
      </c>
      <c r="N1032" s="4" t="s">
        <v>211</v>
      </c>
      <c r="O1032" s="5" t="s">
        <v>210</v>
      </c>
      <c r="P1032" s="4" t="s">
        <v>210</v>
      </c>
      <c r="Q1032" s="10">
        <v>6440.68</v>
      </c>
      <c r="R1032" s="10">
        <v>0</v>
      </c>
      <c r="S1032" s="9">
        <f t="shared" si="34"/>
        <v>6440.68</v>
      </c>
      <c r="T1032" s="4" t="s">
        <v>53</v>
      </c>
      <c r="U1032" s="4" t="s">
        <v>238</v>
      </c>
      <c r="V1032" s="4"/>
      <c r="W1032" s="4">
        <v>-2</v>
      </c>
      <c r="X1032" s="4" t="s">
        <v>94</v>
      </c>
      <c r="Y1032" s="4"/>
      <c r="Z1032" s="7" t="s">
        <v>14</v>
      </c>
      <c r="AA1032" s="36" t="s">
        <v>30</v>
      </c>
      <c r="AB1032" s="4"/>
      <c r="AC1032" s="22">
        <f t="shared" si="33"/>
        <v>2.5257568627450984</v>
      </c>
      <c r="AD1032" s="23">
        <v>0</v>
      </c>
    </row>
    <row r="1033" spans="1:30" hidden="1" x14ac:dyDescent="0.35">
      <c r="A1033" s="7">
        <v>1056</v>
      </c>
      <c r="B1033" s="6">
        <v>45918</v>
      </c>
      <c r="C1033" s="6">
        <v>45918</v>
      </c>
      <c r="D1033" s="4" t="s">
        <v>247</v>
      </c>
      <c r="E1033" s="4" t="s">
        <v>61</v>
      </c>
      <c r="F1033" s="4" t="s">
        <v>246</v>
      </c>
      <c r="G1033" s="4" t="s">
        <v>246</v>
      </c>
      <c r="H1033" s="4"/>
      <c r="I1033" s="4"/>
      <c r="J1033" s="4" t="s">
        <v>59</v>
      </c>
      <c r="K1033" s="4" t="s">
        <v>58</v>
      </c>
      <c r="L1033" s="4" t="s">
        <v>57</v>
      </c>
      <c r="M1033" s="4" t="s">
        <v>32</v>
      </c>
      <c r="N1033" s="4" t="s">
        <v>211</v>
      </c>
      <c r="O1033" s="5" t="s">
        <v>210</v>
      </c>
      <c r="P1033" s="4" t="s">
        <v>210</v>
      </c>
      <c r="Q1033" s="10">
        <v>1500000</v>
      </c>
      <c r="R1033" s="10">
        <v>0</v>
      </c>
      <c r="S1033" s="9">
        <f t="shared" si="34"/>
        <v>1500000</v>
      </c>
      <c r="T1033" s="4" t="s">
        <v>53</v>
      </c>
      <c r="U1033" s="4" t="s">
        <v>245</v>
      </c>
      <c r="V1033" s="4"/>
      <c r="W1033" s="4">
        <v>-30</v>
      </c>
      <c r="X1033" s="4" t="s">
        <v>94</v>
      </c>
      <c r="Y1033" s="4"/>
      <c r="Z1033" s="7" t="s">
        <v>14</v>
      </c>
      <c r="AA1033" s="36" t="s">
        <v>30</v>
      </c>
      <c r="AB1033" s="4"/>
      <c r="AC1033" s="22">
        <f t="shared" si="33"/>
        <v>588.23529411764707</v>
      </c>
      <c r="AD1033" s="23">
        <v>0</v>
      </c>
    </row>
    <row r="1034" spans="1:30" x14ac:dyDescent="0.35">
      <c r="A1034" s="7">
        <v>1057</v>
      </c>
      <c r="B1034" s="6">
        <v>45918</v>
      </c>
      <c r="C1034" s="6">
        <v>45918</v>
      </c>
      <c r="D1034" s="4" t="s">
        <v>192</v>
      </c>
      <c r="E1034" s="4" t="s">
        <v>61</v>
      </c>
      <c r="F1034" s="4" t="s">
        <v>191</v>
      </c>
      <c r="G1034" s="4" t="s">
        <v>191</v>
      </c>
      <c r="H1034" s="4"/>
      <c r="I1034" s="4"/>
      <c r="J1034" s="4" t="s">
        <v>59</v>
      </c>
      <c r="K1034" s="4" t="s">
        <v>58</v>
      </c>
      <c r="L1034" s="4" t="s">
        <v>57</v>
      </c>
      <c r="M1034" s="4" t="s">
        <v>32</v>
      </c>
      <c r="N1034" s="4" t="s">
        <v>106</v>
      </c>
      <c r="O1034" s="5" t="s">
        <v>105</v>
      </c>
      <c r="P1034" s="4" t="s">
        <v>54</v>
      </c>
      <c r="Q1034" s="10">
        <v>400000</v>
      </c>
      <c r="R1034" s="10">
        <v>0</v>
      </c>
      <c r="S1034" s="9">
        <f t="shared" si="34"/>
        <v>400000</v>
      </c>
      <c r="T1034" s="4" t="s">
        <v>53</v>
      </c>
      <c r="U1034" s="4" t="s">
        <v>145</v>
      </c>
      <c r="V1034" s="4"/>
      <c r="W1034" s="4">
        <v>-80</v>
      </c>
      <c r="X1034" s="4" t="s">
        <v>94</v>
      </c>
      <c r="Y1034" s="4"/>
      <c r="Z1034" s="7" t="s">
        <v>14</v>
      </c>
      <c r="AA1034" s="36" t="s">
        <v>15</v>
      </c>
      <c r="AB1034" s="4" t="s">
        <v>2606</v>
      </c>
      <c r="AC1034" s="22">
        <f t="shared" si="33"/>
        <v>156.86274509803923</v>
      </c>
      <c r="AD1034" s="23">
        <v>0</v>
      </c>
    </row>
    <row r="1035" spans="1:30" x14ac:dyDescent="0.35">
      <c r="A1035" s="7">
        <v>1058</v>
      </c>
      <c r="B1035" s="6">
        <v>45918</v>
      </c>
      <c r="C1035" s="6">
        <v>45918</v>
      </c>
      <c r="D1035" s="4" t="s">
        <v>190</v>
      </c>
      <c r="E1035" s="4" t="s">
        <v>61</v>
      </c>
      <c r="F1035" s="4" t="s">
        <v>189</v>
      </c>
      <c r="G1035" s="4" t="s">
        <v>189</v>
      </c>
      <c r="H1035" s="4"/>
      <c r="I1035" s="4"/>
      <c r="J1035" s="4" t="s">
        <v>59</v>
      </c>
      <c r="K1035" s="4" t="s">
        <v>58</v>
      </c>
      <c r="L1035" s="4" t="s">
        <v>57</v>
      </c>
      <c r="M1035" s="4" t="s">
        <v>32</v>
      </c>
      <c r="N1035" s="4" t="s">
        <v>106</v>
      </c>
      <c r="O1035" s="5" t="s">
        <v>105</v>
      </c>
      <c r="P1035" s="4" t="s">
        <v>54</v>
      </c>
      <c r="Q1035" s="10">
        <v>700000</v>
      </c>
      <c r="R1035" s="10">
        <v>0</v>
      </c>
      <c r="S1035" s="9">
        <f t="shared" si="34"/>
        <v>700000</v>
      </c>
      <c r="T1035" s="4" t="s">
        <v>53</v>
      </c>
      <c r="U1035" s="4" t="s">
        <v>148</v>
      </c>
      <c r="V1035" s="4"/>
      <c r="W1035" s="4">
        <v>-100</v>
      </c>
      <c r="X1035" s="4" t="s">
        <v>94</v>
      </c>
      <c r="Y1035" s="4"/>
      <c r="Z1035" s="7" t="s">
        <v>14</v>
      </c>
      <c r="AA1035" s="36" t="s">
        <v>15</v>
      </c>
      <c r="AB1035" s="4" t="s">
        <v>2606</v>
      </c>
      <c r="AC1035" s="22">
        <f t="shared" si="33"/>
        <v>274.50980392156862</v>
      </c>
      <c r="AD1035" s="23">
        <v>0</v>
      </c>
    </row>
    <row r="1036" spans="1:30" x14ac:dyDescent="0.35">
      <c r="A1036" s="7">
        <v>1059</v>
      </c>
      <c r="B1036" s="6">
        <v>45918</v>
      </c>
      <c r="C1036" s="6">
        <v>45918</v>
      </c>
      <c r="D1036" s="4" t="s">
        <v>188</v>
      </c>
      <c r="E1036" s="4" t="s">
        <v>61</v>
      </c>
      <c r="F1036" s="4" t="s">
        <v>187</v>
      </c>
      <c r="G1036" s="4" t="s">
        <v>187</v>
      </c>
      <c r="H1036" s="4"/>
      <c r="I1036" s="4"/>
      <c r="J1036" s="4" t="s">
        <v>59</v>
      </c>
      <c r="K1036" s="4" t="s">
        <v>58</v>
      </c>
      <c r="L1036" s="4" t="s">
        <v>57</v>
      </c>
      <c r="M1036" s="4" t="s">
        <v>32</v>
      </c>
      <c r="N1036" s="4" t="s">
        <v>106</v>
      </c>
      <c r="O1036" s="5" t="s">
        <v>105</v>
      </c>
      <c r="P1036" s="4" t="s">
        <v>54</v>
      </c>
      <c r="Q1036" s="10">
        <v>1055084.7</v>
      </c>
      <c r="R1036" s="10">
        <v>0</v>
      </c>
      <c r="S1036" s="9">
        <f t="shared" si="34"/>
        <v>1055084.7</v>
      </c>
      <c r="T1036" s="4" t="s">
        <v>53</v>
      </c>
      <c r="U1036" s="4" t="s">
        <v>165</v>
      </c>
      <c r="V1036" s="4"/>
      <c r="W1036" s="4">
        <v>-30</v>
      </c>
      <c r="X1036" s="4" t="s">
        <v>94</v>
      </c>
      <c r="Y1036" s="4"/>
      <c r="Z1036" s="7" t="s">
        <v>14</v>
      </c>
      <c r="AA1036" s="36" t="s">
        <v>15</v>
      </c>
      <c r="AB1036" s="4" t="s">
        <v>2606</v>
      </c>
      <c r="AC1036" s="22">
        <f t="shared" si="33"/>
        <v>413.7587058823529</v>
      </c>
      <c r="AD1036" s="23">
        <v>0</v>
      </c>
    </row>
    <row r="1037" spans="1:30" x14ac:dyDescent="0.35">
      <c r="A1037" s="7">
        <v>1060</v>
      </c>
      <c r="B1037" s="6">
        <v>45918</v>
      </c>
      <c r="C1037" s="6">
        <v>45918</v>
      </c>
      <c r="D1037" s="4" t="s">
        <v>110</v>
      </c>
      <c r="E1037" s="4" t="s">
        <v>61</v>
      </c>
      <c r="F1037" s="4" t="s">
        <v>109</v>
      </c>
      <c r="G1037" s="4" t="s">
        <v>109</v>
      </c>
      <c r="H1037" s="4"/>
      <c r="I1037" s="4"/>
      <c r="J1037" s="4" t="s">
        <v>59</v>
      </c>
      <c r="K1037" s="4" t="s">
        <v>58</v>
      </c>
      <c r="L1037" s="4" t="s">
        <v>97</v>
      </c>
      <c r="M1037" s="4" t="s">
        <v>34</v>
      </c>
      <c r="N1037" s="4" t="s">
        <v>106</v>
      </c>
      <c r="O1037" s="5" t="s">
        <v>105</v>
      </c>
      <c r="P1037" s="4" t="s">
        <v>54</v>
      </c>
      <c r="Q1037" s="10">
        <v>40348.22</v>
      </c>
      <c r="R1037" s="10">
        <v>0</v>
      </c>
      <c r="S1037" s="9">
        <f t="shared" si="34"/>
        <v>40348.22</v>
      </c>
      <c r="T1037" s="4" t="s">
        <v>53</v>
      </c>
      <c r="U1037" s="4" t="s">
        <v>102</v>
      </c>
      <c r="V1037" s="4"/>
      <c r="W1037" s="4">
        <v>-2</v>
      </c>
      <c r="X1037" s="4" t="s">
        <v>94</v>
      </c>
      <c r="Y1037" s="4"/>
      <c r="Z1037" s="7" t="s">
        <v>14</v>
      </c>
      <c r="AA1037" s="36" t="s">
        <v>15</v>
      </c>
      <c r="AB1037" s="4" t="s">
        <v>2606</v>
      </c>
      <c r="AC1037" s="22">
        <f t="shared" si="33"/>
        <v>15.82283137254902</v>
      </c>
      <c r="AD1037" s="23">
        <v>0</v>
      </c>
    </row>
    <row r="1038" spans="1:30" x14ac:dyDescent="0.35">
      <c r="A1038" s="7">
        <v>1061</v>
      </c>
      <c r="B1038" s="6">
        <v>45918</v>
      </c>
      <c r="C1038" s="6">
        <v>45918</v>
      </c>
      <c r="D1038" s="4" t="s">
        <v>104</v>
      </c>
      <c r="E1038" s="4" t="s">
        <v>61</v>
      </c>
      <c r="F1038" s="4" t="s">
        <v>103</v>
      </c>
      <c r="G1038" s="4" t="s">
        <v>103</v>
      </c>
      <c r="H1038" s="4"/>
      <c r="I1038" s="4"/>
      <c r="J1038" s="4" t="s">
        <v>59</v>
      </c>
      <c r="K1038" s="4" t="s">
        <v>58</v>
      </c>
      <c r="L1038" s="4" t="s">
        <v>97</v>
      </c>
      <c r="M1038" s="4" t="s">
        <v>34</v>
      </c>
      <c r="N1038" s="4" t="s">
        <v>96</v>
      </c>
      <c r="O1038" s="5" t="s">
        <v>68</v>
      </c>
      <c r="P1038" s="4" t="s">
        <v>54</v>
      </c>
      <c r="Q1038" s="10">
        <v>80696.429999999993</v>
      </c>
      <c r="R1038" s="10">
        <v>0</v>
      </c>
      <c r="S1038" s="9">
        <f t="shared" si="34"/>
        <v>80696.429999999993</v>
      </c>
      <c r="T1038" s="4" t="s">
        <v>53</v>
      </c>
      <c r="U1038" s="4" t="s">
        <v>102</v>
      </c>
      <c r="V1038" s="4"/>
      <c r="W1038" s="4">
        <v>-4</v>
      </c>
      <c r="X1038" s="4" t="s">
        <v>94</v>
      </c>
      <c r="Y1038" s="4"/>
      <c r="Z1038" s="7" t="s">
        <v>14</v>
      </c>
      <c r="AA1038" s="36" t="s">
        <v>27</v>
      </c>
      <c r="AB1038" s="4" t="s">
        <v>2603</v>
      </c>
      <c r="AC1038" s="22">
        <f t="shared" si="33"/>
        <v>31.645658823529409</v>
      </c>
      <c r="AD1038" s="23">
        <v>0</v>
      </c>
    </row>
    <row r="1039" spans="1:30" x14ac:dyDescent="0.35">
      <c r="A1039" s="7">
        <v>1062</v>
      </c>
      <c r="B1039" s="6">
        <v>45919.587592592594</v>
      </c>
      <c r="C1039" s="6">
        <v>45919</v>
      </c>
      <c r="D1039" s="7" t="s">
        <v>1897</v>
      </c>
      <c r="E1039" s="7" t="s">
        <v>1331</v>
      </c>
      <c r="F1039" s="7" t="s">
        <v>1896</v>
      </c>
      <c r="G1039" s="7" t="s">
        <v>1895</v>
      </c>
      <c r="H1039" s="7" t="s">
        <v>1894</v>
      </c>
      <c r="I1039" s="7" t="s">
        <v>1893</v>
      </c>
      <c r="J1039" s="7" t="s">
        <v>1816</v>
      </c>
      <c r="K1039" s="7" t="s">
        <v>1815</v>
      </c>
      <c r="L1039" s="7" t="s">
        <v>1892</v>
      </c>
      <c r="M1039" s="7" t="s">
        <v>16</v>
      </c>
      <c r="N1039" s="7" t="s">
        <v>317</v>
      </c>
      <c r="O1039" s="7" t="s">
        <v>1891</v>
      </c>
      <c r="P1039" s="7" t="s">
        <v>54</v>
      </c>
      <c r="Q1039" s="9">
        <v>18000000</v>
      </c>
      <c r="R1039" s="9">
        <v>0</v>
      </c>
      <c r="S1039" s="9">
        <f t="shared" si="34"/>
        <v>18000000</v>
      </c>
      <c r="T1039" s="4" t="s">
        <v>53</v>
      </c>
      <c r="U1039" s="7" t="s">
        <v>1890</v>
      </c>
      <c r="V1039" s="7" t="s">
        <v>1823</v>
      </c>
      <c r="W1039" s="9">
        <v>1</v>
      </c>
      <c r="X1039" s="7" t="s">
        <v>1889</v>
      </c>
      <c r="Y1039" s="7"/>
      <c r="Z1039" s="7" t="s">
        <v>14</v>
      </c>
      <c r="AA1039" s="36" t="s">
        <v>16</v>
      </c>
      <c r="AB1039" s="4" t="s">
        <v>2603</v>
      </c>
      <c r="AC1039" s="22">
        <f t="shared" si="33"/>
        <v>7058.8235294117649</v>
      </c>
      <c r="AD1039" s="23">
        <v>0</v>
      </c>
    </row>
    <row r="1040" spans="1:30" x14ac:dyDescent="0.35">
      <c r="A1040" s="7">
        <v>1063</v>
      </c>
      <c r="B1040" s="6">
        <v>45919.571400462963</v>
      </c>
      <c r="C1040" s="6">
        <v>45919</v>
      </c>
      <c r="D1040" s="7" t="s">
        <v>1888</v>
      </c>
      <c r="E1040" s="7" t="s">
        <v>1331</v>
      </c>
      <c r="F1040" s="7" t="s">
        <v>1887</v>
      </c>
      <c r="G1040" s="7" t="s">
        <v>1886</v>
      </c>
      <c r="H1040" s="7" t="s">
        <v>1885</v>
      </c>
      <c r="I1040" s="7" t="s">
        <v>1884</v>
      </c>
      <c r="J1040" s="7" t="s">
        <v>1816</v>
      </c>
      <c r="K1040" s="7" t="s">
        <v>1815</v>
      </c>
      <c r="L1040" s="7" t="s">
        <v>1883</v>
      </c>
      <c r="M1040" s="7" t="s">
        <v>17</v>
      </c>
      <c r="N1040" s="7" t="s">
        <v>1504</v>
      </c>
      <c r="O1040" s="7" t="s">
        <v>68</v>
      </c>
      <c r="P1040" s="7" t="s">
        <v>68</v>
      </c>
      <c r="Q1040" s="9">
        <v>20722500</v>
      </c>
      <c r="R1040" s="9">
        <v>0</v>
      </c>
      <c r="S1040" s="9">
        <f t="shared" si="34"/>
        <v>20722500</v>
      </c>
      <c r="T1040" s="4" t="s">
        <v>53</v>
      </c>
      <c r="U1040" s="7" t="s">
        <v>1882</v>
      </c>
      <c r="V1040" s="7" t="s">
        <v>1823</v>
      </c>
      <c r="W1040" s="9">
        <v>690.75</v>
      </c>
      <c r="X1040" s="7" t="s">
        <v>1881</v>
      </c>
      <c r="Y1040" s="7"/>
      <c r="Z1040" s="7" t="s">
        <v>14</v>
      </c>
      <c r="AA1040" s="36" t="s">
        <v>17</v>
      </c>
      <c r="AB1040" s="4" t="s">
        <v>2602</v>
      </c>
      <c r="AC1040" s="22">
        <f t="shared" si="33"/>
        <v>8126.4705882352937</v>
      </c>
      <c r="AD1040" s="23">
        <v>0</v>
      </c>
    </row>
    <row r="1041" spans="1:30" hidden="1" x14ac:dyDescent="0.35">
      <c r="A1041" s="7">
        <v>1064</v>
      </c>
      <c r="B1041" s="6">
        <v>45919.54109953704</v>
      </c>
      <c r="C1041" s="6">
        <v>45919</v>
      </c>
      <c r="D1041" s="7" t="s">
        <v>1880</v>
      </c>
      <c r="E1041" s="7" t="s">
        <v>1331</v>
      </c>
      <c r="F1041" s="7" t="s">
        <v>1834</v>
      </c>
      <c r="G1041" s="7" t="s">
        <v>1879</v>
      </c>
      <c r="H1041" s="7" t="s">
        <v>1832</v>
      </c>
      <c r="I1041" s="7" t="s">
        <v>1831</v>
      </c>
      <c r="J1041" s="7" t="s">
        <v>1816</v>
      </c>
      <c r="K1041" s="7" t="s">
        <v>1815</v>
      </c>
      <c r="L1041" s="7" t="s">
        <v>1814</v>
      </c>
      <c r="M1041" s="7" t="s">
        <v>28</v>
      </c>
      <c r="N1041" s="7" t="s">
        <v>1813</v>
      </c>
      <c r="O1041" s="7" t="s">
        <v>1704</v>
      </c>
      <c r="P1041" s="7" t="s">
        <v>1703</v>
      </c>
      <c r="Q1041" s="9">
        <v>195456.5</v>
      </c>
      <c r="R1041" s="9">
        <v>0</v>
      </c>
      <c r="S1041" s="9">
        <f t="shared" si="34"/>
        <v>195456.5</v>
      </c>
      <c r="T1041" s="4" t="s">
        <v>53</v>
      </c>
      <c r="U1041" s="7"/>
      <c r="V1041" s="7"/>
      <c r="W1041" s="9">
        <v>1</v>
      </c>
      <c r="X1041" s="7"/>
      <c r="Y1041" s="7"/>
      <c r="Z1041" s="7" t="s">
        <v>14</v>
      </c>
      <c r="AA1041" s="36" t="s">
        <v>28</v>
      </c>
      <c r="AB1041" s="4"/>
      <c r="AC1041" s="22">
        <f t="shared" si="33"/>
        <v>76.649607843137261</v>
      </c>
      <c r="AD1041" s="23">
        <v>0</v>
      </c>
    </row>
    <row r="1042" spans="1:30" hidden="1" x14ac:dyDescent="0.35">
      <c r="A1042" s="7">
        <v>1065</v>
      </c>
      <c r="B1042" s="6">
        <v>45919.54109953704</v>
      </c>
      <c r="C1042" s="6">
        <v>45919</v>
      </c>
      <c r="D1042" s="7" t="s">
        <v>1880</v>
      </c>
      <c r="E1042" s="7" t="s">
        <v>1331</v>
      </c>
      <c r="F1042" s="7" t="s">
        <v>1834</v>
      </c>
      <c r="G1042" s="7" t="s">
        <v>1879</v>
      </c>
      <c r="H1042" s="7" t="s">
        <v>1832</v>
      </c>
      <c r="I1042" s="7" t="s">
        <v>1831</v>
      </c>
      <c r="J1042" s="7" t="s">
        <v>1816</v>
      </c>
      <c r="K1042" s="7" t="s">
        <v>1815</v>
      </c>
      <c r="L1042" s="7" t="s">
        <v>1814</v>
      </c>
      <c r="M1042" s="7" t="s">
        <v>28</v>
      </c>
      <c r="N1042" s="7" t="s">
        <v>1813</v>
      </c>
      <c r="O1042" s="7" t="s">
        <v>1704</v>
      </c>
      <c r="P1042" s="7" t="s">
        <v>1703</v>
      </c>
      <c r="Q1042" s="9">
        <v>1361.33</v>
      </c>
      <c r="R1042" s="9">
        <v>0</v>
      </c>
      <c r="S1042" s="9">
        <f t="shared" si="34"/>
        <v>1361.33</v>
      </c>
      <c r="T1042" s="4" t="s">
        <v>53</v>
      </c>
      <c r="U1042" s="7"/>
      <c r="V1042" s="7"/>
      <c r="W1042" s="9">
        <v>1</v>
      </c>
      <c r="X1042" s="7"/>
      <c r="Y1042" s="7"/>
      <c r="Z1042" s="7" t="s">
        <v>14</v>
      </c>
      <c r="AA1042" s="36" t="s">
        <v>28</v>
      </c>
      <c r="AB1042" s="4"/>
      <c r="AC1042" s="22">
        <f t="shared" si="33"/>
        <v>0.53385490196078433</v>
      </c>
      <c r="AD1042" s="23">
        <v>0</v>
      </c>
    </row>
    <row r="1043" spans="1:30" hidden="1" x14ac:dyDescent="0.35">
      <c r="A1043" s="7">
        <v>1066</v>
      </c>
      <c r="B1043" s="6">
        <v>45919.537743055553</v>
      </c>
      <c r="C1043" s="6">
        <v>45919</v>
      </c>
      <c r="D1043" s="7" t="s">
        <v>1878</v>
      </c>
      <c r="E1043" s="7" t="s">
        <v>1331</v>
      </c>
      <c r="F1043" s="7" t="s">
        <v>1834</v>
      </c>
      <c r="G1043" s="7" t="s">
        <v>1877</v>
      </c>
      <c r="H1043" s="7" t="s">
        <v>1832</v>
      </c>
      <c r="I1043" s="7" t="s">
        <v>1831</v>
      </c>
      <c r="J1043" s="7" t="s">
        <v>1816</v>
      </c>
      <c r="K1043" s="7" t="s">
        <v>1815</v>
      </c>
      <c r="L1043" s="7" t="s">
        <v>1814</v>
      </c>
      <c r="M1043" s="7" t="s">
        <v>28</v>
      </c>
      <c r="N1043" s="7" t="s">
        <v>1813</v>
      </c>
      <c r="O1043" s="7" t="s">
        <v>1704</v>
      </c>
      <c r="P1043" s="7" t="s">
        <v>1703</v>
      </c>
      <c r="Q1043" s="9">
        <v>202236.16</v>
      </c>
      <c r="R1043" s="9">
        <v>0</v>
      </c>
      <c r="S1043" s="9">
        <f t="shared" si="34"/>
        <v>202236.16</v>
      </c>
      <c r="T1043" s="4" t="s">
        <v>53</v>
      </c>
      <c r="U1043" s="7"/>
      <c r="V1043" s="7"/>
      <c r="W1043" s="9">
        <v>1</v>
      </c>
      <c r="X1043" s="7"/>
      <c r="Y1043" s="7"/>
      <c r="Z1043" s="7" t="s">
        <v>14</v>
      </c>
      <c r="AA1043" s="36" t="s">
        <v>28</v>
      </c>
      <c r="AB1043" s="4"/>
      <c r="AC1043" s="22">
        <f t="shared" si="33"/>
        <v>79.308298039215686</v>
      </c>
      <c r="AD1043" s="23">
        <v>0</v>
      </c>
    </row>
    <row r="1044" spans="1:30" hidden="1" x14ac:dyDescent="0.35">
      <c r="A1044" s="7">
        <v>1067</v>
      </c>
      <c r="B1044" s="6">
        <v>45919.537743055553</v>
      </c>
      <c r="C1044" s="6">
        <v>45919</v>
      </c>
      <c r="D1044" s="7" t="s">
        <v>1878</v>
      </c>
      <c r="E1044" s="7" t="s">
        <v>1331</v>
      </c>
      <c r="F1044" s="7" t="s">
        <v>1834</v>
      </c>
      <c r="G1044" s="7" t="s">
        <v>1877</v>
      </c>
      <c r="H1044" s="7" t="s">
        <v>1832</v>
      </c>
      <c r="I1044" s="7" t="s">
        <v>1831</v>
      </c>
      <c r="J1044" s="7" t="s">
        <v>1816</v>
      </c>
      <c r="K1044" s="7" t="s">
        <v>1815</v>
      </c>
      <c r="L1044" s="7" t="s">
        <v>1814</v>
      </c>
      <c r="M1044" s="7" t="s">
        <v>28</v>
      </c>
      <c r="N1044" s="7" t="s">
        <v>1813</v>
      </c>
      <c r="O1044" s="7" t="s">
        <v>1704</v>
      </c>
      <c r="P1044" s="7" t="s">
        <v>1703</v>
      </c>
      <c r="Q1044" s="9">
        <v>1361.33</v>
      </c>
      <c r="R1044" s="9">
        <v>0</v>
      </c>
      <c r="S1044" s="9">
        <f t="shared" si="34"/>
        <v>1361.33</v>
      </c>
      <c r="T1044" s="4" t="s">
        <v>53</v>
      </c>
      <c r="U1044" s="7"/>
      <c r="V1044" s="7"/>
      <c r="W1044" s="9">
        <v>1</v>
      </c>
      <c r="X1044" s="7"/>
      <c r="Y1044" s="7"/>
      <c r="Z1044" s="7" t="s">
        <v>14</v>
      </c>
      <c r="AA1044" s="36" t="s">
        <v>28</v>
      </c>
      <c r="AB1044" s="4"/>
      <c r="AC1044" s="22">
        <f t="shared" si="33"/>
        <v>0.53385490196078433</v>
      </c>
      <c r="AD1044" s="23">
        <v>0</v>
      </c>
    </row>
    <row r="1045" spans="1:30" hidden="1" x14ac:dyDescent="0.35">
      <c r="A1045" s="7">
        <v>1068</v>
      </c>
      <c r="B1045" s="6">
        <v>45919.533715277779</v>
      </c>
      <c r="C1045" s="6">
        <v>45919</v>
      </c>
      <c r="D1045" s="7" t="s">
        <v>1876</v>
      </c>
      <c r="E1045" s="7" t="s">
        <v>1331</v>
      </c>
      <c r="F1045" s="7" t="s">
        <v>1834</v>
      </c>
      <c r="G1045" s="7" t="s">
        <v>1875</v>
      </c>
      <c r="H1045" s="7" t="s">
        <v>1832</v>
      </c>
      <c r="I1045" s="7" t="s">
        <v>1831</v>
      </c>
      <c r="J1045" s="7" t="s">
        <v>1816</v>
      </c>
      <c r="K1045" s="7" t="s">
        <v>1815</v>
      </c>
      <c r="L1045" s="7" t="s">
        <v>1814</v>
      </c>
      <c r="M1045" s="7" t="s">
        <v>28</v>
      </c>
      <c r="N1045" s="7" t="s">
        <v>1813</v>
      </c>
      <c r="O1045" s="7" t="s">
        <v>1704</v>
      </c>
      <c r="P1045" s="7" t="s">
        <v>1703</v>
      </c>
      <c r="Q1045" s="9">
        <v>618572.82999999996</v>
      </c>
      <c r="R1045" s="9">
        <v>0</v>
      </c>
      <c r="S1045" s="9">
        <f t="shared" si="34"/>
        <v>618572.82999999996</v>
      </c>
      <c r="T1045" s="4" t="s">
        <v>53</v>
      </c>
      <c r="U1045" s="7"/>
      <c r="V1045" s="7"/>
      <c r="W1045" s="9">
        <v>1</v>
      </c>
      <c r="X1045" s="7"/>
      <c r="Y1045" s="7"/>
      <c r="Z1045" s="7" t="s">
        <v>14</v>
      </c>
      <c r="AA1045" s="36" t="s">
        <v>28</v>
      </c>
      <c r="AB1045" s="4"/>
      <c r="AC1045" s="22">
        <f t="shared" si="33"/>
        <v>242.57758039215685</v>
      </c>
      <c r="AD1045" s="23">
        <v>0</v>
      </c>
    </row>
    <row r="1046" spans="1:30" hidden="1" x14ac:dyDescent="0.35">
      <c r="A1046" s="7">
        <v>1069</v>
      </c>
      <c r="B1046" s="6">
        <v>45919.533715277779</v>
      </c>
      <c r="C1046" s="6">
        <v>45919</v>
      </c>
      <c r="D1046" s="7" t="s">
        <v>1876</v>
      </c>
      <c r="E1046" s="7" t="s">
        <v>1331</v>
      </c>
      <c r="F1046" s="7" t="s">
        <v>1834</v>
      </c>
      <c r="G1046" s="7" t="s">
        <v>1875</v>
      </c>
      <c r="H1046" s="7" t="s">
        <v>1832</v>
      </c>
      <c r="I1046" s="7" t="s">
        <v>1831</v>
      </c>
      <c r="J1046" s="7" t="s">
        <v>1816</v>
      </c>
      <c r="K1046" s="7" t="s">
        <v>1815</v>
      </c>
      <c r="L1046" s="7" t="s">
        <v>1814</v>
      </c>
      <c r="M1046" s="7" t="s">
        <v>28</v>
      </c>
      <c r="N1046" s="7" t="s">
        <v>1813</v>
      </c>
      <c r="O1046" s="7" t="s">
        <v>1704</v>
      </c>
      <c r="P1046" s="7" t="s">
        <v>1703</v>
      </c>
      <c r="Q1046" s="9">
        <v>4084.06</v>
      </c>
      <c r="R1046" s="9">
        <v>0</v>
      </c>
      <c r="S1046" s="9">
        <f t="shared" si="34"/>
        <v>4084.06</v>
      </c>
      <c r="T1046" s="4" t="s">
        <v>53</v>
      </c>
      <c r="U1046" s="7"/>
      <c r="V1046" s="7"/>
      <c r="W1046" s="9">
        <v>1</v>
      </c>
      <c r="X1046" s="7"/>
      <c r="Y1046" s="7"/>
      <c r="Z1046" s="7" t="s">
        <v>14</v>
      </c>
      <c r="AA1046" s="36" t="s">
        <v>28</v>
      </c>
      <c r="AB1046" s="4"/>
      <c r="AC1046" s="22">
        <f t="shared" si="33"/>
        <v>1.6015921568627451</v>
      </c>
      <c r="AD1046" s="23">
        <v>0</v>
      </c>
    </row>
    <row r="1047" spans="1:30" hidden="1" x14ac:dyDescent="0.35">
      <c r="A1047" s="7">
        <v>1070</v>
      </c>
      <c r="B1047" s="6">
        <v>45919.527881944443</v>
      </c>
      <c r="C1047" s="6">
        <v>45919</v>
      </c>
      <c r="D1047" s="7" t="s">
        <v>1874</v>
      </c>
      <c r="E1047" s="7" t="s">
        <v>1331</v>
      </c>
      <c r="F1047" s="7" t="s">
        <v>1834</v>
      </c>
      <c r="G1047" s="7" t="s">
        <v>1873</v>
      </c>
      <c r="H1047" s="7" t="s">
        <v>1832</v>
      </c>
      <c r="I1047" s="7" t="s">
        <v>1831</v>
      </c>
      <c r="J1047" s="7" t="s">
        <v>1816</v>
      </c>
      <c r="K1047" s="7" t="s">
        <v>1815</v>
      </c>
      <c r="L1047" s="7" t="s">
        <v>1814</v>
      </c>
      <c r="M1047" s="7" t="s">
        <v>28</v>
      </c>
      <c r="N1047" s="7" t="s">
        <v>1813</v>
      </c>
      <c r="O1047" s="7" t="s">
        <v>1704</v>
      </c>
      <c r="P1047" s="7" t="s">
        <v>1703</v>
      </c>
      <c r="Q1047" s="9">
        <v>482979.61</v>
      </c>
      <c r="R1047" s="9">
        <v>0</v>
      </c>
      <c r="S1047" s="9">
        <f t="shared" si="34"/>
        <v>482979.61</v>
      </c>
      <c r="T1047" s="4" t="s">
        <v>53</v>
      </c>
      <c r="U1047" s="7"/>
      <c r="V1047" s="7"/>
      <c r="W1047" s="9">
        <v>1</v>
      </c>
      <c r="X1047" s="7"/>
      <c r="Y1047" s="7"/>
      <c r="Z1047" s="7" t="s">
        <v>14</v>
      </c>
      <c r="AA1047" s="36" t="s">
        <v>28</v>
      </c>
      <c r="AB1047" s="4"/>
      <c r="AC1047" s="22">
        <f t="shared" si="33"/>
        <v>189.40376862745097</v>
      </c>
      <c r="AD1047" s="23">
        <v>0</v>
      </c>
    </row>
    <row r="1048" spans="1:30" hidden="1" x14ac:dyDescent="0.35">
      <c r="A1048" s="7">
        <v>1071</v>
      </c>
      <c r="B1048" s="6">
        <v>45919.527881944443</v>
      </c>
      <c r="C1048" s="6">
        <v>45919</v>
      </c>
      <c r="D1048" s="7" t="s">
        <v>1874</v>
      </c>
      <c r="E1048" s="7" t="s">
        <v>1331</v>
      </c>
      <c r="F1048" s="7" t="s">
        <v>1834</v>
      </c>
      <c r="G1048" s="7" t="s">
        <v>1873</v>
      </c>
      <c r="H1048" s="7" t="s">
        <v>1832</v>
      </c>
      <c r="I1048" s="7" t="s">
        <v>1831</v>
      </c>
      <c r="J1048" s="7" t="s">
        <v>1816</v>
      </c>
      <c r="K1048" s="7" t="s">
        <v>1815</v>
      </c>
      <c r="L1048" s="7" t="s">
        <v>1814</v>
      </c>
      <c r="M1048" s="7" t="s">
        <v>28</v>
      </c>
      <c r="N1048" s="7" t="s">
        <v>1813</v>
      </c>
      <c r="O1048" s="7" t="s">
        <v>1704</v>
      </c>
      <c r="P1048" s="7" t="s">
        <v>1703</v>
      </c>
      <c r="Q1048" s="9">
        <v>4084.06</v>
      </c>
      <c r="R1048" s="9">
        <v>0</v>
      </c>
      <c r="S1048" s="9">
        <f t="shared" si="34"/>
        <v>4084.06</v>
      </c>
      <c r="T1048" s="4" t="s">
        <v>53</v>
      </c>
      <c r="U1048" s="7"/>
      <c r="V1048" s="7"/>
      <c r="W1048" s="9">
        <v>1</v>
      </c>
      <c r="X1048" s="7"/>
      <c r="Y1048" s="7"/>
      <c r="Z1048" s="7" t="s">
        <v>14</v>
      </c>
      <c r="AA1048" s="36" t="s">
        <v>28</v>
      </c>
      <c r="AB1048" s="4"/>
      <c r="AC1048" s="22">
        <f t="shared" si="33"/>
        <v>1.6015921568627451</v>
      </c>
      <c r="AD1048" s="23">
        <v>0</v>
      </c>
    </row>
    <row r="1049" spans="1:30" hidden="1" x14ac:dyDescent="0.35">
      <c r="A1049" s="7">
        <v>1072</v>
      </c>
      <c r="B1049" s="6">
        <v>45919.524629629632</v>
      </c>
      <c r="C1049" s="6">
        <v>45919</v>
      </c>
      <c r="D1049" s="7" t="s">
        <v>1872</v>
      </c>
      <c r="E1049" s="7" t="s">
        <v>1331</v>
      </c>
      <c r="F1049" s="7" t="s">
        <v>1834</v>
      </c>
      <c r="G1049" s="7" t="s">
        <v>1871</v>
      </c>
      <c r="H1049" s="7" t="s">
        <v>1832</v>
      </c>
      <c r="I1049" s="7" t="s">
        <v>1831</v>
      </c>
      <c r="J1049" s="7" t="s">
        <v>1816</v>
      </c>
      <c r="K1049" s="7" t="s">
        <v>1815</v>
      </c>
      <c r="L1049" s="7" t="s">
        <v>1814</v>
      </c>
      <c r="M1049" s="7" t="s">
        <v>28</v>
      </c>
      <c r="N1049" s="7" t="s">
        <v>1813</v>
      </c>
      <c r="O1049" s="7" t="s">
        <v>1704</v>
      </c>
      <c r="P1049" s="7" t="s">
        <v>1703</v>
      </c>
      <c r="Q1049" s="9">
        <v>4084.05</v>
      </c>
      <c r="R1049" s="9">
        <v>0</v>
      </c>
      <c r="S1049" s="9">
        <f t="shared" si="34"/>
        <v>4084.05</v>
      </c>
      <c r="T1049" s="4" t="s">
        <v>53</v>
      </c>
      <c r="U1049" s="7"/>
      <c r="V1049" s="7"/>
      <c r="W1049" s="9">
        <v>1</v>
      </c>
      <c r="X1049" s="7"/>
      <c r="Y1049" s="7"/>
      <c r="Z1049" s="7" t="s">
        <v>14</v>
      </c>
      <c r="AA1049" s="36" t="s">
        <v>28</v>
      </c>
      <c r="AB1049" s="4"/>
      <c r="AC1049" s="22">
        <f t="shared" si="33"/>
        <v>1.6015882352941178</v>
      </c>
      <c r="AD1049" s="23">
        <v>0</v>
      </c>
    </row>
    <row r="1050" spans="1:30" hidden="1" x14ac:dyDescent="0.35">
      <c r="A1050" s="7">
        <v>1073</v>
      </c>
      <c r="B1050" s="6">
        <v>45919.524629629632</v>
      </c>
      <c r="C1050" s="6">
        <v>45919</v>
      </c>
      <c r="D1050" s="7" t="s">
        <v>1872</v>
      </c>
      <c r="E1050" s="7" t="s">
        <v>1331</v>
      </c>
      <c r="F1050" s="7" t="s">
        <v>1834</v>
      </c>
      <c r="G1050" s="7" t="s">
        <v>1871</v>
      </c>
      <c r="H1050" s="7" t="s">
        <v>1832</v>
      </c>
      <c r="I1050" s="7" t="s">
        <v>1831</v>
      </c>
      <c r="J1050" s="7" t="s">
        <v>1816</v>
      </c>
      <c r="K1050" s="7" t="s">
        <v>1815</v>
      </c>
      <c r="L1050" s="7" t="s">
        <v>1814</v>
      </c>
      <c r="M1050" s="7" t="s">
        <v>28</v>
      </c>
      <c r="N1050" s="7" t="s">
        <v>1813</v>
      </c>
      <c r="O1050" s="7" t="s">
        <v>1704</v>
      </c>
      <c r="P1050" s="7" t="s">
        <v>1703</v>
      </c>
      <c r="Q1050" s="9">
        <v>510945.72</v>
      </c>
      <c r="R1050" s="9">
        <v>0</v>
      </c>
      <c r="S1050" s="9">
        <f t="shared" si="34"/>
        <v>510945.72</v>
      </c>
      <c r="T1050" s="4" t="s">
        <v>53</v>
      </c>
      <c r="U1050" s="7"/>
      <c r="V1050" s="7"/>
      <c r="W1050" s="9">
        <v>1</v>
      </c>
      <c r="X1050" s="7"/>
      <c r="Y1050" s="7"/>
      <c r="Z1050" s="7" t="s">
        <v>14</v>
      </c>
      <c r="AA1050" s="36" t="s">
        <v>28</v>
      </c>
      <c r="AB1050" s="4"/>
      <c r="AC1050" s="22">
        <f t="shared" si="33"/>
        <v>200.37087058823528</v>
      </c>
      <c r="AD1050" s="23">
        <v>0</v>
      </c>
    </row>
    <row r="1051" spans="1:30" hidden="1" x14ac:dyDescent="0.35">
      <c r="A1051" s="7">
        <v>1074</v>
      </c>
      <c r="B1051" s="6">
        <v>45919.52034722222</v>
      </c>
      <c r="C1051" s="6">
        <v>45919</v>
      </c>
      <c r="D1051" s="7" t="s">
        <v>1870</v>
      </c>
      <c r="E1051" s="7" t="s">
        <v>1331</v>
      </c>
      <c r="F1051" s="7" t="s">
        <v>1834</v>
      </c>
      <c r="G1051" s="7" t="s">
        <v>1869</v>
      </c>
      <c r="H1051" s="7" t="s">
        <v>1832</v>
      </c>
      <c r="I1051" s="7" t="s">
        <v>1831</v>
      </c>
      <c r="J1051" s="7" t="s">
        <v>1816</v>
      </c>
      <c r="K1051" s="7" t="s">
        <v>1815</v>
      </c>
      <c r="L1051" s="7" t="s">
        <v>1814</v>
      </c>
      <c r="M1051" s="7" t="s">
        <v>28</v>
      </c>
      <c r="N1051" s="7" t="s">
        <v>1813</v>
      </c>
      <c r="O1051" s="7" t="s">
        <v>1704</v>
      </c>
      <c r="P1051" s="7" t="s">
        <v>1703</v>
      </c>
      <c r="Q1051" s="9">
        <v>466877.94</v>
      </c>
      <c r="R1051" s="9">
        <v>0</v>
      </c>
      <c r="S1051" s="9">
        <f t="shared" si="34"/>
        <v>466877.94</v>
      </c>
      <c r="T1051" s="4" t="s">
        <v>53</v>
      </c>
      <c r="U1051" s="7"/>
      <c r="V1051" s="7"/>
      <c r="W1051" s="9">
        <v>1</v>
      </c>
      <c r="X1051" s="7"/>
      <c r="Y1051" s="7"/>
      <c r="Z1051" s="7" t="s">
        <v>14</v>
      </c>
      <c r="AA1051" s="36" t="s">
        <v>28</v>
      </c>
      <c r="AB1051" s="4"/>
      <c r="AC1051" s="22">
        <f t="shared" si="33"/>
        <v>183.08938823529411</v>
      </c>
      <c r="AD1051" s="23">
        <v>0</v>
      </c>
    </row>
    <row r="1052" spans="1:30" hidden="1" x14ac:dyDescent="0.35">
      <c r="A1052" s="7">
        <v>1075</v>
      </c>
      <c r="B1052" s="6">
        <v>45919.52034722222</v>
      </c>
      <c r="C1052" s="6">
        <v>45919</v>
      </c>
      <c r="D1052" s="7" t="s">
        <v>1870</v>
      </c>
      <c r="E1052" s="7" t="s">
        <v>1331</v>
      </c>
      <c r="F1052" s="7" t="s">
        <v>1834</v>
      </c>
      <c r="G1052" s="7" t="s">
        <v>1869</v>
      </c>
      <c r="H1052" s="7" t="s">
        <v>1832</v>
      </c>
      <c r="I1052" s="7" t="s">
        <v>1831</v>
      </c>
      <c r="J1052" s="7" t="s">
        <v>1816</v>
      </c>
      <c r="K1052" s="7" t="s">
        <v>1815</v>
      </c>
      <c r="L1052" s="7" t="s">
        <v>1814</v>
      </c>
      <c r="M1052" s="7" t="s">
        <v>28</v>
      </c>
      <c r="N1052" s="7" t="s">
        <v>1813</v>
      </c>
      <c r="O1052" s="7" t="s">
        <v>1704</v>
      </c>
      <c r="P1052" s="7" t="s">
        <v>1703</v>
      </c>
      <c r="Q1052" s="9">
        <v>4084.03</v>
      </c>
      <c r="R1052" s="9">
        <v>0</v>
      </c>
      <c r="S1052" s="9">
        <f t="shared" si="34"/>
        <v>4084.03</v>
      </c>
      <c r="T1052" s="4" t="s">
        <v>53</v>
      </c>
      <c r="U1052" s="7"/>
      <c r="V1052" s="7"/>
      <c r="W1052" s="9">
        <v>1</v>
      </c>
      <c r="X1052" s="7"/>
      <c r="Y1052" s="7"/>
      <c r="Z1052" s="7" t="s">
        <v>14</v>
      </c>
      <c r="AA1052" s="36" t="s">
        <v>28</v>
      </c>
      <c r="AB1052" s="4"/>
      <c r="AC1052" s="22">
        <f t="shared" si="33"/>
        <v>1.6015803921568628</v>
      </c>
      <c r="AD1052" s="23">
        <v>0</v>
      </c>
    </row>
    <row r="1053" spans="1:30" hidden="1" x14ac:dyDescent="0.35">
      <c r="A1053" s="7">
        <v>1076</v>
      </c>
      <c r="B1053" s="6">
        <v>45919.513020833336</v>
      </c>
      <c r="C1053" s="6">
        <v>45919</v>
      </c>
      <c r="D1053" s="7" t="s">
        <v>1868</v>
      </c>
      <c r="E1053" s="7" t="s">
        <v>1331</v>
      </c>
      <c r="F1053" s="7" t="s">
        <v>1834</v>
      </c>
      <c r="G1053" s="7" t="s">
        <v>1867</v>
      </c>
      <c r="H1053" s="7" t="s">
        <v>1832</v>
      </c>
      <c r="I1053" s="7" t="s">
        <v>1831</v>
      </c>
      <c r="J1053" s="7" t="s">
        <v>1816</v>
      </c>
      <c r="K1053" s="7" t="s">
        <v>1815</v>
      </c>
      <c r="L1053" s="7" t="s">
        <v>1814</v>
      </c>
      <c r="M1053" s="7" t="s">
        <v>28</v>
      </c>
      <c r="N1053" s="7" t="s">
        <v>1813</v>
      </c>
      <c r="O1053" s="7" t="s">
        <v>1704</v>
      </c>
      <c r="P1053" s="7" t="s">
        <v>1703</v>
      </c>
      <c r="Q1053" s="9">
        <v>421962.66</v>
      </c>
      <c r="R1053" s="9">
        <v>0</v>
      </c>
      <c r="S1053" s="9">
        <f t="shared" si="34"/>
        <v>421962.66</v>
      </c>
      <c r="T1053" s="4" t="s">
        <v>53</v>
      </c>
      <c r="U1053" s="7"/>
      <c r="V1053" s="7"/>
      <c r="W1053" s="9">
        <v>1</v>
      </c>
      <c r="X1053" s="7"/>
      <c r="Y1053" s="7"/>
      <c r="Z1053" s="7" t="s">
        <v>14</v>
      </c>
      <c r="AA1053" s="36" t="s">
        <v>28</v>
      </c>
      <c r="AB1053" s="4"/>
      <c r="AC1053" s="22">
        <f t="shared" si="33"/>
        <v>165.47555294117646</v>
      </c>
      <c r="AD1053" s="23">
        <v>0</v>
      </c>
    </row>
    <row r="1054" spans="1:30" hidden="1" x14ac:dyDescent="0.35">
      <c r="A1054" s="7">
        <v>1077</v>
      </c>
      <c r="B1054" s="6">
        <v>45919.513020833336</v>
      </c>
      <c r="C1054" s="6">
        <v>45919</v>
      </c>
      <c r="D1054" s="7" t="s">
        <v>1868</v>
      </c>
      <c r="E1054" s="7" t="s">
        <v>1331</v>
      </c>
      <c r="F1054" s="7" t="s">
        <v>1834</v>
      </c>
      <c r="G1054" s="7" t="s">
        <v>1867</v>
      </c>
      <c r="H1054" s="7" t="s">
        <v>1832</v>
      </c>
      <c r="I1054" s="7" t="s">
        <v>1831</v>
      </c>
      <c r="J1054" s="7" t="s">
        <v>1816</v>
      </c>
      <c r="K1054" s="7" t="s">
        <v>1815</v>
      </c>
      <c r="L1054" s="7" t="s">
        <v>1814</v>
      </c>
      <c r="M1054" s="7" t="s">
        <v>28</v>
      </c>
      <c r="N1054" s="7" t="s">
        <v>1813</v>
      </c>
      <c r="O1054" s="7" t="s">
        <v>1704</v>
      </c>
      <c r="P1054" s="7" t="s">
        <v>1703</v>
      </c>
      <c r="Q1054" s="9">
        <v>4084.06</v>
      </c>
      <c r="R1054" s="9">
        <v>0</v>
      </c>
      <c r="S1054" s="9">
        <f t="shared" si="34"/>
        <v>4084.06</v>
      </c>
      <c r="T1054" s="4" t="s">
        <v>53</v>
      </c>
      <c r="U1054" s="7"/>
      <c r="V1054" s="7"/>
      <c r="W1054" s="9">
        <v>1</v>
      </c>
      <c r="X1054" s="7"/>
      <c r="Y1054" s="7"/>
      <c r="Z1054" s="7" t="s">
        <v>14</v>
      </c>
      <c r="AA1054" s="36" t="s">
        <v>28</v>
      </c>
      <c r="AB1054" s="4"/>
      <c r="AC1054" s="22">
        <f t="shared" si="33"/>
        <v>1.6015921568627451</v>
      </c>
      <c r="AD1054" s="23">
        <v>0</v>
      </c>
    </row>
    <row r="1055" spans="1:30" hidden="1" x14ac:dyDescent="0.35">
      <c r="A1055" s="7">
        <v>1078</v>
      </c>
      <c r="B1055" s="6">
        <v>45919.504756944443</v>
      </c>
      <c r="C1055" s="6">
        <v>45919</v>
      </c>
      <c r="D1055" s="7" t="s">
        <v>1866</v>
      </c>
      <c r="E1055" s="7" t="s">
        <v>1331</v>
      </c>
      <c r="F1055" s="7" t="s">
        <v>1834</v>
      </c>
      <c r="G1055" s="7" t="s">
        <v>1865</v>
      </c>
      <c r="H1055" s="7" t="s">
        <v>1832</v>
      </c>
      <c r="I1055" s="7" t="s">
        <v>1831</v>
      </c>
      <c r="J1055" s="7" t="s">
        <v>1816</v>
      </c>
      <c r="K1055" s="7" t="s">
        <v>1815</v>
      </c>
      <c r="L1055" s="7" t="s">
        <v>1814</v>
      </c>
      <c r="M1055" s="7" t="s">
        <v>28</v>
      </c>
      <c r="N1055" s="7" t="s">
        <v>1813</v>
      </c>
      <c r="O1055" s="7" t="s">
        <v>1704</v>
      </c>
      <c r="P1055" s="7" t="s">
        <v>1703</v>
      </c>
      <c r="Q1055" s="9">
        <v>1361.36</v>
      </c>
      <c r="R1055" s="9">
        <v>0</v>
      </c>
      <c r="S1055" s="9">
        <f t="shared" si="34"/>
        <v>1361.36</v>
      </c>
      <c r="T1055" s="4" t="s">
        <v>53</v>
      </c>
      <c r="U1055" s="7"/>
      <c r="V1055" s="7"/>
      <c r="W1055" s="9">
        <v>1</v>
      </c>
      <c r="X1055" s="7"/>
      <c r="Y1055" s="7"/>
      <c r="Z1055" s="7" t="s">
        <v>14</v>
      </c>
      <c r="AA1055" s="36" t="s">
        <v>28</v>
      </c>
      <c r="AB1055" s="4"/>
      <c r="AC1055" s="22">
        <f t="shared" si="33"/>
        <v>0.5338666666666666</v>
      </c>
      <c r="AD1055" s="23">
        <v>0</v>
      </c>
    </row>
    <row r="1056" spans="1:30" hidden="1" x14ac:dyDescent="0.35">
      <c r="A1056" s="7">
        <v>1079</v>
      </c>
      <c r="B1056" s="6">
        <v>45919.504756944443</v>
      </c>
      <c r="C1056" s="6">
        <v>45919</v>
      </c>
      <c r="D1056" s="7" t="s">
        <v>1866</v>
      </c>
      <c r="E1056" s="7" t="s">
        <v>1331</v>
      </c>
      <c r="F1056" s="7" t="s">
        <v>1834</v>
      </c>
      <c r="G1056" s="7" t="s">
        <v>1865</v>
      </c>
      <c r="H1056" s="7" t="s">
        <v>1832</v>
      </c>
      <c r="I1056" s="7" t="s">
        <v>1831</v>
      </c>
      <c r="J1056" s="7" t="s">
        <v>1816</v>
      </c>
      <c r="K1056" s="7" t="s">
        <v>1815</v>
      </c>
      <c r="L1056" s="7" t="s">
        <v>1814</v>
      </c>
      <c r="M1056" s="7" t="s">
        <v>28</v>
      </c>
      <c r="N1056" s="7" t="s">
        <v>1813</v>
      </c>
      <c r="O1056" s="7" t="s">
        <v>1704</v>
      </c>
      <c r="P1056" s="7" t="s">
        <v>1703</v>
      </c>
      <c r="Q1056" s="9">
        <v>168337.83</v>
      </c>
      <c r="R1056" s="9">
        <v>0</v>
      </c>
      <c r="S1056" s="9">
        <f t="shared" si="34"/>
        <v>168337.83</v>
      </c>
      <c r="T1056" s="4" t="s">
        <v>53</v>
      </c>
      <c r="U1056" s="7"/>
      <c r="V1056" s="7"/>
      <c r="W1056" s="9">
        <v>1</v>
      </c>
      <c r="X1056" s="7"/>
      <c r="Y1056" s="7"/>
      <c r="Z1056" s="7" t="s">
        <v>14</v>
      </c>
      <c r="AA1056" s="36" t="s">
        <v>28</v>
      </c>
      <c r="AB1056" s="4"/>
      <c r="AC1056" s="22">
        <f t="shared" si="33"/>
        <v>66.014835294117646</v>
      </c>
      <c r="AD1056" s="23">
        <v>0</v>
      </c>
    </row>
    <row r="1057" spans="1:30" hidden="1" x14ac:dyDescent="0.35">
      <c r="A1057" s="7">
        <v>1080</v>
      </c>
      <c r="B1057" s="6">
        <v>45919.497303240743</v>
      </c>
      <c r="C1057" s="6">
        <v>45919</v>
      </c>
      <c r="D1057" s="7" t="s">
        <v>1864</v>
      </c>
      <c r="E1057" s="7" t="s">
        <v>1331</v>
      </c>
      <c r="F1057" s="7" t="s">
        <v>1834</v>
      </c>
      <c r="G1057" s="7" t="s">
        <v>1863</v>
      </c>
      <c r="H1057" s="7" t="s">
        <v>1832</v>
      </c>
      <c r="I1057" s="7" t="s">
        <v>1831</v>
      </c>
      <c r="J1057" s="7" t="s">
        <v>1816</v>
      </c>
      <c r="K1057" s="7" t="s">
        <v>1815</v>
      </c>
      <c r="L1057" s="7" t="s">
        <v>1814</v>
      </c>
      <c r="M1057" s="7" t="s">
        <v>28</v>
      </c>
      <c r="N1057" s="7" t="s">
        <v>1813</v>
      </c>
      <c r="O1057" s="7" t="s">
        <v>1704</v>
      </c>
      <c r="P1057" s="7" t="s">
        <v>1703</v>
      </c>
      <c r="Q1057" s="9">
        <v>1361.34</v>
      </c>
      <c r="R1057" s="9">
        <v>0</v>
      </c>
      <c r="S1057" s="9">
        <f t="shared" si="34"/>
        <v>1361.34</v>
      </c>
      <c r="T1057" s="4" t="s">
        <v>53</v>
      </c>
      <c r="U1057" s="7"/>
      <c r="V1057" s="7"/>
      <c r="W1057" s="9">
        <v>1</v>
      </c>
      <c r="X1057" s="7"/>
      <c r="Y1057" s="7"/>
      <c r="Z1057" s="7" t="s">
        <v>14</v>
      </c>
      <c r="AA1057" s="36" t="s">
        <v>28</v>
      </c>
      <c r="AB1057" s="4"/>
      <c r="AC1057" s="22">
        <f t="shared" si="33"/>
        <v>0.53385882352941172</v>
      </c>
      <c r="AD1057" s="23">
        <v>0</v>
      </c>
    </row>
    <row r="1058" spans="1:30" hidden="1" x14ac:dyDescent="0.35">
      <c r="A1058" s="7">
        <v>1081</v>
      </c>
      <c r="B1058" s="6">
        <v>45919.497303240743</v>
      </c>
      <c r="C1058" s="6">
        <v>45919</v>
      </c>
      <c r="D1058" s="7" t="s">
        <v>1864</v>
      </c>
      <c r="E1058" s="7" t="s">
        <v>1331</v>
      </c>
      <c r="F1058" s="7" t="s">
        <v>1834</v>
      </c>
      <c r="G1058" s="7" t="s">
        <v>1863</v>
      </c>
      <c r="H1058" s="7" t="s">
        <v>1832</v>
      </c>
      <c r="I1058" s="7" t="s">
        <v>1831</v>
      </c>
      <c r="J1058" s="7" t="s">
        <v>1816</v>
      </c>
      <c r="K1058" s="7" t="s">
        <v>1815</v>
      </c>
      <c r="L1058" s="7" t="s">
        <v>1814</v>
      </c>
      <c r="M1058" s="7" t="s">
        <v>28</v>
      </c>
      <c r="N1058" s="7" t="s">
        <v>1813</v>
      </c>
      <c r="O1058" s="7" t="s">
        <v>1704</v>
      </c>
      <c r="P1058" s="7" t="s">
        <v>1703</v>
      </c>
      <c r="Q1058" s="9">
        <v>253083.61</v>
      </c>
      <c r="R1058" s="9">
        <v>0</v>
      </c>
      <c r="S1058" s="9">
        <f t="shared" si="34"/>
        <v>253083.61</v>
      </c>
      <c r="T1058" s="4" t="s">
        <v>53</v>
      </c>
      <c r="U1058" s="7"/>
      <c r="V1058" s="7"/>
      <c r="W1058" s="9">
        <v>1</v>
      </c>
      <c r="X1058" s="7"/>
      <c r="Y1058" s="7"/>
      <c r="Z1058" s="7" t="s">
        <v>14</v>
      </c>
      <c r="AA1058" s="36" t="s">
        <v>28</v>
      </c>
      <c r="AB1058" s="4"/>
      <c r="AC1058" s="22">
        <f t="shared" si="33"/>
        <v>99.248474509803913</v>
      </c>
      <c r="AD1058" s="23">
        <v>0</v>
      </c>
    </row>
    <row r="1059" spans="1:30" hidden="1" x14ac:dyDescent="0.35">
      <c r="A1059" s="7">
        <v>1082</v>
      </c>
      <c r="B1059" s="6">
        <v>45919.493101851855</v>
      </c>
      <c r="C1059" s="6">
        <v>45919</v>
      </c>
      <c r="D1059" s="7" t="s">
        <v>1862</v>
      </c>
      <c r="E1059" s="7" t="s">
        <v>1331</v>
      </c>
      <c r="F1059" s="7" t="s">
        <v>1834</v>
      </c>
      <c r="G1059" s="7" t="s">
        <v>1861</v>
      </c>
      <c r="H1059" s="7" t="s">
        <v>1832</v>
      </c>
      <c r="I1059" s="7" t="s">
        <v>1831</v>
      </c>
      <c r="J1059" s="7" t="s">
        <v>1816</v>
      </c>
      <c r="K1059" s="7" t="s">
        <v>1815</v>
      </c>
      <c r="L1059" s="7" t="s">
        <v>1814</v>
      </c>
      <c r="M1059" s="7" t="s">
        <v>28</v>
      </c>
      <c r="N1059" s="7" t="s">
        <v>1813</v>
      </c>
      <c r="O1059" s="7" t="s">
        <v>1704</v>
      </c>
      <c r="P1059" s="7" t="s">
        <v>1703</v>
      </c>
      <c r="Q1059" s="9">
        <v>139524.26999999999</v>
      </c>
      <c r="R1059" s="9">
        <v>0</v>
      </c>
      <c r="S1059" s="9">
        <f t="shared" si="34"/>
        <v>139524.26999999999</v>
      </c>
      <c r="T1059" s="4" t="s">
        <v>53</v>
      </c>
      <c r="U1059" s="7"/>
      <c r="V1059" s="7"/>
      <c r="W1059" s="9">
        <v>1</v>
      </c>
      <c r="X1059" s="7"/>
      <c r="Y1059" s="7"/>
      <c r="Z1059" s="7" t="s">
        <v>14</v>
      </c>
      <c r="AA1059" s="36" t="s">
        <v>28</v>
      </c>
      <c r="AB1059" s="4"/>
      <c r="AC1059" s="22">
        <f t="shared" si="33"/>
        <v>54.715399999999995</v>
      </c>
      <c r="AD1059" s="23">
        <v>0</v>
      </c>
    </row>
    <row r="1060" spans="1:30" hidden="1" x14ac:dyDescent="0.35">
      <c r="A1060" s="7">
        <v>1083</v>
      </c>
      <c r="B1060" s="6">
        <v>45919.493101851855</v>
      </c>
      <c r="C1060" s="6">
        <v>45919</v>
      </c>
      <c r="D1060" s="7" t="s">
        <v>1862</v>
      </c>
      <c r="E1060" s="7" t="s">
        <v>1331</v>
      </c>
      <c r="F1060" s="7" t="s">
        <v>1834</v>
      </c>
      <c r="G1060" s="7" t="s">
        <v>1861</v>
      </c>
      <c r="H1060" s="7" t="s">
        <v>1832</v>
      </c>
      <c r="I1060" s="7" t="s">
        <v>1831</v>
      </c>
      <c r="J1060" s="7" t="s">
        <v>1816</v>
      </c>
      <c r="K1060" s="7" t="s">
        <v>1815</v>
      </c>
      <c r="L1060" s="7" t="s">
        <v>1814</v>
      </c>
      <c r="M1060" s="7" t="s">
        <v>28</v>
      </c>
      <c r="N1060" s="7" t="s">
        <v>1813</v>
      </c>
      <c r="O1060" s="7" t="s">
        <v>1704</v>
      </c>
      <c r="P1060" s="7" t="s">
        <v>1703</v>
      </c>
      <c r="Q1060" s="9">
        <v>1361.36</v>
      </c>
      <c r="R1060" s="9">
        <v>0</v>
      </c>
      <c r="S1060" s="9">
        <f t="shared" si="34"/>
        <v>1361.36</v>
      </c>
      <c r="T1060" s="4" t="s">
        <v>53</v>
      </c>
      <c r="U1060" s="7"/>
      <c r="V1060" s="7"/>
      <c r="W1060" s="9">
        <v>1</v>
      </c>
      <c r="X1060" s="7"/>
      <c r="Y1060" s="7"/>
      <c r="Z1060" s="7" t="s">
        <v>14</v>
      </c>
      <c r="AA1060" s="36" t="s">
        <v>28</v>
      </c>
      <c r="AB1060" s="4"/>
      <c r="AC1060" s="22">
        <f t="shared" si="33"/>
        <v>0.5338666666666666</v>
      </c>
      <c r="AD1060" s="23">
        <v>0</v>
      </c>
    </row>
    <row r="1061" spans="1:30" hidden="1" x14ac:dyDescent="0.35">
      <c r="A1061" s="7">
        <v>1084</v>
      </c>
      <c r="B1061" s="6">
        <v>45919.352407407408</v>
      </c>
      <c r="C1061" s="6">
        <v>45919</v>
      </c>
      <c r="D1061" s="7" t="s">
        <v>1855</v>
      </c>
      <c r="E1061" s="7" t="s">
        <v>1331</v>
      </c>
      <c r="F1061" s="7" t="s">
        <v>1860</v>
      </c>
      <c r="G1061" s="7" t="s">
        <v>1853</v>
      </c>
      <c r="H1061" s="7" t="s">
        <v>1852</v>
      </c>
      <c r="I1061" s="7" t="s">
        <v>1851</v>
      </c>
      <c r="J1061" s="7" t="s">
        <v>1816</v>
      </c>
      <c r="K1061" s="7" t="s">
        <v>1815</v>
      </c>
      <c r="L1061" s="7" t="s">
        <v>1814</v>
      </c>
      <c r="M1061" s="7" t="s">
        <v>28</v>
      </c>
      <c r="N1061" s="7" t="s">
        <v>1825</v>
      </c>
      <c r="O1061" s="7" t="s">
        <v>105</v>
      </c>
      <c r="P1061" s="7" t="s">
        <v>1775</v>
      </c>
      <c r="Q1061" s="9">
        <v>101107.23</v>
      </c>
      <c r="R1061" s="9">
        <v>0</v>
      </c>
      <c r="S1061" s="9">
        <f t="shared" si="34"/>
        <v>101107.23</v>
      </c>
      <c r="T1061" s="4" t="s">
        <v>53</v>
      </c>
      <c r="U1061" s="7" t="s">
        <v>1857</v>
      </c>
      <c r="V1061" s="7" t="s">
        <v>1823</v>
      </c>
      <c r="W1061" s="9">
        <v>1</v>
      </c>
      <c r="X1061" s="7" t="s">
        <v>1856</v>
      </c>
      <c r="Y1061" s="7"/>
      <c r="Z1061" s="7" t="s">
        <v>14</v>
      </c>
      <c r="AA1061" s="36" t="s">
        <v>28</v>
      </c>
      <c r="AB1061" s="4"/>
      <c r="AC1061" s="22">
        <f t="shared" si="33"/>
        <v>39.649894117647058</v>
      </c>
      <c r="AD1061" s="23">
        <v>0</v>
      </c>
    </row>
    <row r="1062" spans="1:30" hidden="1" x14ac:dyDescent="0.35">
      <c r="A1062" s="7">
        <v>1085</v>
      </c>
      <c r="B1062" s="6">
        <v>45919.352407407408</v>
      </c>
      <c r="C1062" s="6">
        <v>45919</v>
      </c>
      <c r="D1062" s="7" t="s">
        <v>1855</v>
      </c>
      <c r="E1062" s="7" t="s">
        <v>1331</v>
      </c>
      <c r="F1062" s="7" t="s">
        <v>1859</v>
      </c>
      <c r="G1062" s="7" t="s">
        <v>1853</v>
      </c>
      <c r="H1062" s="7" t="s">
        <v>1852</v>
      </c>
      <c r="I1062" s="7" t="s">
        <v>1851</v>
      </c>
      <c r="J1062" s="7" t="s">
        <v>1816</v>
      </c>
      <c r="K1062" s="7" t="s">
        <v>1815</v>
      </c>
      <c r="L1062" s="7" t="s">
        <v>1814</v>
      </c>
      <c r="M1062" s="7" t="s">
        <v>28</v>
      </c>
      <c r="N1062" s="7" t="s">
        <v>1825</v>
      </c>
      <c r="O1062" s="7" t="s">
        <v>105</v>
      </c>
      <c r="P1062" s="7" t="s">
        <v>1775</v>
      </c>
      <c r="Q1062" s="9">
        <v>18495225</v>
      </c>
      <c r="R1062" s="9">
        <v>0</v>
      </c>
      <c r="S1062" s="9">
        <f t="shared" si="34"/>
        <v>18495225</v>
      </c>
      <c r="T1062" s="4" t="s">
        <v>53</v>
      </c>
      <c r="U1062" s="7" t="s">
        <v>1824</v>
      </c>
      <c r="V1062" s="7" t="s">
        <v>1823</v>
      </c>
      <c r="W1062" s="9">
        <v>1</v>
      </c>
      <c r="X1062" s="7" t="s">
        <v>94</v>
      </c>
      <c r="Y1062" s="7"/>
      <c r="Z1062" s="7" t="s">
        <v>14</v>
      </c>
      <c r="AA1062" s="36" t="s">
        <v>28</v>
      </c>
      <c r="AB1062" s="4"/>
      <c r="AC1062" s="22">
        <f t="shared" si="33"/>
        <v>7253.0294117647063</v>
      </c>
      <c r="AD1062" s="23">
        <v>0</v>
      </c>
    </row>
    <row r="1063" spans="1:30" hidden="1" x14ac:dyDescent="0.35">
      <c r="A1063" s="7">
        <v>1086</v>
      </c>
      <c r="B1063" s="6">
        <v>45919.352407407408</v>
      </c>
      <c r="C1063" s="6">
        <v>45919</v>
      </c>
      <c r="D1063" s="7" t="s">
        <v>1855</v>
      </c>
      <c r="E1063" s="7" t="s">
        <v>1331</v>
      </c>
      <c r="F1063" s="7" t="s">
        <v>1858</v>
      </c>
      <c r="G1063" s="7" t="s">
        <v>1853</v>
      </c>
      <c r="H1063" s="7" t="s">
        <v>1852</v>
      </c>
      <c r="I1063" s="7" t="s">
        <v>1851</v>
      </c>
      <c r="J1063" s="7" t="s">
        <v>1816</v>
      </c>
      <c r="K1063" s="7" t="s">
        <v>1815</v>
      </c>
      <c r="L1063" s="7" t="s">
        <v>1814</v>
      </c>
      <c r="M1063" s="7" t="s">
        <v>28</v>
      </c>
      <c r="N1063" s="7" t="s">
        <v>1825</v>
      </c>
      <c r="O1063" s="7" t="s">
        <v>105</v>
      </c>
      <c r="P1063" s="7" t="s">
        <v>1775</v>
      </c>
      <c r="Q1063" s="9">
        <v>616507.5</v>
      </c>
      <c r="R1063" s="9">
        <v>0</v>
      </c>
      <c r="S1063" s="9">
        <f t="shared" si="34"/>
        <v>616507.5</v>
      </c>
      <c r="T1063" s="4" t="s">
        <v>53</v>
      </c>
      <c r="U1063" s="7" t="s">
        <v>1857</v>
      </c>
      <c r="V1063" s="7" t="s">
        <v>1823</v>
      </c>
      <c r="W1063" s="9">
        <v>1</v>
      </c>
      <c r="X1063" s="7" t="s">
        <v>1856</v>
      </c>
      <c r="Y1063" s="7"/>
      <c r="Z1063" s="7" t="s">
        <v>14</v>
      </c>
      <c r="AA1063" s="36" t="s">
        <v>28</v>
      </c>
      <c r="AB1063" s="4"/>
      <c r="AC1063" s="22">
        <f t="shared" si="33"/>
        <v>241.76764705882354</v>
      </c>
      <c r="AD1063" s="23">
        <v>0</v>
      </c>
    </row>
    <row r="1064" spans="1:30" hidden="1" x14ac:dyDescent="0.35">
      <c r="A1064" s="7">
        <v>1087</v>
      </c>
      <c r="B1064" s="6">
        <v>45919.352407407408</v>
      </c>
      <c r="C1064" s="6">
        <v>45919</v>
      </c>
      <c r="D1064" s="7" t="s">
        <v>1855</v>
      </c>
      <c r="E1064" s="7" t="s">
        <v>1331</v>
      </c>
      <c r="F1064" s="7" t="s">
        <v>1854</v>
      </c>
      <c r="G1064" s="7" t="s">
        <v>1853</v>
      </c>
      <c r="H1064" s="7" t="s">
        <v>1852</v>
      </c>
      <c r="I1064" s="7" t="s">
        <v>1851</v>
      </c>
      <c r="J1064" s="7" t="s">
        <v>1816</v>
      </c>
      <c r="K1064" s="7" t="s">
        <v>1815</v>
      </c>
      <c r="L1064" s="7" t="s">
        <v>1814</v>
      </c>
      <c r="M1064" s="7" t="s">
        <v>28</v>
      </c>
      <c r="N1064" s="7" t="s">
        <v>1825</v>
      </c>
      <c r="O1064" s="7" t="s">
        <v>105</v>
      </c>
      <c r="P1064" s="7" t="s">
        <v>1775</v>
      </c>
      <c r="Q1064" s="9">
        <v>13316562</v>
      </c>
      <c r="R1064" s="9">
        <v>0</v>
      </c>
      <c r="S1064" s="9">
        <f t="shared" si="34"/>
        <v>13316562</v>
      </c>
      <c r="T1064" s="4" t="s">
        <v>53</v>
      </c>
      <c r="U1064" s="7" t="s">
        <v>1850</v>
      </c>
      <c r="V1064" s="7" t="s">
        <v>1823</v>
      </c>
      <c r="W1064" s="9">
        <v>8</v>
      </c>
      <c r="X1064" s="7" t="s">
        <v>1849</v>
      </c>
      <c r="Y1064" s="7"/>
      <c r="Z1064" s="7" t="s">
        <v>14</v>
      </c>
      <c r="AA1064" s="36" t="s">
        <v>28</v>
      </c>
      <c r="AB1064" s="4"/>
      <c r="AC1064" s="22">
        <f t="shared" si="33"/>
        <v>5222.1811764705881</v>
      </c>
      <c r="AD1064" s="23">
        <v>0</v>
      </c>
    </row>
    <row r="1065" spans="1:30" hidden="1" x14ac:dyDescent="0.35">
      <c r="A1065" s="7">
        <v>1088</v>
      </c>
      <c r="B1065" s="6">
        <v>45919.44740740741</v>
      </c>
      <c r="C1065" s="6">
        <v>45919</v>
      </c>
      <c r="D1065" s="7" t="s">
        <v>1848</v>
      </c>
      <c r="E1065" s="7" t="s">
        <v>1819</v>
      </c>
      <c r="F1065" s="7" t="s">
        <v>1818</v>
      </c>
      <c r="G1065" s="7" t="s">
        <v>1847</v>
      </c>
      <c r="H1065" s="7"/>
      <c r="I1065" s="7"/>
      <c r="J1065" s="7" t="s">
        <v>1816</v>
      </c>
      <c r="K1065" s="7" t="s">
        <v>1815</v>
      </c>
      <c r="L1065" s="7" t="s">
        <v>1814</v>
      </c>
      <c r="M1065" s="7" t="s">
        <v>28</v>
      </c>
      <c r="N1065" s="7" t="s">
        <v>1813</v>
      </c>
      <c r="O1065" s="7" t="s">
        <v>1704</v>
      </c>
      <c r="P1065" s="7" t="s">
        <v>1703</v>
      </c>
      <c r="Q1065" s="9">
        <v>3000000</v>
      </c>
      <c r="R1065" s="9">
        <v>0</v>
      </c>
      <c r="S1065" s="9">
        <f t="shared" si="34"/>
        <v>3000000</v>
      </c>
      <c r="T1065" s="4" t="s">
        <v>53</v>
      </c>
      <c r="U1065" s="7"/>
      <c r="V1065" s="7"/>
      <c r="W1065" s="9">
        <v>1</v>
      </c>
      <c r="X1065" s="7"/>
      <c r="Y1065" s="7"/>
      <c r="Z1065" s="7" t="s">
        <v>14</v>
      </c>
      <c r="AA1065" s="36" t="s">
        <v>28</v>
      </c>
      <c r="AB1065" s="4"/>
      <c r="AC1065" s="22">
        <f t="shared" si="33"/>
        <v>1176.4705882352941</v>
      </c>
      <c r="AD1065" s="23">
        <v>0</v>
      </c>
    </row>
    <row r="1066" spans="1:30" hidden="1" x14ac:dyDescent="0.35">
      <c r="A1066" s="7">
        <v>1089</v>
      </c>
      <c r="B1066" s="6">
        <v>45919.302731481483</v>
      </c>
      <c r="C1066" s="6">
        <v>45919</v>
      </c>
      <c r="D1066" s="7" t="s">
        <v>1846</v>
      </c>
      <c r="E1066" s="7" t="s">
        <v>1842</v>
      </c>
      <c r="F1066" s="7" t="s">
        <v>1844</v>
      </c>
      <c r="G1066" s="7" t="s">
        <v>1845</v>
      </c>
      <c r="H1066" s="7"/>
      <c r="I1066" s="7"/>
      <c r="J1066" s="7" t="s">
        <v>1840</v>
      </c>
      <c r="K1066" s="7" t="s">
        <v>1815</v>
      </c>
      <c r="L1066" s="7" t="s">
        <v>1839</v>
      </c>
      <c r="M1066" s="7" t="s">
        <v>13</v>
      </c>
      <c r="N1066" s="7" t="s">
        <v>1844</v>
      </c>
      <c r="O1066" s="7" t="s">
        <v>1065</v>
      </c>
      <c r="P1066" s="7" t="s">
        <v>1703</v>
      </c>
      <c r="Q1066" s="9">
        <v>0</v>
      </c>
      <c r="R1066" s="9">
        <v>8391669</v>
      </c>
      <c r="S1066" s="9">
        <f t="shared" si="34"/>
        <v>-8391669</v>
      </c>
      <c r="T1066" s="4" t="s">
        <v>53</v>
      </c>
      <c r="U1066" s="7"/>
      <c r="V1066" s="7"/>
      <c r="W1066" s="9">
        <v>1</v>
      </c>
      <c r="X1066" s="7"/>
      <c r="Y1066" s="7"/>
      <c r="Z1066" s="7" t="s">
        <v>12</v>
      </c>
      <c r="AA1066" s="36" t="s">
        <v>2630</v>
      </c>
      <c r="AB1066" s="4"/>
      <c r="AC1066" s="22">
        <f t="shared" si="33"/>
        <v>-3290.8505882352943</v>
      </c>
      <c r="AD1066" s="23">
        <v>0</v>
      </c>
    </row>
    <row r="1067" spans="1:30" hidden="1" x14ac:dyDescent="0.35">
      <c r="A1067" s="7">
        <v>1090</v>
      </c>
      <c r="B1067" s="6">
        <v>45919.281469907408</v>
      </c>
      <c r="C1067" s="6">
        <v>45919</v>
      </c>
      <c r="D1067" s="7" t="s">
        <v>1843</v>
      </c>
      <c r="E1067" s="7" t="s">
        <v>1842</v>
      </c>
      <c r="F1067" s="7" t="s">
        <v>1838</v>
      </c>
      <c r="G1067" s="7" t="s">
        <v>1841</v>
      </c>
      <c r="H1067" s="7"/>
      <c r="I1067" s="7"/>
      <c r="J1067" s="7" t="s">
        <v>1840</v>
      </c>
      <c r="K1067" s="7" t="s">
        <v>1815</v>
      </c>
      <c r="L1067" s="7" t="s">
        <v>1839</v>
      </c>
      <c r="M1067" s="7" t="s">
        <v>13</v>
      </c>
      <c r="N1067" s="7" t="s">
        <v>1838</v>
      </c>
      <c r="O1067" s="7" t="s">
        <v>1065</v>
      </c>
      <c r="P1067" s="7" t="s">
        <v>1703</v>
      </c>
      <c r="Q1067" s="9">
        <v>0</v>
      </c>
      <c r="R1067" s="9">
        <v>25423728.809999999</v>
      </c>
      <c r="S1067" s="9">
        <f t="shared" si="34"/>
        <v>-25423728.809999999</v>
      </c>
      <c r="T1067" s="4" t="s">
        <v>53</v>
      </c>
      <c r="U1067" s="7"/>
      <c r="V1067" s="7"/>
      <c r="W1067" s="9">
        <v>1</v>
      </c>
      <c r="X1067" s="7"/>
      <c r="Y1067" s="7"/>
      <c r="Z1067" s="7" t="s">
        <v>12</v>
      </c>
      <c r="AA1067" s="36" t="s">
        <v>2630</v>
      </c>
      <c r="AB1067" s="4"/>
      <c r="AC1067" s="22">
        <f t="shared" ref="AC1067:AC1095" si="35">+S1067/$AC$1</f>
        <v>-9970.089729411764</v>
      </c>
      <c r="AD1067" s="23">
        <v>0</v>
      </c>
    </row>
    <row r="1068" spans="1:30" x14ac:dyDescent="0.35">
      <c r="A1068" s="7">
        <v>1091</v>
      </c>
      <c r="B1068" s="6">
        <v>45919</v>
      </c>
      <c r="C1068" s="6">
        <v>45919</v>
      </c>
      <c r="D1068" s="4" t="s">
        <v>311</v>
      </c>
      <c r="E1068" s="4" t="s">
        <v>61</v>
      </c>
      <c r="F1068" s="4" t="s">
        <v>310</v>
      </c>
      <c r="G1068" s="4" t="s">
        <v>310</v>
      </c>
      <c r="H1068" s="4"/>
      <c r="I1068" s="4"/>
      <c r="J1068" s="4" t="s">
        <v>59</v>
      </c>
      <c r="K1068" s="4" t="s">
        <v>58</v>
      </c>
      <c r="L1068" s="4" t="s">
        <v>57</v>
      </c>
      <c r="M1068" s="4" t="s">
        <v>32</v>
      </c>
      <c r="N1068" s="4" t="s">
        <v>266</v>
      </c>
      <c r="O1068" s="5" t="s">
        <v>55</v>
      </c>
      <c r="P1068" s="4" t="s">
        <v>54</v>
      </c>
      <c r="Q1068" s="10">
        <v>90000</v>
      </c>
      <c r="R1068" s="10">
        <v>0</v>
      </c>
      <c r="S1068" s="9">
        <f t="shared" si="34"/>
        <v>90000</v>
      </c>
      <c r="T1068" s="4" t="s">
        <v>53</v>
      </c>
      <c r="U1068" s="4" t="s">
        <v>121</v>
      </c>
      <c r="V1068" s="4"/>
      <c r="W1068" s="4">
        <v>-6</v>
      </c>
      <c r="X1068" s="4" t="s">
        <v>94</v>
      </c>
      <c r="Y1068" s="4"/>
      <c r="Z1068" s="7" t="s">
        <v>14</v>
      </c>
      <c r="AA1068" s="36" t="s">
        <v>22</v>
      </c>
      <c r="AB1068" s="4" t="s">
        <v>2835</v>
      </c>
      <c r="AC1068" s="22">
        <f t="shared" si="35"/>
        <v>35.294117647058826</v>
      </c>
      <c r="AD1068" s="23">
        <v>0</v>
      </c>
    </row>
    <row r="1069" spans="1:30" x14ac:dyDescent="0.35">
      <c r="A1069" s="7">
        <v>1092</v>
      </c>
      <c r="B1069" s="6">
        <v>45919</v>
      </c>
      <c r="C1069" s="6">
        <v>45919</v>
      </c>
      <c r="D1069" s="4" t="s">
        <v>309</v>
      </c>
      <c r="E1069" s="4" t="s">
        <v>61</v>
      </c>
      <c r="F1069" s="4" t="s">
        <v>308</v>
      </c>
      <c r="G1069" s="4" t="s">
        <v>308</v>
      </c>
      <c r="H1069" s="4"/>
      <c r="I1069" s="4"/>
      <c r="J1069" s="4" t="s">
        <v>59</v>
      </c>
      <c r="K1069" s="4" t="s">
        <v>58</v>
      </c>
      <c r="L1069" s="4" t="s">
        <v>57</v>
      </c>
      <c r="M1069" s="4" t="s">
        <v>32</v>
      </c>
      <c r="N1069" s="4" t="s">
        <v>266</v>
      </c>
      <c r="O1069" s="5" t="s">
        <v>55</v>
      </c>
      <c r="P1069" s="4" t="s">
        <v>54</v>
      </c>
      <c r="Q1069" s="10">
        <v>99999.46</v>
      </c>
      <c r="R1069" s="10">
        <v>0</v>
      </c>
      <c r="S1069" s="9">
        <f t="shared" si="34"/>
        <v>99999.46</v>
      </c>
      <c r="T1069" s="4" t="s">
        <v>53</v>
      </c>
      <c r="U1069" s="4" t="s">
        <v>307</v>
      </c>
      <c r="V1069" s="4"/>
      <c r="W1069" s="4">
        <v>-1</v>
      </c>
      <c r="X1069" s="4" t="s">
        <v>94</v>
      </c>
      <c r="Y1069" s="4"/>
      <c r="Z1069" s="7" t="s">
        <v>14</v>
      </c>
      <c r="AA1069" s="36" t="s">
        <v>22</v>
      </c>
      <c r="AB1069" s="4" t="s">
        <v>2835</v>
      </c>
      <c r="AC1069" s="22">
        <f t="shared" si="35"/>
        <v>39.215474509803926</v>
      </c>
      <c r="AD1069" s="23">
        <v>0</v>
      </c>
    </row>
    <row r="1070" spans="1:30" x14ac:dyDescent="0.35">
      <c r="A1070" s="7">
        <v>1093</v>
      </c>
      <c r="B1070" s="6">
        <v>45919</v>
      </c>
      <c r="C1070" s="6">
        <v>45919</v>
      </c>
      <c r="D1070" s="4" t="s">
        <v>139</v>
      </c>
      <c r="E1070" s="4" t="s">
        <v>61</v>
      </c>
      <c r="F1070" s="4" t="s">
        <v>138</v>
      </c>
      <c r="G1070" s="4" t="s">
        <v>138</v>
      </c>
      <c r="H1070" s="4"/>
      <c r="I1070" s="4"/>
      <c r="J1070" s="4" t="s">
        <v>59</v>
      </c>
      <c r="K1070" s="4" t="s">
        <v>58</v>
      </c>
      <c r="L1070" s="4" t="s">
        <v>57</v>
      </c>
      <c r="M1070" s="4" t="s">
        <v>32</v>
      </c>
      <c r="N1070" s="4" t="s">
        <v>96</v>
      </c>
      <c r="O1070" s="5" t="s">
        <v>68</v>
      </c>
      <c r="P1070" s="4" t="s">
        <v>54</v>
      </c>
      <c r="Q1070" s="10">
        <v>580843.31000000006</v>
      </c>
      <c r="R1070" s="10">
        <v>0</v>
      </c>
      <c r="S1070" s="9">
        <f t="shared" si="34"/>
        <v>580843.31000000006</v>
      </c>
      <c r="T1070" s="4" t="s">
        <v>53</v>
      </c>
      <c r="U1070" s="4" t="s">
        <v>130</v>
      </c>
      <c r="V1070" s="4"/>
      <c r="W1070" s="4">
        <v>-40</v>
      </c>
      <c r="X1070" s="4" t="s">
        <v>129</v>
      </c>
      <c r="Y1070" s="4"/>
      <c r="Z1070" s="7" t="s">
        <v>14</v>
      </c>
      <c r="AA1070" s="36" t="s">
        <v>27</v>
      </c>
      <c r="AB1070" s="4" t="s">
        <v>2603</v>
      </c>
      <c r="AC1070" s="22">
        <f t="shared" si="35"/>
        <v>227.78169019607844</v>
      </c>
      <c r="AD1070" s="23">
        <v>0</v>
      </c>
    </row>
    <row r="1071" spans="1:30" hidden="1" x14ac:dyDescent="0.35">
      <c r="A1071" s="7">
        <v>1094</v>
      </c>
      <c r="B1071" s="6">
        <v>45922.54179398148</v>
      </c>
      <c r="C1071" s="6">
        <v>45922</v>
      </c>
      <c r="D1071" s="7" t="s">
        <v>1837</v>
      </c>
      <c r="E1071" s="7" t="s">
        <v>1819</v>
      </c>
      <c r="F1071" s="7" t="s">
        <v>1818</v>
      </c>
      <c r="G1071" s="7" t="s">
        <v>1836</v>
      </c>
      <c r="H1071" s="7"/>
      <c r="I1071" s="7"/>
      <c r="J1071" s="7" t="s">
        <v>1816</v>
      </c>
      <c r="K1071" s="7" t="s">
        <v>1815</v>
      </c>
      <c r="L1071" s="7" t="s">
        <v>1814</v>
      </c>
      <c r="M1071" s="7" t="s">
        <v>28</v>
      </c>
      <c r="N1071" s="7" t="s">
        <v>1813</v>
      </c>
      <c r="O1071" s="7" t="s">
        <v>1704</v>
      </c>
      <c r="P1071" s="7" t="s">
        <v>1703</v>
      </c>
      <c r="Q1071" s="9">
        <v>1000000</v>
      </c>
      <c r="R1071" s="9">
        <v>0</v>
      </c>
      <c r="S1071" s="9">
        <f t="shared" si="34"/>
        <v>1000000</v>
      </c>
      <c r="T1071" s="4" t="s">
        <v>53</v>
      </c>
      <c r="U1071" s="7"/>
      <c r="V1071" s="7"/>
      <c r="W1071" s="9">
        <v>1</v>
      </c>
      <c r="X1071" s="7"/>
      <c r="Y1071" s="7"/>
      <c r="Z1071" s="7" t="s">
        <v>14</v>
      </c>
      <c r="AA1071" s="36" t="s">
        <v>28</v>
      </c>
      <c r="AB1071" s="4"/>
      <c r="AC1071" s="22">
        <f t="shared" si="35"/>
        <v>392.15686274509807</v>
      </c>
      <c r="AD1071" s="23">
        <v>0</v>
      </c>
    </row>
    <row r="1072" spans="1:30" x14ac:dyDescent="0.35">
      <c r="A1072" s="7">
        <v>1095</v>
      </c>
      <c r="B1072" s="6">
        <v>45922</v>
      </c>
      <c r="C1072" s="6">
        <v>45922</v>
      </c>
      <c r="D1072" s="4" t="s">
        <v>319</v>
      </c>
      <c r="E1072" s="4" t="s">
        <v>61</v>
      </c>
      <c r="F1072" s="4" t="s">
        <v>318</v>
      </c>
      <c r="G1072" s="4" t="s">
        <v>318</v>
      </c>
      <c r="H1072" s="4"/>
      <c r="I1072" s="4"/>
      <c r="J1072" s="4" t="s">
        <v>59</v>
      </c>
      <c r="K1072" s="4" t="s">
        <v>58</v>
      </c>
      <c r="L1072" s="4" t="s">
        <v>57</v>
      </c>
      <c r="M1072" s="4" t="s">
        <v>32</v>
      </c>
      <c r="N1072" s="4" t="s">
        <v>317</v>
      </c>
      <c r="O1072" s="5" t="s">
        <v>68</v>
      </c>
      <c r="P1072" s="4" t="s">
        <v>54</v>
      </c>
      <c r="Q1072" s="10">
        <v>16899</v>
      </c>
      <c r="R1072" s="10">
        <v>0</v>
      </c>
      <c r="S1072" s="9">
        <f t="shared" si="34"/>
        <v>16899</v>
      </c>
      <c r="T1072" s="4" t="s">
        <v>53</v>
      </c>
      <c r="U1072" s="4" t="s">
        <v>316</v>
      </c>
      <c r="V1072" s="4"/>
      <c r="W1072" s="4">
        <v>-6</v>
      </c>
      <c r="X1072" s="4" t="s">
        <v>94</v>
      </c>
      <c r="Y1072" s="4"/>
      <c r="Z1072" s="7" t="s">
        <v>14</v>
      </c>
      <c r="AA1072" s="36" t="s">
        <v>23</v>
      </c>
      <c r="AB1072" s="4" t="s">
        <v>2607</v>
      </c>
      <c r="AC1072" s="22">
        <f t="shared" si="35"/>
        <v>6.6270588235294117</v>
      </c>
      <c r="AD1072" s="23">
        <v>0</v>
      </c>
    </row>
    <row r="1073" spans="1:30" x14ac:dyDescent="0.35">
      <c r="A1073" s="7">
        <v>1096</v>
      </c>
      <c r="B1073" s="6">
        <v>45922</v>
      </c>
      <c r="C1073" s="6">
        <v>45922</v>
      </c>
      <c r="D1073" s="4" t="s">
        <v>113</v>
      </c>
      <c r="E1073" s="4" t="s">
        <v>61</v>
      </c>
      <c r="F1073" s="4" t="s">
        <v>112</v>
      </c>
      <c r="G1073" s="4" t="s">
        <v>112</v>
      </c>
      <c r="H1073" s="4"/>
      <c r="I1073" s="4"/>
      <c r="J1073" s="4" t="s">
        <v>59</v>
      </c>
      <c r="K1073" s="4" t="s">
        <v>58</v>
      </c>
      <c r="L1073" s="4" t="s">
        <v>97</v>
      </c>
      <c r="M1073" s="4" t="s">
        <v>34</v>
      </c>
      <c r="N1073" s="4" t="s">
        <v>106</v>
      </c>
      <c r="O1073" s="5" t="s">
        <v>105</v>
      </c>
      <c r="P1073" s="4" t="s">
        <v>54</v>
      </c>
      <c r="Q1073" s="10">
        <v>117600.05</v>
      </c>
      <c r="R1073" s="10">
        <v>0</v>
      </c>
      <c r="S1073" s="9">
        <f t="shared" si="34"/>
        <v>117600.05</v>
      </c>
      <c r="T1073" s="4" t="s">
        <v>53</v>
      </c>
      <c r="U1073" s="4" t="s">
        <v>111</v>
      </c>
      <c r="V1073" s="4"/>
      <c r="W1073" s="4">
        <v>-280</v>
      </c>
      <c r="X1073" s="4" t="s">
        <v>94</v>
      </c>
      <c r="Y1073" s="4"/>
      <c r="Z1073" s="7" t="s">
        <v>14</v>
      </c>
      <c r="AA1073" s="36" t="s">
        <v>15</v>
      </c>
      <c r="AB1073" s="4" t="s">
        <v>2606</v>
      </c>
      <c r="AC1073" s="22">
        <f t="shared" si="35"/>
        <v>46.117666666666665</v>
      </c>
      <c r="AD1073" s="23">
        <v>0</v>
      </c>
    </row>
    <row r="1074" spans="1:30" x14ac:dyDescent="0.35">
      <c r="A1074" s="7">
        <v>1097</v>
      </c>
      <c r="B1074" s="6">
        <v>45923</v>
      </c>
      <c r="C1074" s="6">
        <v>45923</v>
      </c>
      <c r="D1074" s="4" t="s">
        <v>322</v>
      </c>
      <c r="E1074" s="4" t="s">
        <v>61</v>
      </c>
      <c r="F1074" s="4" t="s">
        <v>321</v>
      </c>
      <c r="G1074" s="4" t="s">
        <v>321</v>
      </c>
      <c r="H1074" s="4"/>
      <c r="I1074" s="4"/>
      <c r="J1074" s="4" t="s">
        <v>59</v>
      </c>
      <c r="K1074" s="4" t="s">
        <v>58</v>
      </c>
      <c r="L1074" s="4" t="s">
        <v>57</v>
      </c>
      <c r="M1074" s="4" t="s">
        <v>32</v>
      </c>
      <c r="N1074" s="4" t="s">
        <v>317</v>
      </c>
      <c r="O1074" s="5" t="s">
        <v>68</v>
      </c>
      <c r="P1074" s="4" t="s">
        <v>54</v>
      </c>
      <c r="Q1074" s="10">
        <v>45000</v>
      </c>
      <c r="R1074" s="10">
        <v>0</v>
      </c>
      <c r="S1074" s="9">
        <f t="shared" si="34"/>
        <v>45000</v>
      </c>
      <c r="T1074" s="4" t="s">
        <v>53</v>
      </c>
      <c r="U1074" s="4" t="s">
        <v>320</v>
      </c>
      <c r="V1074" s="4"/>
      <c r="W1074" s="4">
        <v>-50</v>
      </c>
      <c r="X1074" s="4" t="s">
        <v>94</v>
      </c>
      <c r="Y1074" s="4"/>
      <c r="Z1074" s="7" t="s">
        <v>14</v>
      </c>
      <c r="AA1074" s="36" t="s">
        <v>23</v>
      </c>
      <c r="AB1074" s="4" t="s">
        <v>2607</v>
      </c>
      <c r="AC1074" s="22">
        <f t="shared" si="35"/>
        <v>17.647058823529413</v>
      </c>
      <c r="AD1074" s="23">
        <v>0</v>
      </c>
    </row>
    <row r="1075" spans="1:30" hidden="1" x14ac:dyDescent="0.35">
      <c r="A1075" s="7">
        <v>1098</v>
      </c>
      <c r="B1075" s="6">
        <v>45923</v>
      </c>
      <c r="C1075" s="6">
        <v>45923</v>
      </c>
      <c r="D1075" s="4" t="s">
        <v>254</v>
      </c>
      <c r="E1075" s="4" t="s">
        <v>61</v>
      </c>
      <c r="F1075" s="4" t="s">
        <v>253</v>
      </c>
      <c r="G1075" s="4" t="s">
        <v>253</v>
      </c>
      <c r="H1075" s="4"/>
      <c r="I1075" s="4"/>
      <c r="J1075" s="4" t="s">
        <v>59</v>
      </c>
      <c r="K1075" s="4" t="s">
        <v>58</v>
      </c>
      <c r="L1075" s="4" t="s">
        <v>57</v>
      </c>
      <c r="M1075" s="4" t="s">
        <v>32</v>
      </c>
      <c r="N1075" s="4" t="s">
        <v>211</v>
      </c>
      <c r="O1075" s="5" t="s">
        <v>210</v>
      </c>
      <c r="P1075" s="4" t="s">
        <v>210</v>
      </c>
      <c r="Q1075" s="10">
        <v>19879.88</v>
      </c>
      <c r="R1075" s="10">
        <v>0</v>
      </c>
      <c r="S1075" s="9">
        <f t="shared" si="34"/>
        <v>19879.88</v>
      </c>
      <c r="T1075" s="4" t="s">
        <v>53</v>
      </c>
      <c r="U1075" s="4" t="s">
        <v>252</v>
      </c>
      <c r="V1075" s="4"/>
      <c r="W1075" s="4">
        <v>-10</v>
      </c>
      <c r="X1075" s="4" t="s">
        <v>94</v>
      </c>
      <c r="Y1075" s="4"/>
      <c r="Z1075" s="7" t="s">
        <v>14</v>
      </c>
      <c r="AA1075" s="36" t="s">
        <v>30</v>
      </c>
      <c r="AB1075" s="4"/>
      <c r="AC1075" s="22">
        <f t="shared" si="35"/>
        <v>7.7960313725490202</v>
      </c>
      <c r="AD1075" s="23">
        <v>0</v>
      </c>
    </row>
    <row r="1076" spans="1:30" hidden="1" x14ac:dyDescent="0.35">
      <c r="A1076" s="7">
        <v>1099</v>
      </c>
      <c r="B1076" s="6">
        <v>45923</v>
      </c>
      <c r="C1076" s="6">
        <v>45923</v>
      </c>
      <c r="D1076" s="4" t="s">
        <v>251</v>
      </c>
      <c r="E1076" s="4" t="s">
        <v>61</v>
      </c>
      <c r="F1076" s="4" t="s">
        <v>250</v>
      </c>
      <c r="G1076" s="4" t="s">
        <v>250</v>
      </c>
      <c r="H1076" s="4"/>
      <c r="I1076" s="4"/>
      <c r="J1076" s="4" t="s">
        <v>59</v>
      </c>
      <c r="K1076" s="4" t="s">
        <v>58</v>
      </c>
      <c r="L1076" s="4" t="s">
        <v>57</v>
      </c>
      <c r="M1076" s="4" t="s">
        <v>32</v>
      </c>
      <c r="N1076" s="4" t="s">
        <v>211</v>
      </c>
      <c r="O1076" s="5" t="s">
        <v>210</v>
      </c>
      <c r="P1076" s="4" t="s">
        <v>210</v>
      </c>
      <c r="Q1076" s="10">
        <v>9661.02</v>
      </c>
      <c r="R1076" s="10">
        <v>0</v>
      </c>
      <c r="S1076" s="9">
        <f t="shared" si="34"/>
        <v>9661.02</v>
      </c>
      <c r="T1076" s="4" t="s">
        <v>53</v>
      </c>
      <c r="U1076" s="4" t="s">
        <v>238</v>
      </c>
      <c r="V1076" s="4"/>
      <c r="W1076" s="4">
        <v>-3</v>
      </c>
      <c r="X1076" s="4" t="s">
        <v>94</v>
      </c>
      <c r="Y1076" s="4"/>
      <c r="Z1076" s="7" t="s">
        <v>14</v>
      </c>
      <c r="AA1076" s="36" t="s">
        <v>30</v>
      </c>
      <c r="AB1076" s="4"/>
      <c r="AC1076" s="22">
        <f t="shared" si="35"/>
        <v>3.7886352941176473</v>
      </c>
      <c r="AD1076" s="23">
        <v>0</v>
      </c>
    </row>
    <row r="1077" spans="1:30" hidden="1" x14ac:dyDescent="0.35">
      <c r="A1077" s="7">
        <v>1100</v>
      </c>
      <c r="B1077" s="6">
        <v>45924</v>
      </c>
      <c r="C1077" s="6">
        <v>45924</v>
      </c>
      <c r="D1077" s="7" t="s">
        <v>1707</v>
      </c>
      <c r="E1077" s="7" t="s">
        <v>61</v>
      </c>
      <c r="F1077" s="7" t="s">
        <v>1706</v>
      </c>
      <c r="G1077" s="7" t="s">
        <v>1705</v>
      </c>
      <c r="H1077" s="7"/>
      <c r="I1077" s="7"/>
      <c r="J1077" s="7" t="s">
        <v>59</v>
      </c>
      <c r="K1077" s="7" t="s">
        <v>58</v>
      </c>
      <c r="L1077" s="7" t="s">
        <v>325</v>
      </c>
      <c r="M1077" s="7" t="s">
        <v>33</v>
      </c>
      <c r="N1077" s="7" t="s">
        <v>1699</v>
      </c>
      <c r="O1077" s="7" t="s">
        <v>1704</v>
      </c>
      <c r="P1077" s="7" t="s">
        <v>1703</v>
      </c>
      <c r="Q1077" s="9">
        <v>1302542.3700000001</v>
      </c>
      <c r="R1077" s="9">
        <v>0</v>
      </c>
      <c r="S1077" s="9">
        <f t="shared" si="34"/>
        <v>1302542.3700000001</v>
      </c>
      <c r="T1077" s="4" t="s">
        <v>53</v>
      </c>
      <c r="U1077" s="7" t="s">
        <v>1702</v>
      </c>
      <c r="V1077" s="4"/>
      <c r="W1077" s="9">
        <v>-1</v>
      </c>
      <c r="X1077" s="7" t="s">
        <v>94</v>
      </c>
      <c r="Y1077" s="7"/>
      <c r="Z1077" s="7" t="s">
        <v>7</v>
      </c>
      <c r="AA1077" s="37" t="s">
        <v>9</v>
      </c>
      <c r="AB1077" s="16"/>
      <c r="AC1077" s="22">
        <f t="shared" si="35"/>
        <v>510.80092941176474</v>
      </c>
      <c r="AD1077" s="23">
        <v>0</v>
      </c>
    </row>
    <row r="1078" spans="1:30" x14ac:dyDescent="0.35">
      <c r="A1078" s="7">
        <v>1101</v>
      </c>
      <c r="B1078" s="6">
        <v>45925</v>
      </c>
      <c r="C1078" s="6">
        <v>45925</v>
      </c>
      <c r="D1078" s="4" t="s">
        <v>315</v>
      </c>
      <c r="E1078" s="4" t="s">
        <v>61</v>
      </c>
      <c r="F1078" s="4" t="s">
        <v>314</v>
      </c>
      <c r="G1078" s="4" t="s">
        <v>314</v>
      </c>
      <c r="H1078" s="4"/>
      <c r="I1078" s="4"/>
      <c r="J1078" s="4" t="s">
        <v>59</v>
      </c>
      <c r="K1078" s="4" t="s">
        <v>58</v>
      </c>
      <c r="L1078" s="4" t="s">
        <v>57</v>
      </c>
      <c r="M1078" s="4" t="s">
        <v>32</v>
      </c>
      <c r="N1078" s="4" t="s">
        <v>266</v>
      </c>
      <c r="O1078" s="5" t="s">
        <v>55</v>
      </c>
      <c r="P1078" s="4" t="s">
        <v>54</v>
      </c>
      <c r="Q1078" s="10">
        <v>25767.91</v>
      </c>
      <c r="R1078" s="10">
        <v>0</v>
      </c>
      <c r="S1078" s="9">
        <f t="shared" si="34"/>
        <v>25767.91</v>
      </c>
      <c r="T1078" s="4" t="s">
        <v>53</v>
      </c>
      <c r="U1078" s="4" t="s">
        <v>117</v>
      </c>
      <c r="V1078" s="4"/>
      <c r="W1078" s="4">
        <v>-8</v>
      </c>
      <c r="X1078" s="4" t="s">
        <v>94</v>
      </c>
      <c r="Y1078" s="4"/>
      <c r="Z1078" s="7" t="s">
        <v>14</v>
      </c>
      <c r="AA1078" s="36" t="s">
        <v>22</v>
      </c>
      <c r="AB1078" s="4" t="s">
        <v>2835</v>
      </c>
      <c r="AC1078" s="22">
        <f t="shared" si="35"/>
        <v>10.105062745098039</v>
      </c>
      <c r="AD1078" s="23">
        <v>0</v>
      </c>
    </row>
    <row r="1079" spans="1:30" x14ac:dyDescent="0.35">
      <c r="A1079" s="7">
        <v>1102</v>
      </c>
      <c r="B1079" s="6">
        <v>45925</v>
      </c>
      <c r="C1079" s="6">
        <v>45925</v>
      </c>
      <c r="D1079" s="4" t="s">
        <v>313</v>
      </c>
      <c r="E1079" s="4" t="s">
        <v>61</v>
      </c>
      <c r="F1079" s="4" t="s">
        <v>312</v>
      </c>
      <c r="G1079" s="4" t="s">
        <v>312</v>
      </c>
      <c r="H1079" s="4"/>
      <c r="I1079" s="4"/>
      <c r="J1079" s="4" t="s">
        <v>59</v>
      </c>
      <c r="K1079" s="4" t="s">
        <v>58</v>
      </c>
      <c r="L1079" s="4" t="s">
        <v>57</v>
      </c>
      <c r="M1079" s="4" t="s">
        <v>32</v>
      </c>
      <c r="N1079" s="4" t="s">
        <v>266</v>
      </c>
      <c r="O1079" s="5" t="s">
        <v>55</v>
      </c>
      <c r="P1079" s="4" t="s">
        <v>54</v>
      </c>
      <c r="Q1079" s="10">
        <v>102437.74</v>
      </c>
      <c r="R1079" s="10">
        <v>0</v>
      </c>
      <c r="S1079" s="9">
        <f t="shared" si="34"/>
        <v>102437.74</v>
      </c>
      <c r="T1079" s="4" t="s">
        <v>53</v>
      </c>
      <c r="U1079" s="4" t="s">
        <v>271</v>
      </c>
      <c r="V1079" s="4"/>
      <c r="W1079" s="4">
        <v>-25</v>
      </c>
      <c r="X1079" s="4" t="s">
        <v>124</v>
      </c>
      <c r="Y1079" s="4"/>
      <c r="Z1079" s="7" t="s">
        <v>14</v>
      </c>
      <c r="AA1079" s="36" t="s">
        <v>22</v>
      </c>
      <c r="AB1079" s="4" t="s">
        <v>2835</v>
      </c>
      <c r="AC1079" s="22">
        <f t="shared" si="35"/>
        <v>40.17166274509804</v>
      </c>
      <c r="AD1079" s="23">
        <v>0</v>
      </c>
    </row>
    <row r="1080" spans="1:30" x14ac:dyDescent="0.35">
      <c r="A1080" s="7">
        <v>1103</v>
      </c>
      <c r="B1080" s="6">
        <v>45925</v>
      </c>
      <c r="C1080" s="6">
        <v>45925</v>
      </c>
      <c r="D1080" s="4" t="s">
        <v>116</v>
      </c>
      <c r="E1080" s="4" t="s">
        <v>61</v>
      </c>
      <c r="F1080" s="4" t="s">
        <v>115</v>
      </c>
      <c r="G1080" s="4" t="s">
        <v>115</v>
      </c>
      <c r="H1080" s="4"/>
      <c r="I1080" s="4"/>
      <c r="J1080" s="4" t="s">
        <v>59</v>
      </c>
      <c r="K1080" s="4" t="s">
        <v>58</v>
      </c>
      <c r="L1080" s="4" t="s">
        <v>97</v>
      </c>
      <c r="M1080" s="4" t="s">
        <v>34</v>
      </c>
      <c r="N1080" s="4" t="s">
        <v>114</v>
      </c>
      <c r="O1080" s="5" t="s">
        <v>68</v>
      </c>
      <c r="P1080" s="4" t="s">
        <v>54</v>
      </c>
      <c r="Q1080" s="10">
        <v>40348.21</v>
      </c>
      <c r="R1080" s="10">
        <v>0</v>
      </c>
      <c r="S1080" s="9">
        <f t="shared" si="34"/>
        <v>40348.21</v>
      </c>
      <c r="T1080" s="4" t="s">
        <v>53</v>
      </c>
      <c r="U1080" s="4" t="s">
        <v>102</v>
      </c>
      <c r="V1080" s="4"/>
      <c r="W1080" s="4">
        <v>-2</v>
      </c>
      <c r="X1080" s="4" t="s">
        <v>94</v>
      </c>
      <c r="Y1080" s="4"/>
      <c r="Z1080" s="7" t="s">
        <v>14</v>
      </c>
      <c r="AA1080" s="36" t="s">
        <v>31</v>
      </c>
      <c r="AB1080" s="4" t="s">
        <v>2605</v>
      </c>
      <c r="AC1080" s="22">
        <f t="shared" si="35"/>
        <v>15.822827450980391</v>
      </c>
      <c r="AD1080" s="23">
        <v>60000</v>
      </c>
    </row>
    <row r="1081" spans="1:30" x14ac:dyDescent="0.35">
      <c r="A1081" s="7">
        <v>1104</v>
      </c>
      <c r="B1081" s="6">
        <v>45927</v>
      </c>
      <c r="C1081" s="6">
        <v>45927</v>
      </c>
      <c r="D1081" s="4" t="s">
        <v>259</v>
      </c>
      <c r="E1081" s="4" t="s">
        <v>61</v>
      </c>
      <c r="F1081" s="4" t="s">
        <v>258</v>
      </c>
      <c r="G1081" s="4" t="s">
        <v>258</v>
      </c>
      <c r="H1081" s="4"/>
      <c r="I1081" s="4"/>
      <c r="J1081" s="4" t="s">
        <v>59</v>
      </c>
      <c r="K1081" s="4" t="s">
        <v>58</v>
      </c>
      <c r="L1081" s="4" t="s">
        <v>57</v>
      </c>
      <c r="M1081" s="4" t="s">
        <v>32</v>
      </c>
      <c r="N1081" s="4" t="s">
        <v>114</v>
      </c>
      <c r="O1081" s="5" t="s">
        <v>68</v>
      </c>
      <c r="P1081" s="4" t="s">
        <v>54</v>
      </c>
      <c r="Q1081" s="10">
        <v>474715.15</v>
      </c>
      <c r="R1081" s="10">
        <v>0</v>
      </c>
      <c r="S1081" s="9">
        <f t="shared" si="34"/>
        <v>474715.15</v>
      </c>
      <c r="T1081" s="4" t="s">
        <v>53</v>
      </c>
      <c r="U1081" s="4" t="s">
        <v>257</v>
      </c>
      <c r="V1081" s="4"/>
      <c r="W1081" s="4">
        <v>-50</v>
      </c>
      <c r="X1081" s="4" t="s">
        <v>129</v>
      </c>
      <c r="Y1081" s="4"/>
      <c r="Z1081" s="7" t="s">
        <v>14</v>
      </c>
      <c r="AA1081" s="36" t="s">
        <v>31</v>
      </c>
      <c r="AB1081" s="4" t="s">
        <v>2605</v>
      </c>
      <c r="AC1081" s="22">
        <f t="shared" si="35"/>
        <v>186.16280392156864</v>
      </c>
      <c r="AD1081" s="23">
        <v>0</v>
      </c>
    </row>
    <row r="1082" spans="1:30" x14ac:dyDescent="0.35">
      <c r="A1082" s="7">
        <v>1105</v>
      </c>
      <c r="B1082" s="6">
        <v>45927</v>
      </c>
      <c r="C1082" s="6">
        <v>45927</v>
      </c>
      <c r="D1082" s="4" t="s">
        <v>256</v>
      </c>
      <c r="E1082" s="4" t="s">
        <v>61</v>
      </c>
      <c r="F1082" s="4" t="s">
        <v>255</v>
      </c>
      <c r="G1082" s="4" t="s">
        <v>255</v>
      </c>
      <c r="H1082" s="4"/>
      <c r="I1082" s="4"/>
      <c r="J1082" s="4" t="s">
        <v>59</v>
      </c>
      <c r="K1082" s="4" t="s">
        <v>58</v>
      </c>
      <c r="L1082" s="4" t="s">
        <v>57</v>
      </c>
      <c r="M1082" s="4" t="s">
        <v>32</v>
      </c>
      <c r="N1082" s="4" t="s">
        <v>114</v>
      </c>
      <c r="O1082" s="5" t="s">
        <v>68</v>
      </c>
      <c r="P1082" s="4" t="s">
        <v>54</v>
      </c>
      <c r="Q1082" s="10">
        <v>726054.14</v>
      </c>
      <c r="R1082" s="10">
        <v>0</v>
      </c>
      <c r="S1082" s="9">
        <f t="shared" si="34"/>
        <v>726054.14</v>
      </c>
      <c r="T1082" s="4" t="s">
        <v>53</v>
      </c>
      <c r="U1082" s="4" t="s">
        <v>130</v>
      </c>
      <c r="V1082" s="4"/>
      <c r="W1082" s="4">
        <v>-50</v>
      </c>
      <c r="X1082" s="4" t="s">
        <v>129</v>
      </c>
      <c r="Y1082" s="4"/>
      <c r="Z1082" s="7" t="s">
        <v>14</v>
      </c>
      <c r="AA1082" s="36" t="s">
        <v>31</v>
      </c>
      <c r="AB1082" s="4" t="s">
        <v>2605</v>
      </c>
      <c r="AC1082" s="22">
        <f t="shared" si="35"/>
        <v>284.7271137254902</v>
      </c>
      <c r="AD1082" s="23">
        <v>0</v>
      </c>
    </row>
    <row r="1083" spans="1:30" x14ac:dyDescent="0.35">
      <c r="A1083" s="7">
        <v>1106</v>
      </c>
      <c r="B1083" s="6">
        <v>45927</v>
      </c>
      <c r="C1083" s="6">
        <v>45927</v>
      </c>
      <c r="D1083" s="4" t="s">
        <v>194</v>
      </c>
      <c r="E1083" s="4" t="s">
        <v>61</v>
      </c>
      <c r="F1083" s="4" t="s">
        <v>193</v>
      </c>
      <c r="G1083" s="4" t="s">
        <v>193</v>
      </c>
      <c r="H1083" s="4"/>
      <c r="I1083" s="4"/>
      <c r="J1083" s="4" t="s">
        <v>59</v>
      </c>
      <c r="K1083" s="4" t="s">
        <v>58</v>
      </c>
      <c r="L1083" s="4" t="s">
        <v>57</v>
      </c>
      <c r="M1083" s="4" t="s">
        <v>32</v>
      </c>
      <c r="N1083" s="4" t="s">
        <v>106</v>
      </c>
      <c r="O1083" s="5" t="s">
        <v>105</v>
      </c>
      <c r="P1083" s="4" t="s">
        <v>54</v>
      </c>
      <c r="Q1083" s="10">
        <v>68500</v>
      </c>
      <c r="R1083" s="10">
        <v>0</v>
      </c>
      <c r="S1083" s="9">
        <f t="shared" si="34"/>
        <v>68500</v>
      </c>
      <c r="T1083" s="4" t="s">
        <v>53</v>
      </c>
      <c r="U1083" s="4" t="s">
        <v>133</v>
      </c>
      <c r="V1083" s="4"/>
      <c r="W1083" s="4">
        <v>-13.7</v>
      </c>
      <c r="X1083" s="4" t="s">
        <v>124</v>
      </c>
      <c r="Y1083" s="4"/>
      <c r="Z1083" s="7" t="s">
        <v>14</v>
      </c>
      <c r="AA1083" s="36" t="s">
        <v>15</v>
      </c>
      <c r="AB1083" s="4" t="s">
        <v>2606</v>
      </c>
      <c r="AC1083" s="22">
        <f t="shared" si="35"/>
        <v>26.862745098039216</v>
      </c>
      <c r="AD1083" s="23">
        <v>0</v>
      </c>
    </row>
    <row r="1084" spans="1:30" x14ac:dyDescent="0.35">
      <c r="A1084" s="7">
        <v>1107</v>
      </c>
      <c r="B1084" s="6">
        <v>45927</v>
      </c>
      <c r="C1084" s="6">
        <v>45927</v>
      </c>
      <c r="D1084" s="4" t="s">
        <v>123</v>
      </c>
      <c r="E1084" s="4" t="s">
        <v>61</v>
      </c>
      <c r="F1084" s="4" t="s">
        <v>122</v>
      </c>
      <c r="G1084" s="4" t="s">
        <v>122</v>
      </c>
      <c r="H1084" s="4"/>
      <c r="I1084" s="4"/>
      <c r="J1084" s="4" t="s">
        <v>59</v>
      </c>
      <c r="K1084" s="4" t="s">
        <v>58</v>
      </c>
      <c r="L1084" s="4" t="s">
        <v>57</v>
      </c>
      <c r="M1084" s="4" t="s">
        <v>32</v>
      </c>
      <c r="N1084" s="4" t="s">
        <v>118</v>
      </c>
      <c r="O1084" s="5" t="s">
        <v>55</v>
      </c>
      <c r="P1084" s="4" t="s">
        <v>54</v>
      </c>
      <c r="Q1084" s="10">
        <v>105000</v>
      </c>
      <c r="R1084" s="10">
        <v>0</v>
      </c>
      <c r="S1084" s="9">
        <f t="shared" si="34"/>
        <v>105000</v>
      </c>
      <c r="T1084" s="4" t="s">
        <v>53</v>
      </c>
      <c r="U1084" s="4" t="s">
        <v>121</v>
      </c>
      <c r="V1084" s="4"/>
      <c r="W1084" s="4">
        <v>-7</v>
      </c>
      <c r="X1084" s="4" t="s">
        <v>94</v>
      </c>
      <c r="Y1084" s="4"/>
      <c r="Z1084" s="7" t="s">
        <v>14</v>
      </c>
      <c r="AA1084" s="36" t="s">
        <v>23</v>
      </c>
      <c r="AB1084" s="4" t="s">
        <v>2607</v>
      </c>
      <c r="AC1084" s="22">
        <f t="shared" si="35"/>
        <v>41.176470588235297</v>
      </c>
      <c r="AD1084" s="23">
        <v>0</v>
      </c>
    </row>
    <row r="1085" spans="1:30" x14ac:dyDescent="0.35">
      <c r="A1085" s="7">
        <v>1108</v>
      </c>
      <c r="B1085" s="6">
        <v>45927</v>
      </c>
      <c r="C1085" s="6">
        <v>45927</v>
      </c>
      <c r="D1085" s="4" t="s">
        <v>120</v>
      </c>
      <c r="E1085" s="4" t="s">
        <v>61</v>
      </c>
      <c r="F1085" s="4" t="s">
        <v>119</v>
      </c>
      <c r="G1085" s="4" t="s">
        <v>119</v>
      </c>
      <c r="H1085" s="4"/>
      <c r="I1085" s="4"/>
      <c r="J1085" s="4" t="s">
        <v>59</v>
      </c>
      <c r="K1085" s="4" t="s">
        <v>58</v>
      </c>
      <c r="L1085" s="4" t="s">
        <v>57</v>
      </c>
      <c r="M1085" s="4" t="s">
        <v>32</v>
      </c>
      <c r="N1085" s="4" t="s">
        <v>118</v>
      </c>
      <c r="O1085" s="5" t="s">
        <v>55</v>
      </c>
      <c r="P1085" s="4" t="s">
        <v>54</v>
      </c>
      <c r="Q1085" s="10">
        <v>19325.93</v>
      </c>
      <c r="R1085" s="10">
        <v>0</v>
      </c>
      <c r="S1085" s="9">
        <f t="shared" si="34"/>
        <v>19325.93</v>
      </c>
      <c r="T1085" s="4" t="s">
        <v>53</v>
      </c>
      <c r="U1085" s="4" t="s">
        <v>117</v>
      </c>
      <c r="V1085" s="4"/>
      <c r="W1085" s="4">
        <v>-6</v>
      </c>
      <c r="X1085" s="4" t="s">
        <v>94</v>
      </c>
      <c r="Y1085" s="4"/>
      <c r="Z1085" s="7" t="s">
        <v>14</v>
      </c>
      <c r="AA1085" s="36" t="s">
        <v>23</v>
      </c>
      <c r="AB1085" s="4" t="s">
        <v>2607</v>
      </c>
      <c r="AC1085" s="22">
        <f t="shared" si="35"/>
        <v>7.578796078431373</v>
      </c>
      <c r="AD1085" s="23">
        <v>0</v>
      </c>
    </row>
    <row r="1086" spans="1:30" hidden="1" x14ac:dyDescent="0.35">
      <c r="A1086" s="7">
        <v>1109</v>
      </c>
      <c r="B1086" s="6">
        <v>45919.268425925926</v>
      </c>
      <c r="C1086" s="6">
        <v>45929</v>
      </c>
      <c r="D1086" s="7" t="s">
        <v>1835</v>
      </c>
      <c r="E1086" s="7" t="s">
        <v>1331</v>
      </c>
      <c r="F1086" s="7" t="s">
        <v>1834</v>
      </c>
      <c r="G1086" s="7" t="s">
        <v>1833</v>
      </c>
      <c r="H1086" s="7" t="s">
        <v>1832</v>
      </c>
      <c r="I1086" s="7" t="s">
        <v>1831</v>
      </c>
      <c r="J1086" s="7" t="s">
        <v>1816</v>
      </c>
      <c r="K1086" s="7" t="s">
        <v>1815</v>
      </c>
      <c r="L1086" s="7" t="s">
        <v>1814</v>
      </c>
      <c r="M1086" s="7" t="s">
        <v>28</v>
      </c>
      <c r="N1086" s="7" t="s">
        <v>1813</v>
      </c>
      <c r="O1086" s="7" t="s">
        <v>1704</v>
      </c>
      <c r="P1086" s="7" t="s">
        <v>1703</v>
      </c>
      <c r="Q1086" s="9">
        <v>1361.36</v>
      </c>
      <c r="R1086" s="9">
        <v>0</v>
      </c>
      <c r="S1086" s="9">
        <f t="shared" si="34"/>
        <v>1361.36</v>
      </c>
      <c r="T1086" s="4" t="s">
        <v>53</v>
      </c>
      <c r="U1086" s="7"/>
      <c r="V1086" s="7"/>
      <c r="W1086" s="9">
        <v>1</v>
      </c>
      <c r="X1086" s="7"/>
      <c r="Y1086" s="7"/>
      <c r="Z1086" s="7" t="s">
        <v>14</v>
      </c>
      <c r="AA1086" s="36" t="s">
        <v>28</v>
      </c>
      <c r="AB1086" s="4"/>
      <c r="AC1086" s="22">
        <f t="shared" si="35"/>
        <v>0.5338666666666666</v>
      </c>
      <c r="AD1086" s="23">
        <v>0</v>
      </c>
    </row>
    <row r="1087" spans="1:30" hidden="1" x14ac:dyDescent="0.35">
      <c r="A1087" s="7">
        <v>1110</v>
      </c>
      <c r="B1087" s="6">
        <v>45919.268425925926</v>
      </c>
      <c r="C1087" s="6">
        <v>45929</v>
      </c>
      <c r="D1087" s="7" t="s">
        <v>1835</v>
      </c>
      <c r="E1087" s="7" t="s">
        <v>1331</v>
      </c>
      <c r="F1087" s="7" t="s">
        <v>1834</v>
      </c>
      <c r="G1087" s="7" t="s">
        <v>1833</v>
      </c>
      <c r="H1087" s="7" t="s">
        <v>1832</v>
      </c>
      <c r="I1087" s="7" t="s">
        <v>1831</v>
      </c>
      <c r="J1087" s="7" t="s">
        <v>1816</v>
      </c>
      <c r="K1087" s="7" t="s">
        <v>1815</v>
      </c>
      <c r="L1087" s="7" t="s">
        <v>1814</v>
      </c>
      <c r="M1087" s="7" t="s">
        <v>28</v>
      </c>
      <c r="N1087" s="7" t="s">
        <v>1813</v>
      </c>
      <c r="O1087" s="7" t="s">
        <v>1704</v>
      </c>
      <c r="P1087" s="7" t="s">
        <v>1703</v>
      </c>
      <c r="Q1087" s="9">
        <v>200541.22</v>
      </c>
      <c r="R1087" s="9">
        <v>0</v>
      </c>
      <c r="S1087" s="9">
        <f t="shared" si="34"/>
        <v>200541.22</v>
      </c>
      <c r="T1087" s="4" t="s">
        <v>53</v>
      </c>
      <c r="U1087" s="7"/>
      <c r="V1087" s="7"/>
      <c r="W1087" s="9">
        <v>1</v>
      </c>
      <c r="X1087" s="7"/>
      <c r="Y1087" s="7"/>
      <c r="Z1087" s="7" t="s">
        <v>14</v>
      </c>
      <c r="AA1087" s="36" t="s">
        <v>28</v>
      </c>
      <c r="AB1087" s="4"/>
      <c r="AC1087" s="22">
        <f t="shared" si="35"/>
        <v>78.643615686274515</v>
      </c>
      <c r="AD1087" s="23">
        <v>0</v>
      </c>
    </row>
    <row r="1088" spans="1:30" hidden="1" x14ac:dyDescent="0.35">
      <c r="A1088" s="7">
        <v>1111</v>
      </c>
      <c r="B1088" s="6">
        <v>45929</v>
      </c>
      <c r="C1088" s="6">
        <v>45929</v>
      </c>
      <c r="D1088" s="7" t="s">
        <v>1701</v>
      </c>
      <c r="E1088" s="7" t="s">
        <v>61</v>
      </c>
      <c r="F1088" s="7" t="s">
        <v>1700</v>
      </c>
      <c r="G1088" s="7" t="s">
        <v>1700</v>
      </c>
      <c r="H1088" s="7"/>
      <c r="I1088" s="7"/>
      <c r="J1088" s="7" t="s">
        <v>59</v>
      </c>
      <c r="K1088" s="7" t="s">
        <v>58</v>
      </c>
      <c r="L1088" s="7" t="s">
        <v>325</v>
      </c>
      <c r="M1088" s="7" t="s">
        <v>33</v>
      </c>
      <c r="N1088" s="7" t="s">
        <v>1699</v>
      </c>
      <c r="O1088" s="7" t="s">
        <v>1698</v>
      </c>
      <c r="P1088" s="7" t="s">
        <v>126</v>
      </c>
      <c r="Q1088" s="9">
        <v>2542372.88</v>
      </c>
      <c r="R1088" s="9">
        <v>0</v>
      </c>
      <c r="S1088" s="9">
        <f t="shared" si="34"/>
        <v>2542372.88</v>
      </c>
      <c r="T1088" s="4" t="s">
        <v>53</v>
      </c>
      <c r="U1088" s="7" t="s">
        <v>1697</v>
      </c>
      <c r="V1088" s="4"/>
      <c r="W1088" s="9">
        <v>-2</v>
      </c>
      <c r="X1088" s="7" t="s">
        <v>94</v>
      </c>
      <c r="Y1088" s="7"/>
      <c r="Z1088" s="7" t="s">
        <v>7</v>
      </c>
      <c r="AA1088" s="37" t="s">
        <v>9</v>
      </c>
      <c r="AB1088" s="16"/>
      <c r="AC1088" s="22">
        <f t="shared" si="35"/>
        <v>997.00897254901952</v>
      </c>
      <c r="AD1088" s="23">
        <v>0</v>
      </c>
    </row>
    <row r="1089" spans="1:30" x14ac:dyDescent="0.35">
      <c r="A1089" s="7">
        <v>1112</v>
      </c>
      <c r="B1089" s="6">
        <v>45929</v>
      </c>
      <c r="C1089" s="6">
        <v>45929</v>
      </c>
      <c r="D1089" s="4" t="s">
        <v>265</v>
      </c>
      <c r="E1089" s="4" t="s">
        <v>61</v>
      </c>
      <c r="F1089" s="4" t="s">
        <v>264</v>
      </c>
      <c r="G1089" s="4" t="s">
        <v>264</v>
      </c>
      <c r="H1089" s="4"/>
      <c r="I1089" s="4"/>
      <c r="J1089" s="4" t="s">
        <v>59</v>
      </c>
      <c r="K1089" s="4" t="s">
        <v>58</v>
      </c>
      <c r="L1089" s="4" t="s">
        <v>57</v>
      </c>
      <c r="M1089" s="4" t="s">
        <v>32</v>
      </c>
      <c r="N1089" s="4" t="s">
        <v>114</v>
      </c>
      <c r="O1089" s="5" t="s">
        <v>68</v>
      </c>
      <c r="P1089" s="4" t="s">
        <v>54</v>
      </c>
      <c r="Q1089" s="10">
        <v>140000</v>
      </c>
      <c r="R1089" s="10">
        <v>0</v>
      </c>
      <c r="S1089" s="9">
        <f t="shared" si="34"/>
        <v>140000</v>
      </c>
      <c r="T1089" s="4" t="s">
        <v>53</v>
      </c>
      <c r="U1089" s="4" t="s">
        <v>148</v>
      </c>
      <c r="V1089" s="4"/>
      <c r="W1089" s="4">
        <v>-20</v>
      </c>
      <c r="X1089" s="4" t="s">
        <v>94</v>
      </c>
      <c r="Y1089" s="4"/>
      <c r="Z1089" s="7" t="s">
        <v>14</v>
      </c>
      <c r="AA1089" s="36" t="s">
        <v>31</v>
      </c>
      <c r="AB1089" s="4" t="s">
        <v>2605</v>
      </c>
      <c r="AC1089" s="22">
        <f t="shared" si="35"/>
        <v>54.901960784313722</v>
      </c>
      <c r="AD1089" s="23">
        <v>0</v>
      </c>
    </row>
    <row r="1090" spans="1:30" x14ac:dyDescent="0.35">
      <c r="A1090" s="7">
        <v>1113</v>
      </c>
      <c r="B1090" s="6">
        <v>45929</v>
      </c>
      <c r="C1090" s="6">
        <v>45929</v>
      </c>
      <c r="D1090" s="4" t="s">
        <v>263</v>
      </c>
      <c r="E1090" s="4" t="s">
        <v>61</v>
      </c>
      <c r="F1090" s="4" t="s">
        <v>262</v>
      </c>
      <c r="G1090" s="4" t="s">
        <v>262</v>
      </c>
      <c r="H1090" s="4"/>
      <c r="I1090" s="4"/>
      <c r="J1090" s="4" t="s">
        <v>59</v>
      </c>
      <c r="K1090" s="4" t="s">
        <v>58</v>
      </c>
      <c r="L1090" s="4" t="s">
        <v>57</v>
      </c>
      <c r="M1090" s="4" t="s">
        <v>32</v>
      </c>
      <c r="N1090" s="4" t="s">
        <v>114</v>
      </c>
      <c r="O1090" s="5" t="s">
        <v>68</v>
      </c>
      <c r="P1090" s="4" t="s">
        <v>54</v>
      </c>
      <c r="Q1090" s="10">
        <v>726054.14</v>
      </c>
      <c r="R1090" s="10">
        <v>0</v>
      </c>
      <c r="S1090" s="9">
        <f t="shared" si="34"/>
        <v>726054.14</v>
      </c>
      <c r="T1090" s="4" t="s">
        <v>53</v>
      </c>
      <c r="U1090" s="4" t="s">
        <v>130</v>
      </c>
      <c r="V1090" s="4"/>
      <c r="W1090" s="4">
        <v>-50</v>
      </c>
      <c r="X1090" s="4" t="s">
        <v>129</v>
      </c>
      <c r="Y1090" s="4"/>
      <c r="Z1090" s="7" t="s">
        <v>14</v>
      </c>
      <c r="AA1090" s="36" t="s">
        <v>31</v>
      </c>
      <c r="AB1090" s="4" t="s">
        <v>2605</v>
      </c>
      <c r="AC1090" s="22">
        <f t="shared" si="35"/>
        <v>284.7271137254902</v>
      </c>
      <c r="AD1090" s="23">
        <v>0</v>
      </c>
    </row>
    <row r="1091" spans="1:30" x14ac:dyDescent="0.35">
      <c r="A1091" s="7">
        <v>1114</v>
      </c>
      <c r="B1091" s="6">
        <v>45929</v>
      </c>
      <c r="C1091" s="6">
        <v>45929</v>
      </c>
      <c r="D1091" s="4" t="s">
        <v>261</v>
      </c>
      <c r="E1091" s="4" t="s">
        <v>61</v>
      </c>
      <c r="F1091" s="4" t="s">
        <v>260</v>
      </c>
      <c r="G1091" s="4" t="s">
        <v>260</v>
      </c>
      <c r="H1091" s="4"/>
      <c r="I1091" s="4"/>
      <c r="J1091" s="4" t="s">
        <v>59</v>
      </c>
      <c r="K1091" s="4" t="s">
        <v>58</v>
      </c>
      <c r="L1091" s="4" t="s">
        <v>57</v>
      </c>
      <c r="M1091" s="4" t="s">
        <v>32</v>
      </c>
      <c r="N1091" s="4" t="s">
        <v>114</v>
      </c>
      <c r="O1091" s="5" t="s">
        <v>68</v>
      </c>
      <c r="P1091" s="4" t="s">
        <v>54</v>
      </c>
      <c r="Q1091" s="10">
        <v>16104.96</v>
      </c>
      <c r="R1091" s="10">
        <v>0</v>
      </c>
      <c r="S1091" s="9">
        <f t="shared" ref="S1091:S1154" si="36">+Q1091-R1091</f>
        <v>16104.96</v>
      </c>
      <c r="T1091" s="4" t="s">
        <v>53</v>
      </c>
      <c r="U1091" s="4" t="s">
        <v>117</v>
      </c>
      <c r="V1091" s="4"/>
      <c r="W1091" s="4">
        <v>-5</v>
      </c>
      <c r="X1091" s="4" t="s">
        <v>94</v>
      </c>
      <c r="Y1091" s="4"/>
      <c r="Z1091" s="7" t="s">
        <v>14</v>
      </c>
      <c r="AA1091" s="36" t="s">
        <v>31</v>
      </c>
      <c r="AB1091" s="4" t="s">
        <v>2605</v>
      </c>
      <c r="AC1091" s="22">
        <f t="shared" si="35"/>
        <v>6.3156705882352941</v>
      </c>
      <c r="AD1091" s="23">
        <v>0</v>
      </c>
    </row>
    <row r="1092" spans="1:30" x14ac:dyDescent="0.35">
      <c r="A1092" s="7">
        <v>1115</v>
      </c>
      <c r="B1092" s="6">
        <v>45929</v>
      </c>
      <c r="C1092" s="6">
        <v>45929</v>
      </c>
      <c r="D1092" s="4" t="s">
        <v>128</v>
      </c>
      <c r="E1092" s="4" t="s">
        <v>61</v>
      </c>
      <c r="F1092" s="4" t="s">
        <v>127</v>
      </c>
      <c r="G1092" s="4" t="s">
        <v>127</v>
      </c>
      <c r="H1092" s="4"/>
      <c r="I1092" s="4"/>
      <c r="J1092" s="4" t="s">
        <v>59</v>
      </c>
      <c r="K1092" s="4" t="s">
        <v>58</v>
      </c>
      <c r="L1092" s="4" t="s">
        <v>57</v>
      </c>
      <c r="M1092" s="4" t="s">
        <v>32</v>
      </c>
      <c r="N1092" s="4" t="s">
        <v>118</v>
      </c>
      <c r="O1092" s="5" t="s">
        <v>55</v>
      </c>
      <c r="P1092" s="4" t="s">
        <v>126</v>
      </c>
      <c r="Q1092" s="10">
        <v>720000</v>
      </c>
      <c r="R1092" s="10">
        <v>0</v>
      </c>
      <c r="S1092" s="9">
        <f t="shared" si="36"/>
        <v>720000</v>
      </c>
      <c r="T1092" s="4" t="s">
        <v>53</v>
      </c>
      <c r="U1092" s="4" t="s">
        <v>125</v>
      </c>
      <c r="V1092" s="4"/>
      <c r="W1092" s="4">
        <v>-1</v>
      </c>
      <c r="X1092" s="4" t="s">
        <v>124</v>
      </c>
      <c r="Y1092" s="4"/>
      <c r="Z1092" s="7" t="s">
        <v>14</v>
      </c>
      <c r="AA1092" s="36" t="s">
        <v>23</v>
      </c>
      <c r="AB1092" s="4" t="s">
        <v>2607</v>
      </c>
      <c r="AC1092" s="22">
        <f t="shared" si="35"/>
        <v>282.35294117647061</v>
      </c>
      <c r="AD1092" s="23">
        <v>0</v>
      </c>
    </row>
    <row r="1093" spans="1:30" hidden="1" x14ac:dyDescent="0.35">
      <c r="A1093" s="7">
        <v>1116</v>
      </c>
      <c r="B1093" s="6">
        <v>45930.361712962964</v>
      </c>
      <c r="C1093" s="6">
        <v>45930</v>
      </c>
      <c r="D1093" s="7" t="s">
        <v>1830</v>
      </c>
      <c r="E1093" s="7" t="s">
        <v>1331</v>
      </c>
      <c r="F1093" s="7" t="s">
        <v>1829</v>
      </c>
      <c r="G1093" s="7" t="s">
        <v>1828</v>
      </c>
      <c r="H1093" s="7" t="s">
        <v>1827</v>
      </c>
      <c r="I1093" s="7" t="s">
        <v>1826</v>
      </c>
      <c r="J1093" s="7" t="s">
        <v>1816</v>
      </c>
      <c r="K1093" s="7" t="s">
        <v>1815</v>
      </c>
      <c r="L1093" s="7" t="s">
        <v>1814</v>
      </c>
      <c r="M1093" s="7" t="s">
        <v>28</v>
      </c>
      <c r="N1093" s="7" t="s">
        <v>1825</v>
      </c>
      <c r="O1093" s="7" t="s">
        <v>105</v>
      </c>
      <c r="P1093" s="7" t="s">
        <v>1775</v>
      </c>
      <c r="Q1093" s="9">
        <v>762711.86</v>
      </c>
      <c r="R1093" s="9">
        <v>0</v>
      </c>
      <c r="S1093" s="9">
        <f t="shared" si="36"/>
        <v>762711.86</v>
      </c>
      <c r="T1093" s="4" t="s">
        <v>53</v>
      </c>
      <c r="U1093" s="7" t="s">
        <v>1824</v>
      </c>
      <c r="V1093" s="7" t="s">
        <v>1823</v>
      </c>
      <c r="W1093" s="9">
        <v>1</v>
      </c>
      <c r="X1093" s="7" t="s">
        <v>94</v>
      </c>
      <c r="Y1093" s="7"/>
      <c r="Z1093" s="7" t="s">
        <v>14</v>
      </c>
      <c r="AA1093" s="36" t="s">
        <v>28</v>
      </c>
      <c r="AB1093" s="4"/>
      <c r="AC1093" s="22">
        <f t="shared" si="35"/>
        <v>299.10269019607841</v>
      </c>
      <c r="AD1093" s="23">
        <v>0</v>
      </c>
    </row>
    <row r="1094" spans="1:30" hidden="1" x14ac:dyDescent="0.35">
      <c r="A1094" s="7">
        <v>1117</v>
      </c>
      <c r="B1094" s="6">
        <v>45930.554328703707</v>
      </c>
      <c r="C1094" s="6">
        <v>45930</v>
      </c>
      <c r="D1094" s="7" t="s">
        <v>1822</v>
      </c>
      <c r="E1094" s="7" t="s">
        <v>1819</v>
      </c>
      <c r="F1094" s="7" t="s">
        <v>1818</v>
      </c>
      <c r="G1094" s="7" t="s">
        <v>1821</v>
      </c>
      <c r="H1094" s="7"/>
      <c r="I1094" s="7"/>
      <c r="J1094" s="7" t="s">
        <v>1816</v>
      </c>
      <c r="K1094" s="7" t="s">
        <v>1815</v>
      </c>
      <c r="L1094" s="7" t="s">
        <v>1814</v>
      </c>
      <c r="M1094" s="7" t="s">
        <v>28</v>
      </c>
      <c r="N1094" s="7" t="s">
        <v>1813</v>
      </c>
      <c r="O1094" s="7" t="s">
        <v>1704</v>
      </c>
      <c r="P1094" s="7" t="s">
        <v>1703</v>
      </c>
      <c r="Q1094" s="9">
        <v>88000</v>
      </c>
      <c r="R1094" s="9">
        <v>0</v>
      </c>
      <c r="S1094" s="9">
        <f t="shared" si="36"/>
        <v>88000</v>
      </c>
      <c r="T1094" s="4" t="s">
        <v>53</v>
      </c>
      <c r="U1094" s="7"/>
      <c r="V1094" s="7"/>
      <c r="W1094" s="9">
        <v>1</v>
      </c>
      <c r="X1094" s="7"/>
      <c r="Y1094" s="7"/>
      <c r="Z1094" s="7" t="s">
        <v>14</v>
      </c>
      <c r="AA1094" s="36" t="s">
        <v>28</v>
      </c>
      <c r="AB1094" s="4"/>
      <c r="AC1094" s="22">
        <f t="shared" si="35"/>
        <v>34.509803921568626</v>
      </c>
      <c r="AD1094" s="23">
        <v>0</v>
      </c>
    </row>
    <row r="1095" spans="1:30" hidden="1" x14ac:dyDescent="0.35">
      <c r="A1095" s="7">
        <v>1118</v>
      </c>
      <c r="B1095" s="6">
        <v>45930.552604166667</v>
      </c>
      <c r="C1095" s="6">
        <v>45930</v>
      </c>
      <c r="D1095" s="7" t="s">
        <v>1820</v>
      </c>
      <c r="E1095" s="7" t="s">
        <v>1819</v>
      </c>
      <c r="F1095" s="7" t="s">
        <v>1818</v>
      </c>
      <c r="G1095" s="7" t="s">
        <v>1817</v>
      </c>
      <c r="H1095" s="7"/>
      <c r="I1095" s="7"/>
      <c r="J1095" s="7" t="s">
        <v>1816</v>
      </c>
      <c r="K1095" s="7" t="s">
        <v>1815</v>
      </c>
      <c r="L1095" s="7" t="s">
        <v>1814</v>
      </c>
      <c r="M1095" s="7" t="s">
        <v>28</v>
      </c>
      <c r="N1095" s="7" t="s">
        <v>1813</v>
      </c>
      <c r="O1095" s="7" t="s">
        <v>1704</v>
      </c>
      <c r="P1095" s="7" t="s">
        <v>1703</v>
      </c>
      <c r="Q1095" s="9">
        <v>259000</v>
      </c>
      <c r="R1095" s="9">
        <v>0</v>
      </c>
      <c r="S1095" s="9">
        <f t="shared" si="36"/>
        <v>259000</v>
      </c>
      <c r="T1095" s="4" t="s">
        <v>53</v>
      </c>
      <c r="U1095" s="7"/>
      <c r="V1095" s="7"/>
      <c r="W1095" s="9">
        <v>1</v>
      </c>
      <c r="X1095" s="7"/>
      <c r="Y1095" s="7"/>
      <c r="Z1095" s="7" t="s">
        <v>14</v>
      </c>
      <c r="AA1095" s="36" t="s">
        <v>28</v>
      </c>
      <c r="AB1095" s="4"/>
      <c r="AC1095" s="22">
        <f t="shared" si="35"/>
        <v>101.56862745098039</v>
      </c>
      <c r="AD1095" s="23">
        <v>0</v>
      </c>
    </row>
    <row r="1096" spans="1:30" hidden="1" x14ac:dyDescent="0.35">
      <c r="A1096" s="7">
        <v>1</v>
      </c>
      <c r="B1096" s="24">
        <v>45931.364050925928</v>
      </c>
      <c r="C1096" s="24">
        <v>45931</v>
      </c>
      <c r="D1096" s="7" t="s">
        <v>2620</v>
      </c>
      <c r="E1096" s="7" t="s">
        <v>1050</v>
      </c>
      <c r="F1096" s="7"/>
      <c r="G1096" s="7" t="s">
        <v>2621</v>
      </c>
      <c r="H1096" s="7"/>
      <c r="I1096" s="7"/>
      <c r="J1096" s="7" t="s">
        <v>1816</v>
      </c>
      <c r="K1096" s="7" t="s">
        <v>1815</v>
      </c>
      <c r="L1096" s="7" t="s">
        <v>1956</v>
      </c>
      <c r="M1096" s="7" t="s">
        <v>30</v>
      </c>
      <c r="N1096" s="7" t="s">
        <v>211</v>
      </c>
      <c r="O1096" s="7" t="s">
        <v>210</v>
      </c>
      <c r="P1096" s="7" t="s">
        <v>210</v>
      </c>
      <c r="Q1096" s="9">
        <v>600000</v>
      </c>
      <c r="R1096" s="9">
        <v>0</v>
      </c>
      <c r="S1096" s="9">
        <f t="shared" si="36"/>
        <v>600000</v>
      </c>
      <c r="T1096" s="7" t="s">
        <v>53</v>
      </c>
      <c r="U1096" s="7"/>
      <c r="V1096" s="7"/>
      <c r="W1096" s="9">
        <v>1</v>
      </c>
      <c r="X1096" s="7"/>
      <c r="Y1096" s="4"/>
      <c r="Z1096" s="7" t="s">
        <v>14</v>
      </c>
      <c r="AA1096" s="36" t="s">
        <v>30</v>
      </c>
      <c r="AB1096" s="4"/>
      <c r="AC1096" s="22">
        <f t="shared" ref="AC1096:AC1159" si="37">+S1096/$AC$1</f>
        <v>235.29411764705881</v>
      </c>
      <c r="AD1096" s="23">
        <v>0</v>
      </c>
    </row>
    <row r="1097" spans="1:30" hidden="1" x14ac:dyDescent="0.35">
      <c r="A1097" s="7">
        <v>2</v>
      </c>
      <c r="B1097" s="24">
        <v>45932.580671296295</v>
      </c>
      <c r="C1097" s="24">
        <v>45932</v>
      </c>
      <c r="D1097" s="7" t="s">
        <v>2622</v>
      </c>
      <c r="E1097" s="7" t="s">
        <v>1981</v>
      </c>
      <c r="F1097" s="7" t="s">
        <v>2623</v>
      </c>
      <c r="G1097" s="7" t="s">
        <v>2624</v>
      </c>
      <c r="H1097" s="7" t="s">
        <v>1984</v>
      </c>
      <c r="I1097" s="7" t="s">
        <v>1983</v>
      </c>
      <c r="J1097" s="7" t="s">
        <v>1816</v>
      </c>
      <c r="K1097" s="7" t="s">
        <v>1815</v>
      </c>
      <c r="L1097" s="7" t="s">
        <v>1814</v>
      </c>
      <c r="M1097" s="7" t="s">
        <v>28</v>
      </c>
      <c r="N1097" s="7" t="s">
        <v>1825</v>
      </c>
      <c r="O1097" s="7" t="s">
        <v>105</v>
      </c>
      <c r="P1097" s="7" t="s">
        <v>1775</v>
      </c>
      <c r="Q1097" s="9">
        <v>1000000</v>
      </c>
      <c r="R1097" s="9">
        <v>0</v>
      </c>
      <c r="S1097" s="9">
        <f t="shared" si="36"/>
        <v>1000000</v>
      </c>
      <c r="T1097" s="7" t="s">
        <v>53</v>
      </c>
      <c r="U1097" s="7"/>
      <c r="V1097" s="7"/>
      <c r="W1097" s="9">
        <v>1</v>
      </c>
      <c r="X1097" s="7"/>
      <c r="Y1097" s="4"/>
      <c r="Z1097" s="7" t="s">
        <v>14</v>
      </c>
      <c r="AA1097" s="36" t="s">
        <v>28</v>
      </c>
      <c r="AB1097" s="4"/>
      <c r="AC1097" s="22">
        <f t="shared" si="37"/>
        <v>392.15686274509807</v>
      </c>
      <c r="AD1097" s="23">
        <v>0</v>
      </c>
    </row>
    <row r="1098" spans="1:30" hidden="1" x14ac:dyDescent="0.35">
      <c r="A1098" s="7">
        <v>3</v>
      </c>
      <c r="B1098" s="24">
        <v>45932.580671296295</v>
      </c>
      <c r="C1098" s="24">
        <v>45932</v>
      </c>
      <c r="D1098" s="7" t="s">
        <v>2622</v>
      </c>
      <c r="E1098" s="7" t="s">
        <v>1981</v>
      </c>
      <c r="F1098" s="7" t="s">
        <v>2625</v>
      </c>
      <c r="G1098" s="7" t="s">
        <v>2624</v>
      </c>
      <c r="H1098" s="7"/>
      <c r="I1098" s="7"/>
      <c r="J1098" s="7" t="s">
        <v>1816</v>
      </c>
      <c r="K1098" s="7" t="s">
        <v>1815</v>
      </c>
      <c r="L1098" s="7" t="s">
        <v>1814</v>
      </c>
      <c r="M1098" s="7" t="s">
        <v>28</v>
      </c>
      <c r="N1098" s="7" t="s">
        <v>1825</v>
      </c>
      <c r="O1098" s="7" t="s">
        <v>105</v>
      </c>
      <c r="P1098" s="7" t="s">
        <v>1775</v>
      </c>
      <c r="Q1098" s="9">
        <v>1500000</v>
      </c>
      <c r="R1098" s="9">
        <v>0</v>
      </c>
      <c r="S1098" s="9">
        <f t="shared" si="36"/>
        <v>1500000</v>
      </c>
      <c r="T1098" s="7" t="s">
        <v>53</v>
      </c>
      <c r="U1098" s="7"/>
      <c r="V1098" s="7"/>
      <c r="W1098" s="9">
        <v>1</v>
      </c>
      <c r="X1098" s="7"/>
      <c r="Y1098" s="4"/>
      <c r="Z1098" s="7" t="s">
        <v>14</v>
      </c>
      <c r="AA1098" s="36" t="s">
        <v>28</v>
      </c>
      <c r="AB1098" s="4"/>
      <c r="AC1098" s="22">
        <f t="shared" si="37"/>
        <v>588.23529411764707</v>
      </c>
      <c r="AD1098" s="23">
        <v>0</v>
      </c>
    </row>
    <row r="1099" spans="1:30" hidden="1" x14ac:dyDescent="0.35">
      <c r="A1099" s="7">
        <v>4</v>
      </c>
      <c r="B1099" s="24">
        <v>45932.580671296295</v>
      </c>
      <c r="C1099" s="24">
        <v>45932</v>
      </c>
      <c r="D1099" s="7" t="s">
        <v>2622</v>
      </c>
      <c r="E1099" s="7" t="s">
        <v>1981</v>
      </c>
      <c r="F1099" s="7" t="s">
        <v>2626</v>
      </c>
      <c r="G1099" s="7" t="s">
        <v>2624</v>
      </c>
      <c r="H1099" s="7" t="s">
        <v>2427</v>
      </c>
      <c r="I1099" s="7" t="s">
        <v>2426</v>
      </c>
      <c r="J1099" s="7" t="s">
        <v>1816</v>
      </c>
      <c r="K1099" s="7" t="s">
        <v>1815</v>
      </c>
      <c r="L1099" s="7" t="s">
        <v>1814</v>
      </c>
      <c r="M1099" s="7" t="s">
        <v>28</v>
      </c>
      <c r="N1099" s="7" t="s">
        <v>1825</v>
      </c>
      <c r="O1099" s="7" t="s">
        <v>105</v>
      </c>
      <c r="P1099" s="7" t="s">
        <v>1775</v>
      </c>
      <c r="Q1099" s="9">
        <v>500000</v>
      </c>
      <c r="R1099" s="9">
        <v>0</v>
      </c>
      <c r="S1099" s="9">
        <f t="shared" si="36"/>
        <v>500000</v>
      </c>
      <c r="T1099" s="7" t="s">
        <v>53</v>
      </c>
      <c r="U1099" s="7"/>
      <c r="V1099" s="7"/>
      <c r="W1099" s="9">
        <v>1</v>
      </c>
      <c r="X1099" s="7"/>
      <c r="Y1099" s="4"/>
      <c r="Z1099" s="7" t="s">
        <v>14</v>
      </c>
      <c r="AA1099" s="36" t="s">
        <v>28</v>
      </c>
      <c r="AB1099" s="4"/>
      <c r="AC1099" s="22">
        <f t="shared" si="37"/>
        <v>196.07843137254903</v>
      </c>
      <c r="AD1099" s="23">
        <v>0</v>
      </c>
    </row>
    <row r="1100" spans="1:30" hidden="1" x14ac:dyDescent="0.35">
      <c r="A1100" s="7">
        <v>5</v>
      </c>
      <c r="B1100" s="24">
        <v>45934.431111111109</v>
      </c>
      <c r="C1100" s="24">
        <v>45934</v>
      </c>
      <c r="D1100" s="7" t="s">
        <v>2627</v>
      </c>
      <c r="E1100" s="7" t="s">
        <v>1842</v>
      </c>
      <c r="F1100" s="7" t="s">
        <v>2628</v>
      </c>
      <c r="G1100" s="7" t="s">
        <v>2629</v>
      </c>
      <c r="H1100" s="7"/>
      <c r="I1100" s="7"/>
      <c r="J1100" s="7" t="s">
        <v>1840</v>
      </c>
      <c r="K1100" s="7" t="s">
        <v>1815</v>
      </c>
      <c r="L1100" s="7" t="s">
        <v>1839</v>
      </c>
      <c r="M1100" s="7" t="s">
        <v>2630</v>
      </c>
      <c r="N1100" s="7" t="s">
        <v>2628</v>
      </c>
      <c r="O1100" s="7" t="s">
        <v>1065</v>
      </c>
      <c r="P1100" s="7"/>
      <c r="Q1100" s="9">
        <v>0</v>
      </c>
      <c r="R1100" s="9">
        <v>10169492</v>
      </c>
      <c r="S1100" s="9">
        <f t="shared" si="36"/>
        <v>-10169492</v>
      </c>
      <c r="T1100" s="7" t="s">
        <v>53</v>
      </c>
      <c r="U1100" s="7"/>
      <c r="V1100" s="7"/>
      <c r="W1100" s="9">
        <v>1</v>
      </c>
      <c r="X1100" s="7"/>
      <c r="Y1100" s="4"/>
      <c r="Z1100" s="7" t="s">
        <v>12</v>
      </c>
      <c r="AA1100" s="36" t="s">
        <v>2630</v>
      </c>
      <c r="AB1100" s="4">
        <f>IFERROR(_xlfn.XLOOKUP(AA1100,#REF!,#REF!),0)</f>
        <v>0</v>
      </c>
      <c r="AC1100" s="22">
        <f t="shared" si="37"/>
        <v>-3988.0360784313725</v>
      </c>
      <c r="AD1100" s="23">
        <v>0</v>
      </c>
    </row>
    <row r="1101" spans="1:30" x14ac:dyDescent="0.35">
      <c r="A1101" s="7">
        <v>6</v>
      </c>
      <c r="B1101" s="24">
        <v>45936.617337962962</v>
      </c>
      <c r="C1101" s="24">
        <v>45936</v>
      </c>
      <c r="D1101" s="7" t="s">
        <v>2631</v>
      </c>
      <c r="E1101" s="7" t="s">
        <v>61</v>
      </c>
      <c r="F1101" s="7" t="s">
        <v>2632</v>
      </c>
      <c r="G1101" s="7" t="s">
        <v>2632</v>
      </c>
      <c r="H1101" s="7"/>
      <c r="I1101" s="7"/>
      <c r="J1101" s="7" t="s">
        <v>1816</v>
      </c>
      <c r="K1101" s="7" t="s">
        <v>1815</v>
      </c>
      <c r="L1101" s="7" t="s">
        <v>1992</v>
      </c>
      <c r="M1101" s="7" t="s">
        <v>18</v>
      </c>
      <c r="N1101" s="7" t="s">
        <v>118</v>
      </c>
      <c r="O1101" s="7" t="s">
        <v>1065</v>
      </c>
      <c r="P1101" s="7" t="s">
        <v>54</v>
      </c>
      <c r="Q1101" s="9">
        <v>2156000</v>
      </c>
      <c r="R1101" s="9">
        <v>0</v>
      </c>
      <c r="S1101" s="9">
        <f t="shared" si="36"/>
        <v>2156000</v>
      </c>
      <c r="T1101" s="7" t="s">
        <v>53</v>
      </c>
      <c r="U1101" s="7" t="s">
        <v>1991</v>
      </c>
      <c r="V1101" s="7" t="s">
        <v>1990</v>
      </c>
      <c r="W1101" s="9">
        <v>-125</v>
      </c>
      <c r="X1101" s="7" t="s">
        <v>124</v>
      </c>
      <c r="Y1101" s="4"/>
      <c r="Z1101" s="7" t="s">
        <v>14</v>
      </c>
      <c r="AA1101" s="36" t="s">
        <v>22</v>
      </c>
      <c r="AB1101" s="4" t="s">
        <v>2835</v>
      </c>
      <c r="AC1101" s="22">
        <f t="shared" si="37"/>
        <v>845.49019607843138</v>
      </c>
      <c r="AD1101" s="23">
        <v>0</v>
      </c>
    </row>
    <row r="1102" spans="1:30" hidden="1" x14ac:dyDescent="0.35">
      <c r="A1102" s="7">
        <v>7</v>
      </c>
      <c r="B1102" s="24">
        <v>45938.330185185187</v>
      </c>
      <c r="C1102" s="24">
        <v>45938</v>
      </c>
      <c r="D1102" s="7" t="s">
        <v>2633</v>
      </c>
      <c r="E1102" s="7" t="s">
        <v>1331</v>
      </c>
      <c r="F1102" s="7" t="s">
        <v>1499</v>
      </c>
      <c r="G1102" s="7" t="s">
        <v>2634</v>
      </c>
      <c r="H1102" s="7" t="s">
        <v>1497</v>
      </c>
      <c r="I1102" s="7" t="s">
        <v>1496</v>
      </c>
      <c r="J1102" s="7" t="s">
        <v>1816</v>
      </c>
      <c r="K1102" s="7" t="s">
        <v>1815</v>
      </c>
      <c r="L1102" s="7" t="s">
        <v>1814</v>
      </c>
      <c r="M1102" s="7" t="s">
        <v>28</v>
      </c>
      <c r="N1102" s="7" t="s">
        <v>1813</v>
      </c>
      <c r="O1102" s="7" t="s">
        <v>1704</v>
      </c>
      <c r="P1102" s="7"/>
      <c r="Q1102" s="9">
        <v>685746</v>
      </c>
      <c r="R1102" s="9">
        <v>0</v>
      </c>
      <c r="S1102" s="9">
        <f t="shared" si="36"/>
        <v>685746</v>
      </c>
      <c r="T1102" s="7" t="s">
        <v>2635</v>
      </c>
      <c r="U1102" s="7"/>
      <c r="V1102" s="7"/>
      <c r="W1102" s="9">
        <v>1</v>
      </c>
      <c r="X1102" s="7"/>
      <c r="Y1102" s="4"/>
      <c r="Z1102" s="7" t="s">
        <v>14</v>
      </c>
      <c r="AA1102" s="36" t="s">
        <v>28</v>
      </c>
      <c r="AB1102" s="4"/>
      <c r="AC1102" s="22">
        <f t="shared" si="37"/>
        <v>268.92</v>
      </c>
      <c r="AD1102" s="23">
        <v>0</v>
      </c>
    </row>
    <row r="1103" spans="1:30" x14ac:dyDescent="0.35">
      <c r="A1103" s="7">
        <v>8</v>
      </c>
      <c r="B1103" s="24">
        <v>45940.606944444444</v>
      </c>
      <c r="C1103" s="24">
        <v>45940</v>
      </c>
      <c r="D1103" s="7" t="s">
        <v>2636</v>
      </c>
      <c r="E1103" s="7" t="s">
        <v>61</v>
      </c>
      <c r="F1103" s="7" t="s">
        <v>2637</v>
      </c>
      <c r="G1103" s="7" t="s">
        <v>2637</v>
      </c>
      <c r="H1103" s="7"/>
      <c r="I1103" s="7"/>
      <c r="J1103" s="7" t="s">
        <v>1816</v>
      </c>
      <c r="K1103" s="7" t="s">
        <v>1815</v>
      </c>
      <c r="L1103" s="7" t="s">
        <v>1992</v>
      </c>
      <c r="M1103" s="7" t="s">
        <v>18</v>
      </c>
      <c r="N1103" s="7" t="s">
        <v>118</v>
      </c>
      <c r="O1103" s="7" t="s">
        <v>707</v>
      </c>
      <c r="P1103" s="7" t="s">
        <v>54</v>
      </c>
      <c r="Q1103" s="9">
        <v>1164240</v>
      </c>
      <c r="R1103" s="9">
        <v>0</v>
      </c>
      <c r="S1103" s="9">
        <f t="shared" si="36"/>
        <v>1164240</v>
      </c>
      <c r="T1103" s="7" t="s">
        <v>53</v>
      </c>
      <c r="U1103" s="7" t="s">
        <v>1991</v>
      </c>
      <c r="V1103" s="7" t="s">
        <v>1990</v>
      </c>
      <c r="W1103" s="9">
        <v>-67.5</v>
      </c>
      <c r="X1103" s="7" t="s">
        <v>124</v>
      </c>
      <c r="Y1103" s="4"/>
      <c r="Z1103" s="7" t="s">
        <v>14</v>
      </c>
      <c r="AA1103" s="36" t="s">
        <v>22</v>
      </c>
      <c r="AB1103" s="4" t="s">
        <v>2835</v>
      </c>
      <c r="AC1103" s="22">
        <f t="shared" si="37"/>
        <v>456.56470588235294</v>
      </c>
      <c r="AD1103" s="23">
        <v>0</v>
      </c>
    </row>
    <row r="1104" spans="1:30" hidden="1" x14ac:dyDescent="0.35">
      <c r="A1104" s="7">
        <v>9</v>
      </c>
      <c r="B1104" s="24">
        <v>45940.386597222219</v>
      </c>
      <c r="C1104" s="24">
        <v>45940</v>
      </c>
      <c r="D1104" s="7" t="s">
        <v>2638</v>
      </c>
      <c r="E1104" s="7" t="s">
        <v>1981</v>
      </c>
      <c r="F1104" s="7" t="s">
        <v>2639</v>
      </c>
      <c r="G1104" s="7" t="s">
        <v>2640</v>
      </c>
      <c r="H1104" s="7" t="s">
        <v>1978</v>
      </c>
      <c r="I1104" s="7" t="s">
        <v>1977</v>
      </c>
      <c r="J1104" s="7" t="s">
        <v>1816</v>
      </c>
      <c r="K1104" s="7" t="s">
        <v>1815</v>
      </c>
      <c r="L1104" s="7" t="s">
        <v>1814</v>
      </c>
      <c r="M1104" s="7" t="s">
        <v>28</v>
      </c>
      <c r="N1104" s="7" t="s">
        <v>1825</v>
      </c>
      <c r="O1104" s="7" t="s">
        <v>105</v>
      </c>
      <c r="P1104" s="7" t="s">
        <v>1775</v>
      </c>
      <c r="Q1104" s="9">
        <v>350000</v>
      </c>
      <c r="R1104" s="9">
        <v>0</v>
      </c>
      <c r="S1104" s="9">
        <f t="shared" si="36"/>
        <v>350000</v>
      </c>
      <c r="T1104" s="7" t="s">
        <v>53</v>
      </c>
      <c r="U1104" s="7"/>
      <c r="V1104" s="7"/>
      <c r="W1104" s="9">
        <v>1</v>
      </c>
      <c r="X1104" s="7"/>
      <c r="Y1104" s="4"/>
      <c r="Z1104" s="7" t="s">
        <v>14</v>
      </c>
      <c r="AA1104" s="36" t="s">
        <v>28</v>
      </c>
      <c r="AB1104" s="4"/>
      <c r="AC1104" s="22">
        <f t="shared" si="37"/>
        <v>137.25490196078431</v>
      </c>
      <c r="AD1104" s="23">
        <v>0</v>
      </c>
    </row>
    <row r="1105" spans="1:30" hidden="1" x14ac:dyDescent="0.35">
      <c r="A1105" s="7">
        <v>10</v>
      </c>
      <c r="B1105" s="24">
        <v>45940.386597222219</v>
      </c>
      <c r="C1105" s="24">
        <v>45940</v>
      </c>
      <c r="D1105" s="7" t="s">
        <v>2638</v>
      </c>
      <c r="E1105" s="7" t="s">
        <v>1981</v>
      </c>
      <c r="F1105" s="7" t="s">
        <v>2639</v>
      </c>
      <c r="G1105" s="7" t="s">
        <v>2640</v>
      </c>
      <c r="H1105" s="7" t="s">
        <v>1978</v>
      </c>
      <c r="I1105" s="7" t="s">
        <v>1977</v>
      </c>
      <c r="J1105" s="7" t="s">
        <v>1816</v>
      </c>
      <c r="K1105" s="7" t="s">
        <v>1815</v>
      </c>
      <c r="L1105" s="7" t="s">
        <v>1814</v>
      </c>
      <c r="M1105" s="7" t="s">
        <v>28</v>
      </c>
      <c r="N1105" s="7" t="s">
        <v>1825</v>
      </c>
      <c r="O1105" s="7" t="s">
        <v>105</v>
      </c>
      <c r="P1105" s="7" t="s">
        <v>1775</v>
      </c>
      <c r="Q1105" s="9">
        <v>750000</v>
      </c>
      <c r="R1105" s="9">
        <v>0</v>
      </c>
      <c r="S1105" s="9">
        <f t="shared" si="36"/>
        <v>750000</v>
      </c>
      <c r="T1105" s="7" t="s">
        <v>53</v>
      </c>
      <c r="U1105" s="7"/>
      <c r="V1105" s="7"/>
      <c r="W1105" s="9">
        <v>1</v>
      </c>
      <c r="X1105" s="7"/>
      <c r="Y1105" s="4"/>
      <c r="Z1105" s="7" t="s">
        <v>14</v>
      </c>
      <c r="AA1105" s="36" t="s">
        <v>28</v>
      </c>
      <c r="AB1105" s="4"/>
      <c r="AC1105" s="22">
        <f t="shared" si="37"/>
        <v>294.11764705882354</v>
      </c>
      <c r="AD1105" s="23">
        <v>0</v>
      </c>
    </row>
    <row r="1106" spans="1:30" hidden="1" x14ac:dyDescent="0.35">
      <c r="A1106" s="7">
        <v>11</v>
      </c>
      <c r="B1106" s="24">
        <v>45940.386597222219</v>
      </c>
      <c r="C1106" s="24">
        <v>45940</v>
      </c>
      <c r="D1106" s="7" t="s">
        <v>2638</v>
      </c>
      <c r="E1106" s="7" t="s">
        <v>1981</v>
      </c>
      <c r="F1106" s="7" t="s">
        <v>2639</v>
      </c>
      <c r="G1106" s="7" t="s">
        <v>2640</v>
      </c>
      <c r="H1106" s="7" t="s">
        <v>1978</v>
      </c>
      <c r="I1106" s="7" t="s">
        <v>1977</v>
      </c>
      <c r="J1106" s="7" t="s">
        <v>1816</v>
      </c>
      <c r="K1106" s="7" t="s">
        <v>1815</v>
      </c>
      <c r="L1106" s="7" t="s">
        <v>1814</v>
      </c>
      <c r="M1106" s="7" t="s">
        <v>28</v>
      </c>
      <c r="N1106" s="7" t="s">
        <v>1825</v>
      </c>
      <c r="O1106" s="7" t="s">
        <v>105</v>
      </c>
      <c r="P1106" s="7" t="s">
        <v>1775</v>
      </c>
      <c r="Q1106" s="9">
        <v>750000</v>
      </c>
      <c r="R1106" s="9">
        <v>0</v>
      </c>
      <c r="S1106" s="9">
        <f t="shared" si="36"/>
        <v>750000</v>
      </c>
      <c r="T1106" s="7" t="s">
        <v>53</v>
      </c>
      <c r="U1106" s="7"/>
      <c r="V1106" s="7"/>
      <c r="W1106" s="9">
        <v>1</v>
      </c>
      <c r="X1106" s="7"/>
      <c r="Y1106" s="4"/>
      <c r="Z1106" s="7" t="s">
        <v>14</v>
      </c>
      <c r="AA1106" s="36" t="s">
        <v>28</v>
      </c>
      <c r="AB1106" s="4"/>
      <c r="AC1106" s="22">
        <f t="shared" si="37"/>
        <v>294.11764705882354</v>
      </c>
      <c r="AD1106" s="23">
        <v>0</v>
      </c>
    </row>
    <row r="1107" spans="1:30" hidden="1" x14ac:dyDescent="0.35">
      <c r="A1107" s="7">
        <v>12</v>
      </c>
      <c r="B1107" s="24">
        <v>45940.386597222219</v>
      </c>
      <c r="C1107" s="24">
        <v>45940</v>
      </c>
      <c r="D1107" s="7" t="s">
        <v>2638</v>
      </c>
      <c r="E1107" s="7" t="s">
        <v>1981</v>
      </c>
      <c r="F1107" s="7" t="s">
        <v>2639</v>
      </c>
      <c r="G1107" s="7" t="s">
        <v>2640</v>
      </c>
      <c r="H1107" s="7" t="s">
        <v>1978</v>
      </c>
      <c r="I1107" s="7" t="s">
        <v>1977</v>
      </c>
      <c r="J1107" s="7" t="s">
        <v>1816</v>
      </c>
      <c r="K1107" s="7" t="s">
        <v>1815</v>
      </c>
      <c r="L1107" s="7" t="s">
        <v>1814</v>
      </c>
      <c r="M1107" s="7" t="s">
        <v>28</v>
      </c>
      <c r="N1107" s="7" t="s">
        <v>1825</v>
      </c>
      <c r="O1107" s="7" t="s">
        <v>105</v>
      </c>
      <c r="P1107" s="7" t="s">
        <v>1775</v>
      </c>
      <c r="Q1107" s="9">
        <v>250000</v>
      </c>
      <c r="R1107" s="9">
        <v>0</v>
      </c>
      <c r="S1107" s="9">
        <f t="shared" si="36"/>
        <v>250000</v>
      </c>
      <c r="T1107" s="7" t="s">
        <v>53</v>
      </c>
      <c r="U1107" s="7"/>
      <c r="V1107" s="7"/>
      <c r="W1107" s="9">
        <v>1</v>
      </c>
      <c r="X1107" s="7"/>
      <c r="Y1107" s="4"/>
      <c r="Z1107" s="7" t="s">
        <v>14</v>
      </c>
      <c r="AA1107" s="36" t="s">
        <v>28</v>
      </c>
      <c r="AB1107" s="4"/>
      <c r="AC1107" s="22">
        <f t="shared" si="37"/>
        <v>98.039215686274517</v>
      </c>
      <c r="AD1107" s="23">
        <v>0</v>
      </c>
    </row>
    <row r="1108" spans="1:30" hidden="1" x14ac:dyDescent="0.35">
      <c r="A1108" s="7">
        <v>13</v>
      </c>
      <c r="B1108" s="24">
        <v>45940.386597222219</v>
      </c>
      <c r="C1108" s="24">
        <v>45940</v>
      </c>
      <c r="D1108" s="7" t="s">
        <v>2638</v>
      </c>
      <c r="E1108" s="7" t="s">
        <v>1981</v>
      </c>
      <c r="F1108" s="7" t="s">
        <v>2639</v>
      </c>
      <c r="G1108" s="7" t="s">
        <v>2640</v>
      </c>
      <c r="H1108" s="7" t="s">
        <v>1978</v>
      </c>
      <c r="I1108" s="7" t="s">
        <v>1977</v>
      </c>
      <c r="J1108" s="7" t="s">
        <v>1816</v>
      </c>
      <c r="K1108" s="7" t="s">
        <v>1815</v>
      </c>
      <c r="L1108" s="7" t="s">
        <v>1814</v>
      </c>
      <c r="M1108" s="7" t="s">
        <v>28</v>
      </c>
      <c r="N1108" s="7" t="s">
        <v>1825</v>
      </c>
      <c r="O1108" s="7" t="s">
        <v>105</v>
      </c>
      <c r="P1108" s="7" t="s">
        <v>1775</v>
      </c>
      <c r="Q1108" s="9">
        <v>750000</v>
      </c>
      <c r="R1108" s="9">
        <v>0</v>
      </c>
      <c r="S1108" s="9">
        <f t="shared" si="36"/>
        <v>750000</v>
      </c>
      <c r="T1108" s="7" t="s">
        <v>53</v>
      </c>
      <c r="U1108" s="7"/>
      <c r="V1108" s="7"/>
      <c r="W1108" s="9">
        <v>1</v>
      </c>
      <c r="X1108" s="7"/>
      <c r="Y1108" s="4"/>
      <c r="Z1108" s="7" t="s">
        <v>14</v>
      </c>
      <c r="AA1108" s="36" t="s">
        <v>28</v>
      </c>
      <c r="AB1108" s="4"/>
      <c r="AC1108" s="22">
        <f t="shared" si="37"/>
        <v>294.11764705882354</v>
      </c>
      <c r="AD1108" s="23">
        <v>0</v>
      </c>
    </row>
    <row r="1109" spans="1:30" hidden="1" x14ac:dyDescent="0.35">
      <c r="A1109" s="7">
        <v>14</v>
      </c>
      <c r="B1109" s="24">
        <v>45940.386597222219</v>
      </c>
      <c r="C1109" s="24">
        <v>45940</v>
      </c>
      <c r="D1109" s="7" t="s">
        <v>2638</v>
      </c>
      <c r="E1109" s="7" t="s">
        <v>1981</v>
      </c>
      <c r="F1109" s="7" t="s">
        <v>2639</v>
      </c>
      <c r="G1109" s="7" t="s">
        <v>2640</v>
      </c>
      <c r="H1109" s="7" t="s">
        <v>1978</v>
      </c>
      <c r="I1109" s="7" t="s">
        <v>1977</v>
      </c>
      <c r="J1109" s="7" t="s">
        <v>1816</v>
      </c>
      <c r="K1109" s="7" t="s">
        <v>1815</v>
      </c>
      <c r="L1109" s="7" t="s">
        <v>1814</v>
      </c>
      <c r="M1109" s="7" t="s">
        <v>28</v>
      </c>
      <c r="N1109" s="7" t="s">
        <v>1825</v>
      </c>
      <c r="O1109" s="7" t="s">
        <v>105</v>
      </c>
      <c r="P1109" s="7" t="s">
        <v>1775</v>
      </c>
      <c r="Q1109" s="9">
        <v>300000</v>
      </c>
      <c r="R1109" s="9">
        <v>0</v>
      </c>
      <c r="S1109" s="9">
        <f t="shared" si="36"/>
        <v>300000</v>
      </c>
      <c r="T1109" s="7" t="s">
        <v>53</v>
      </c>
      <c r="U1109" s="7"/>
      <c r="V1109" s="7"/>
      <c r="W1109" s="9">
        <v>1</v>
      </c>
      <c r="X1109" s="7"/>
      <c r="Y1109" s="4"/>
      <c r="Z1109" s="7" t="s">
        <v>14</v>
      </c>
      <c r="AA1109" s="36" t="s">
        <v>28</v>
      </c>
      <c r="AB1109" s="4"/>
      <c r="AC1109" s="22">
        <f t="shared" si="37"/>
        <v>117.64705882352941</v>
      </c>
      <c r="AD1109" s="23">
        <v>0</v>
      </c>
    </row>
    <row r="1110" spans="1:30" hidden="1" x14ac:dyDescent="0.35">
      <c r="A1110" s="7">
        <v>15</v>
      </c>
      <c r="B1110" s="24">
        <v>45940.386597222219</v>
      </c>
      <c r="C1110" s="24">
        <v>45940</v>
      </c>
      <c r="D1110" s="7" t="s">
        <v>2638</v>
      </c>
      <c r="E1110" s="7" t="s">
        <v>1981</v>
      </c>
      <c r="F1110" s="7" t="s">
        <v>2639</v>
      </c>
      <c r="G1110" s="7" t="s">
        <v>2640</v>
      </c>
      <c r="H1110" s="7" t="s">
        <v>1978</v>
      </c>
      <c r="I1110" s="7" t="s">
        <v>1977</v>
      </c>
      <c r="J1110" s="7" t="s">
        <v>1816</v>
      </c>
      <c r="K1110" s="7" t="s">
        <v>1815</v>
      </c>
      <c r="L1110" s="7" t="s">
        <v>1814</v>
      </c>
      <c r="M1110" s="7" t="s">
        <v>28</v>
      </c>
      <c r="N1110" s="7" t="s">
        <v>1825</v>
      </c>
      <c r="O1110" s="7" t="s">
        <v>105</v>
      </c>
      <c r="P1110" s="7" t="s">
        <v>1775</v>
      </c>
      <c r="Q1110" s="9">
        <v>750000</v>
      </c>
      <c r="R1110" s="9">
        <v>0</v>
      </c>
      <c r="S1110" s="9">
        <f t="shared" si="36"/>
        <v>750000</v>
      </c>
      <c r="T1110" s="7" t="s">
        <v>53</v>
      </c>
      <c r="U1110" s="7"/>
      <c r="V1110" s="7"/>
      <c r="W1110" s="9">
        <v>1</v>
      </c>
      <c r="X1110" s="7"/>
      <c r="Y1110" s="4"/>
      <c r="Z1110" s="7" t="s">
        <v>14</v>
      </c>
      <c r="AA1110" s="36" t="s">
        <v>28</v>
      </c>
      <c r="AB1110" s="4"/>
      <c r="AC1110" s="22">
        <f t="shared" si="37"/>
        <v>294.11764705882354</v>
      </c>
      <c r="AD1110" s="23">
        <v>0</v>
      </c>
    </row>
    <row r="1111" spans="1:30" hidden="1" x14ac:dyDescent="0.35">
      <c r="A1111" s="7">
        <v>16</v>
      </c>
      <c r="B1111" s="24">
        <v>45940.386597222219</v>
      </c>
      <c r="C1111" s="24">
        <v>45940</v>
      </c>
      <c r="D1111" s="7" t="s">
        <v>2638</v>
      </c>
      <c r="E1111" s="7" t="s">
        <v>1981</v>
      </c>
      <c r="F1111" s="7" t="s">
        <v>2639</v>
      </c>
      <c r="G1111" s="7" t="s">
        <v>2640</v>
      </c>
      <c r="H1111" s="7" t="s">
        <v>1978</v>
      </c>
      <c r="I1111" s="7" t="s">
        <v>1977</v>
      </c>
      <c r="J1111" s="7" t="s">
        <v>1816</v>
      </c>
      <c r="K1111" s="7" t="s">
        <v>1815</v>
      </c>
      <c r="L1111" s="7" t="s">
        <v>1814</v>
      </c>
      <c r="M1111" s="7" t="s">
        <v>28</v>
      </c>
      <c r="N1111" s="7" t="s">
        <v>1825</v>
      </c>
      <c r="O1111" s="7" t="s">
        <v>105</v>
      </c>
      <c r="P1111" s="7" t="s">
        <v>1775</v>
      </c>
      <c r="Q1111" s="9">
        <v>500000</v>
      </c>
      <c r="R1111" s="9">
        <v>0</v>
      </c>
      <c r="S1111" s="9">
        <f t="shared" si="36"/>
        <v>500000</v>
      </c>
      <c r="T1111" s="7" t="s">
        <v>53</v>
      </c>
      <c r="U1111" s="7"/>
      <c r="V1111" s="7"/>
      <c r="W1111" s="9">
        <v>1</v>
      </c>
      <c r="X1111" s="7"/>
      <c r="Y1111" s="4"/>
      <c r="Z1111" s="7" t="s">
        <v>14</v>
      </c>
      <c r="AA1111" s="36" t="s">
        <v>28</v>
      </c>
      <c r="AB1111" s="4"/>
      <c r="AC1111" s="22">
        <f t="shared" si="37"/>
        <v>196.07843137254903</v>
      </c>
      <c r="AD1111" s="23">
        <v>0</v>
      </c>
    </row>
    <row r="1112" spans="1:30" hidden="1" x14ac:dyDescent="0.35">
      <c r="A1112" s="7">
        <v>17</v>
      </c>
      <c r="B1112" s="24">
        <v>45940.386597222219</v>
      </c>
      <c r="C1112" s="24">
        <v>45940</v>
      </c>
      <c r="D1112" s="7" t="s">
        <v>2638</v>
      </c>
      <c r="E1112" s="7" t="s">
        <v>1981</v>
      </c>
      <c r="F1112" s="7" t="s">
        <v>2639</v>
      </c>
      <c r="G1112" s="7" t="s">
        <v>2640</v>
      </c>
      <c r="H1112" s="7" t="s">
        <v>1978</v>
      </c>
      <c r="I1112" s="7" t="s">
        <v>1977</v>
      </c>
      <c r="J1112" s="7" t="s">
        <v>1816</v>
      </c>
      <c r="K1112" s="7" t="s">
        <v>1815</v>
      </c>
      <c r="L1112" s="7" t="s">
        <v>1814</v>
      </c>
      <c r="M1112" s="7" t="s">
        <v>28</v>
      </c>
      <c r="N1112" s="7" t="s">
        <v>1825</v>
      </c>
      <c r="O1112" s="7" t="s">
        <v>105</v>
      </c>
      <c r="P1112" s="7" t="s">
        <v>1775</v>
      </c>
      <c r="Q1112" s="9">
        <v>250000</v>
      </c>
      <c r="R1112" s="9">
        <v>0</v>
      </c>
      <c r="S1112" s="9">
        <f t="shared" si="36"/>
        <v>250000</v>
      </c>
      <c r="T1112" s="7" t="s">
        <v>53</v>
      </c>
      <c r="U1112" s="7"/>
      <c r="V1112" s="7"/>
      <c r="W1112" s="9">
        <v>1</v>
      </c>
      <c r="X1112" s="7"/>
      <c r="Y1112" s="4"/>
      <c r="Z1112" s="7" t="s">
        <v>14</v>
      </c>
      <c r="AA1112" s="36" t="s">
        <v>28</v>
      </c>
      <c r="AB1112" s="4"/>
      <c r="AC1112" s="22">
        <f t="shared" si="37"/>
        <v>98.039215686274517</v>
      </c>
      <c r="AD1112" s="23">
        <v>0</v>
      </c>
    </row>
    <row r="1113" spans="1:30" hidden="1" x14ac:dyDescent="0.35">
      <c r="A1113" s="7">
        <v>18</v>
      </c>
      <c r="B1113" s="24">
        <v>45940.386597222219</v>
      </c>
      <c r="C1113" s="24">
        <v>45940</v>
      </c>
      <c r="D1113" s="7" t="s">
        <v>2638</v>
      </c>
      <c r="E1113" s="7" t="s">
        <v>1981</v>
      </c>
      <c r="F1113" s="7" t="s">
        <v>2639</v>
      </c>
      <c r="G1113" s="7" t="s">
        <v>2640</v>
      </c>
      <c r="H1113" s="7" t="s">
        <v>1978</v>
      </c>
      <c r="I1113" s="7" t="s">
        <v>1977</v>
      </c>
      <c r="J1113" s="7" t="s">
        <v>1816</v>
      </c>
      <c r="K1113" s="7" t="s">
        <v>1815</v>
      </c>
      <c r="L1113" s="7" t="s">
        <v>1814</v>
      </c>
      <c r="M1113" s="7" t="s">
        <v>28</v>
      </c>
      <c r="N1113" s="7" t="s">
        <v>1825</v>
      </c>
      <c r="O1113" s="7" t="s">
        <v>105</v>
      </c>
      <c r="P1113" s="7" t="s">
        <v>1775</v>
      </c>
      <c r="Q1113" s="9">
        <v>750000</v>
      </c>
      <c r="R1113" s="9">
        <v>0</v>
      </c>
      <c r="S1113" s="9">
        <f t="shared" si="36"/>
        <v>750000</v>
      </c>
      <c r="T1113" s="7" t="s">
        <v>53</v>
      </c>
      <c r="U1113" s="7"/>
      <c r="V1113" s="7"/>
      <c r="W1113" s="9">
        <v>1</v>
      </c>
      <c r="X1113" s="7"/>
      <c r="Y1113" s="4"/>
      <c r="Z1113" s="7" t="s">
        <v>14</v>
      </c>
      <c r="AA1113" s="36" t="s">
        <v>28</v>
      </c>
      <c r="AB1113" s="4"/>
      <c r="AC1113" s="22">
        <f t="shared" si="37"/>
        <v>294.11764705882354</v>
      </c>
      <c r="AD1113" s="23">
        <v>0</v>
      </c>
    </row>
    <row r="1114" spans="1:30" hidden="1" x14ac:dyDescent="0.35">
      <c r="A1114" s="7">
        <v>19</v>
      </c>
      <c r="B1114" s="24">
        <v>45940.351736111108</v>
      </c>
      <c r="C1114" s="24">
        <v>45940</v>
      </c>
      <c r="D1114" s="7" t="s">
        <v>2641</v>
      </c>
      <c r="E1114" s="7" t="s">
        <v>1981</v>
      </c>
      <c r="F1114" s="7" t="s">
        <v>2642</v>
      </c>
      <c r="G1114" s="7" t="s">
        <v>2643</v>
      </c>
      <c r="H1114" s="7" t="s">
        <v>1978</v>
      </c>
      <c r="I1114" s="7" t="s">
        <v>1977</v>
      </c>
      <c r="J1114" s="7" t="s">
        <v>1816</v>
      </c>
      <c r="K1114" s="7" t="s">
        <v>1815</v>
      </c>
      <c r="L1114" s="7" t="s">
        <v>1814</v>
      </c>
      <c r="M1114" s="7" t="s">
        <v>28</v>
      </c>
      <c r="N1114" s="7" t="s">
        <v>1825</v>
      </c>
      <c r="O1114" s="7" t="s">
        <v>105</v>
      </c>
      <c r="P1114" s="7" t="s">
        <v>1775</v>
      </c>
      <c r="Q1114" s="9">
        <v>52000</v>
      </c>
      <c r="R1114" s="9">
        <v>0</v>
      </c>
      <c r="S1114" s="9">
        <f t="shared" si="36"/>
        <v>52000</v>
      </c>
      <c r="T1114" s="7" t="s">
        <v>53</v>
      </c>
      <c r="U1114" s="7"/>
      <c r="V1114" s="7"/>
      <c r="W1114" s="9">
        <v>1</v>
      </c>
      <c r="X1114" s="7"/>
      <c r="Y1114" s="4"/>
      <c r="Z1114" s="7" t="s">
        <v>14</v>
      </c>
      <c r="AA1114" s="36" t="s">
        <v>28</v>
      </c>
      <c r="AB1114" s="4"/>
      <c r="AC1114" s="22">
        <f t="shared" si="37"/>
        <v>20.392156862745097</v>
      </c>
      <c r="AD1114" s="23">
        <v>0</v>
      </c>
    </row>
    <row r="1115" spans="1:30" hidden="1" x14ac:dyDescent="0.35">
      <c r="A1115" s="7">
        <v>20</v>
      </c>
      <c r="B1115" s="24">
        <v>45940.340763888889</v>
      </c>
      <c r="C1115" s="24">
        <v>45940</v>
      </c>
      <c r="D1115" s="7" t="s">
        <v>2644</v>
      </c>
      <c r="E1115" s="7" t="s">
        <v>1981</v>
      </c>
      <c r="F1115" s="7" t="s">
        <v>2642</v>
      </c>
      <c r="G1115" s="7" t="s">
        <v>2645</v>
      </c>
      <c r="H1115" s="7" t="s">
        <v>1978</v>
      </c>
      <c r="I1115" s="7" t="s">
        <v>1977</v>
      </c>
      <c r="J1115" s="7" t="s">
        <v>1816</v>
      </c>
      <c r="K1115" s="7" t="s">
        <v>1815</v>
      </c>
      <c r="L1115" s="7" t="s">
        <v>1814</v>
      </c>
      <c r="M1115" s="7" t="s">
        <v>28</v>
      </c>
      <c r="N1115" s="7" t="s">
        <v>1825</v>
      </c>
      <c r="O1115" s="7" t="s">
        <v>105</v>
      </c>
      <c r="P1115" s="7" t="s">
        <v>1775</v>
      </c>
      <c r="Q1115" s="9">
        <v>165790</v>
      </c>
      <c r="R1115" s="9">
        <v>0</v>
      </c>
      <c r="S1115" s="9">
        <f t="shared" si="36"/>
        <v>165790</v>
      </c>
      <c r="T1115" s="7" t="s">
        <v>53</v>
      </c>
      <c r="U1115" s="7"/>
      <c r="V1115" s="7"/>
      <c r="W1115" s="9">
        <v>1</v>
      </c>
      <c r="X1115" s="7"/>
      <c r="Y1115" s="4"/>
      <c r="Z1115" s="7" t="s">
        <v>14</v>
      </c>
      <c r="AA1115" s="36" t="s">
        <v>28</v>
      </c>
      <c r="AB1115" s="4"/>
      <c r="AC1115" s="22">
        <f t="shared" si="37"/>
        <v>65.015686274509804</v>
      </c>
      <c r="AD1115" s="23">
        <v>0</v>
      </c>
    </row>
    <row r="1116" spans="1:30" hidden="1" x14ac:dyDescent="0.35">
      <c r="A1116" s="7">
        <v>21</v>
      </c>
      <c r="B1116" s="24">
        <v>45940.340763888889</v>
      </c>
      <c r="C1116" s="24">
        <v>45940</v>
      </c>
      <c r="D1116" s="7" t="s">
        <v>2644</v>
      </c>
      <c r="E1116" s="7" t="s">
        <v>1981</v>
      </c>
      <c r="F1116" s="7" t="s">
        <v>2642</v>
      </c>
      <c r="G1116" s="7" t="s">
        <v>2645</v>
      </c>
      <c r="H1116" s="7" t="s">
        <v>1978</v>
      </c>
      <c r="I1116" s="7" t="s">
        <v>1977</v>
      </c>
      <c r="J1116" s="7" t="s">
        <v>1816</v>
      </c>
      <c r="K1116" s="7" t="s">
        <v>1815</v>
      </c>
      <c r="L1116" s="7" t="s">
        <v>1814</v>
      </c>
      <c r="M1116" s="7" t="s">
        <v>28</v>
      </c>
      <c r="N1116" s="7" t="s">
        <v>1825</v>
      </c>
      <c r="O1116" s="7" t="s">
        <v>105</v>
      </c>
      <c r="P1116" s="7" t="s">
        <v>1775</v>
      </c>
      <c r="Q1116" s="9">
        <v>552500</v>
      </c>
      <c r="R1116" s="9">
        <v>0</v>
      </c>
      <c r="S1116" s="9">
        <f t="shared" si="36"/>
        <v>552500</v>
      </c>
      <c r="T1116" s="7" t="s">
        <v>53</v>
      </c>
      <c r="U1116" s="7"/>
      <c r="V1116" s="7"/>
      <c r="W1116" s="9">
        <v>1</v>
      </c>
      <c r="X1116" s="7"/>
      <c r="Y1116" s="4"/>
      <c r="Z1116" s="7" t="s">
        <v>14</v>
      </c>
      <c r="AA1116" s="36" t="s">
        <v>28</v>
      </c>
      <c r="AB1116" s="4"/>
      <c r="AC1116" s="22">
        <f t="shared" si="37"/>
        <v>216.66666666666666</v>
      </c>
      <c r="AD1116" s="23">
        <v>0</v>
      </c>
    </row>
    <row r="1117" spans="1:30" hidden="1" x14ac:dyDescent="0.35">
      <c r="A1117" s="7">
        <v>22</v>
      </c>
      <c r="B1117" s="24">
        <v>45940.340763888889</v>
      </c>
      <c r="C1117" s="24">
        <v>45940</v>
      </c>
      <c r="D1117" s="7" t="s">
        <v>2644</v>
      </c>
      <c r="E1117" s="7" t="s">
        <v>1981</v>
      </c>
      <c r="F1117" s="7" t="s">
        <v>2642</v>
      </c>
      <c r="G1117" s="7" t="s">
        <v>2645</v>
      </c>
      <c r="H1117" s="7" t="s">
        <v>1978</v>
      </c>
      <c r="I1117" s="7" t="s">
        <v>1977</v>
      </c>
      <c r="J1117" s="7" t="s">
        <v>1816</v>
      </c>
      <c r="K1117" s="7" t="s">
        <v>1815</v>
      </c>
      <c r="L1117" s="7" t="s">
        <v>1814</v>
      </c>
      <c r="M1117" s="7" t="s">
        <v>28</v>
      </c>
      <c r="N1117" s="7" t="s">
        <v>1825</v>
      </c>
      <c r="O1117" s="7" t="s">
        <v>105</v>
      </c>
      <c r="P1117" s="7" t="s">
        <v>1775</v>
      </c>
      <c r="Q1117" s="9">
        <v>120000</v>
      </c>
      <c r="R1117" s="9">
        <v>0</v>
      </c>
      <c r="S1117" s="9">
        <f t="shared" si="36"/>
        <v>120000</v>
      </c>
      <c r="T1117" s="7" t="s">
        <v>53</v>
      </c>
      <c r="U1117" s="7"/>
      <c r="V1117" s="7"/>
      <c r="W1117" s="9">
        <v>1</v>
      </c>
      <c r="X1117" s="7"/>
      <c r="Y1117" s="4"/>
      <c r="Z1117" s="7" t="s">
        <v>14</v>
      </c>
      <c r="AA1117" s="36" t="s">
        <v>28</v>
      </c>
      <c r="AB1117" s="4"/>
      <c r="AC1117" s="22">
        <f t="shared" si="37"/>
        <v>47.058823529411768</v>
      </c>
      <c r="AD1117" s="23">
        <v>0</v>
      </c>
    </row>
    <row r="1118" spans="1:30" hidden="1" x14ac:dyDescent="0.35">
      <c r="A1118" s="7">
        <v>23</v>
      </c>
      <c r="B1118" s="24">
        <v>45940.340763888889</v>
      </c>
      <c r="C1118" s="24">
        <v>45940</v>
      </c>
      <c r="D1118" s="7" t="s">
        <v>2644</v>
      </c>
      <c r="E1118" s="7" t="s">
        <v>1981</v>
      </c>
      <c r="F1118" s="7" t="s">
        <v>2642</v>
      </c>
      <c r="G1118" s="7" t="s">
        <v>2645</v>
      </c>
      <c r="H1118" s="7" t="s">
        <v>1978</v>
      </c>
      <c r="I1118" s="7" t="s">
        <v>1977</v>
      </c>
      <c r="J1118" s="7" t="s">
        <v>1816</v>
      </c>
      <c r="K1118" s="7" t="s">
        <v>1815</v>
      </c>
      <c r="L1118" s="7" t="s">
        <v>1814</v>
      </c>
      <c r="M1118" s="7" t="s">
        <v>28</v>
      </c>
      <c r="N1118" s="7" t="s">
        <v>1825</v>
      </c>
      <c r="O1118" s="7" t="s">
        <v>105</v>
      </c>
      <c r="P1118" s="7" t="s">
        <v>1775</v>
      </c>
      <c r="Q1118" s="9">
        <v>116000</v>
      </c>
      <c r="R1118" s="9">
        <v>0</v>
      </c>
      <c r="S1118" s="9">
        <f t="shared" si="36"/>
        <v>116000</v>
      </c>
      <c r="T1118" s="7" t="s">
        <v>53</v>
      </c>
      <c r="U1118" s="7"/>
      <c r="V1118" s="7"/>
      <c r="W1118" s="9">
        <v>1</v>
      </c>
      <c r="X1118" s="7"/>
      <c r="Y1118" s="4"/>
      <c r="Z1118" s="7" t="s">
        <v>14</v>
      </c>
      <c r="AA1118" s="36" t="s">
        <v>28</v>
      </c>
      <c r="AB1118" s="4"/>
      <c r="AC1118" s="22">
        <f t="shared" si="37"/>
        <v>45.490196078431374</v>
      </c>
      <c r="AD1118" s="23">
        <v>0</v>
      </c>
    </row>
    <row r="1119" spans="1:30" hidden="1" x14ac:dyDescent="0.35">
      <c r="A1119" s="7">
        <v>24</v>
      </c>
      <c r="B1119" s="24">
        <v>45940.340763888889</v>
      </c>
      <c r="C1119" s="24">
        <v>45940</v>
      </c>
      <c r="D1119" s="7" t="s">
        <v>2644</v>
      </c>
      <c r="E1119" s="7" t="s">
        <v>1981</v>
      </c>
      <c r="F1119" s="7" t="s">
        <v>2642</v>
      </c>
      <c r="G1119" s="7" t="s">
        <v>2645</v>
      </c>
      <c r="H1119" s="7" t="s">
        <v>1978</v>
      </c>
      <c r="I1119" s="7" t="s">
        <v>1977</v>
      </c>
      <c r="J1119" s="7" t="s">
        <v>1816</v>
      </c>
      <c r="K1119" s="7" t="s">
        <v>1815</v>
      </c>
      <c r="L1119" s="7" t="s">
        <v>1814</v>
      </c>
      <c r="M1119" s="7" t="s">
        <v>28</v>
      </c>
      <c r="N1119" s="7" t="s">
        <v>1825</v>
      </c>
      <c r="O1119" s="7" t="s">
        <v>105</v>
      </c>
      <c r="P1119" s="7" t="s">
        <v>1775</v>
      </c>
      <c r="Q1119" s="9">
        <v>1472500</v>
      </c>
      <c r="R1119" s="9">
        <v>0</v>
      </c>
      <c r="S1119" s="9">
        <f t="shared" si="36"/>
        <v>1472500</v>
      </c>
      <c r="T1119" s="7" t="s">
        <v>53</v>
      </c>
      <c r="U1119" s="7"/>
      <c r="V1119" s="7"/>
      <c r="W1119" s="9">
        <v>1</v>
      </c>
      <c r="X1119" s="7"/>
      <c r="Y1119" s="4"/>
      <c r="Z1119" s="7" t="s">
        <v>14</v>
      </c>
      <c r="AA1119" s="36" t="s">
        <v>28</v>
      </c>
      <c r="AB1119" s="4"/>
      <c r="AC1119" s="22">
        <f t="shared" si="37"/>
        <v>577.45098039215691</v>
      </c>
      <c r="AD1119" s="23">
        <v>0</v>
      </c>
    </row>
    <row r="1120" spans="1:30" hidden="1" x14ac:dyDescent="0.35">
      <c r="A1120" s="7">
        <v>25</v>
      </c>
      <c r="B1120" s="24">
        <v>45941.292685185188</v>
      </c>
      <c r="C1120" s="24">
        <v>45940</v>
      </c>
      <c r="D1120" s="7" t="s">
        <v>2644</v>
      </c>
      <c r="E1120" s="7" t="s">
        <v>1981</v>
      </c>
      <c r="F1120" s="7" t="s">
        <v>2642</v>
      </c>
      <c r="G1120" s="7" t="s">
        <v>2645</v>
      </c>
      <c r="H1120" s="7" t="s">
        <v>1978</v>
      </c>
      <c r="I1120" s="7" t="s">
        <v>1977</v>
      </c>
      <c r="J1120" s="7" t="s">
        <v>1816</v>
      </c>
      <c r="K1120" s="7" t="s">
        <v>1815</v>
      </c>
      <c r="L1120" s="7" t="s">
        <v>1814</v>
      </c>
      <c r="M1120" s="7" t="s">
        <v>28</v>
      </c>
      <c r="N1120" s="7" t="s">
        <v>1825</v>
      </c>
      <c r="O1120" s="7" t="s">
        <v>105</v>
      </c>
      <c r="P1120" s="7" t="s">
        <v>1775</v>
      </c>
      <c r="Q1120" s="9">
        <v>130000</v>
      </c>
      <c r="R1120" s="9">
        <v>0</v>
      </c>
      <c r="S1120" s="9">
        <f t="shared" si="36"/>
        <v>130000</v>
      </c>
      <c r="T1120" s="7" t="s">
        <v>53</v>
      </c>
      <c r="U1120" s="7"/>
      <c r="V1120" s="7"/>
      <c r="W1120" s="9">
        <v>1</v>
      </c>
      <c r="X1120" s="7"/>
      <c r="Y1120" s="4"/>
      <c r="Z1120" s="7" t="s">
        <v>14</v>
      </c>
      <c r="AA1120" s="36" t="s">
        <v>28</v>
      </c>
      <c r="AB1120" s="4"/>
      <c r="AC1120" s="22">
        <f t="shared" si="37"/>
        <v>50.980392156862742</v>
      </c>
      <c r="AD1120" s="23">
        <v>0</v>
      </c>
    </row>
    <row r="1121" spans="1:30" hidden="1" x14ac:dyDescent="0.35">
      <c r="A1121" s="7">
        <v>26</v>
      </c>
      <c r="B1121" s="24">
        <v>45940.340763888889</v>
      </c>
      <c r="C1121" s="24">
        <v>45940</v>
      </c>
      <c r="D1121" s="7" t="s">
        <v>2644</v>
      </c>
      <c r="E1121" s="7" t="s">
        <v>1981</v>
      </c>
      <c r="F1121" s="7" t="s">
        <v>2642</v>
      </c>
      <c r="G1121" s="7" t="s">
        <v>2645</v>
      </c>
      <c r="H1121" s="7" t="s">
        <v>1978</v>
      </c>
      <c r="I1121" s="7" t="s">
        <v>1977</v>
      </c>
      <c r="J1121" s="7" t="s">
        <v>1816</v>
      </c>
      <c r="K1121" s="7" t="s">
        <v>1815</v>
      </c>
      <c r="L1121" s="7" t="s">
        <v>1814</v>
      </c>
      <c r="M1121" s="7" t="s">
        <v>28</v>
      </c>
      <c r="N1121" s="7" t="s">
        <v>1825</v>
      </c>
      <c r="O1121" s="7" t="s">
        <v>105</v>
      </c>
      <c r="P1121" s="7" t="s">
        <v>1775</v>
      </c>
      <c r="Q1121" s="9">
        <v>50000</v>
      </c>
      <c r="R1121" s="9">
        <v>0</v>
      </c>
      <c r="S1121" s="9">
        <f t="shared" si="36"/>
        <v>50000</v>
      </c>
      <c r="T1121" s="7" t="s">
        <v>53</v>
      </c>
      <c r="U1121" s="7"/>
      <c r="V1121" s="7"/>
      <c r="W1121" s="9">
        <v>1</v>
      </c>
      <c r="X1121" s="7"/>
      <c r="Y1121" s="4"/>
      <c r="Z1121" s="7" t="s">
        <v>14</v>
      </c>
      <c r="AA1121" s="36" t="s">
        <v>28</v>
      </c>
      <c r="AB1121" s="4"/>
      <c r="AC1121" s="22">
        <f t="shared" si="37"/>
        <v>19.607843137254903</v>
      </c>
      <c r="AD1121" s="23">
        <v>0</v>
      </c>
    </row>
    <row r="1122" spans="1:30" hidden="1" x14ac:dyDescent="0.35">
      <c r="A1122" s="7">
        <v>27</v>
      </c>
      <c r="B1122" s="24">
        <v>45940.340763888889</v>
      </c>
      <c r="C1122" s="24">
        <v>45940</v>
      </c>
      <c r="D1122" s="7" t="s">
        <v>2644</v>
      </c>
      <c r="E1122" s="7" t="s">
        <v>1981</v>
      </c>
      <c r="F1122" s="7" t="s">
        <v>2642</v>
      </c>
      <c r="G1122" s="7" t="s">
        <v>2645</v>
      </c>
      <c r="H1122" s="7" t="s">
        <v>1978</v>
      </c>
      <c r="I1122" s="7" t="s">
        <v>1977</v>
      </c>
      <c r="J1122" s="7" t="s">
        <v>1816</v>
      </c>
      <c r="K1122" s="7" t="s">
        <v>1815</v>
      </c>
      <c r="L1122" s="7" t="s">
        <v>1814</v>
      </c>
      <c r="M1122" s="7" t="s">
        <v>28</v>
      </c>
      <c r="N1122" s="7" t="s">
        <v>1825</v>
      </c>
      <c r="O1122" s="7" t="s">
        <v>105</v>
      </c>
      <c r="P1122" s="7" t="s">
        <v>1775</v>
      </c>
      <c r="Q1122" s="9">
        <v>920000</v>
      </c>
      <c r="R1122" s="9">
        <v>0</v>
      </c>
      <c r="S1122" s="9">
        <f t="shared" si="36"/>
        <v>920000</v>
      </c>
      <c r="T1122" s="7" t="s">
        <v>53</v>
      </c>
      <c r="U1122" s="7"/>
      <c r="V1122" s="7"/>
      <c r="W1122" s="9">
        <v>1</v>
      </c>
      <c r="X1122" s="7"/>
      <c r="Y1122" s="4"/>
      <c r="Z1122" s="7" t="s">
        <v>14</v>
      </c>
      <c r="AA1122" s="36" t="s">
        <v>28</v>
      </c>
      <c r="AB1122" s="4"/>
      <c r="AC1122" s="22">
        <f t="shared" si="37"/>
        <v>360.78431372549022</v>
      </c>
      <c r="AD1122" s="23">
        <v>0</v>
      </c>
    </row>
    <row r="1123" spans="1:30" hidden="1" x14ac:dyDescent="0.35">
      <c r="A1123" s="7">
        <v>28</v>
      </c>
      <c r="B1123" s="24">
        <v>45940.340763888889</v>
      </c>
      <c r="C1123" s="24">
        <v>45940</v>
      </c>
      <c r="D1123" s="7" t="s">
        <v>2644</v>
      </c>
      <c r="E1123" s="7" t="s">
        <v>1981</v>
      </c>
      <c r="F1123" s="7" t="s">
        <v>2642</v>
      </c>
      <c r="G1123" s="7" t="s">
        <v>2645</v>
      </c>
      <c r="H1123" s="7" t="s">
        <v>1978</v>
      </c>
      <c r="I1123" s="7" t="s">
        <v>1977</v>
      </c>
      <c r="J1123" s="7" t="s">
        <v>1816</v>
      </c>
      <c r="K1123" s="7" t="s">
        <v>1815</v>
      </c>
      <c r="L1123" s="7" t="s">
        <v>1814</v>
      </c>
      <c r="M1123" s="7" t="s">
        <v>28</v>
      </c>
      <c r="N1123" s="7" t="s">
        <v>1825</v>
      </c>
      <c r="O1123" s="7" t="s">
        <v>105</v>
      </c>
      <c r="P1123" s="7" t="s">
        <v>1775</v>
      </c>
      <c r="Q1123" s="9">
        <v>20000</v>
      </c>
      <c r="R1123" s="9">
        <v>0</v>
      </c>
      <c r="S1123" s="9">
        <f t="shared" si="36"/>
        <v>20000</v>
      </c>
      <c r="T1123" s="7" t="s">
        <v>53</v>
      </c>
      <c r="U1123" s="7"/>
      <c r="V1123" s="7"/>
      <c r="W1123" s="9">
        <v>1</v>
      </c>
      <c r="X1123" s="7"/>
      <c r="Y1123" s="4"/>
      <c r="Z1123" s="7" t="s">
        <v>14</v>
      </c>
      <c r="AA1123" s="36" t="s">
        <v>28</v>
      </c>
      <c r="AB1123" s="4"/>
      <c r="AC1123" s="22">
        <f t="shared" si="37"/>
        <v>7.8431372549019605</v>
      </c>
      <c r="AD1123" s="23">
        <v>0</v>
      </c>
    </row>
    <row r="1124" spans="1:30" hidden="1" x14ac:dyDescent="0.35">
      <c r="A1124" s="7">
        <v>29</v>
      </c>
      <c r="B1124" s="24">
        <v>45940.340763888889</v>
      </c>
      <c r="C1124" s="24">
        <v>45940</v>
      </c>
      <c r="D1124" s="7" t="s">
        <v>2644</v>
      </c>
      <c r="E1124" s="7" t="s">
        <v>1981</v>
      </c>
      <c r="F1124" s="7" t="s">
        <v>2642</v>
      </c>
      <c r="G1124" s="7" t="s">
        <v>2645</v>
      </c>
      <c r="H1124" s="7" t="s">
        <v>1978</v>
      </c>
      <c r="I1124" s="7" t="s">
        <v>1977</v>
      </c>
      <c r="J1124" s="7" t="s">
        <v>1816</v>
      </c>
      <c r="K1124" s="7" t="s">
        <v>1815</v>
      </c>
      <c r="L1124" s="7" t="s">
        <v>1814</v>
      </c>
      <c r="M1124" s="7" t="s">
        <v>28</v>
      </c>
      <c r="N1124" s="7" t="s">
        <v>1825</v>
      </c>
      <c r="O1124" s="7" t="s">
        <v>105</v>
      </c>
      <c r="P1124" s="7" t="s">
        <v>1775</v>
      </c>
      <c r="Q1124" s="9">
        <v>30000</v>
      </c>
      <c r="R1124" s="9">
        <v>0</v>
      </c>
      <c r="S1124" s="9">
        <f t="shared" si="36"/>
        <v>30000</v>
      </c>
      <c r="T1124" s="7" t="s">
        <v>53</v>
      </c>
      <c r="U1124" s="7"/>
      <c r="V1124" s="7"/>
      <c r="W1124" s="9">
        <v>1</v>
      </c>
      <c r="X1124" s="7"/>
      <c r="Y1124" s="4"/>
      <c r="Z1124" s="7" t="s">
        <v>14</v>
      </c>
      <c r="AA1124" s="36" t="s">
        <v>28</v>
      </c>
      <c r="AB1124" s="4"/>
      <c r="AC1124" s="22">
        <f t="shared" si="37"/>
        <v>11.764705882352942</v>
      </c>
      <c r="AD1124" s="23">
        <v>0</v>
      </c>
    </row>
    <row r="1125" spans="1:30" hidden="1" x14ac:dyDescent="0.35">
      <c r="A1125" s="7">
        <v>30</v>
      </c>
      <c r="B1125" s="24">
        <v>45940.340763888889</v>
      </c>
      <c r="C1125" s="24">
        <v>45940</v>
      </c>
      <c r="D1125" s="7" t="s">
        <v>2644</v>
      </c>
      <c r="E1125" s="7" t="s">
        <v>1981</v>
      </c>
      <c r="F1125" s="7" t="s">
        <v>2642</v>
      </c>
      <c r="G1125" s="7" t="s">
        <v>2645</v>
      </c>
      <c r="H1125" s="7" t="s">
        <v>1978</v>
      </c>
      <c r="I1125" s="7" t="s">
        <v>1977</v>
      </c>
      <c r="J1125" s="7" t="s">
        <v>1816</v>
      </c>
      <c r="K1125" s="7" t="s">
        <v>1815</v>
      </c>
      <c r="L1125" s="7" t="s">
        <v>1814</v>
      </c>
      <c r="M1125" s="7" t="s">
        <v>28</v>
      </c>
      <c r="N1125" s="7" t="s">
        <v>1825</v>
      </c>
      <c r="O1125" s="7" t="s">
        <v>105</v>
      </c>
      <c r="P1125" s="7" t="s">
        <v>1775</v>
      </c>
      <c r="Q1125" s="9">
        <v>50000</v>
      </c>
      <c r="R1125" s="9">
        <v>0</v>
      </c>
      <c r="S1125" s="9">
        <f t="shared" si="36"/>
        <v>50000</v>
      </c>
      <c r="T1125" s="7" t="s">
        <v>53</v>
      </c>
      <c r="U1125" s="7"/>
      <c r="V1125" s="7"/>
      <c r="W1125" s="9">
        <v>1</v>
      </c>
      <c r="X1125" s="7"/>
      <c r="Y1125" s="4"/>
      <c r="Z1125" s="7" t="s">
        <v>14</v>
      </c>
      <c r="AA1125" s="36" t="s">
        <v>28</v>
      </c>
      <c r="AB1125" s="4"/>
      <c r="AC1125" s="22">
        <f t="shared" si="37"/>
        <v>19.607843137254903</v>
      </c>
      <c r="AD1125" s="23">
        <v>0</v>
      </c>
    </row>
    <row r="1126" spans="1:30" hidden="1" x14ac:dyDescent="0.35">
      <c r="A1126" s="7">
        <v>31</v>
      </c>
      <c r="B1126" s="24">
        <v>45940.340763888889</v>
      </c>
      <c r="C1126" s="24">
        <v>45940</v>
      </c>
      <c r="D1126" s="7" t="s">
        <v>2644</v>
      </c>
      <c r="E1126" s="7" t="s">
        <v>1981</v>
      </c>
      <c r="F1126" s="7" t="s">
        <v>2642</v>
      </c>
      <c r="G1126" s="7" t="s">
        <v>2645</v>
      </c>
      <c r="H1126" s="7" t="s">
        <v>1978</v>
      </c>
      <c r="I1126" s="7" t="s">
        <v>1977</v>
      </c>
      <c r="J1126" s="7" t="s">
        <v>1816</v>
      </c>
      <c r="K1126" s="7" t="s">
        <v>1815</v>
      </c>
      <c r="L1126" s="7" t="s">
        <v>1814</v>
      </c>
      <c r="M1126" s="7" t="s">
        <v>28</v>
      </c>
      <c r="N1126" s="7" t="s">
        <v>1825</v>
      </c>
      <c r="O1126" s="7" t="s">
        <v>105</v>
      </c>
      <c r="P1126" s="7" t="s">
        <v>1775</v>
      </c>
      <c r="Q1126" s="9">
        <v>66000</v>
      </c>
      <c r="R1126" s="9">
        <v>0</v>
      </c>
      <c r="S1126" s="9">
        <f t="shared" si="36"/>
        <v>66000</v>
      </c>
      <c r="T1126" s="7" t="s">
        <v>53</v>
      </c>
      <c r="U1126" s="7"/>
      <c r="V1126" s="7"/>
      <c r="W1126" s="9">
        <v>1</v>
      </c>
      <c r="X1126" s="7"/>
      <c r="Y1126" s="4"/>
      <c r="Z1126" s="7" t="s">
        <v>14</v>
      </c>
      <c r="AA1126" s="36" t="s">
        <v>28</v>
      </c>
      <c r="AB1126" s="4"/>
      <c r="AC1126" s="22">
        <f t="shared" si="37"/>
        <v>25.882352941176471</v>
      </c>
      <c r="AD1126" s="23">
        <v>0</v>
      </c>
    </row>
    <row r="1127" spans="1:30" hidden="1" x14ac:dyDescent="0.35">
      <c r="A1127" s="7">
        <v>32</v>
      </c>
      <c r="B1127" s="24">
        <v>45940.340763888889</v>
      </c>
      <c r="C1127" s="24">
        <v>45940</v>
      </c>
      <c r="D1127" s="7" t="s">
        <v>2644</v>
      </c>
      <c r="E1127" s="7" t="s">
        <v>1981</v>
      </c>
      <c r="F1127" s="7" t="s">
        <v>2642</v>
      </c>
      <c r="G1127" s="7" t="s">
        <v>2645</v>
      </c>
      <c r="H1127" s="7" t="s">
        <v>1978</v>
      </c>
      <c r="I1127" s="7" t="s">
        <v>1977</v>
      </c>
      <c r="J1127" s="7" t="s">
        <v>1816</v>
      </c>
      <c r="K1127" s="7" t="s">
        <v>1815</v>
      </c>
      <c r="L1127" s="7" t="s">
        <v>1814</v>
      </c>
      <c r="M1127" s="7" t="s">
        <v>28</v>
      </c>
      <c r="N1127" s="7" t="s">
        <v>1825</v>
      </c>
      <c r="O1127" s="7" t="s">
        <v>105</v>
      </c>
      <c r="P1127" s="7" t="s">
        <v>1775</v>
      </c>
      <c r="Q1127" s="9">
        <v>10000</v>
      </c>
      <c r="R1127" s="9">
        <v>0</v>
      </c>
      <c r="S1127" s="9">
        <f t="shared" si="36"/>
        <v>10000</v>
      </c>
      <c r="T1127" s="7" t="s">
        <v>53</v>
      </c>
      <c r="U1127" s="7"/>
      <c r="V1127" s="7"/>
      <c r="W1127" s="9">
        <v>1</v>
      </c>
      <c r="X1127" s="7"/>
      <c r="Y1127" s="4"/>
      <c r="Z1127" s="7" t="s">
        <v>14</v>
      </c>
      <c r="AA1127" s="36" t="s">
        <v>28</v>
      </c>
      <c r="AB1127" s="4"/>
      <c r="AC1127" s="22">
        <f t="shared" si="37"/>
        <v>3.9215686274509802</v>
      </c>
      <c r="AD1127" s="23">
        <v>0</v>
      </c>
    </row>
    <row r="1128" spans="1:30" hidden="1" x14ac:dyDescent="0.35">
      <c r="A1128" s="7">
        <v>33</v>
      </c>
      <c r="B1128" s="24">
        <v>45940.340763888889</v>
      </c>
      <c r="C1128" s="24">
        <v>45940</v>
      </c>
      <c r="D1128" s="7" t="s">
        <v>2644</v>
      </c>
      <c r="E1128" s="7" t="s">
        <v>1981</v>
      </c>
      <c r="F1128" s="7" t="s">
        <v>2642</v>
      </c>
      <c r="G1128" s="7" t="s">
        <v>2645</v>
      </c>
      <c r="H1128" s="7" t="s">
        <v>1978</v>
      </c>
      <c r="I1128" s="7" t="s">
        <v>1977</v>
      </c>
      <c r="J1128" s="7" t="s">
        <v>1816</v>
      </c>
      <c r="K1128" s="7" t="s">
        <v>1815</v>
      </c>
      <c r="L1128" s="7" t="s">
        <v>1814</v>
      </c>
      <c r="M1128" s="7" t="s">
        <v>28</v>
      </c>
      <c r="N1128" s="7" t="s">
        <v>1825</v>
      </c>
      <c r="O1128" s="7" t="s">
        <v>105</v>
      </c>
      <c r="P1128" s="7" t="s">
        <v>1775</v>
      </c>
      <c r="Q1128" s="9">
        <v>15000</v>
      </c>
      <c r="R1128" s="9">
        <v>0</v>
      </c>
      <c r="S1128" s="9">
        <f t="shared" si="36"/>
        <v>15000</v>
      </c>
      <c r="T1128" s="7" t="s">
        <v>53</v>
      </c>
      <c r="U1128" s="7"/>
      <c r="V1128" s="7"/>
      <c r="W1128" s="9">
        <v>1</v>
      </c>
      <c r="X1128" s="7"/>
      <c r="Y1128" s="4"/>
      <c r="Z1128" s="7" t="s">
        <v>14</v>
      </c>
      <c r="AA1128" s="36" t="s">
        <v>28</v>
      </c>
      <c r="AB1128" s="4"/>
      <c r="AC1128" s="22">
        <f t="shared" si="37"/>
        <v>5.882352941176471</v>
      </c>
      <c r="AD1128" s="23">
        <v>0</v>
      </c>
    </row>
    <row r="1129" spans="1:30" hidden="1" x14ac:dyDescent="0.35">
      <c r="A1129" s="7">
        <v>34</v>
      </c>
      <c r="B1129" s="24">
        <v>45940.340763888889</v>
      </c>
      <c r="C1129" s="24">
        <v>45940</v>
      </c>
      <c r="D1129" s="7" t="s">
        <v>2644</v>
      </c>
      <c r="E1129" s="7" t="s">
        <v>1981</v>
      </c>
      <c r="F1129" s="7" t="s">
        <v>2642</v>
      </c>
      <c r="G1129" s="7" t="s">
        <v>2645</v>
      </c>
      <c r="H1129" s="7" t="s">
        <v>1978</v>
      </c>
      <c r="I1129" s="7" t="s">
        <v>1977</v>
      </c>
      <c r="J1129" s="7" t="s">
        <v>1816</v>
      </c>
      <c r="K1129" s="7" t="s">
        <v>1815</v>
      </c>
      <c r="L1129" s="7" t="s">
        <v>1814</v>
      </c>
      <c r="M1129" s="7" t="s">
        <v>28</v>
      </c>
      <c r="N1129" s="7" t="s">
        <v>1825</v>
      </c>
      <c r="O1129" s="7" t="s">
        <v>105</v>
      </c>
      <c r="P1129" s="7" t="s">
        <v>1775</v>
      </c>
      <c r="Q1129" s="9">
        <v>40000</v>
      </c>
      <c r="R1129" s="9">
        <v>0</v>
      </c>
      <c r="S1129" s="9">
        <f t="shared" si="36"/>
        <v>40000</v>
      </c>
      <c r="T1129" s="7" t="s">
        <v>53</v>
      </c>
      <c r="U1129" s="7"/>
      <c r="V1129" s="7"/>
      <c r="W1129" s="9">
        <v>1</v>
      </c>
      <c r="X1129" s="7"/>
      <c r="Y1129" s="4"/>
      <c r="Z1129" s="7" t="s">
        <v>14</v>
      </c>
      <c r="AA1129" s="36" t="s">
        <v>28</v>
      </c>
      <c r="AB1129" s="4"/>
      <c r="AC1129" s="22">
        <f t="shared" si="37"/>
        <v>15.686274509803921</v>
      </c>
      <c r="AD1129" s="23">
        <v>0</v>
      </c>
    </row>
    <row r="1130" spans="1:30" x14ac:dyDescent="0.35">
      <c r="A1130" s="7">
        <v>35</v>
      </c>
      <c r="B1130" s="24">
        <v>45945.236793981479</v>
      </c>
      <c r="C1130" s="24">
        <v>45945</v>
      </c>
      <c r="D1130" s="7" t="s">
        <v>2646</v>
      </c>
      <c r="E1130" s="7" t="s">
        <v>1331</v>
      </c>
      <c r="F1130" s="7" t="s">
        <v>2647</v>
      </c>
      <c r="G1130" s="7" t="s">
        <v>2648</v>
      </c>
      <c r="H1130" s="7" t="s">
        <v>2012</v>
      </c>
      <c r="I1130" s="7" t="s">
        <v>2011</v>
      </c>
      <c r="J1130" s="7" t="s">
        <v>1816</v>
      </c>
      <c r="K1130" s="7" t="s">
        <v>1815</v>
      </c>
      <c r="L1130" s="7" t="s">
        <v>2031</v>
      </c>
      <c r="M1130" s="7" t="s">
        <v>23</v>
      </c>
      <c r="N1130" s="7" t="s">
        <v>317</v>
      </c>
      <c r="O1130" s="7" t="s">
        <v>1065</v>
      </c>
      <c r="P1130" s="7" t="s">
        <v>126</v>
      </c>
      <c r="Q1130" s="9">
        <v>2100000</v>
      </c>
      <c r="R1130" s="9">
        <v>0</v>
      </c>
      <c r="S1130" s="9">
        <f t="shared" si="36"/>
        <v>2100000</v>
      </c>
      <c r="T1130" s="7" t="s">
        <v>53</v>
      </c>
      <c r="U1130" s="7" t="s">
        <v>1904</v>
      </c>
      <c r="V1130" s="7" t="s">
        <v>1823</v>
      </c>
      <c r="W1130" s="9">
        <v>30</v>
      </c>
      <c r="X1130" s="7" t="s">
        <v>1903</v>
      </c>
      <c r="Y1130" s="4"/>
      <c r="Z1130" s="7" t="s">
        <v>14</v>
      </c>
      <c r="AA1130" s="36" t="s">
        <v>23</v>
      </c>
      <c r="AB1130" s="4" t="s">
        <v>2607</v>
      </c>
      <c r="AC1130" s="22">
        <f t="shared" si="37"/>
        <v>823.52941176470586</v>
      </c>
      <c r="AD1130" s="23">
        <v>0</v>
      </c>
    </row>
    <row r="1131" spans="1:30" x14ac:dyDescent="0.35">
      <c r="A1131" s="7">
        <v>36</v>
      </c>
      <c r="B1131" s="24">
        <v>45945.236793981479</v>
      </c>
      <c r="C1131" s="24">
        <v>45945</v>
      </c>
      <c r="D1131" s="7" t="s">
        <v>2646</v>
      </c>
      <c r="E1131" s="7" t="s">
        <v>1331</v>
      </c>
      <c r="F1131" s="7" t="s">
        <v>2647</v>
      </c>
      <c r="G1131" s="7" t="s">
        <v>2648</v>
      </c>
      <c r="H1131" s="7" t="s">
        <v>2012</v>
      </c>
      <c r="I1131" s="7" t="s">
        <v>2011</v>
      </c>
      <c r="J1131" s="7" t="s">
        <v>1816</v>
      </c>
      <c r="K1131" s="7" t="s">
        <v>1815</v>
      </c>
      <c r="L1131" s="7" t="s">
        <v>2031</v>
      </c>
      <c r="M1131" s="7" t="s">
        <v>23</v>
      </c>
      <c r="N1131" s="7" t="s">
        <v>317</v>
      </c>
      <c r="O1131" s="7" t="s">
        <v>1065</v>
      </c>
      <c r="P1131" s="7" t="s">
        <v>126</v>
      </c>
      <c r="Q1131" s="9">
        <v>910000</v>
      </c>
      <c r="R1131" s="9">
        <v>0</v>
      </c>
      <c r="S1131" s="9">
        <f t="shared" si="36"/>
        <v>910000</v>
      </c>
      <c r="T1131" s="7" t="s">
        <v>53</v>
      </c>
      <c r="U1131" s="7" t="s">
        <v>1904</v>
      </c>
      <c r="V1131" s="7" t="s">
        <v>1823</v>
      </c>
      <c r="W1131" s="9">
        <v>13</v>
      </c>
      <c r="X1131" s="7" t="s">
        <v>1903</v>
      </c>
      <c r="Y1131" s="4"/>
      <c r="Z1131" s="7" t="s">
        <v>14</v>
      </c>
      <c r="AA1131" s="36" t="s">
        <v>23</v>
      </c>
      <c r="AB1131" s="4" t="s">
        <v>2607</v>
      </c>
      <c r="AC1131" s="22">
        <f t="shared" si="37"/>
        <v>356.86274509803923</v>
      </c>
      <c r="AD1131" s="23">
        <v>0</v>
      </c>
    </row>
    <row r="1132" spans="1:30" x14ac:dyDescent="0.35">
      <c r="A1132" s="7">
        <v>37</v>
      </c>
      <c r="B1132" s="24">
        <v>45945.236793981479</v>
      </c>
      <c r="C1132" s="24">
        <v>45945</v>
      </c>
      <c r="D1132" s="7" t="s">
        <v>2646</v>
      </c>
      <c r="E1132" s="7" t="s">
        <v>1331</v>
      </c>
      <c r="F1132" s="7" t="s">
        <v>2649</v>
      </c>
      <c r="G1132" s="7" t="s">
        <v>2648</v>
      </c>
      <c r="H1132" s="7" t="s">
        <v>2012</v>
      </c>
      <c r="I1132" s="7" t="s">
        <v>2011</v>
      </c>
      <c r="J1132" s="7" t="s">
        <v>1816</v>
      </c>
      <c r="K1132" s="7" t="s">
        <v>1815</v>
      </c>
      <c r="L1132" s="7" t="s">
        <v>2031</v>
      </c>
      <c r="M1132" s="7" t="s">
        <v>23</v>
      </c>
      <c r="N1132" s="7" t="s">
        <v>317</v>
      </c>
      <c r="O1132" s="7" t="s">
        <v>1065</v>
      </c>
      <c r="P1132" s="7" t="s">
        <v>126</v>
      </c>
      <c r="Q1132" s="9">
        <v>390000</v>
      </c>
      <c r="R1132" s="9">
        <v>0</v>
      </c>
      <c r="S1132" s="9">
        <f t="shared" si="36"/>
        <v>390000</v>
      </c>
      <c r="T1132" s="7" t="s">
        <v>53</v>
      </c>
      <c r="U1132" s="7" t="s">
        <v>1904</v>
      </c>
      <c r="V1132" s="7" t="s">
        <v>1823</v>
      </c>
      <c r="W1132" s="9">
        <v>30</v>
      </c>
      <c r="X1132" s="7" t="s">
        <v>1903</v>
      </c>
      <c r="Y1132" s="4"/>
      <c r="Z1132" s="7" t="s">
        <v>14</v>
      </c>
      <c r="AA1132" s="36" t="s">
        <v>23</v>
      </c>
      <c r="AB1132" s="4" t="s">
        <v>2607</v>
      </c>
      <c r="AC1132" s="22">
        <f t="shared" si="37"/>
        <v>152.94117647058823</v>
      </c>
      <c r="AD1132" s="23">
        <v>0</v>
      </c>
    </row>
    <row r="1133" spans="1:30" x14ac:dyDescent="0.35">
      <c r="A1133" s="7">
        <v>38</v>
      </c>
      <c r="B1133" s="24">
        <v>45945.236793981479</v>
      </c>
      <c r="C1133" s="24">
        <v>45945</v>
      </c>
      <c r="D1133" s="7" t="s">
        <v>2646</v>
      </c>
      <c r="E1133" s="7" t="s">
        <v>1331</v>
      </c>
      <c r="F1133" s="7" t="s">
        <v>2650</v>
      </c>
      <c r="G1133" s="7" t="s">
        <v>2648</v>
      </c>
      <c r="H1133" s="7" t="s">
        <v>2012</v>
      </c>
      <c r="I1133" s="7" t="s">
        <v>2011</v>
      </c>
      <c r="J1133" s="7" t="s">
        <v>1816</v>
      </c>
      <c r="K1133" s="7" t="s">
        <v>1815</v>
      </c>
      <c r="L1133" s="7" t="s">
        <v>2031</v>
      </c>
      <c r="M1133" s="7" t="s">
        <v>23</v>
      </c>
      <c r="N1133" s="7" t="s">
        <v>317</v>
      </c>
      <c r="O1133" s="7" t="s">
        <v>1065</v>
      </c>
      <c r="P1133" s="7" t="s">
        <v>126</v>
      </c>
      <c r="Q1133" s="9">
        <v>975000</v>
      </c>
      <c r="R1133" s="9">
        <v>0</v>
      </c>
      <c r="S1133" s="9">
        <f t="shared" si="36"/>
        <v>975000</v>
      </c>
      <c r="T1133" s="7" t="s">
        <v>53</v>
      </c>
      <c r="U1133" s="7" t="s">
        <v>1904</v>
      </c>
      <c r="V1133" s="7" t="s">
        <v>1823</v>
      </c>
      <c r="W1133" s="9">
        <v>75</v>
      </c>
      <c r="X1133" s="7" t="s">
        <v>1903</v>
      </c>
      <c r="Y1133" s="4"/>
      <c r="Z1133" s="7" t="s">
        <v>14</v>
      </c>
      <c r="AA1133" s="36" t="s">
        <v>23</v>
      </c>
      <c r="AB1133" s="4" t="s">
        <v>2607</v>
      </c>
      <c r="AC1133" s="22">
        <f t="shared" si="37"/>
        <v>382.35294117647061</v>
      </c>
      <c r="AD1133" s="23">
        <v>0</v>
      </c>
    </row>
    <row r="1134" spans="1:30" x14ac:dyDescent="0.35">
      <c r="A1134" s="7">
        <v>39</v>
      </c>
      <c r="B1134" s="24">
        <v>45946.618020833332</v>
      </c>
      <c r="C1134" s="24">
        <v>45946</v>
      </c>
      <c r="D1134" s="7" t="s">
        <v>2651</v>
      </c>
      <c r="E1134" s="7" t="s">
        <v>61</v>
      </c>
      <c r="F1134" s="7" t="s">
        <v>2652</v>
      </c>
      <c r="G1134" s="7" t="s">
        <v>2652</v>
      </c>
      <c r="H1134" s="7"/>
      <c r="I1134" s="7"/>
      <c r="J1134" s="7" t="s">
        <v>1816</v>
      </c>
      <c r="K1134" s="7" t="s">
        <v>1815</v>
      </c>
      <c r="L1134" s="7" t="s">
        <v>1992</v>
      </c>
      <c r="M1134" s="7" t="s">
        <v>18</v>
      </c>
      <c r="N1134" s="7" t="s">
        <v>118</v>
      </c>
      <c r="O1134" s="7" t="s">
        <v>639</v>
      </c>
      <c r="P1134" s="7" t="s">
        <v>54</v>
      </c>
      <c r="Q1134" s="9">
        <v>728728</v>
      </c>
      <c r="R1134" s="9">
        <v>0</v>
      </c>
      <c r="S1134" s="9">
        <f t="shared" si="36"/>
        <v>728728</v>
      </c>
      <c r="T1134" s="7" t="s">
        <v>53</v>
      </c>
      <c r="U1134" s="7" t="s">
        <v>1991</v>
      </c>
      <c r="V1134" s="7" t="s">
        <v>1990</v>
      </c>
      <c r="W1134" s="9">
        <v>-42.25</v>
      </c>
      <c r="X1134" s="7" t="s">
        <v>124</v>
      </c>
      <c r="Y1134" s="4"/>
      <c r="Z1134" s="7" t="s">
        <v>14</v>
      </c>
      <c r="AA1134" s="36" t="s">
        <v>22</v>
      </c>
      <c r="AB1134" s="4" t="s">
        <v>2835</v>
      </c>
      <c r="AC1134" s="22">
        <f t="shared" si="37"/>
        <v>285.77568627450978</v>
      </c>
      <c r="AD1134" s="23">
        <v>0</v>
      </c>
    </row>
    <row r="1135" spans="1:30" x14ac:dyDescent="0.35">
      <c r="A1135" s="7">
        <v>40</v>
      </c>
      <c r="B1135" s="24">
        <v>45946.346053240741</v>
      </c>
      <c r="C1135" s="24">
        <v>45946</v>
      </c>
      <c r="D1135" s="7" t="s">
        <v>2653</v>
      </c>
      <c r="E1135" s="7" t="s">
        <v>1981</v>
      </c>
      <c r="F1135" s="7" t="s">
        <v>2654</v>
      </c>
      <c r="G1135" s="7" t="s">
        <v>2655</v>
      </c>
      <c r="H1135" s="7"/>
      <c r="I1135" s="7"/>
      <c r="J1135" s="7" t="s">
        <v>1816</v>
      </c>
      <c r="K1135" s="7" t="s">
        <v>1815</v>
      </c>
      <c r="L1135" s="7" t="s">
        <v>1915</v>
      </c>
      <c r="M1135" s="7" t="s">
        <v>20</v>
      </c>
      <c r="N1135" s="7" t="s">
        <v>1324</v>
      </c>
      <c r="O1135" s="7" t="s">
        <v>68</v>
      </c>
      <c r="P1135" s="7" t="s">
        <v>68</v>
      </c>
      <c r="Q1135" s="9">
        <v>0</v>
      </c>
      <c r="R1135" s="9">
        <v>932908</v>
      </c>
      <c r="S1135" s="9">
        <f t="shared" si="36"/>
        <v>-932908</v>
      </c>
      <c r="T1135" s="7" t="s">
        <v>53</v>
      </c>
      <c r="U1135" s="7"/>
      <c r="V1135" s="7"/>
      <c r="W1135" s="9">
        <v>1</v>
      </c>
      <c r="X1135" s="7"/>
      <c r="Y1135" s="4"/>
      <c r="Z1135" s="7" t="s">
        <v>14</v>
      </c>
      <c r="AA1135" s="36" t="s">
        <v>20</v>
      </c>
      <c r="AB1135" s="4" t="s">
        <v>2602</v>
      </c>
      <c r="AC1135" s="22">
        <f t="shared" si="37"/>
        <v>-365.84627450980395</v>
      </c>
      <c r="AD1135" s="23">
        <v>0</v>
      </c>
    </row>
    <row r="1136" spans="1:30" hidden="1" x14ac:dyDescent="0.35">
      <c r="A1136" s="7">
        <v>41</v>
      </c>
      <c r="B1136" s="24">
        <v>45947.598923611113</v>
      </c>
      <c r="C1136" s="24">
        <v>45947</v>
      </c>
      <c r="D1136" s="7" t="s">
        <v>2656</v>
      </c>
      <c r="E1136" s="7" t="s">
        <v>1842</v>
      </c>
      <c r="F1136" s="7" t="s">
        <v>2657</v>
      </c>
      <c r="G1136" s="7" t="s">
        <v>2658</v>
      </c>
      <c r="H1136" s="7"/>
      <c r="I1136" s="7"/>
      <c r="J1136" s="7" t="s">
        <v>1840</v>
      </c>
      <c r="K1136" s="7" t="s">
        <v>1815</v>
      </c>
      <c r="L1136" s="7" t="s">
        <v>2659</v>
      </c>
      <c r="M1136" s="7" t="s">
        <v>2660</v>
      </c>
      <c r="N1136" s="7" t="s">
        <v>2657</v>
      </c>
      <c r="O1136" s="7" t="s">
        <v>210</v>
      </c>
      <c r="P1136" s="7" t="s">
        <v>210</v>
      </c>
      <c r="Q1136" s="9">
        <v>0</v>
      </c>
      <c r="R1136" s="9">
        <v>20125104.199999999</v>
      </c>
      <c r="S1136" s="9">
        <f t="shared" si="36"/>
        <v>-20125104.199999999</v>
      </c>
      <c r="T1136" s="7" t="s">
        <v>53</v>
      </c>
      <c r="U1136" s="7"/>
      <c r="V1136" s="7"/>
      <c r="W1136" s="9">
        <v>1</v>
      </c>
      <c r="X1136" s="7"/>
      <c r="Y1136" s="4"/>
      <c r="Z1136" s="7" t="s">
        <v>12</v>
      </c>
      <c r="AA1136" s="36" t="s">
        <v>2660</v>
      </c>
      <c r="AB1136" s="4">
        <f>IFERROR(_xlfn.XLOOKUP(AA1136,#REF!,#REF!),0)</f>
        <v>0</v>
      </c>
      <c r="AC1136" s="22">
        <f t="shared" si="37"/>
        <v>-7892.1977254901958</v>
      </c>
      <c r="AD1136" s="23">
        <v>0</v>
      </c>
    </row>
    <row r="1137" spans="1:30" hidden="1" x14ac:dyDescent="0.35">
      <c r="A1137" s="7">
        <v>42</v>
      </c>
      <c r="B1137" s="24">
        <v>45948.355891203704</v>
      </c>
      <c r="C1137" s="24">
        <v>45948</v>
      </c>
      <c r="D1137" s="7" t="s">
        <v>2661</v>
      </c>
      <c r="E1137" s="7" t="s">
        <v>1819</v>
      </c>
      <c r="F1137" s="7" t="s">
        <v>2662</v>
      </c>
      <c r="G1137" s="7" t="s">
        <v>2663</v>
      </c>
      <c r="H1137" s="7" t="s">
        <v>2664</v>
      </c>
      <c r="I1137" s="7" t="s">
        <v>2665</v>
      </c>
      <c r="J1137" s="7" t="s">
        <v>1816</v>
      </c>
      <c r="K1137" s="7" t="s">
        <v>1815</v>
      </c>
      <c r="L1137" s="7" t="s">
        <v>1814</v>
      </c>
      <c r="M1137" s="7" t="s">
        <v>28</v>
      </c>
      <c r="N1137" s="7" t="s">
        <v>1813</v>
      </c>
      <c r="O1137" s="7" t="s">
        <v>1704</v>
      </c>
      <c r="P1137" s="7" t="s">
        <v>2001</v>
      </c>
      <c r="Q1137" s="9">
        <v>410500</v>
      </c>
      <c r="R1137" s="9">
        <v>0</v>
      </c>
      <c r="S1137" s="9">
        <f t="shared" si="36"/>
        <v>410500</v>
      </c>
      <c r="T1137" s="7" t="s">
        <v>53</v>
      </c>
      <c r="U1137" s="7"/>
      <c r="V1137" s="7"/>
      <c r="W1137" s="9">
        <v>1</v>
      </c>
      <c r="X1137" s="7"/>
      <c r="Y1137" s="4"/>
      <c r="Z1137" s="7" t="s">
        <v>14</v>
      </c>
      <c r="AA1137" s="36" t="s">
        <v>28</v>
      </c>
      <c r="AB1137" s="4"/>
      <c r="AC1137" s="22">
        <f t="shared" si="37"/>
        <v>160.98039215686273</v>
      </c>
      <c r="AD1137" s="23">
        <v>0</v>
      </c>
    </row>
    <row r="1138" spans="1:30" x14ac:dyDescent="0.35">
      <c r="A1138" s="7">
        <v>43</v>
      </c>
      <c r="B1138" s="24">
        <v>45950.602430555555</v>
      </c>
      <c r="C1138" s="24">
        <v>45950</v>
      </c>
      <c r="D1138" s="7" t="s">
        <v>2666</v>
      </c>
      <c r="E1138" s="7" t="s">
        <v>61</v>
      </c>
      <c r="F1138" s="7" t="s">
        <v>2667</v>
      </c>
      <c r="G1138" s="7" t="s">
        <v>2667</v>
      </c>
      <c r="H1138" s="7"/>
      <c r="I1138" s="7"/>
      <c r="J1138" s="7" t="s">
        <v>1816</v>
      </c>
      <c r="K1138" s="7" t="s">
        <v>1815</v>
      </c>
      <c r="L1138" s="7" t="s">
        <v>1992</v>
      </c>
      <c r="M1138" s="7" t="s">
        <v>18</v>
      </c>
      <c r="N1138" s="7" t="s">
        <v>118</v>
      </c>
      <c r="O1138" s="7" t="s">
        <v>639</v>
      </c>
      <c r="P1138" s="7" t="s">
        <v>54</v>
      </c>
      <c r="Q1138" s="9">
        <v>728728</v>
      </c>
      <c r="R1138" s="9">
        <v>0</v>
      </c>
      <c r="S1138" s="9">
        <f t="shared" si="36"/>
        <v>728728</v>
      </c>
      <c r="T1138" s="7" t="s">
        <v>53</v>
      </c>
      <c r="U1138" s="7" t="s">
        <v>1991</v>
      </c>
      <c r="V1138" s="7" t="s">
        <v>1990</v>
      </c>
      <c r="W1138" s="9">
        <v>-42.25</v>
      </c>
      <c r="X1138" s="7" t="s">
        <v>124</v>
      </c>
      <c r="Y1138" s="4"/>
      <c r="Z1138" s="7" t="s">
        <v>14</v>
      </c>
      <c r="AA1138" s="36" t="s">
        <v>22</v>
      </c>
      <c r="AB1138" s="4" t="s">
        <v>2835</v>
      </c>
      <c r="AC1138" s="22">
        <f t="shared" si="37"/>
        <v>285.77568627450978</v>
      </c>
      <c r="AD1138" s="23">
        <v>0</v>
      </c>
    </row>
    <row r="1139" spans="1:30" hidden="1" x14ac:dyDescent="0.35">
      <c r="A1139" s="7">
        <v>44</v>
      </c>
      <c r="B1139" s="24">
        <v>45950.507847222223</v>
      </c>
      <c r="C1139" s="24">
        <v>45950</v>
      </c>
      <c r="D1139" s="7" t="s">
        <v>2668</v>
      </c>
      <c r="E1139" s="7" t="s">
        <v>1981</v>
      </c>
      <c r="F1139" s="7" t="s">
        <v>1818</v>
      </c>
      <c r="G1139" s="7" t="s">
        <v>2669</v>
      </c>
      <c r="H1139" s="7" t="s">
        <v>1978</v>
      </c>
      <c r="I1139" s="7" t="s">
        <v>1977</v>
      </c>
      <c r="J1139" s="7" t="s">
        <v>1816</v>
      </c>
      <c r="K1139" s="7" t="s">
        <v>1815</v>
      </c>
      <c r="L1139" s="7" t="s">
        <v>1814</v>
      </c>
      <c r="M1139" s="7" t="s">
        <v>28</v>
      </c>
      <c r="N1139" s="7" t="s">
        <v>1825</v>
      </c>
      <c r="O1139" s="7" t="s">
        <v>105</v>
      </c>
      <c r="P1139" s="7" t="s">
        <v>1775</v>
      </c>
      <c r="Q1139" s="9">
        <v>23521</v>
      </c>
      <c r="R1139" s="9">
        <v>0</v>
      </c>
      <c r="S1139" s="9">
        <f t="shared" si="36"/>
        <v>23521</v>
      </c>
      <c r="T1139" s="7" t="s">
        <v>53</v>
      </c>
      <c r="U1139" s="7"/>
      <c r="V1139" s="7"/>
      <c r="W1139" s="9">
        <v>1</v>
      </c>
      <c r="X1139" s="7"/>
      <c r="Y1139" s="4"/>
      <c r="Z1139" s="7" t="s">
        <v>14</v>
      </c>
      <c r="AA1139" s="36" t="s">
        <v>28</v>
      </c>
      <c r="AB1139" s="4"/>
      <c r="AC1139" s="22">
        <f t="shared" si="37"/>
        <v>9.2239215686274516</v>
      </c>
      <c r="AD1139" s="23">
        <v>0</v>
      </c>
    </row>
    <row r="1140" spans="1:30" hidden="1" x14ac:dyDescent="0.35">
      <c r="A1140" s="7">
        <v>45</v>
      </c>
      <c r="B1140" s="24">
        <v>45950.507847222223</v>
      </c>
      <c r="C1140" s="24">
        <v>45950</v>
      </c>
      <c r="D1140" s="7" t="s">
        <v>2668</v>
      </c>
      <c r="E1140" s="7" t="s">
        <v>1981</v>
      </c>
      <c r="F1140" s="7" t="s">
        <v>1818</v>
      </c>
      <c r="G1140" s="7" t="s">
        <v>2669</v>
      </c>
      <c r="H1140" s="7" t="s">
        <v>1978</v>
      </c>
      <c r="I1140" s="7" t="s">
        <v>1977</v>
      </c>
      <c r="J1140" s="7" t="s">
        <v>1816</v>
      </c>
      <c r="K1140" s="7" t="s">
        <v>1815</v>
      </c>
      <c r="L1140" s="7" t="s">
        <v>1814</v>
      </c>
      <c r="M1140" s="7" t="s">
        <v>28</v>
      </c>
      <c r="N1140" s="7" t="s">
        <v>1825</v>
      </c>
      <c r="O1140" s="7" t="s">
        <v>105</v>
      </c>
      <c r="P1140" s="7" t="s">
        <v>1775</v>
      </c>
      <c r="Q1140" s="9">
        <v>40000</v>
      </c>
      <c r="R1140" s="9">
        <v>0</v>
      </c>
      <c r="S1140" s="9">
        <f t="shared" si="36"/>
        <v>40000</v>
      </c>
      <c r="T1140" s="7" t="s">
        <v>53</v>
      </c>
      <c r="U1140" s="7"/>
      <c r="V1140" s="7"/>
      <c r="W1140" s="9">
        <v>1</v>
      </c>
      <c r="X1140" s="7"/>
      <c r="Y1140" s="4"/>
      <c r="Z1140" s="7" t="s">
        <v>14</v>
      </c>
      <c r="AA1140" s="36" t="s">
        <v>28</v>
      </c>
      <c r="AB1140" s="4"/>
      <c r="AC1140" s="22">
        <f t="shared" si="37"/>
        <v>15.686274509803921</v>
      </c>
      <c r="AD1140" s="23">
        <v>0</v>
      </c>
    </row>
    <row r="1141" spans="1:30" hidden="1" x14ac:dyDescent="0.35">
      <c r="A1141" s="7">
        <v>46</v>
      </c>
      <c r="B1141" s="24">
        <v>45950.507847222223</v>
      </c>
      <c r="C1141" s="24">
        <v>45950</v>
      </c>
      <c r="D1141" s="7" t="s">
        <v>2668</v>
      </c>
      <c r="E1141" s="7" t="s">
        <v>1981</v>
      </c>
      <c r="F1141" s="7" t="s">
        <v>1818</v>
      </c>
      <c r="G1141" s="7" t="s">
        <v>2669</v>
      </c>
      <c r="H1141" s="7" t="s">
        <v>1978</v>
      </c>
      <c r="I1141" s="7" t="s">
        <v>1977</v>
      </c>
      <c r="J1141" s="7" t="s">
        <v>1816</v>
      </c>
      <c r="K1141" s="7" t="s">
        <v>1815</v>
      </c>
      <c r="L1141" s="7" t="s">
        <v>1814</v>
      </c>
      <c r="M1141" s="7" t="s">
        <v>28</v>
      </c>
      <c r="N1141" s="7" t="s">
        <v>1825</v>
      </c>
      <c r="O1141" s="7" t="s">
        <v>105</v>
      </c>
      <c r="P1141" s="7" t="s">
        <v>1775</v>
      </c>
      <c r="Q1141" s="9">
        <v>20000</v>
      </c>
      <c r="R1141" s="9">
        <v>0</v>
      </c>
      <c r="S1141" s="9">
        <f t="shared" si="36"/>
        <v>20000</v>
      </c>
      <c r="T1141" s="7" t="s">
        <v>53</v>
      </c>
      <c r="U1141" s="7"/>
      <c r="V1141" s="7"/>
      <c r="W1141" s="9">
        <v>1</v>
      </c>
      <c r="X1141" s="7"/>
      <c r="Y1141" s="4"/>
      <c r="Z1141" s="7" t="s">
        <v>14</v>
      </c>
      <c r="AA1141" s="36" t="s">
        <v>28</v>
      </c>
      <c r="AB1141" s="4"/>
      <c r="AC1141" s="22">
        <f t="shared" si="37"/>
        <v>7.8431372549019605</v>
      </c>
      <c r="AD1141" s="23">
        <v>0</v>
      </c>
    </row>
    <row r="1142" spans="1:30" hidden="1" x14ac:dyDescent="0.35">
      <c r="A1142" s="7">
        <v>47</v>
      </c>
      <c r="B1142" s="24">
        <v>45950.507847222223</v>
      </c>
      <c r="C1142" s="24">
        <v>45950</v>
      </c>
      <c r="D1142" s="7" t="s">
        <v>2668</v>
      </c>
      <c r="E1142" s="7" t="s">
        <v>1981</v>
      </c>
      <c r="F1142" s="7" t="s">
        <v>1818</v>
      </c>
      <c r="G1142" s="7" t="s">
        <v>2669</v>
      </c>
      <c r="H1142" s="7" t="s">
        <v>1978</v>
      </c>
      <c r="I1142" s="7" t="s">
        <v>1977</v>
      </c>
      <c r="J1142" s="7" t="s">
        <v>1816</v>
      </c>
      <c r="K1142" s="7" t="s">
        <v>1815</v>
      </c>
      <c r="L1142" s="7" t="s">
        <v>1814</v>
      </c>
      <c r="M1142" s="7" t="s">
        <v>28</v>
      </c>
      <c r="N1142" s="7" t="s">
        <v>1825</v>
      </c>
      <c r="O1142" s="7" t="s">
        <v>105</v>
      </c>
      <c r="P1142" s="7" t="s">
        <v>1775</v>
      </c>
      <c r="Q1142" s="9">
        <v>210000</v>
      </c>
      <c r="R1142" s="9">
        <v>0</v>
      </c>
      <c r="S1142" s="9">
        <f t="shared" si="36"/>
        <v>210000</v>
      </c>
      <c r="T1142" s="7" t="s">
        <v>53</v>
      </c>
      <c r="U1142" s="7"/>
      <c r="V1142" s="7"/>
      <c r="W1142" s="9">
        <v>1</v>
      </c>
      <c r="X1142" s="7"/>
      <c r="Y1142" s="4"/>
      <c r="Z1142" s="7" t="s">
        <v>14</v>
      </c>
      <c r="AA1142" s="36" t="s">
        <v>28</v>
      </c>
      <c r="AB1142" s="4"/>
      <c r="AC1142" s="22">
        <f t="shared" si="37"/>
        <v>82.352941176470594</v>
      </c>
      <c r="AD1142" s="23">
        <v>0</v>
      </c>
    </row>
    <row r="1143" spans="1:30" hidden="1" x14ac:dyDescent="0.35">
      <c r="A1143" s="7">
        <v>48</v>
      </c>
      <c r="B1143" s="24">
        <v>45950.507847222223</v>
      </c>
      <c r="C1143" s="24">
        <v>45950</v>
      </c>
      <c r="D1143" s="7" t="s">
        <v>2668</v>
      </c>
      <c r="E1143" s="7" t="s">
        <v>1981</v>
      </c>
      <c r="F1143" s="7" t="s">
        <v>1818</v>
      </c>
      <c r="G1143" s="7" t="s">
        <v>2669</v>
      </c>
      <c r="H1143" s="7" t="s">
        <v>1978</v>
      </c>
      <c r="I1143" s="7" t="s">
        <v>1977</v>
      </c>
      <c r="J1143" s="7" t="s">
        <v>1816</v>
      </c>
      <c r="K1143" s="7" t="s">
        <v>1815</v>
      </c>
      <c r="L1143" s="7" t="s">
        <v>1814</v>
      </c>
      <c r="M1143" s="7" t="s">
        <v>28</v>
      </c>
      <c r="N1143" s="7" t="s">
        <v>1825</v>
      </c>
      <c r="O1143" s="7" t="s">
        <v>105</v>
      </c>
      <c r="P1143" s="7" t="s">
        <v>1775</v>
      </c>
      <c r="Q1143" s="9">
        <v>340000</v>
      </c>
      <c r="R1143" s="9">
        <v>0</v>
      </c>
      <c r="S1143" s="9">
        <f t="shared" si="36"/>
        <v>340000</v>
      </c>
      <c r="T1143" s="7" t="s">
        <v>53</v>
      </c>
      <c r="U1143" s="7"/>
      <c r="V1143" s="7"/>
      <c r="W1143" s="9">
        <v>1</v>
      </c>
      <c r="X1143" s="7"/>
      <c r="Y1143" s="4"/>
      <c r="Z1143" s="7" t="s">
        <v>14</v>
      </c>
      <c r="AA1143" s="36" t="s">
        <v>28</v>
      </c>
      <c r="AB1143" s="4"/>
      <c r="AC1143" s="22">
        <f t="shared" si="37"/>
        <v>133.33333333333334</v>
      </c>
      <c r="AD1143" s="23">
        <v>0</v>
      </c>
    </row>
    <row r="1144" spans="1:30" hidden="1" x14ac:dyDescent="0.35">
      <c r="A1144" s="7">
        <v>49</v>
      </c>
      <c r="B1144" s="24">
        <v>45950.507847222223</v>
      </c>
      <c r="C1144" s="24">
        <v>45950</v>
      </c>
      <c r="D1144" s="7" t="s">
        <v>2668</v>
      </c>
      <c r="E1144" s="7" t="s">
        <v>1981</v>
      </c>
      <c r="F1144" s="7" t="s">
        <v>1818</v>
      </c>
      <c r="G1144" s="7" t="s">
        <v>2669</v>
      </c>
      <c r="H1144" s="7" t="s">
        <v>1978</v>
      </c>
      <c r="I1144" s="7" t="s">
        <v>1977</v>
      </c>
      <c r="J1144" s="7" t="s">
        <v>1816</v>
      </c>
      <c r="K1144" s="7" t="s">
        <v>1815</v>
      </c>
      <c r="L1144" s="7" t="s">
        <v>1814</v>
      </c>
      <c r="M1144" s="7" t="s">
        <v>28</v>
      </c>
      <c r="N1144" s="7" t="s">
        <v>1825</v>
      </c>
      <c r="O1144" s="7" t="s">
        <v>105</v>
      </c>
      <c r="P1144" s="7" t="s">
        <v>1775</v>
      </c>
      <c r="Q1144" s="9">
        <v>20000</v>
      </c>
      <c r="R1144" s="9">
        <v>0</v>
      </c>
      <c r="S1144" s="9">
        <f t="shared" si="36"/>
        <v>20000</v>
      </c>
      <c r="T1144" s="7" t="s">
        <v>53</v>
      </c>
      <c r="U1144" s="7"/>
      <c r="V1144" s="7"/>
      <c r="W1144" s="9">
        <v>1</v>
      </c>
      <c r="X1144" s="7"/>
      <c r="Y1144" s="4"/>
      <c r="Z1144" s="7" t="s">
        <v>14</v>
      </c>
      <c r="AA1144" s="36" t="s">
        <v>28</v>
      </c>
      <c r="AB1144" s="4"/>
      <c r="AC1144" s="22">
        <f t="shared" si="37"/>
        <v>7.8431372549019605</v>
      </c>
      <c r="AD1144" s="23">
        <v>0</v>
      </c>
    </row>
    <row r="1145" spans="1:30" hidden="1" x14ac:dyDescent="0.35">
      <c r="A1145" s="7">
        <v>50</v>
      </c>
      <c r="B1145" s="24">
        <v>45950.507847222223</v>
      </c>
      <c r="C1145" s="24">
        <v>45950</v>
      </c>
      <c r="D1145" s="7" t="s">
        <v>2668</v>
      </c>
      <c r="E1145" s="7" t="s">
        <v>1981</v>
      </c>
      <c r="F1145" s="7" t="s">
        <v>1818</v>
      </c>
      <c r="G1145" s="7" t="s">
        <v>2669</v>
      </c>
      <c r="H1145" s="7" t="s">
        <v>1978</v>
      </c>
      <c r="I1145" s="7" t="s">
        <v>1977</v>
      </c>
      <c r="J1145" s="7" t="s">
        <v>1816</v>
      </c>
      <c r="K1145" s="7" t="s">
        <v>1815</v>
      </c>
      <c r="L1145" s="7" t="s">
        <v>1814</v>
      </c>
      <c r="M1145" s="7" t="s">
        <v>28</v>
      </c>
      <c r="N1145" s="7" t="s">
        <v>1825</v>
      </c>
      <c r="O1145" s="7" t="s">
        <v>105</v>
      </c>
      <c r="P1145" s="7" t="s">
        <v>1775</v>
      </c>
      <c r="Q1145" s="9">
        <v>35000</v>
      </c>
      <c r="R1145" s="9">
        <v>0</v>
      </c>
      <c r="S1145" s="9">
        <f t="shared" si="36"/>
        <v>35000</v>
      </c>
      <c r="T1145" s="7" t="s">
        <v>53</v>
      </c>
      <c r="U1145" s="7"/>
      <c r="V1145" s="7"/>
      <c r="W1145" s="9">
        <v>1</v>
      </c>
      <c r="X1145" s="7"/>
      <c r="Y1145" s="4"/>
      <c r="Z1145" s="7" t="s">
        <v>14</v>
      </c>
      <c r="AA1145" s="36" t="s">
        <v>28</v>
      </c>
      <c r="AB1145" s="4"/>
      <c r="AC1145" s="22">
        <f t="shared" si="37"/>
        <v>13.725490196078431</v>
      </c>
      <c r="AD1145" s="23">
        <v>0</v>
      </c>
    </row>
    <row r="1146" spans="1:30" hidden="1" x14ac:dyDescent="0.35">
      <c r="A1146" s="7">
        <v>51</v>
      </c>
      <c r="B1146" s="24">
        <v>45950.507847222223</v>
      </c>
      <c r="C1146" s="24">
        <v>45950</v>
      </c>
      <c r="D1146" s="7" t="s">
        <v>2668</v>
      </c>
      <c r="E1146" s="7" t="s">
        <v>1981</v>
      </c>
      <c r="F1146" s="7" t="s">
        <v>1818</v>
      </c>
      <c r="G1146" s="7" t="s">
        <v>2669</v>
      </c>
      <c r="H1146" s="7" t="s">
        <v>1978</v>
      </c>
      <c r="I1146" s="7" t="s">
        <v>1977</v>
      </c>
      <c r="J1146" s="7" t="s">
        <v>1816</v>
      </c>
      <c r="K1146" s="7" t="s">
        <v>1815</v>
      </c>
      <c r="L1146" s="7" t="s">
        <v>1814</v>
      </c>
      <c r="M1146" s="7" t="s">
        <v>28</v>
      </c>
      <c r="N1146" s="7" t="s">
        <v>1825</v>
      </c>
      <c r="O1146" s="7" t="s">
        <v>105</v>
      </c>
      <c r="P1146" s="7" t="s">
        <v>1775</v>
      </c>
      <c r="Q1146" s="9">
        <v>191703</v>
      </c>
      <c r="R1146" s="9">
        <v>0</v>
      </c>
      <c r="S1146" s="9">
        <f t="shared" si="36"/>
        <v>191703</v>
      </c>
      <c r="T1146" s="7" t="s">
        <v>53</v>
      </c>
      <c r="U1146" s="7"/>
      <c r="V1146" s="7"/>
      <c r="W1146" s="9">
        <v>1</v>
      </c>
      <c r="X1146" s="7"/>
      <c r="Y1146" s="4"/>
      <c r="Z1146" s="7" t="s">
        <v>14</v>
      </c>
      <c r="AA1146" s="36" t="s">
        <v>28</v>
      </c>
      <c r="AB1146" s="4"/>
      <c r="AC1146" s="22">
        <f t="shared" si="37"/>
        <v>75.177647058823524</v>
      </c>
      <c r="AD1146" s="23">
        <v>0</v>
      </c>
    </row>
    <row r="1147" spans="1:30" hidden="1" x14ac:dyDescent="0.35">
      <c r="A1147" s="7">
        <v>52</v>
      </c>
      <c r="B1147" s="24">
        <v>45950.507847222223</v>
      </c>
      <c r="C1147" s="24">
        <v>45950</v>
      </c>
      <c r="D1147" s="7" t="s">
        <v>2668</v>
      </c>
      <c r="E1147" s="7" t="s">
        <v>1981</v>
      </c>
      <c r="F1147" s="7" t="s">
        <v>1818</v>
      </c>
      <c r="G1147" s="7" t="s">
        <v>2669</v>
      </c>
      <c r="H1147" s="7" t="s">
        <v>1978</v>
      </c>
      <c r="I1147" s="7" t="s">
        <v>1977</v>
      </c>
      <c r="J1147" s="7" t="s">
        <v>1816</v>
      </c>
      <c r="K1147" s="7" t="s">
        <v>1815</v>
      </c>
      <c r="L1147" s="7" t="s">
        <v>1814</v>
      </c>
      <c r="M1147" s="7" t="s">
        <v>28</v>
      </c>
      <c r="N1147" s="7" t="s">
        <v>1825</v>
      </c>
      <c r="O1147" s="7" t="s">
        <v>105</v>
      </c>
      <c r="P1147" s="7" t="s">
        <v>1775</v>
      </c>
      <c r="Q1147" s="9">
        <v>152693</v>
      </c>
      <c r="R1147" s="9">
        <v>0</v>
      </c>
      <c r="S1147" s="9">
        <f t="shared" si="36"/>
        <v>152693</v>
      </c>
      <c r="T1147" s="7" t="s">
        <v>53</v>
      </c>
      <c r="U1147" s="7"/>
      <c r="V1147" s="7"/>
      <c r="W1147" s="9">
        <v>1</v>
      </c>
      <c r="X1147" s="7"/>
      <c r="Y1147" s="4"/>
      <c r="Z1147" s="7" t="s">
        <v>14</v>
      </c>
      <c r="AA1147" s="36" t="s">
        <v>28</v>
      </c>
      <c r="AB1147" s="4"/>
      <c r="AC1147" s="22">
        <f t="shared" si="37"/>
        <v>59.879607843137258</v>
      </c>
      <c r="AD1147" s="23">
        <v>0</v>
      </c>
    </row>
    <row r="1148" spans="1:30" hidden="1" x14ac:dyDescent="0.35">
      <c r="A1148" s="7">
        <v>53</v>
      </c>
      <c r="B1148" s="24">
        <v>45954.257060185184</v>
      </c>
      <c r="C1148" s="24">
        <v>45954</v>
      </c>
      <c r="D1148" s="7" t="s">
        <v>2670</v>
      </c>
      <c r="E1148" s="7" t="s">
        <v>1331</v>
      </c>
      <c r="F1148" s="7" t="s">
        <v>2671</v>
      </c>
      <c r="G1148" s="7" t="s">
        <v>2672</v>
      </c>
      <c r="H1148" s="7" t="s">
        <v>1938</v>
      </c>
      <c r="I1148" s="7" t="s">
        <v>1937</v>
      </c>
      <c r="J1148" s="7" t="s">
        <v>1816</v>
      </c>
      <c r="K1148" s="7" t="s">
        <v>1815</v>
      </c>
      <c r="L1148" s="7" t="s">
        <v>1814</v>
      </c>
      <c r="M1148" s="7" t="s">
        <v>28</v>
      </c>
      <c r="N1148" s="7" t="s">
        <v>1825</v>
      </c>
      <c r="O1148" s="7" t="s">
        <v>1704</v>
      </c>
      <c r="P1148" s="7"/>
      <c r="Q1148" s="9">
        <v>540000</v>
      </c>
      <c r="R1148" s="9">
        <v>0</v>
      </c>
      <c r="S1148" s="9">
        <f t="shared" si="36"/>
        <v>540000</v>
      </c>
      <c r="T1148" s="7" t="s">
        <v>53</v>
      </c>
      <c r="U1148" s="7"/>
      <c r="V1148" s="7"/>
      <c r="W1148" s="9">
        <v>1</v>
      </c>
      <c r="X1148" s="7"/>
      <c r="Y1148" s="4"/>
      <c r="Z1148" s="7" t="s">
        <v>14</v>
      </c>
      <c r="AA1148" s="36" t="s">
        <v>28</v>
      </c>
      <c r="AB1148" s="4"/>
      <c r="AC1148" s="22">
        <f t="shared" si="37"/>
        <v>211.76470588235293</v>
      </c>
      <c r="AD1148" s="23">
        <v>0</v>
      </c>
    </row>
    <row r="1149" spans="1:30" x14ac:dyDescent="0.35">
      <c r="A1149" s="7">
        <v>54</v>
      </c>
      <c r="B1149" s="24">
        <v>45945.252789351849</v>
      </c>
      <c r="C1149" s="24">
        <v>45954</v>
      </c>
      <c r="D1149" s="7" t="s">
        <v>2673</v>
      </c>
      <c r="E1149" s="7" t="s">
        <v>1331</v>
      </c>
      <c r="F1149" s="7" t="s">
        <v>2674</v>
      </c>
      <c r="G1149" s="7" t="s">
        <v>2675</v>
      </c>
      <c r="H1149" s="7" t="s">
        <v>2012</v>
      </c>
      <c r="I1149" s="7" t="s">
        <v>2011</v>
      </c>
      <c r="J1149" s="7" t="s">
        <v>1816</v>
      </c>
      <c r="K1149" s="7" t="s">
        <v>1815</v>
      </c>
      <c r="L1149" s="7" t="s">
        <v>2330</v>
      </c>
      <c r="M1149" s="7" t="s">
        <v>29</v>
      </c>
      <c r="N1149" s="7" t="s">
        <v>197</v>
      </c>
      <c r="O1149" s="7" t="s">
        <v>1065</v>
      </c>
      <c r="P1149" s="7" t="s">
        <v>54</v>
      </c>
      <c r="Q1149" s="9">
        <v>10250000</v>
      </c>
      <c r="R1149" s="9">
        <v>0</v>
      </c>
      <c r="S1149" s="9">
        <f t="shared" si="36"/>
        <v>10250000</v>
      </c>
      <c r="T1149" s="7" t="s">
        <v>53</v>
      </c>
      <c r="U1149" s="7" t="s">
        <v>1890</v>
      </c>
      <c r="V1149" s="7" t="s">
        <v>1823</v>
      </c>
      <c r="W1149" s="9">
        <v>1</v>
      </c>
      <c r="X1149" s="7" t="s">
        <v>1889</v>
      </c>
      <c r="Y1149" s="4"/>
      <c r="Z1149" s="7" t="s">
        <v>14</v>
      </c>
      <c r="AA1149" s="36" t="s">
        <v>29</v>
      </c>
      <c r="AB1149" s="4" t="s">
        <v>2607</v>
      </c>
      <c r="AC1149" s="22">
        <f t="shared" si="37"/>
        <v>4019.6078431372548</v>
      </c>
      <c r="AD1149" s="23">
        <v>0</v>
      </c>
    </row>
    <row r="1150" spans="1:30" hidden="1" x14ac:dyDescent="0.35">
      <c r="A1150" s="7">
        <v>55</v>
      </c>
      <c r="B1150" s="24">
        <v>45957.270972222221</v>
      </c>
      <c r="C1150" s="24">
        <v>45957</v>
      </c>
      <c r="D1150" s="7" t="s">
        <v>2676</v>
      </c>
      <c r="E1150" s="7" t="s">
        <v>1981</v>
      </c>
      <c r="F1150" s="7" t="s">
        <v>1818</v>
      </c>
      <c r="G1150" s="7" t="s">
        <v>2677</v>
      </c>
      <c r="H1150" s="7"/>
      <c r="I1150" s="7"/>
      <c r="J1150" s="7" t="s">
        <v>1816</v>
      </c>
      <c r="K1150" s="7" t="s">
        <v>1815</v>
      </c>
      <c r="L1150" s="7" t="s">
        <v>1814</v>
      </c>
      <c r="M1150" s="7" t="s">
        <v>28</v>
      </c>
      <c r="N1150" s="7" t="s">
        <v>1825</v>
      </c>
      <c r="O1150" s="7" t="s">
        <v>105</v>
      </c>
      <c r="P1150" s="7" t="s">
        <v>1775</v>
      </c>
      <c r="Q1150" s="9">
        <v>2600000</v>
      </c>
      <c r="R1150" s="9">
        <v>0</v>
      </c>
      <c r="S1150" s="9">
        <f t="shared" si="36"/>
        <v>2600000</v>
      </c>
      <c r="T1150" s="7" t="s">
        <v>53</v>
      </c>
      <c r="U1150" s="7"/>
      <c r="V1150" s="7"/>
      <c r="W1150" s="9">
        <v>1</v>
      </c>
      <c r="X1150" s="7"/>
      <c r="Y1150" s="4"/>
      <c r="Z1150" s="7" t="s">
        <v>14</v>
      </c>
      <c r="AA1150" s="36" t="s">
        <v>28</v>
      </c>
      <c r="AB1150" s="4"/>
      <c r="AC1150" s="22">
        <f t="shared" si="37"/>
        <v>1019.6078431372549</v>
      </c>
      <c r="AD1150" s="23">
        <v>0</v>
      </c>
    </row>
    <row r="1151" spans="1:30" hidden="1" x14ac:dyDescent="0.35">
      <c r="A1151" s="7">
        <v>2329</v>
      </c>
      <c r="B1151" s="24">
        <v>45932.266550925924</v>
      </c>
      <c r="C1151" s="24">
        <v>45932</v>
      </c>
      <c r="D1151" s="7" t="s">
        <v>2678</v>
      </c>
      <c r="E1151" s="7" t="s">
        <v>61</v>
      </c>
      <c r="F1151" s="7" t="s">
        <v>2679</v>
      </c>
      <c r="G1151" s="7" t="s">
        <v>2679</v>
      </c>
      <c r="H1151" s="7"/>
      <c r="I1151" s="7"/>
      <c r="J1151" s="7" t="s">
        <v>59</v>
      </c>
      <c r="K1151" s="7" t="s">
        <v>58</v>
      </c>
      <c r="L1151" s="7" t="s">
        <v>325</v>
      </c>
      <c r="M1151" s="7" t="s">
        <v>33</v>
      </c>
      <c r="N1151" s="7" t="s">
        <v>1699</v>
      </c>
      <c r="O1151" s="7" t="s">
        <v>1698</v>
      </c>
      <c r="P1151" s="7" t="s">
        <v>126</v>
      </c>
      <c r="Q1151" s="9">
        <v>2542372.88</v>
      </c>
      <c r="R1151" s="9">
        <v>0</v>
      </c>
      <c r="S1151" s="9">
        <f t="shared" si="36"/>
        <v>2542372.88</v>
      </c>
      <c r="T1151" s="7" t="s">
        <v>53</v>
      </c>
      <c r="U1151" s="7" t="s">
        <v>1697</v>
      </c>
      <c r="V1151" s="7" t="s">
        <v>2680</v>
      </c>
      <c r="W1151" s="9">
        <v>-2</v>
      </c>
      <c r="X1151" s="7" t="s">
        <v>94</v>
      </c>
      <c r="Y1151" s="4"/>
      <c r="Z1151" s="7" t="s">
        <v>7</v>
      </c>
      <c r="AA1151" s="37" t="s">
        <v>9</v>
      </c>
      <c r="AB1151" s="4">
        <f>IFERROR(_xlfn.XLOOKUP(AA1151,#REF!,#REF!),0)</f>
        <v>0</v>
      </c>
      <c r="AC1151" s="22">
        <f t="shared" si="37"/>
        <v>997.00897254901952</v>
      </c>
      <c r="AD1151" s="23">
        <v>0</v>
      </c>
    </row>
    <row r="1152" spans="1:30" hidden="1" x14ac:dyDescent="0.35">
      <c r="A1152" s="7">
        <v>7665</v>
      </c>
      <c r="B1152" s="24">
        <v>45936.320798611108</v>
      </c>
      <c r="C1152" s="24">
        <v>45936</v>
      </c>
      <c r="D1152" s="7" t="s">
        <v>2681</v>
      </c>
      <c r="E1152" s="7" t="s">
        <v>61</v>
      </c>
      <c r="F1152" s="7" t="s">
        <v>2682</v>
      </c>
      <c r="G1152" s="7" t="s">
        <v>2682</v>
      </c>
      <c r="H1152" s="7"/>
      <c r="I1152" s="7"/>
      <c r="J1152" s="7" t="s">
        <v>59</v>
      </c>
      <c r="K1152" s="7" t="s">
        <v>58</v>
      </c>
      <c r="L1152" s="7" t="s">
        <v>325</v>
      </c>
      <c r="M1152" s="7" t="s">
        <v>33</v>
      </c>
      <c r="N1152" s="7" t="s">
        <v>1699</v>
      </c>
      <c r="O1152" s="7" t="s">
        <v>1560</v>
      </c>
      <c r="P1152" s="7" t="s">
        <v>196</v>
      </c>
      <c r="Q1152" s="9">
        <v>3030000</v>
      </c>
      <c r="R1152" s="9">
        <v>0</v>
      </c>
      <c r="S1152" s="9">
        <f t="shared" si="36"/>
        <v>3030000</v>
      </c>
      <c r="T1152" s="7" t="s">
        <v>53</v>
      </c>
      <c r="U1152" s="7" t="s">
        <v>1803</v>
      </c>
      <c r="V1152" s="29" t="s">
        <v>2683</v>
      </c>
      <c r="W1152" s="9">
        <v>-2</v>
      </c>
      <c r="X1152" s="7" t="s">
        <v>94</v>
      </c>
      <c r="Y1152" s="4"/>
      <c r="Z1152" s="4" t="str">
        <f>_xlfn.XLOOKUP(U1152,U23:U1151,Z23:Z1151)</f>
        <v>341000-341100 OFFICE &amp; MISC EQUIPEMENTS</v>
      </c>
      <c r="AA1152" s="37" t="s">
        <v>8</v>
      </c>
      <c r="AB1152" s="4">
        <f>IFERROR(_xlfn.XLOOKUP(AA1152,#REF!,#REF!),0)</f>
        <v>0</v>
      </c>
      <c r="AC1152" s="22">
        <f t="shared" si="37"/>
        <v>1188.2352941176471</v>
      </c>
      <c r="AD1152" s="23">
        <v>0</v>
      </c>
    </row>
    <row r="1153" spans="1:30" hidden="1" x14ac:dyDescent="0.35">
      <c r="A1153" s="7">
        <v>7667</v>
      </c>
      <c r="B1153" s="24">
        <v>45936.320798611108</v>
      </c>
      <c r="C1153" s="24">
        <v>45936</v>
      </c>
      <c r="D1153" s="7" t="s">
        <v>2684</v>
      </c>
      <c r="E1153" s="7" t="s">
        <v>61</v>
      </c>
      <c r="F1153" s="7" t="s">
        <v>2682</v>
      </c>
      <c r="G1153" s="7" t="s">
        <v>2682</v>
      </c>
      <c r="H1153" s="7"/>
      <c r="I1153" s="7"/>
      <c r="J1153" s="7" t="s">
        <v>59</v>
      </c>
      <c r="K1153" s="7" t="s">
        <v>58</v>
      </c>
      <c r="L1153" s="7" t="s">
        <v>325</v>
      </c>
      <c r="M1153" s="7" t="s">
        <v>33</v>
      </c>
      <c r="N1153" s="7" t="s">
        <v>197</v>
      </c>
      <c r="O1153" s="7" t="s">
        <v>105</v>
      </c>
      <c r="P1153" s="7" t="s">
        <v>196</v>
      </c>
      <c r="Q1153" s="9">
        <v>1515000</v>
      </c>
      <c r="R1153" s="9">
        <v>0</v>
      </c>
      <c r="S1153" s="9">
        <f t="shared" si="36"/>
        <v>1515000</v>
      </c>
      <c r="T1153" s="7" t="s">
        <v>53</v>
      </c>
      <c r="U1153" s="7" t="s">
        <v>1803</v>
      </c>
      <c r="V1153" s="7" t="s">
        <v>2683</v>
      </c>
      <c r="W1153" s="9">
        <v>-1</v>
      </c>
      <c r="X1153" s="7" t="s">
        <v>94</v>
      </c>
      <c r="Y1153" s="4"/>
      <c r="Z1153" s="4" t="str">
        <f>_xlfn.XLOOKUP(U1153,U24:U1152,Z24:Z1152)</f>
        <v>341000-341100 OFFICE &amp; MISC EQUIPEMENTS</v>
      </c>
      <c r="AA1153" s="37" t="s">
        <v>8</v>
      </c>
      <c r="AB1153" s="4">
        <f>IFERROR(_xlfn.XLOOKUP(AA1153,#REF!,#REF!),0)</f>
        <v>0</v>
      </c>
      <c r="AC1153" s="22">
        <f t="shared" si="37"/>
        <v>594.11764705882354</v>
      </c>
      <c r="AD1153" s="23">
        <v>0</v>
      </c>
    </row>
    <row r="1154" spans="1:30" x14ac:dyDescent="0.35">
      <c r="A1154" s="7">
        <v>44715</v>
      </c>
      <c r="B1154" s="24">
        <v>45955.576979166668</v>
      </c>
      <c r="C1154" s="24">
        <v>45955</v>
      </c>
      <c r="D1154" s="7" t="s">
        <v>2689</v>
      </c>
      <c r="E1154" s="7" t="s">
        <v>61</v>
      </c>
      <c r="F1154" s="7" t="s">
        <v>2690</v>
      </c>
      <c r="G1154" s="7" t="s">
        <v>2690</v>
      </c>
      <c r="H1154" s="7"/>
      <c r="I1154" s="7"/>
      <c r="J1154" s="7" t="s">
        <v>59</v>
      </c>
      <c r="K1154" s="7" t="s">
        <v>58</v>
      </c>
      <c r="L1154" s="7" t="s">
        <v>57</v>
      </c>
      <c r="M1154" s="7" t="s">
        <v>32</v>
      </c>
      <c r="N1154" s="7" t="s">
        <v>114</v>
      </c>
      <c r="O1154" s="7" t="s">
        <v>68</v>
      </c>
      <c r="P1154" s="7" t="s">
        <v>54</v>
      </c>
      <c r="Q1154" s="9">
        <v>74500</v>
      </c>
      <c r="R1154" s="9">
        <v>0</v>
      </c>
      <c r="S1154" s="9">
        <f t="shared" si="36"/>
        <v>74500</v>
      </c>
      <c r="T1154" s="7" t="s">
        <v>53</v>
      </c>
      <c r="U1154" s="7" t="s">
        <v>133</v>
      </c>
      <c r="V1154" s="32" t="s">
        <v>2691</v>
      </c>
      <c r="W1154" s="9">
        <v>-14.9</v>
      </c>
      <c r="X1154" s="7" t="s">
        <v>124</v>
      </c>
      <c r="Y1154" s="4"/>
      <c r="Z1154" s="7" t="s">
        <v>14</v>
      </c>
      <c r="AA1154" s="36" t="s">
        <v>31</v>
      </c>
      <c r="AB1154" s="4" t="s">
        <v>2605</v>
      </c>
      <c r="AC1154" s="22">
        <f t="shared" si="37"/>
        <v>29.215686274509803</v>
      </c>
      <c r="AD1154" s="23">
        <v>0</v>
      </c>
    </row>
    <row r="1155" spans="1:30" x14ac:dyDescent="0.35">
      <c r="A1155" s="7">
        <v>44714</v>
      </c>
      <c r="B1155" s="24">
        <v>45955.576979166668</v>
      </c>
      <c r="C1155" s="24">
        <v>45955</v>
      </c>
      <c r="D1155" s="7" t="s">
        <v>2692</v>
      </c>
      <c r="E1155" s="7" t="s">
        <v>61</v>
      </c>
      <c r="F1155" s="7" t="s">
        <v>2693</v>
      </c>
      <c r="G1155" s="7" t="s">
        <v>2693</v>
      </c>
      <c r="H1155" s="7"/>
      <c r="I1155" s="7"/>
      <c r="J1155" s="7" t="s">
        <v>59</v>
      </c>
      <c r="K1155" s="7" t="s">
        <v>58</v>
      </c>
      <c r="L1155" s="7" t="s">
        <v>57</v>
      </c>
      <c r="M1155" s="7" t="s">
        <v>32</v>
      </c>
      <c r="N1155" s="7" t="s">
        <v>114</v>
      </c>
      <c r="O1155" s="7" t="s">
        <v>68</v>
      </c>
      <c r="P1155" s="7" t="s">
        <v>54</v>
      </c>
      <c r="Q1155" s="9">
        <v>999641.12</v>
      </c>
      <c r="R1155" s="9">
        <v>0</v>
      </c>
      <c r="S1155" s="9">
        <f t="shared" ref="S1155:S1218" si="38">+Q1155-R1155</f>
        <v>999641.12</v>
      </c>
      <c r="T1155" s="7" t="s">
        <v>53</v>
      </c>
      <c r="U1155" s="7" t="s">
        <v>130</v>
      </c>
      <c r="V1155" s="7" t="s">
        <v>2691</v>
      </c>
      <c r="W1155" s="9">
        <v>-70</v>
      </c>
      <c r="X1155" s="7" t="s">
        <v>129</v>
      </c>
      <c r="Y1155" s="4"/>
      <c r="Z1155" s="7" t="s">
        <v>14</v>
      </c>
      <c r="AA1155" s="36" t="s">
        <v>31</v>
      </c>
      <c r="AB1155" s="4" t="s">
        <v>2605</v>
      </c>
      <c r="AC1155" s="22">
        <f t="shared" si="37"/>
        <v>392.01612549019609</v>
      </c>
      <c r="AD1155" s="23">
        <v>0</v>
      </c>
    </row>
    <row r="1156" spans="1:30" x14ac:dyDescent="0.35">
      <c r="A1156" s="7">
        <v>44712</v>
      </c>
      <c r="B1156" s="24">
        <v>45955.576979166668</v>
      </c>
      <c r="C1156" s="24">
        <v>45955</v>
      </c>
      <c r="D1156" s="7" t="s">
        <v>2694</v>
      </c>
      <c r="E1156" s="7" t="s">
        <v>61</v>
      </c>
      <c r="F1156" s="7" t="s">
        <v>2695</v>
      </c>
      <c r="G1156" s="7" t="s">
        <v>2695</v>
      </c>
      <c r="H1156" s="7"/>
      <c r="I1156" s="7"/>
      <c r="J1156" s="7" t="s">
        <v>59</v>
      </c>
      <c r="K1156" s="7" t="s">
        <v>58</v>
      </c>
      <c r="L1156" s="7" t="s">
        <v>57</v>
      </c>
      <c r="M1156" s="7" t="s">
        <v>32</v>
      </c>
      <c r="N1156" s="7" t="s">
        <v>114</v>
      </c>
      <c r="O1156" s="7" t="s">
        <v>68</v>
      </c>
      <c r="P1156" s="7" t="s">
        <v>54</v>
      </c>
      <c r="Q1156" s="9">
        <v>611681.76</v>
      </c>
      <c r="R1156" s="9">
        <v>0</v>
      </c>
      <c r="S1156" s="9">
        <f t="shared" si="38"/>
        <v>611681.76</v>
      </c>
      <c r="T1156" s="7" t="s">
        <v>53</v>
      </c>
      <c r="U1156" s="7" t="s">
        <v>175</v>
      </c>
      <c r="V1156" s="7" t="s">
        <v>2691</v>
      </c>
      <c r="W1156" s="9">
        <v>-30</v>
      </c>
      <c r="X1156" s="7" t="s">
        <v>129</v>
      </c>
      <c r="Y1156" s="4"/>
      <c r="Z1156" s="7" t="s">
        <v>14</v>
      </c>
      <c r="AA1156" s="36" t="s">
        <v>31</v>
      </c>
      <c r="AB1156" s="4" t="s">
        <v>2605</v>
      </c>
      <c r="AC1156" s="22">
        <f t="shared" si="37"/>
        <v>239.87520000000001</v>
      </c>
      <c r="AD1156" s="23">
        <v>0</v>
      </c>
    </row>
    <row r="1157" spans="1:30" x14ac:dyDescent="0.35">
      <c r="A1157" s="7">
        <v>44710</v>
      </c>
      <c r="B1157" s="24">
        <v>45955.576979166668</v>
      </c>
      <c r="C1157" s="24">
        <v>45955</v>
      </c>
      <c r="D1157" s="7" t="s">
        <v>2696</v>
      </c>
      <c r="E1157" s="7" t="s">
        <v>61</v>
      </c>
      <c r="F1157" s="7" t="s">
        <v>2697</v>
      </c>
      <c r="G1157" s="7" t="s">
        <v>2697</v>
      </c>
      <c r="H1157" s="7"/>
      <c r="I1157" s="7"/>
      <c r="J1157" s="7" t="s">
        <v>59</v>
      </c>
      <c r="K1157" s="7" t="s">
        <v>58</v>
      </c>
      <c r="L1157" s="7" t="s">
        <v>57</v>
      </c>
      <c r="M1157" s="7" t="s">
        <v>32</v>
      </c>
      <c r="N1157" s="7" t="s">
        <v>114</v>
      </c>
      <c r="O1157" s="7" t="s">
        <v>68</v>
      </c>
      <c r="P1157" s="7" t="s">
        <v>54</v>
      </c>
      <c r="Q1157" s="9">
        <v>1822302.65</v>
      </c>
      <c r="R1157" s="9">
        <v>0</v>
      </c>
      <c r="S1157" s="9">
        <f t="shared" si="38"/>
        <v>1822302.65</v>
      </c>
      <c r="T1157" s="7" t="s">
        <v>53</v>
      </c>
      <c r="U1157" s="7" t="s">
        <v>172</v>
      </c>
      <c r="V1157" s="7" t="s">
        <v>2691</v>
      </c>
      <c r="W1157" s="9">
        <v>-50</v>
      </c>
      <c r="X1157" s="7" t="s">
        <v>129</v>
      </c>
      <c r="Y1157" s="4"/>
      <c r="Z1157" s="7" t="s">
        <v>14</v>
      </c>
      <c r="AA1157" s="36" t="s">
        <v>31</v>
      </c>
      <c r="AB1157" s="4" t="s">
        <v>2605</v>
      </c>
      <c r="AC1157" s="22">
        <f t="shared" si="37"/>
        <v>714.62849019607836</v>
      </c>
      <c r="AD1157" s="23">
        <v>0</v>
      </c>
    </row>
    <row r="1158" spans="1:30" x14ac:dyDescent="0.35">
      <c r="A1158" s="7">
        <v>44708</v>
      </c>
      <c r="B1158" s="24">
        <v>45955.576979166668</v>
      </c>
      <c r="C1158" s="24">
        <v>45955</v>
      </c>
      <c r="D1158" s="7" t="s">
        <v>2698</v>
      </c>
      <c r="E1158" s="7" t="s">
        <v>61</v>
      </c>
      <c r="F1158" s="7" t="s">
        <v>2699</v>
      </c>
      <c r="G1158" s="7" t="s">
        <v>2699</v>
      </c>
      <c r="H1158" s="7"/>
      <c r="I1158" s="7"/>
      <c r="J1158" s="7" t="s">
        <v>59</v>
      </c>
      <c r="K1158" s="7" t="s">
        <v>58</v>
      </c>
      <c r="L1158" s="7" t="s">
        <v>57</v>
      </c>
      <c r="M1158" s="7" t="s">
        <v>32</v>
      </c>
      <c r="N1158" s="7" t="s">
        <v>114</v>
      </c>
      <c r="O1158" s="7" t="s">
        <v>68</v>
      </c>
      <c r="P1158" s="7" t="s">
        <v>54</v>
      </c>
      <c r="Q1158" s="9">
        <v>32204.11</v>
      </c>
      <c r="R1158" s="9">
        <v>0</v>
      </c>
      <c r="S1158" s="9">
        <f t="shared" si="38"/>
        <v>32204.11</v>
      </c>
      <c r="T1158" s="7" t="s">
        <v>53</v>
      </c>
      <c r="U1158" s="7" t="s">
        <v>117</v>
      </c>
      <c r="V1158" s="7" t="s">
        <v>2688</v>
      </c>
      <c r="W1158" s="9">
        <v>-10</v>
      </c>
      <c r="X1158" s="7" t="s">
        <v>94</v>
      </c>
      <c r="Y1158" s="4"/>
      <c r="Z1158" s="7" t="s">
        <v>14</v>
      </c>
      <c r="AA1158" s="36" t="s">
        <v>31</v>
      </c>
      <c r="AB1158" s="4" t="s">
        <v>2605</v>
      </c>
      <c r="AC1158" s="22">
        <f t="shared" si="37"/>
        <v>12.629062745098039</v>
      </c>
      <c r="AD1158" s="23">
        <v>0</v>
      </c>
    </row>
    <row r="1159" spans="1:30" x14ac:dyDescent="0.35">
      <c r="A1159" s="7">
        <v>42609</v>
      </c>
      <c r="B1159" s="24">
        <v>45954.610636574071</v>
      </c>
      <c r="C1159" s="24">
        <v>45954</v>
      </c>
      <c r="D1159" s="7" t="s">
        <v>2700</v>
      </c>
      <c r="E1159" s="7" t="s">
        <v>61</v>
      </c>
      <c r="F1159" s="7" t="s">
        <v>2701</v>
      </c>
      <c r="G1159" s="7" t="s">
        <v>2701</v>
      </c>
      <c r="H1159" s="7"/>
      <c r="I1159" s="7"/>
      <c r="J1159" s="7" t="s">
        <v>59</v>
      </c>
      <c r="K1159" s="7" t="s">
        <v>58</v>
      </c>
      <c r="L1159" s="7" t="s">
        <v>57</v>
      </c>
      <c r="M1159" s="7" t="s">
        <v>32</v>
      </c>
      <c r="N1159" s="7" t="s">
        <v>114</v>
      </c>
      <c r="O1159" s="7" t="s">
        <v>68</v>
      </c>
      <c r="P1159" s="7" t="s">
        <v>54</v>
      </c>
      <c r="Q1159" s="9">
        <v>10681956</v>
      </c>
      <c r="R1159" s="9">
        <v>0</v>
      </c>
      <c r="S1159" s="9">
        <f t="shared" si="38"/>
        <v>10681956</v>
      </c>
      <c r="T1159" s="7" t="s">
        <v>53</v>
      </c>
      <c r="U1159" s="7" t="s">
        <v>339</v>
      </c>
      <c r="V1159" s="7" t="s">
        <v>2691</v>
      </c>
      <c r="W1159" s="9">
        <v>-98.906999999999996</v>
      </c>
      <c r="X1159" s="7" t="s">
        <v>338</v>
      </c>
      <c r="Y1159" s="4"/>
      <c r="Z1159" s="7" t="s">
        <v>14</v>
      </c>
      <c r="AA1159" s="36" t="s">
        <v>31</v>
      </c>
      <c r="AB1159" s="4" t="s">
        <v>2605</v>
      </c>
      <c r="AC1159" s="22">
        <f t="shared" si="37"/>
        <v>4189.0023529411765</v>
      </c>
      <c r="AD1159" s="23">
        <v>0</v>
      </c>
    </row>
    <row r="1160" spans="1:30" x14ac:dyDescent="0.35">
      <c r="A1160" s="7">
        <v>41013</v>
      </c>
      <c r="B1160" s="24">
        <v>45953.609375</v>
      </c>
      <c r="C1160" s="24">
        <v>45953</v>
      </c>
      <c r="D1160" s="7" t="s">
        <v>2702</v>
      </c>
      <c r="E1160" s="7" t="s">
        <v>61</v>
      </c>
      <c r="F1160" s="7" t="s">
        <v>2703</v>
      </c>
      <c r="G1160" s="7" t="s">
        <v>2703</v>
      </c>
      <c r="H1160" s="7"/>
      <c r="I1160" s="7"/>
      <c r="J1160" s="7" t="s">
        <v>59</v>
      </c>
      <c r="K1160" s="7" t="s">
        <v>58</v>
      </c>
      <c r="L1160" s="7" t="s">
        <v>57</v>
      </c>
      <c r="M1160" s="7" t="s">
        <v>32</v>
      </c>
      <c r="N1160" s="7" t="s">
        <v>114</v>
      </c>
      <c r="O1160" s="7" t="s">
        <v>68</v>
      </c>
      <c r="P1160" s="7" t="s">
        <v>54</v>
      </c>
      <c r="Q1160" s="9">
        <v>59261.08</v>
      </c>
      <c r="R1160" s="9">
        <v>0</v>
      </c>
      <c r="S1160" s="9">
        <f t="shared" si="38"/>
        <v>59261.08</v>
      </c>
      <c r="T1160" s="7" t="s">
        <v>53</v>
      </c>
      <c r="U1160" s="7" t="s">
        <v>2704</v>
      </c>
      <c r="V1160" s="7" t="s">
        <v>2691</v>
      </c>
      <c r="W1160" s="9">
        <v>-10</v>
      </c>
      <c r="X1160" s="7" t="s">
        <v>124</v>
      </c>
      <c r="Y1160" s="4"/>
      <c r="Z1160" s="7" t="s">
        <v>14</v>
      </c>
      <c r="AA1160" s="36" t="s">
        <v>31</v>
      </c>
      <c r="AB1160" s="4" t="s">
        <v>2605</v>
      </c>
      <c r="AC1160" s="22">
        <f t="shared" ref="AC1160:AC1219" si="39">+S1160/$AC$1</f>
        <v>23.239639215686275</v>
      </c>
      <c r="AD1160" s="23">
        <v>0</v>
      </c>
    </row>
    <row r="1161" spans="1:30" x14ac:dyDescent="0.35">
      <c r="A1161" s="7">
        <v>41012</v>
      </c>
      <c r="B1161" s="24">
        <v>45953.609375</v>
      </c>
      <c r="C1161" s="24">
        <v>45953</v>
      </c>
      <c r="D1161" s="7" t="s">
        <v>2705</v>
      </c>
      <c r="E1161" s="7" t="s">
        <v>61</v>
      </c>
      <c r="F1161" s="7" t="s">
        <v>2706</v>
      </c>
      <c r="G1161" s="7" t="s">
        <v>2706</v>
      </c>
      <c r="H1161" s="7"/>
      <c r="I1161" s="7"/>
      <c r="J1161" s="7" t="s">
        <v>59</v>
      </c>
      <c r="K1161" s="7" t="s">
        <v>58</v>
      </c>
      <c r="L1161" s="7" t="s">
        <v>57</v>
      </c>
      <c r="M1161" s="7" t="s">
        <v>32</v>
      </c>
      <c r="N1161" s="7" t="s">
        <v>114</v>
      </c>
      <c r="O1161" s="7" t="s">
        <v>68</v>
      </c>
      <c r="P1161" s="7" t="s">
        <v>54</v>
      </c>
      <c r="Q1161" s="9">
        <v>175000</v>
      </c>
      <c r="R1161" s="9">
        <v>0</v>
      </c>
      <c r="S1161" s="9">
        <f t="shared" si="38"/>
        <v>175000</v>
      </c>
      <c r="T1161" s="7" t="s">
        <v>53</v>
      </c>
      <c r="U1161" s="7" t="s">
        <v>145</v>
      </c>
      <c r="V1161" s="7" t="s">
        <v>2691</v>
      </c>
      <c r="W1161" s="9">
        <v>-35</v>
      </c>
      <c r="X1161" s="7" t="s">
        <v>94</v>
      </c>
      <c r="Y1161" s="4"/>
      <c r="Z1161" s="7" t="s">
        <v>14</v>
      </c>
      <c r="AA1161" s="36" t="s">
        <v>31</v>
      </c>
      <c r="AB1161" s="4" t="s">
        <v>2605</v>
      </c>
      <c r="AC1161" s="22">
        <f t="shared" si="39"/>
        <v>68.627450980392155</v>
      </c>
      <c r="AD1161" s="23">
        <v>0</v>
      </c>
    </row>
    <row r="1162" spans="1:30" x14ac:dyDescent="0.35">
      <c r="A1162" s="7">
        <v>41010</v>
      </c>
      <c r="B1162" s="24">
        <v>45953.609375</v>
      </c>
      <c r="C1162" s="24">
        <v>45953</v>
      </c>
      <c r="D1162" s="7" t="s">
        <v>2707</v>
      </c>
      <c r="E1162" s="7" t="s">
        <v>61</v>
      </c>
      <c r="F1162" s="7" t="s">
        <v>2708</v>
      </c>
      <c r="G1162" s="7" t="s">
        <v>2708</v>
      </c>
      <c r="H1162" s="7"/>
      <c r="I1162" s="7"/>
      <c r="J1162" s="7" t="s">
        <v>59</v>
      </c>
      <c r="K1162" s="7" t="s">
        <v>58</v>
      </c>
      <c r="L1162" s="7" t="s">
        <v>57</v>
      </c>
      <c r="M1162" s="7" t="s">
        <v>32</v>
      </c>
      <c r="N1162" s="7" t="s">
        <v>114</v>
      </c>
      <c r="O1162" s="7" t="s">
        <v>68</v>
      </c>
      <c r="P1162" s="7" t="s">
        <v>54</v>
      </c>
      <c r="Q1162" s="9">
        <v>856835.25</v>
      </c>
      <c r="R1162" s="9">
        <v>0</v>
      </c>
      <c r="S1162" s="9">
        <f t="shared" si="38"/>
        <v>856835.25</v>
      </c>
      <c r="T1162" s="7" t="s">
        <v>53</v>
      </c>
      <c r="U1162" s="7" t="s">
        <v>130</v>
      </c>
      <c r="V1162" s="7" t="s">
        <v>2691</v>
      </c>
      <c r="W1162" s="9">
        <v>-60</v>
      </c>
      <c r="X1162" s="7" t="s">
        <v>129</v>
      </c>
      <c r="Y1162" s="4"/>
      <c r="Z1162" s="7" t="s">
        <v>14</v>
      </c>
      <c r="AA1162" s="36" t="s">
        <v>31</v>
      </c>
      <c r="AB1162" s="4" t="s">
        <v>2605</v>
      </c>
      <c r="AC1162" s="22">
        <f t="shared" si="39"/>
        <v>336.01382352941175</v>
      </c>
      <c r="AD1162" s="23">
        <v>0</v>
      </c>
    </row>
    <row r="1163" spans="1:30" x14ac:dyDescent="0.35">
      <c r="A1163" s="7">
        <v>37849</v>
      </c>
      <c r="B1163" s="24">
        <v>45952.59820601852</v>
      </c>
      <c r="C1163" s="24">
        <v>45952</v>
      </c>
      <c r="D1163" s="7" t="s">
        <v>2709</v>
      </c>
      <c r="E1163" s="7" t="s">
        <v>61</v>
      </c>
      <c r="F1163" s="7" t="s">
        <v>2710</v>
      </c>
      <c r="G1163" s="7" t="s">
        <v>2710</v>
      </c>
      <c r="H1163" s="7"/>
      <c r="I1163" s="7"/>
      <c r="J1163" s="7" t="s">
        <v>59</v>
      </c>
      <c r="K1163" s="7" t="s">
        <v>58</v>
      </c>
      <c r="L1163" s="7" t="s">
        <v>57</v>
      </c>
      <c r="M1163" s="7" t="s">
        <v>32</v>
      </c>
      <c r="N1163" s="7" t="s">
        <v>114</v>
      </c>
      <c r="O1163" s="7" t="s">
        <v>68</v>
      </c>
      <c r="P1163" s="7" t="s">
        <v>54</v>
      </c>
      <c r="Q1163" s="9">
        <v>714029.38</v>
      </c>
      <c r="R1163" s="9">
        <v>0</v>
      </c>
      <c r="S1163" s="9">
        <f t="shared" si="38"/>
        <v>714029.38</v>
      </c>
      <c r="T1163" s="7" t="s">
        <v>53</v>
      </c>
      <c r="U1163" s="7" t="s">
        <v>130</v>
      </c>
      <c r="V1163" s="7" t="s">
        <v>2691</v>
      </c>
      <c r="W1163" s="9">
        <v>-50</v>
      </c>
      <c r="X1163" s="7" t="s">
        <v>129</v>
      </c>
      <c r="Y1163" s="4"/>
      <c r="Z1163" s="7" t="s">
        <v>14</v>
      </c>
      <c r="AA1163" s="36" t="s">
        <v>31</v>
      </c>
      <c r="AB1163" s="4" t="s">
        <v>2605</v>
      </c>
      <c r="AC1163" s="22">
        <f t="shared" si="39"/>
        <v>280.01152156862747</v>
      </c>
      <c r="AD1163" s="23">
        <v>0</v>
      </c>
    </row>
    <row r="1164" spans="1:30" x14ac:dyDescent="0.35">
      <c r="A1164" s="7">
        <v>19677</v>
      </c>
      <c r="B1164" s="24">
        <v>45943.613692129627</v>
      </c>
      <c r="C1164" s="24">
        <v>45943</v>
      </c>
      <c r="D1164" s="7" t="s">
        <v>2711</v>
      </c>
      <c r="E1164" s="7" t="s">
        <v>61</v>
      </c>
      <c r="F1164" s="7" t="s">
        <v>2712</v>
      </c>
      <c r="G1164" s="7" t="s">
        <v>2712</v>
      </c>
      <c r="H1164" s="7"/>
      <c r="I1164" s="7"/>
      <c r="J1164" s="7" t="s">
        <v>59</v>
      </c>
      <c r="K1164" s="7" t="s">
        <v>58</v>
      </c>
      <c r="L1164" s="7" t="s">
        <v>57</v>
      </c>
      <c r="M1164" s="7" t="s">
        <v>32</v>
      </c>
      <c r="N1164" s="7" t="s">
        <v>114</v>
      </c>
      <c r="O1164" s="7" t="s">
        <v>68</v>
      </c>
      <c r="P1164" s="7" t="s">
        <v>54</v>
      </c>
      <c r="Q1164" s="9">
        <v>17361000</v>
      </c>
      <c r="R1164" s="9">
        <v>0</v>
      </c>
      <c r="S1164" s="9">
        <f t="shared" si="38"/>
        <v>17361000</v>
      </c>
      <c r="T1164" s="7" t="s">
        <v>53</v>
      </c>
      <c r="U1164" s="7" t="s">
        <v>184</v>
      </c>
      <c r="V1164" s="7" t="s">
        <v>2691</v>
      </c>
      <c r="W1164" s="9">
        <v>-347220</v>
      </c>
      <c r="X1164" s="7" t="s">
        <v>124</v>
      </c>
      <c r="Y1164" s="4"/>
      <c r="Z1164" s="7" t="s">
        <v>14</v>
      </c>
      <c r="AA1164" s="36" t="s">
        <v>31</v>
      </c>
      <c r="AB1164" s="4" t="s">
        <v>2605</v>
      </c>
      <c r="AC1164" s="22">
        <f t="shared" si="39"/>
        <v>6808.2352941176468</v>
      </c>
      <c r="AD1164" s="23">
        <v>0</v>
      </c>
    </row>
    <row r="1165" spans="1:30" x14ac:dyDescent="0.35">
      <c r="A1165" s="7">
        <v>1457</v>
      </c>
      <c r="B1165" s="24">
        <v>45932.60359953704</v>
      </c>
      <c r="C1165" s="24">
        <v>45932</v>
      </c>
      <c r="D1165" s="7" t="s">
        <v>2713</v>
      </c>
      <c r="E1165" s="7" t="s">
        <v>61</v>
      </c>
      <c r="F1165" s="7" t="s">
        <v>2714</v>
      </c>
      <c r="G1165" s="7" t="s">
        <v>2714</v>
      </c>
      <c r="H1165" s="7"/>
      <c r="I1165" s="7"/>
      <c r="J1165" s="7" t="s">
        <v>59</v>
      </c>
      <c r="K1165" s="7" t="s">
        <v>58</v>
      </c>
      <c r="L1165" s="7" t="s">
        <v>57</v>
      </c>
      <c r="M1165" s="7" t="s">
        <v>32</v>
      </c>
      <c r="N1165" s="7" t="s">
        <v>114</v>
      </c>
      <c r="O1165" s="7" t="s">
        <v>68</v>
      </c>
      <c r="P1165" s="7" t="s">
        <v>54</v>
      </c>
      <c r="Q1165" s="9">
        <v>70000</v>
      </c>
      <c r="R1165" s="9">
        <v>0</v>
      </c>
      <c r="S1165" s="9">
        <f t="shared" si="38"/>
        <v>70000</v>
      </c>
      <c r="T1165" s="7" t="s">
        <v>53</v>
      </c>
      <c r="U1165" s="7" t="s">
        <v>148</v>
      </c>
      <c r="V1165" s="7" t="s">
        <v>2691</v>
      </c>
      <c r="W1165" s="9">
        <v>-10</v>
      </c>
      <c r="X1165" s="7" t="s">
        <v>94</v>
      </c>
      <c r="Y1165" s="4"/>
      <c r="Z1165" s="7" t="s">
        <v>14</v>
      </c>
      <c r="AA1165" s="36" t="s">
        <v>31</v>
      </c>
      <c r="AB1165" s="4" t="s">
        <v>2605</v>
      </c>
      <c r="AC1165" s="22">
        <f t="shared" si="39"/>
        <v>27.450980392156861</v>
      </c>
      <c r="AD1165" s="23">
        <v>0</v>
      </c>
    </row>
    <row r="1166" spans="1:30" x14ac:dyDescent="0.35">
      <c r="A1166" s="7">
        <v>1456</v>
      </c>
      <c r="B1166" s="24">
        <v>45932.60359953704</v>
      </c>
      <c r="C1166" s="24">
        <v>45932</v>
      </c>
      <c r="D1166" s="7" t="s">
        <v>2715</v>
      </c>
      <c r="E1166" s="7" t="s">
        <v>61</v>
      </c>
      <c r="F1166" s="7" t="s">
        <v>2716</v>
      </c>
      <c r="G1166" s="7" t="s">
        <v>2716</v>
      </c>
      <c r="H1166" s="7"/>
      <c r="I1166" s="7"/>
      <c r="J1166" s="7" t="s">
        <v>59</v>
      </c>
      <c r="K1166" s="7" t="s">
        <v>58</v>
      </c>
      <c r="L1166" s="7" t="s">
        <v>57</v>
      </c>
      <c r="M1166" s="7" t="s">
        <v>32</v>
      </c>
      <c r="N1166" s="7" t="s">
        <v>114</v>
      </c>
      <c r="O1166" s="7" t="s">
        <v>68</v>
      </c>
      <c r="P1166" s="7" t="s">
        <v>54</v>
      </c>
      <c r="Q1166" s="9">
        <v>1080637.77</v>
      </c>
      <c r="R1166" s="9">
        <v>0</v>
      </c>
      <c r="S1166" s="9">
        <f t="shared" si="38"/>
        <v>1080637.77</v>
      </c>
      <c r="T1166" s="7" t="s">
        <v>53</v>
      </c>
      <c r="U1166" s="7" t="s">
        <v>175</v>
      </c>
      <c r="V1166" s="7" t="s">
        <v>2691</v>
      </c>
      <c r="W1166" s="9">
        <v>-53</v>
      </c>
      <c r="X1166" s="7" t="s">
        <v>129</v>
      </c>
      <c r="Y1166" s="4"/>
      <c r="Z1166" s="7" t="s">
        <v>14</v>
      </c>
      <c r="AA1166" s="36" t="s">
        <v>31</v>
      </c>
      <c r="AB1166" s="4" t="s">
        <v>2605</v>
      </c>
      <c r="AC1166" s="22">
        <f t="shared" si="39"/>
        <v>423.77951764705881</v>
      </c>
      <c r="AD1166" s="23">
        <v>0</v>
      </c>
    </row>
    <row r="1167" spans="1:30" hidden="1" x14ac:dyDescent="0.35">
      <c r="A1167" s="7">
        <v>34876</v>
      </c>
      <c r="B1167" s="24">
        <v>45950.265659722223</v>
      </c>
      <c r="C1167" s="24">
        <v>45950</v>
      </c>
      <c r="D1167" s="7" t="s">
        <v>2717</v>
      </c>
      <c r="E1167" s="7" t="s">
        <v>61</v>
      </c>
      <c r="F1167" s="7" t="s">
        <v>2718</v>
      </c>
      <c r="G1167" s="7" t="s">
        <v>2718</v>
      </c>
      <c r="H1167" s="7"/>
      <c r="I1167" s="7"/>
      <c r="J1167" s="7" t="s">
        <v>59</v>
      </c>
      <c r="K1167" s="7" t="s">
        <v>58</v>
      </c>
      <c r="L1167" s="7" t="s">
        <v>57</v>
      </c>
      <c r="M1167" s="7" t="s">
        <v>32</v>
      </c>
      <c r="N1167" s="7" t="s">
        <v>211</v>
      </c>
      <c r="O1167" s="7" t="s">
        <v>210</v>
      </c>
      <c r="P1167" s="7" t="s">
        <v>210</v>
      </c>
      <c r="Q1167" s="9">
        <v>182248</v>
      </c>
      <c r="R1167" s="9">
        <v>0</v>
      </c>
      <c r="S1167" s="9">
        <f t="shared" si="38"/>
        <v>182248</v>
      </c>
      <c r="T1167" s="7" t="s">
        <v>53</v>
      </c>
      <c r="U1167" s="7" t="s">
        <v>2719</v>
      </c>
      <c r="V1167" s="7" t="s">
        <v>2687</v>
      </c>
      <c r="W1167" s="9">
        <v>-16</v>
      </c>
      <c r="X1167" s="7" t="s">
        <v>51</v>
      </c>
      <c r="Y1167" s="4"/>
      <c r="Z1167" s="7" t="s">
        <v>14</v>
      </c>
      <c r="AA1167" s="36" t="s">
        <v>30</v>
      </c>
      <c r="AB1167" s="4"/>
      <c r="AC1167" s="22">
        <f t="shared" si="39"/>
        <v>71.469803921568626</v>
      </c>
      <c r="AD1167" s="23">
        <v>0</v>
      </c>
    </row>
    <row r="1168" spans="1:30" hidden="1" x14ac:dyDescent="0.35">
      <c r="A1168" s="7">
        <v>26614</v>
      </c>
      <c r="B1168" s="24">
        <v>45946.618078703701</v>
      </c>
      <c r="C1168" s="24">
        <v>45946</v>
      </c>
      <c r="D1168" s="7" t="s">
        <v>2720</v>
      </c>
      <c r="E1168" s="7" t="s">
        <v>61</v>
      </c>
      <c r="F1168" s="7" t="s">
        <v>2721</v>
      </c>
      <c r="G1168" s="7" t="s">
        <v>2721</v>
      </c>
      <c r="H1168" s="7"/>
      <c r="I1168" s="7"/>
      <c r="J1168" s="7" t="s">
        <v>59</v>
      </c>
      <c r="K1168" s="7" t="s">
        <v>58</v>
      </c>
      <c r="L1168" s="7" t="s">
        <v>57</v>
      </c>
      <c r="M1168" s="7" t="s">
        <v>32</v>
      </c>
      <c r="N1168" s="7" t="s">
        <v>211</v>
      </c>
      <c r="O1168" s="7" t="s">
        <v>210</v>
      </c>
      <c r="P1168" s="7" t="s">
        <v>210</v>
      </c>
      <c r="Q1168" s="9">
        <v>1144.07</v>
      </c>
      <c r="R1168" s="9">
        <v>0</v>
      </c>
      <c r="S1168" s="9">
        <f t="shared" si="38"/>
        <v>1144.07</v>
      </c>
      <c r="T1168" s="7" t="s">
        <v>53</v>
      </c>
      <c r="U1168" s="7" t="s">
        <v>220</v>
      </c>
      <c r="V1168" s="7" t="s">
        <v>2722</v>
      </c>
      <c r="W1168" s="9">
        <v>-1</v>
      </c>
      <c r="X1168" s="7" t="s">
        <v>94</v>
      </c>
      <c r="Y1168" s="4"/>
      <c r="Z1168" s="7" t="s">
        <v>14</v>
      </c>
      <c r="AA1168" s="36" t="s">
        <v>30</v>
      </c>
      <c r="AB1168" s="4"/>
      <c r="AC1168" s="22">
        <f t="shared" si="39"/>
        <v>0.44865490196078428</v>
      </c>
      <c r="AD1168" s="23">
        <v>0</v>
      </c>
    </row>
    <row r="1169" spans="1:30" hidden="1" x14ac:dyDescent="0.35">
      <c r="A1169" s="7">
        <v>26571</v>
      </c>
      <c r="B1169" s="24">
        <v>45946.618738425925</v>
      </c>
      <c r="C1169" s="24">
        <v>45946</v>
      </c>
      <c r="D1169" s="7" t="s">
        <v>2723</v>
      </c>
      <c r="E1169" s="7" t="s">
        <v>61</v>
      </c>
      <c r="F1169" s="7" t="s">
        <v>2724</v>
      </c>
      <c r="G1169" s="7" t="s">
        <v>2724</v>
      </c>
      <c r="H1169" s="7"/>
      <c r="I1169" s="7"/>
      <c r="J1169" s="7" t="s">
        <v>59</v>
      </c>
      <c r="K1169" s="7" t="s">
        <v>58</v>
      </c>
      <c r="L1169" s="7" t="s">
        <v>57</v>
      </c>
      <c r="M1169" s="7" t="s">
        <v>32</v>
      </c>
      <c r="N1169" s="7" t="s">
        <v>211</v>
      </c>
      <c r="O1169" s="7" t="s">
        <v>210</v>
      </c>
      <c r="P1169" s="7" t="s">
        <v>210</v>
      </c>
      <c r="Q1169" s="9">
        <v>468029.67</v>
      </c>
      <c r="R1169" s="9">
        <v>0</v>
      </c>
      <c r="S1169" s="9">
        <f t="shared" si="38"/>
        <v>468029.67</v>
      </c>
      <c r="T1169" s="7" t="s">
        <v>53</v>
      </c>
      <c r="U1169" s="7" t="s">
        <v>2725</v>
      </c>
      <c r="V1169" s="7" t="s">
        <v>2726</v>
      </c>
      <c r="W1169" s="9">
        <v>-2</v>
      </c>
      <c r="X1169" s="7" t="s">
        <v>94</v>
      </c>
      <c r="Y1169" s="4"/>
      <c r="Z1169" s="7" t="s">
        <v>14</v>
      </c>
      <c r="AA1169" s="36" t="s">
        <v>30</v>
      </c>
      <c r="AB1169" s="4"/>
      <c r="AC1169" s="22">
        <f t="shared" si="39"/>
        <v>183.54104705882352</v>
      </c>
      <c r="AD1169" s="23">
        <v>0</v>
      </c>
    </row>
    <row r="1170" spans="1:30" hidden="1" x14ac:dyDescent="0.35">
      <c r="A1170" s="7">
        <v>25224</v>
      </c>
      <c r="B1170" s="24">
        <v>45945.279664351852</v>
      </c>
      <c r="C1170" s="24">
        <v>45945</v>
      </c>
      <c r="D1170" s="7" t="s">
        <v>2727</v>
      </c>
      <c r="E1170" s="7" t="s">
        <v>61</v>
      </c>
      <c r="F1170" s="7" t="s">
        <v>2728</v>
      </c>
      <c r="G1170" s="7" t="s">
        <v>2728</v>
      </c>
      <c r="H1170" s="7"/>
      <c r="I1170" s="7"/>
      <c r="J1170" s="7" t="s">
        <v>59</v>
      </c>
      <c r="K1170" s="7" t="s">
        <v>58</v>
      </c>
      <c r="L1170" s="7" t="s">
        <v>57</v>
      </c>
      <c r="M1170" s="7" t="s">
        <v>32</v>
      </c>
      <c r="N1170" s="7" t="s">
        <v>211</v>
      </c>
      <c r="O1170" s="7" t="s">
        <v>210</v>
      </c>
      <c r="P1170" s="7" t="s">
        <v>210</v>
      </c>
      <c r="Q1170" s="9">
        <v>45562</v>
      </c>
      <c r="R1170" s="9">
        <v>0</v>
      </c>
      <c r="S1170" s="9">
        <f t="shared" si="38"/>
        <v>45562</v>
      </c>
      <c r="T1170" s="7" t="s">
        <v>53</v>
      </c>
      <c r="U1170" s="7" t="s">
        <v>2719</v>
      </c>
      <c r="V1170" s="7" t="s">
        <v>2687</v>
      </c>
      <c r="W1170" s="9">
        <v>-4</v>
      </c>
      <c r="X1170" s="7" t="s">
        <v>51</v>
      </c>
      <c r="Y1170" s="4"/>
      <c r="Z1170" s="7" t="s">
        <v>14</v>
      </c>
      <c r="AA1170" s="36" t="s">
        <v>30</v>
      </c>
      <c r="AB1170" s="4"/>
      <c r="AC1170" s="22">
        <f t="shared" si="39"/>
        <v>17.867450980392157</v>
      </c>
      <c r="AD1170" s="23">
        <v>0</v>
      </c>
    </row>
    <row r="1171" spans="1:30" hidden="1" x14ac:dyDescent="0.35">
      <c r="A1171" s="7">
        <v>25203</v>
      </c>
      <c r="B1171" s="24">
        <v>45945.280393518522</v>
      </c>
      <c r="C1171" s="24">
        <v>45945</v>
      </c>
      <c r="D1171" s="7" t="s">
        <v>2729</v>
      </c>
      <c r="E1171" s="7" t="s">
        <v>61</v>
      </c>
      <c r="F1171" s="7" t="s">
        <v>2730</v>
      </c>
      <c r="G1171" s="7" t="s">
        <v>2730</v>
      </c>
      <c r="H1171" s="7"/>
      <c r="I1171" s="7"/>
      <c r="J1171" s="7" t="s">
        <v>59</v>
      </c>
      <c r="K1171" s="7" t="s">
        <v>58</v>
      </c>
      <c r="L1171" s="7" t="s">
        <v>57</v>
      </c>
      <c r="M1171" s="7" t="s">
        <v>32</v>
      </c>
      <c r="N1171" s="7" t="s">
        <v>211</v>
      </c>
      <c r="O1171" s="7" t="s">
        <v>210</v>
      </c>
      <c r="P1171" s="7" t="s">
        <v>210</v>
      </c>
      <c r="Q1171" s="9">
        <v>45562</v>
      </c>
      <c r="R1171" s="9">
        <v>0</v>
      </c>
      <c r="S1171" s="9">
        <f t="shared" si="38"/>
        <v>45562</v>
      </c>
      <c r="T1171" s="7" t="s">
        <v>53</v>
      </c>
      <c r="U1171" s="7" t="s">
        <v>2719</v>
      </c>
      <c r="V1171" s="7" t="s">
        <v>2687</v>
      </c>
      <c r="W1171" s="9">
        <v>-4</v>
      </c>
      <c r="X1171" s="7" t="s">
        <v>51</v>
      </c>
      <c r="Y1171" s="4"/>
      <c r="Z1171" s="7" t="s">
        <v>14</v>
      </c>
      <c r="AA1171" s="36" t="s">
        <v>30</v>
      </c>
      <c r="AB1171" s="4"/>
      <c r="AC1171" s="22">
        <f t="shared" si="39"/>
        <v>17.867450980392157</v>
      </c>
      <c r="AD1171" s="23">
        <v>0</v>
      </c>
    </row>
    <row r="1172" spans="1:30" hidden="1" x14ac:dyDescent="0.35">
      <c r="A1172" s="7">
        <v>25161</v>
      </c>
      <c r="B1172" s="24">
        <v>45945.283703703702</v>
      </c>
      <c r="C1172" s="24">
        <v>45945</v>
      </c>
      <c r="D1172" s="7" t="s">
        <v>2731</v>
      </c>
      <c r="E1172" s="7" t="s">
        <v>61</v>
      </c>
      <c r="F1172" s="7" t="s">
        <v>2732</v>
      </c>
      <c r="G1172" s="7" t="s">
        <v>2732</v>
      </c>
      <c r="H1172" s="7"/>
      <c r="I1172" s="7"/>
      <c r="J1172" s="7" t="s">
        <v>59</v>
      </c>
      <c r="K1172" s="7" t="s">
        <v>58</v>
      </c>
      <c r="L1172" s="7" t="s">
        <v>57</v>
      </c>
      <c r="M1172" s="7" t="s">
        <v>32</v>
      </c>
      <c r="N1172" s="7" t="s">
        <v>211</v>
      </c>
      <c r="O1172" s="7" t="s">
        <v>210</v>
      </c>
      <c r="P1172" s="7" t="s">
        <v>210</v>
      </c>
      <c r="Q1172" s="9">
        <v>8008.46</v>
      </c>
      <c r="R1172" s="9">
        <v>0</v>
      </c>
      <c r="S1172" s="9">
        <f t="shared" si="38"/>
        <v>8008.46</v>
      </c>
      <c r="T1172" s="7" t="s">
        <v>53</v>
      </c>
      <c r="U1172" s="7" t="s">
        <v>220</v>
      </c>
      <c r="V1172" s="7" t="s">
        <v>2722</v>
      </c>
      <c r="W1172" s="9">
        <v>-7</v>
      </c>
      <c r="X1172" s="7" t="s">
        <v>94</v>
      </c>
      <c r="Y1172" s="4"/>
      <c r="Z1172" s="7" t="s">
        <v>14</v>
      </c>
      <c r="AA1172" s="36" t="s">
        <v>30</v>
      </c>
      <c r="AB1172" s="4"/>
      <c r="AC1172" s="22">
        <f t="shared" si="39"/>
        <v>3.1405725490196077</v>
      </c>
      <c r="AD1172" s="23">
        <v>0</v>
      </c>
    </row>
    <row r="1173" spans="1:30" hidden="1" x14ac:dyDescent="0.35">
      <c r="A1173" s="7">
        <v>25155</v>
      </c>
      <c r="B1173" s="24">
        <v>45945.283703703702</v>
      </c>
      <c r="C1173" s="24">
        <v>45945</v>
      </c>
      <c r="D1173" s="7" t="s">
        <v>2733</v>
      </c>
      <c r="E1173" s="7" t="s">
        <v>61</v>
      </c>
      <c r="F1173" s="7" t="s">
        <v>2734</v>
      </c>
      <c r="G1173" s="7" t="s">
        <v>2734</v>
      </c>
      <c r="H1173" s="7"/>
      <c r="I1173" s="7"/>
      <c r="J1173" s="7" t="s">
        <v>59</v>
      </c>
      <c r="K1173" s="7" t="s">
        <v>58</v>
      </c>
      <c r="L1173" s="7" t="s">
        <v>57</v>
      </c>
      <c r="M1173" s="7" t="s">
        <v>32</v>
      </c>
      <c r="N1173" s="7" t="s">
        <v>211</v>
      </c>
      <c r="O1173" s="7" t="s">
        <v>210</v>
      </c>
      <c r="P1173" s="7" t="s">
        <v>210</v>
      </c>
      <c r="Q1173" s="9">
        <v>1556.14</v>
      </c>
      <c r="R1173" s="9">
        <v>0</v>
      </c>
      <c r="S1173" s="9">
        <f t="shared" si="38"/>
        <v>1556.14</v>
      </c>
      <c r="T1173" s="7" t="s">
        <v>53</v>
      </c>
      <c r="U1173" s="7" t="s">
        <v>233</v>
      </c>
      <c r="V1173" s="7" t="s">
        <v>2722</v>
      </c>
      <c r="W1173" s="9">
        <v>-1</v>
      </c>
      <c r="X1173" s="7" t="s">
        <v>94</v>
      </c>
      <c r="Y1173" s="4"/>
      <c r="Z1173" s="7" t="s">
        <v>14</v>
      </c>
      <c r="AA1173" s="36" t="s">
        <v>30</v>
      </c>
      <c r="AB1173" s="4"/>
      <c r="AC1173" s="22">
        <f t="shared" si="39"/>
        <v>0.61025098039215686</v>
      </c>
      <c r="AD1173" s="23">
        <v>0</v>
      </c>
    </row>
    <row r="1174" spans="1:30" hidden="1" x14ac:dyDescent="0.35">
      <c r="A1174" s="7">
        <v>25153</v>
      </c>
      <c r="B1174" s="24">
        <v>45945.283703703702</v>
      </c>
      <c r="C1174" s="24">
        <v>45945</v>
      </c>
      <c r="D1174" s="7" t="s">
        <v>2735</v>
      </c>
      <c r="E1174" s="7" t="s">
        <v>61</v>
      </c>
      <c r="F1174" s="7" t="s">
        <v>2736</v>
      </c>
      <c r="G1174" s="7" t="s">
        <v>2736</v>
      </c>
      <c r="H1174" s="7"/>
      <c r="I1174" s="7"/>
      <c r="J1174" s="7" t="s">
        <v>59</v>
      </c>
      <c r="K1174" s="7" t="s">
        <v>58</v>
      </c>
      <c r="L1174" s="7" t="s">
        <v>57</v>
      </c>
      <c r="M1174" s="7" t="s">
        <v>32</v>
      </c>
      <c r="N1174" s="7" t="s">
        <v>211</v>
      </c>
      <c r="O1174" s="7" t="s">
        <v>210</v>
      </c>
      <c r="P1174" s="7" t="s">
        <v>210</v>
      </c>
      <c r="Q1174" s="9">
        <v>21892.65</v>
      </c>
      <c r="R1174" s="9">
        <v>0</v>
      </c>
      <c r="S1174" s="9">
        <f t="shared" si="38"/>
        <v>21892.65</v>
      </c>
      <c r="T1174" s="7" t="s">
        <v>53</v>
      </c>
      <c r="U1174" s="7" t="s">
        <v>226</v>
      </c>
      <c r="V1174" s="7" t="s">
        <v>2687</v>
      </c>
      <c r="W1174" s="9">
        <v>-5</v>
      </c>
      <c r="X1174" s="7" t="s">
        <v>51</v>
      </c>
      <c r="Y1174" s="4"/>
      <c r="Z1174" s="7" t="s">
        <v>14</v>
      </c>
      <c r="AA1174" s="36" t="s">
        <v>30</v>
      </c>
      <c r="AB1174" s="4"/>
      <c r="AC1174" s="22">
        <f t="shared" si="39"/>
        <v>8.5853529411764704</v>
      </c>
      <c r="AD1174" s="23">
        <v>0</v>
      </c>
    </row>
    <row r="1175" spans="1:30" hidden="1" x14ac:dyDescent="0.35">
      <c r="A1175" s="7">
        <v>24955</v>
      </c>
      <c r="B1175" s="24">
        <v>45945.293020833335</v>
      </c>
      <c r="C1175" s="24">
        <v>45945</v>
      </c>
      <c r="D1175" s="7" t="s">
        <v>2737</v>
      </c>
      <c r="E1175" s="7" t="s">
        <v>61</v>
      </c>
      <c r="F1175" s="7" t="s">
        <v>2738</v>
      </c>
      <c r="G1175" s="7" t="s">
        <v>2738</v>
      </c>
      <c r="H1175" s="7"/>
      <c r="I1175" s="7"/>
      <c r="J1175" s="7" t="s">
        <v>59</v>
      </c>
      <c r="K1175" s="7" t="s">
        <v>58</v>
      </c>
      <c r="L1175" s="7" t="s">
        <v>57</v>
      </c>
      <c r="M1175" s="7" t="s">
        <v>32</v>
      </c>
      <c r="N1175" s="7" t="s">
        <v>211</v>
      </c>
      <c r="O1175" s="7" t="s">
        <v>210</v>
      </c>
      <c r="P1175" s="7" t="s">
        <v>210</v>
      </c>
      <c r="Q1175" s="9">
        <v>107961</v>
      </c>
      <c r="R1175" s="9">
        <v>0</v>
      </c>
      <c r="S1175" s="9">
        <f t="shared" si="38"/>
        <v>107961</v>
      </c>
      <c r="T1175" s="7" t="s">
        <v>53</v>
      </c>
      <c r="U1175" s="7" t="s">
        <v>2739</v>
      </c>
      <c r="V1175" s="7" t="s">
        <v>2726</v>
      </c>
      <c r="W1175" s="9">
        <v>-2</v>
      </c>
      <c r="X1175" s="7" t="s">
        <v>94</v>
      </c>
      <c r="Y1175" s="4"/>
      <c r="Z1175" s="7" t="s">
        <v>14</v>
      </c>
      <c r="AA1175" s="36" t="s">
        <v>30</v>
      </c>
      <c r="AB1175" s="4"/>
      <c r="AC1175" s="22">
        <f t="shared" si="39"/>
        <v>42.337647058823528</v>
      </c>
      <c r="AD1175" s="23">
        <v>0</v>
      </c>
    </row>
    <row r="1176" spans="1:30" hidden="1" x14ac:dyDescent="0.35">
      <c r="A1176" s="7">
        <v>24954</v>
      </c>
      <c r="B1176" s="24">
        <v>45945.293020833335</v>
      </c>
      <c r="C1176" s="24">
        <v>45945</v>
      </c>
      <c r="D1176" s="7" t="s">
        <v>2740</v>
      </c>
      <c r="E1176" s="7" t="s">
        <v>61</v>
      </c>
      <c r="F1176" s="7" t="s">
        <v>2741</v>
      </c>
      <c r="G1176" s="7" t="s">
        <v>2741</v>
      </c>
      <c r="H1176" s="7"/>
      <c r="I1176" s="7"/>
      <c r="J1176" s="7" t="s">
        <v>59</v>
      </c>
      <c r="K1176" s="7" t="s">
        <v>58</v>
      </c>
      <c r="L1176" s="7" t="s">
        <v>57</v>
      </c>
      <c r="M1176" s="7" t="s">
        <v>32</v>
      </c>
      <c r="N1176" s="7" t="s">
        <v>211</v>
      </c>
      <c r="O1176" s="7" t="s">
        <v>210</v>
      </c>
      <c r="P1176" s="7" t="s">
        <v>210</v>
      </c>
      <c r="Q1176" s="9">
        <v>58000</v>
      </c>
      <c r="R1176" s="9">
        <v>0</v>
      </c>
      <c r="S1176" s="9">
        <f t="shared" si="38"/>
        <v>58000</v>
      </c>
      <c r="T1176" s="7" t="s">
        <v>53</v>
      </c>
      <c r="U1176" s="7" t="s">
        <v>2742</v>
      </c>
      <c r="V1176" s="7" t="s">
        <v>2726</v>
      </c>
      <c r="W1176" s="9">
        <v>-2</v>
      </c>
      <c r="X1176" s="7" t="s">
        <v>94</v>
      </c>
      <c r="Y1176" s="4"/>
      <c r="Z1176" s="7" t="s">
        <v>14</v>
      </c>
      <c r="AA1176" s="36" t="s">
        <v>30</v>
      </c>
      <c r="AB1176" s="4"/>
      <c r="AC1176" s="22">
        <f t="shared" si="39"/>
        <v>22.745098039215687</v>
      </c>
      <c r="AD1176" s="23">
        <v>0</v>
      </c>
    </row>
    <row r="1177" spans="1:30" hidden="1" x14ac:dyDescent="0.35">
      <c r="A1177" s="7">
        <v>24510</v>
      </c>
      <c r="B1177" s="24">
        <v>45945.29959490741</v>
      </c>
      <c r="C1177" s="24">
        <v>45945</v>
      </c>
      <c r="D1177" s="7" t="s">
        <v>2743</v>
      </c>
      <c r="E1177" s="7" t="s">
        <v>61</v>
      </c>
      <c r="F1177" s="7" t="s">
        <v>2744</v>
      </c>
      <c r="G1177" s="7" t="s">
        <v>2744</v>
      </c>
      <c r="H1177" s="7"/>
      <c r="I1177" s="7"/>
      <c r="J1177" s="7" t="s">
        <v>59</v>
      </c>
      <c r="K1177" s="7" t="s">
        <v>58</v>
      </c>
      <c r="L1177" s="7" t="s">
        <v>57</v>
      </c>
      <c r="M1177" s="7" t="s">
        <v>32</v>
      </c>
      <c r="N1177" s="7" t="s">
        <v>211</v>
      </c>
      <c r="O1177" s="7" t="s">
        <v>210</v>
      </c>
      <c r="P1177" s="7" t="s">
        <v>210</v>
      </c>
      <c r="Q1177" s="9">
        <v>468029.66</v>
      </c>
      <c r="R1177" s="9">
        <v>0</v>
      </c>
      <c r="S1177" s="9">
        <f t="shared" si="38"/>
        <v>468029.66</v>
      </c>
      <c r="T1177" s="7" t="s">
        <v>53</v>
      </c>
      <c r="U1177" s="7" t="s">
        <v>2725</v>
      </c>
      <c r="V1177" s="7" t="s">
        <v>2726</v>
      </c>
      <c r="W1177" s="9">
        <v>-2</v>
      </c>
      <c r="X1177" s="7" t="s">
        <v>94</v>
      </c>
      <c r="Y1177" s="4"/>
      <c r="Z1177" s="7" t="s">
        <v>14</v>
      </c>
      <c r="AA1177" s="36" t="s">
        <v>30</v>
      </c>
      <c r="AB1177" s="4"/>
      <c r="AC1177" s="22">
        <f t="shared" si="39"/>
        <v>183.54104313725489</v>
      </c>
      <c r="AD1177" s="23">
        <v>0</v>
      </c>
    </row>
    <row r="1178" spans="1:30" hidden="1" x14ac:dyDescent="0.35">
      <c r="A1178" s="7">
        <v>10590</v>
      </c>
      <c r="B1178" s="24">
        <v>45937.485243055555</v>
      </c>
      <c r="C1178" s="24">
        <v>45937</v>
      </c>
      <c r="D1178" s="7" t="s">
        <v>2745</v>
      </c>
      <c r="E1178" s="7" t="s">
        <v>61</v>
      </c>
      <c r="F1178" s="7" t="s">
        <v>2746</v>
      </c>
      <c r="G1178" s="7" t="s">
        <v>2746</v>
      </c>
      <c r="H1178" s="7"/>
      <c r="I1178" s="7"/>
      <c r="J1178" s="7" t="s">
        <v>59</v>
      </c>
      <c r="K1178" s="7" t="s">
        <v>58</v>
      </c>
      <c r="L1178" s="7" t="s">
        <v>57</v>
      </c>
      <c r="M1178" s="7" t="s">
        <v>32</v>
      </c>
      <c r="N1178" s="7" t="s">
        <v>211</v>
      </c>
      <c r="O1178" s="7" t="s">
        <v>210</v>
      </c>
      <c r="P1178" s="7" t="s">
        <v>210</v>
      </c>
      <c r="Q1178" s="9">
        <v>6440.68</v>
      </c>
      <c r="R1178" s="9">
        <v>0</v>
      </c>
      <c r="S1178" s="9">
        <f t="shared" si="38"/>
        <v>6440.68</v>
      </c>
      <c r="T1178" s="7" t="s">
        <v>53</v>
      </c>
      <c r="U1178" s="7" t="s">
        <v>238</v>
      </c>
      <c r="V1178" s="7" t="s">
        <v>2747</v>
      </c>
      <c r="W1178" s="9">
        <v>-2</v>
      </c>
      <c r="X1178" s="7" t="s">
        <v>94</v>
      </c>
      <c r="Y1178" s="4"/>
      <c r="Z1178" s="7" t="s">
        <v>14</v>
      </c>
      <c r="AA1178" s="36" t="s">
        <v>30</v>
      </c>
      <c r="AB1178" s="4"/>
      <c r="AC1178" s="22">
        <f t="shared" si="39"/>
        <v>2.5257568627450984</v>
      </c>
      <c r="AD1178" s="23">
        <v>0</v>
      </c>
    </row>
    <row r="1179" spans="1:30" hidden="1" x14ac:dyDescent="0.35">
      <c r="A1179" s="7">
        <v>9743</v>
      </c>
      <c r="B1179" s="24">
        <v>45937.502303240741</v>
      </c>
      <c r="C1179" s="24">
        <v>45937</v>
      </c>
      <c r="D1179" s="7" t="s">
        <v>2748</v>
      </c>
      <c r="E1179" s="7" t="s">
        <v>61</v>
      </c>
      <c r="F1179" s="7" t="s">
        <v>2749</v>
      </c>
      <c r="G1179" s="7" t="s">
        <v>2749</v>
      </c>
      <c r="H1179" s="7"/>
      <c r="I1179" s="7"/>
      <c r="J1179" s="7" t="s">
        <v>59</v>
      </c>
      <c r="K1179" s="7" t="s">
        <v>58</v>
      </c>
      <c r="L1179" s="7" t="s">
        <v>57</v>
      </c>
      <c r="M1179" s="7" t="s">
        <v>32</v>
      </c>
      <c r="N1179" s="7" t="s">
        <v>211</v>
      </c>
      <c r="O1179" s="7" t="s">
        <v>210</v>
      </c>
      <c r="P1179" s="7" t="s">
        <v>210</v>
      </c>
      <c r="Q1179" s="9">
        <v>91124</v>
      </c>
      <c r="R1179" s="9">
        <v>0</v>
      </c>
      <c r="S1179" s="9">
        <f t="shared" si="38"/>
        <v>91124</v>
      </c>
      <c r="T1179" s="7" t="s">
        <v>53</v>
      </c>
      <c r="U1179" s="7" t="s">
        <v>2750</v>
      </c>
      <c r="V1179" s="7" t="s">
        <v>2687</v>
      </c>
      <c r="W1179" s="9">
        <v>-8</v>
      </c>
      <c r="X1179" s="7" t="s">
        <v>51</v>
      </c>
      <c r="Y1179" s="4"/>
      <c r="Z1179" s="7" t="s">
        <v>14</v>
      </c>
      <c r="AA1179" s="36" t="s">
        <v>30</v>
      </c>
      <c r="AB1179" s="4"/>
      <c r="AC1179" s="22">
        <f t="shared" si="39"/>
        <v>35.734901960784313</v>
      </c>
      <c r="AD1179" s="23">
        <v>0</v>
      </c>
    </row>
    <row r="1180" spans="1:30" hidden="1" x14ac:dyDescent="0.35">
      <c r="A1180" s="7">
        <v>9741</v>
      </c>
      <c r="B1180" s="24">
        <v>45937.502303240741</v>
      </c>
      <c r="C1180" s="24">
        <v>45937</v>
      </c>
      <c r="D1180" s="7" t="s">
        <v>2751</v>
      </c>
      <c r="E1180" s="7" t="s">
        <v>61</v>
      </c>
      <c r="F1180" s="7" t="s">
        <v>2752</v>
      </c>
      <c r="G1180" s="7" t="s">
        <v>2752</v>
      </c>
      <c r="H1180" s="7"/>
      <c r="I1180" s="7"/>
      <c r="J1180" s="7" t="s">
        <v>59</v>
      </c>
      <c r="K1180" s="7" t="s">
        <v>58</v>
      </c>
      <c r="L1180" s="7" t="s">
        <v>57</v>
      </c>
      <c r="M1180" s="7" t="s">
        <v>32</v>
      </c>
      <c r="N1180" s="7" t="s">
        <v>211</v>
      </c>
      <c r="O1180" s="7" t="s">
        <v>210</v>
      </c>
      <c r="P1180" s="7" t="s">
        <v>210</v>
      </c>
      <c r="Q1180" s="9">
        <v>21892.65</v>
      </c>
      <c r="R1180" s="9">
        <v>0</v>
      </c>
      <c r="S1180" s="9">
        <f t="shared" si="38"/>
        <v>21892.65</v>
      </c>
      <c r="T1180" s="7" t="s">
        <v>53</v>
      </c>
      <c r="U1180" s="7" t="s">
        <v>226</v>
      </c>
      <c r="V1180" s="7" t="s">
        <v>2687</v>
      </c>
      <c r="W1180" s="9">
        <v>-5</v>
      </c>
      <c r="X1180" s="7" t="s">
        <v>51</v>
      </c>
      <c r="Y1180" s="4"/>
      <c r="Z1180" s="7" t="s">
        <v>14</v>
      </c>
      <c r="AA1180" s="36" t="s">
        <v>30</v>
      </c>
      <c r="AB1180" s="4"/>
      <c r="AC1180" s="22">
        <f t="shared" si="39"/>
        <v>8.5853529411764704</v>
      </c>
      <c r="AD1180" s="23">
        <v>0</v>
      </c>
    </row>
    <row r="1181" spans="1:30" hidden="1" x14ac:dyDescent="0.35">
      <c r="A1181" s="7">
        <v>9029</v>
      </c>
      <c r="B1181" s="24">
        <v>45937.51666666667</v>
      </c>
      <c r="C1181" s="24">
        <v>45937</v>
      </c>
      <c r="D1181" s="7" t="s">
        <v>2753</v>
      </c>
      <c r="E1181" s="7" t="s">
        <v>61</v>
      </c>
      <c r="F1181" s="7" t="s">
        <v>2754</v>
      </c>
      <c r="G1181" s="7" t="s">
        <v>2754</v>
      </c>
      <c r="H1181" s="7"/>
      <c r="I1181" s="7"/>
      <c r="J1181" s="7" t="s">
        <v>59</v>
      </c>
      <c r="K1181" s="7" t="s">
        <v>58</v>
      </c>
      <c r="L1181" s="7" t="s">
        <v>57</v>
      </c>
      <c r="M1181" s="7" t="s">
        <v>32</v>
      </c>
      <c r="N1181" s="7" t="s">
        <v>211</v>
      </c>
      <c r="O1181" s="7" t="s">
        <v>210</v>
      </c>
      <c r="P1181" s="7" t="s">
        <v>210</v>
      </c>
      <c r="Q1181" s="9">
        <v>21892.65</v>
      </c>
      <c r="R1181" s="9">
        <v>0</v>
      </c>
      <c r="S1181" s="9">
        <f t="shared" si="38"/>
        <v>21892.65</v>
      </c>
      <c r="T1181" s="7" t="s">
        <v>53</v>
      </c>
      <c r="U1181" s="7" t="s">
        <v>226</v>
      </c>
      <c r="V1181" s="7" t="s">
        <v>2687</v>
      </c>
      <c r="W1181" s="9">
        <v>-5</v>
      </c>
      <c r="X1181" s="7" t="s">
        <v>51</v>
      </c>
      <c r="Y1181" s="4"/>
      <c r="Z1181" s="7" t="s">
        <v>14</v>
      </c>
      <c r="AA1181" s="36" t="s">
        <v>30</v>
      </c>
      <c r="AB1181" s="4"/>
      <c r="AC1181" s="22">
        <f t="shared" si="39"/>
        <v>8.5853529411764704</v>
      </c>
      <c r="AD1181" s="23">
        <v>0</v>
      </c>
    </row>
    <row r="1182" spans="1:30" hidden="1" x14ac:dyDescent="0.35">
      <c r="A1182" s="7">
        <v>8937</v>
      </c>
      <c r="B1182" s="24">
        <v>45937.53633101852</v>
      </c>
      <c r="C1182" s="24">
        <v>45937</v>
      </c>
      <c r="D1182" s="7" t="s">
        <v>2755</v>
      </c>
      <c r="E1182" s="7" t="s">
        <v>61</v>
      </c>
      <c r="F1182" s="7" t="s">
        <v>2756</v>
      </c>
      <c r="G1182" s="7" t="s">
        <v>2756</v>
      </c>
      <c r="H1182" s="7"/>
      <c r="I1182" s="7"/>
      <c r="J1182" s="7" t="s">
        <v>59</v>
      </c>
      <c r="K1182" s="7" t="s">
        <v>58</v>
      </c>
      <c r="L1182" s="7" t="s">
        <v>57</v>
      </c>
      <c r="M1182" s="7" t="s">
        <v>32</v>
      </c>
      <c r="N1182" s="7" t="s">
        <v>211</v>
      </c>
      <c r="O1182" s="7" t="s">
        <v>210</v>
      </c>
      <c r="P1182" s="7" t="s">
        <v>210</v>
      </c>
      <c r="Q1182" s="9">
        <v>91124</v>
      </c>
      <c r="R1182" s="9">
        <v>0</v>
      </c>
      <c r="S1182" s="9">
        <f t="shared" si="38"/>
        <v>91124</v>
      </c>
      <c r="T1182" s="7" t="s">
        <v>53</v>
      </c>
      <c r="U1182" s="7" t="s">
        <v>2750</v>
      </c>
      <c r="V1182" s="7" t="s">
        <v>2687</v>
      </c>
      <c r="W1182" s="9">
        <v>-8</v>
      </c>
      <c r="X1182" s="7" t="s">
        <v>51</v>
      </c>
      <c r="Y1182" s="4"/>
      <c r="Z1182" s="7" t="s">
        <v>14</v>
      </c>
      <c r="AA1182" s="36" t="s">
        <v>30</v>
      </c>
      <c r="AB1182" s="4"/>
      <c r="AC1182" s="22">
        <f t="shared" si="39"/>
        <v>35.734901960784313</v>
      </c>
      <c r="AD1182" s="23">
        <v>0</v>
      </c>
    </row>
    <row r="1183" spans="1:30" hidden="1" x14ac:dyDescent="0.35">
      <c r="A1183" s="7">
        <v>8935</v>
      </c>
      <c r="B1183" s="24">
        <v>45937.53633101852</v>
      </c>
      <c r="C1183" s="24">
        <v>45937</v>
      </c>
      <c r="D1183" s="7" t="s">
        <v>2757</v>
      </c>
      <c r="E1183" s="7" t="s">
        <v>61</v>
      </c>
      <c r="F1183" s="7" t="s">
        <v>2758</v>
      </c>
      <c r="G1183" s="7" t="s">
        <v>2758</v>
      </c>
      <c r="H1183" s="7"/>
      <c r="I1183" s="7"/>
      <c r="J1183" s="7" t="s">
        <v>59</v>
      </c>
      <c r="K1183" s="7" t="s">
        <v>58</v>
      </c>
      <c r="L1183" s="7" t="s">
        <v>57</v>
      </c>
      <c r="M1183" s="7" t="s">
        <v>32</v>
      </c>
      <c r="N1183" s="7" t="s">
        <v>211</v>
      </c>
      <c r="O1183" s="7" t="s">
        <v>210</v>
      </c>
      <c r="P1183" s="7" t="s">
        <v>210</v>
      </c>
      <c r="Q1183" s="9">
        <v>43785.3</v>
      </c>
      <c r="R1183" s="9">
        <v>0</v>
      </c>
      <c r="S1183" s="9">
        <f t="shared" si="38"/>
        <v>43785.3</v>
      </c>
      <c r="T1183" s="7" t="s">
        <v>53</v>
      </c>
      <c r="U1183" s="7" t="s">
        <v>226</v>
      </c>
      <c r="V1183" s="7" t="s">
        <v>2687</v>
      </c>
      <c r="W1183" s="9">
        <v>-10</v>
      </c>
      <c r="X1183" s="7" t="s">
        <v>51</v>
      </c>
      <c r="Y1183" s="4"/>
      <c r="Z1183" s="7" t="s">
        <v>14</v>
      </c>
      <c r="AA1183" s="36" t="s">
        <v>30</v>
      </c>
      <c r="AB1183" s="4"/>
      <c r="AC1183" s="22">
        <f t="shared" si="39"/>
        <v>17.170705882352941</v>
      </c>
      <c r="AD1183" s="23">
        <v>0</v>
      </c>
    </row>
    <row r="1184" spans="1:30" x14ac:dyDescent="0.35">
      <c r="A1184" s="7">
        <v>49264</v>
      </c>
      <c r="B1184" s="24">
        <v>45958.598275462966</v>
      </c>
      <c r="C1184" s="24">
        <v>45958</v>
      </c>
      <c r="D1184" s="7" t="s">
        <v>2759</v>
      </c>
      <c r="E1184" s="7" t="s">
        <v>61</v>
      </c>
      <c r="F1184" s="7" t="s">
        <v>2760</v>
      </c>
      <c r="G1184" s="7" t="s">
        <v>2760</v>
      </c>
      <c r="H1184" s="7"/>
      <c r="I1184" s="7"/>
      <c r="J1184" s="7" t="s">
        <v>59</v>
      </c>
      <c r="K1184" s="7" t="s">
        <v>58</v>
      </c>
      <c r="L1184" s="7" t="s">
        <v>57</v>
      </c>
      <c r="M1184" s="7" t="s">
        <v>32</v>
      </c>
      <c r="N1184" s="7" t="s">
        <v>197</v>
      </c>
      <c r="O1184" s="7" t="s">
        <v>68</v>
      </c>
      <c r="P1184" s="7" t="s">
        <v>54</v>
      </c>
      <c r="Q1184" s="9">
        <v>22542.87</v>
      </c>
      <c r="R1184" s="9">
        <v>0</v>
      </c>
      <c r="S1184" s="9">
        <f t="shared" si="38"/>
        <v>22542.87</v>
      </c>
      <c r="T1184" s="7" t="s">
        <v>53</v>
      </c>
      <c r="U1184" s="7" t="s">
        <v>117</v>
      </c>
      <c r="V1184" s="7" t="s">
        <v>2688</v>
      </c>
      <c r="W1184" s="9">
        <v>-7</v>
      </c>
      <c r="X1184" s="7" t="s">
        <v>94</v>
      </c>
      <c r="Y1184" s="4"/>
      <c r="Z1184" s="7" t="s">
        <v>14</v>
      </c>
      <c r="AA1184" s="36" t="s">
        <v>29</v>
      </c>
      <c r="AB1184" s="4" t="s">
        <v>2607</v>
      </c>
      <c r="AC1184" s="22">
        <f t="shared" si="39"/>
        <v>8.8403411764705879</v>
      </c>
      <c r="AD1184" s="23">
        <v>0</v>
      </c>
    </row>
    <row r="1185" spans="1:30" x14ac:dyDescent="0.35">
      <c r="A1185" s="7">
        <v>36690</v>
      </c>
      <c r="B1185" s="24">
        <v>45951.25335648148</v>
      </c>
      <c r="C1185" s="24">
        <v>45951</v>
      </c>
      <c r="D1185" s="7" t="s">
        <v>2761</v>
      </c>
      <c r="E1185" s="7" t="s">
        <v>61</v>
      </c>
      <c r="F1185" s="7" t="s">
        <v>2762</v>
      </c>
      <c r="G1185" s="7" t="s">
        <v>2762</v>
      </c>
      <c r="H1185" s="7"/>
      <c r="I1185" s="7"/>
      <c r="J1185" s="7" t="s">
        <v>59</v>
      </c>
      <c r="K1185" s="7" t="s">
        <v>58</v>
      </c>
      <c r="L1185" s="7" t="s">
        <v>57</v>
      </c>
      <c r="M1185" s="7" t="s">
        <v>32</v>
      </c>
      <c r="N1185" s="7" t="s">
        <v>197</v>
      </c>
      <c r="O1185" s="7" t="s">
        <v>68</v>
      </c>
      <c r="P1185" s="7" t="s">
        <v>54</v>
      </c>
      <c r="Q1185" s="9">
        <v>90000</v>
      </c>
      <c r="R1185" s="9">
        <v>0</v>
      </c>
      <c r="S1185" s="9">
        <f t="shared" si="38"/>
        <v>90000</v>
      </c>
      <c r="T1185" s="7" t="s">
        <v>53</v>
      </c>
      <c r="U1185" s="7" t="s">
        <v>121</v>
      </c>
      <c r="V1185" s="7" t="s">
        <v>2685</v>
      </c>
      <c r="W1185" s="9">
        <v>-6</v>
      </c>
      <c r="X1185" s="7" t="s">
        <v>94</v>
      </c>
      <c r="Y1185" s="4"/>
      <c r="Z1185" s="7" t="s">
        <v>14</v>
      </c>
      <c r="AA1185" s="36" t="s">
        <v>29</v>
      </c>
      <c r="AB1185" s="4" t="s">
        <v>2607</v>
      </c>
      <c r="AC1185" s="22">
        <f t="shared" si="39"/>
        <v>35.294117647058826</v>
      </c>
      <c r="AD1185" s="23">
        <v>0</v>
      </c>
    </row>
    <row r="1186" spans="1:30" x14ac:dyDescent="0.35">
      <c r="A1186" s="7">
        <v>26655</v>
      </c>
      <c r="B1186" s="24">
        <v>45946.616828703707</v>
      </c>
      <c r="C1186" s="24">
        <v>45946</v>
      </c>
      <c r="D1186" s="7" t="s">
        <v>2763</v>
      </c>
      <c r="E1186" s="7" t="s">
        <v>61</v>
      </c>
      <c r="F1186" s="7" t="s">
        <v>2764</v>
      </c>
      <c r="G1186" s="7" t="s">
        <v>2764</v>
      </c>
      <c r="H1186" s="7"/>
      <c r="I1186" s="7"/>
      <c r="J1186" s="7" t="s">
        <v>59</v>
      </c>
      <c r="K1186" s="7" t="s">
        <v>58</v>
      </c>
      <c r="L1186" s="7" t="s">
        <v>57</v>
      </c>
      <c r="M1186" s="7" t="s">
        <v>32</v>
      </c>
      <c r="N1186" s="7" t="s">
        <v>197</v>
      </c>
      <c r="O1186" s="7" t="s">
        <v>68</v>
      </c>
      <c r="P1186" s="7" t="s">
        <v>54</v>
      </c>
      <c r="Q1186" s="9">
        <v>150000</v>
      </c>
      <c r="R1186" s="9">
        <v>0</v>
      </c>
      <c r="S1186" s="9">
        <f t="shared" si="38"/>
        <v>150000</v>
      </c>
      <c r="T1186" s="7" t="s">
        <v>53</v>
      </c>
      <c r="U1186" s="7" t="s">
        <v>121</v>
      </c>
      <c r="V1186" s="7" t="s">
        <v>2685</v>
      </c>
      <c r="W1186" s="9">
        <v>-10</v>
      </c>
      <c r="X1186" s="7" t="s">
        <v>94</v>
      </c>
      <c r="Y1186" s="4"/>
      <c r="Z1186" s="7" t="s">
        <v>14</v>
      </c>
      <c r="AA1186" s="36" t="s">
        <v>29</v>
      </c>
      <c r="AB1186" s="4" t="s">
        <v>2607</v>
      </c>
      <c r="AC1186" s="22">
        <f t="shared" si="39"/>
        <v>58.823529411764703</v>
      </c>
      <c r="AD1186" s="23">
        <v>0</v>
      </c>
    </row>
    <row r="1187" spans="1:30" x14ac:dyDescent="0.35">
      <c r="A1187" s="7">
        <v>26652</v>
      </c>
      <c r="B1187" s="24">
        <v>45946.616828703707</v>
      </c>
      <c r="C1187" s="24">
        <v>45946</v>
      </c>
      <c r="D1187" s="7" t="s">
        <v>2765</v>
      </c>
      <c r="E1187" s="7" t="s">
        <v>61</v>
      </c>
      <c r="F1187" s="7" t="s">
        <v>2766</v>
      </c>
      <c r="G1187" s="7" t="s">
        <v>2766</v>
      </c>
      <c r="H1187" s="7"/>
      <c r="I1187" s="7"/>
      <c r="J1187" s="7" t="s">
        <v>59</v>
      </c>
      <c r="K1187" s="7" t="s">
        <v>58</v>
      </c>
      <c r="L1187" s="7" t="s">
        <v>57</v>
      </c>
      <c r="M1187" s="7" t="s">
        <v>32</v>
      </c>
      <c r="N1187" s="7" t="s">
        <v>197</v>
      </c>
      <c r="O1187" s="7" t="s">
        <v>68</v>
      </c>
      <c r="P1187" s="7" t="s">
        <v>54</v>
      </c>
      <c r="Q1187" s="9">
        <v>96882.35</v>
      </c>
      <c r="R1187" s="9">
        <v>0</v>
      </c>
      <c r="S1187" s="9">
        <f t="shared" si="38"/>
        <v>96882.35</v>
      </c>
      <c r="T1187" s="7" t="s">
        <v>53</v>
      </c>
      <c r="U1187" s="7" t="s">
        <v>282</v>
      </c>
      <c r="V1187" s="7" t="s">
        <v>2685</v>
      </c>
      <c r="W1187" s="9">
        <v>-2</v>
      </c>
      <c r="X1187" s="7" t="s">
        <v>94</v>
      </c>
      <c r="Y1187" s="4"/>
      <c r="Z1187" s="7" t="s">
        <v>14</v>
      </c>
      <c r="AA1187" s="36" t="s">
        <v>29</v>
      </c>
      <c r="AB1187" s="4" t="s">
        <v>2607</v>
      </c>
      <c r="AC1187" s="22">
        <f t="shared" si="39"/>
        <v>37.993078431372552</v>
      </c>
      <c r="AD1187" s="23">
        <v>0</v>
      </c>
    </row>
    <row r="1188" spans="1:30" x14ac:dyDescent="0.35">
      <c r="A1188" s="7">
        <v>26650</v>
      </c>
      <c r="B1188" s="24">
        <v>45946.616828703707</v>
      </c>
      <c r="C1188" s="24">
        <v>45946</v>
      </c>
      <c r="D1188" s="7" t="s">
        <v>2767</v>
      </c>
      <c r="E1188" s="7" t="s">
        <v>61</v>
      </c>
      <c r="F1188" s="7" t="s">
        <v>2768</v>
      </c>
      <c r="G1188" s="7" t="s">
        <v>2768</v>
      </c>
      <c r="H1188" s="7"/>
      <c r="I1188" s="7"/>
      <c r="J1188" s="7" t="s">
        <v>59</v>
      </c>
      <c r="K1188" s="7" t="s">
        <v>58</v>
      </c>
      <c r="L1188" s="7" t="s">
        <v>57</v>
      </c>
      <c r="M1188" s="7" t="s">
        <v>32</v>
      </c>
      <c r="N1188" s="7" t="s">
        <v>197</v>
      </c>
      <c r="O1188" s="7" t="s">
        <v>68</v>
      </c>
      <c r="P1188" s="7" t="s">
        <v>54</v>
      </c>
      <c r="Q1188" s="9">
        <v>32209.88</v>
      </c>
      <c r="R1188" s="9">
        <v>0</v>
      </c>
      <c r="S1188" s="9">
        <f t="shared" si="38"/>
        <v>32209.88</v>
      </c>
      <c r="T1188" s="7" t="s">
        <v>53</v>
      </c>
      <c r="U1188" s="7" t="s">
        <v>117</v>
      </c>
      <c r="V1188" s="7" t="s">
        <v>2688</v>
      </c>
      <c r="W1188" s="9">
        <v>-10</v>
      </c>
      <c r="X1188" s="7" t="s">
        <v>94</v>
      </c>
      <c r="Y1188" s="4"/>
      <c r="Z1188" s="7" t="s">
        <v>14</v>
      </c>
      <c r="AA1188" s="36" t="s">
        <v>29</v>
      </c>
      <c r="AB1188" s="4" t="s">
        <v>2607</v>
      </c>
      <c r="AC1188" s="22">
        <f t="shared" si="39"/>
        <v>12.63132549019608</v>
      </c>
      <c r="AD1188" s="23">
        <v>0</v>
      </c>
    </row>
    <row r="1189" spans="1:30" x14ac:dyDescent="0.35">
      <c r="A1189" s="7">
        <v>26648</v>
      </c>
      <c r="B1189" s="24">
        <v>45946.616828703707</v>
      </c>
      <c r="C1189" s="24">
        <v>45946</v>
      </c>
      <c r="D1189" s="7" t="s">
        <v>2769</v>
      </c>
      <c r="E1189" s="7" t="s">
        <v>61</v>
      </c>
      <c r="F1189" s="7" t="s">
        <v>2770</v>
      </c>
      <c r="G1189" s="7" t="s">
        <v>2770</v>
      </c>
      <c r="H1189" s="7"/>
      <c r="I1189" s="7"/>
      <c r="J1189" s="7" t="s">
        <v>59</v>
      </c>
      <c r="K1189" s="7" t="s">
        <v>58</v>
      </c>
      <c r="L1189" s="7" t="s">
        <v>57</v>
      </c>
      <c r="M1189" s="7" t="s">
        <v>32</v>
      </c>
      <c r="N1189" s="7" t="s">
        <v>197</v>
      </c>
      <c r="O1189" s="7" t="s">
        <v>68</v>
      </c>
      <c r="P1189" s="7" t="s">
        <v>54</v>
      </c>
      <c r="Q1189" s="9">
        <v>81950.19</v>
      </c>
      <c r="R1189" s="9">
        <v>0</v>
      </c>
      <c r="S1189" s="9">
        <f t="shared" si="38"/>
        <v>81950.19</v>
      </c>
      <c r="T1189" s="7" t="s">
        <v>53</v>
      </c>
      <c r="U1189" s="7" t="s">
        <v>271</v>
      </c>
      <c r="V1189" s="7" t="s">
        <v>2686</v>
      </c>
      <c r="W1189" s="9">
        <v>-20</v>
      </c>
      <c r="X1189" s="7" t="s">
        <v>124</v>
      </c>
      <c r="Y1189" s="4"/>
      <c r="Z1189" s="7" t="s">
        <v>14</v>
      </c>
      <c r="AA1189" s="36" t="s">
        <v>29</v>
      </c>
      <c r="AB1189" s="4" t="s">
        <v>2607</v>
      </c>
      <c r="AC1189" s="22">
        <f t="shared" si="39"/>
        <v>32.137329411764703</v>
      </c>
      <c r="AD1189" s="23">
        <v>0</v>
      </c>
    </row>
    <row r="1190" spans="1:30" x14ac:dyDescent="0.35">
      <c r="A1190" s="7">
        <v>36688</v>
      </c>
      <c r="B1190" s="24">
        <v>45951.25335648148</v>
      </c>
      <c r="C1190" s="24">
        <v>45951</v>
      </c>
      <c r="D1190" s="7" t="s">
        <v>2771</v>
      </c>
      <c r="E1190" s="7" t="s">
        <v>61</v>
      </c>
      <c r="F1190" s="7" t="s">
        <v>2772</v>
      </c>
      <c r="G1190" s="7" t="s">
        <v>2772</v>
      </c>
      <c r="H1190" s="7"/>
      <c r="I1190" s="7"/>
      <c r="J1190" s="7" t="s">
        <v>59</v>
      </c>
      <c r="K1190" s="7" t="s">
        <v>58</v>
      </c>
      <c r="L1190" s="7" t="s">
        <v>57</v>
      </c>
      <c r="M1190" s="7" t="s">
        <v>32</v>
      </c>
      <c r="N1190" s="7" t="s">
        <v>197</v>
      </c>
      <c r="O1190" s="7" t="s">
        <v>105</v>
      </c>
      <c r="P1190" s="7" t="s">
        <v>54</v>
      </c>
      <c r="Q1190" s="9">
        <v>71251.5</v>
      </c>
      <c r="R1190" s="9">
        <v>0</v>
      </c>
      <c r="S1190" s="9">
        <f t="shared" si="38"/>
        <v>71251.5</v>
      </c>
      <c r="T1190" s="7" t="s">
        <v>53</v>
      </c>
      <c r="U1190" s="7" t="s">
        <v>728</v>
      </c>
      <c r="V1190" s="7" t="s">
        <v>2687</v>
      </c>
      <c r="W1190" s="9">
        <v>-16</v>
      </c>
      <c r="X1190" s="7" t="s">
        <v>51</v>
      </c>
      <c r="Y1190" s="4"/>
      <c r="Z1190" s="7" t="s">
        <v>14</v>
      </c>
      <c r="AA1190" s="36" t="s">
        <v>29</v>
      </c>
      <c r="AB1190" s="4" t="s">
        <v>2607</v>
      </c>
      <c r="AC1190" s="22">
        <f t="shared" si="39"/>
        <v>27.941764705882353</v>
      </c>
      <c r="AD1190" s="23">
        <v>0</v>
      </c>
    </row>
    <row r="1191" spans="1:30" x14ac:dyDescent="0.35">
      <c r="A1191" s="7">
        <v>28793</v>
      </c>
      <c r="B1191" s="24">
        <v>45947.618009259262</v>
      </c>
      <c r="C1191" s="24">
        <v>45947</v>
      </c>
      <c r="D1191" s="7" t="s">
        <v>2773</v>
      </c>
      <c r="E1191" s="7" t="s">
        <v>61</v>
      </c>
      <c r="F1191" s="7" t="s">
        <v>2774</v>
      </c>
      <c r="G1191" s="7" t="s">
        <v>2774</v>
      </c>
      <c r="H1191" s="7"/>
      <c r="I1191" s="7"/>
      <c r="J1191" s="7" t="s">
        <v>59</v>
      </c>
      <c r="K1191" s="7" t="s">
        <v>58</v>
      </c>
      <c r="L1191" s="7" t="s">
        <v>57</v>
      </c>
      <c r="M1191" s="7" t="s">
        <v>32</v>
      </c>
      <c r="N1191" s="7" t="s">
        <v>197</v>
      </c>
      <c r="O1191" s="7" t="s">
        <v>105</v>
      </c>
      <c r="P1191" s="7" t="s">
        <v>54</v>
      </c>
      <c r="Q1191" s="9">
        <v>268689.63</v>
      </c>
      <c r="R1191" s="9">
        <v>0</v>
      </c>
      <c r="S1191" s="9">
        <f t="shared" si="38"/>
        <v>268689.63</v>
      </c>
      <c r="T1191" s="7" t="s">
        <v>53</v>
      </c>
      <c r="U1191" s="7" t="s">
        <v>420</v>
      </c>
      <c r="V1191" s="7" t="s">
        <v>2775</v>
      </c>
      <c r="W1191" s="9">
        <v>-200</v>
      </c>
      <c r="X1191" s="7" t="s">
        <v>94</v>
      </c>
      <c r="Y1191" s="4"/>
      <c r="Z1191" s="7" t="s">
        <v>14</v>
      </c>
      <c r="AA1191" s="36" t="s">
        <v>29</v>
      </c>
      <c r="AB1191" s="4" t="s">
        <v>2607</v>
      </c>
      <c r="AC1191" s="22">
        <f t="shared" si="39"/>
        <v>105.36848235294117</v>
      </c>
      <c r="AD1191" s="23">
        <v>0</v>
      </c>
    </row>
    <row r="1192" spans="1:30" x14ac:dyDescent="0.35">
      <c r="A1192" s="7">
        <v>2328</v>
      </c>
      <c r="B1192" s="24">
        <v>45932.268692129626</v>
      </c>
      <c r="C1192" s="24">
        <v>45932</v>
      </c>
      <c r="D1192" s="7" t="s">
        <v>2776</v>
      </c>
      <c r="E1192" s="7" t="s">
        <v>61</v>
      </c>
      <c r="F1192" s="7" t="s">
        <v>2777</v>
      </c>
      <c r="G1192" s="7" t="s">
        <v>2777</v>
      </c>
      <c r="H1192" s="7"/>
      <c r="I1192" s="7"/>
      <c r="J1192" s="7" t="s">
        <v>59</v>
      </c>
      <c r="K1192" s="7" t="s">
        <v>58</v>
      </c>
      <c r="L1192" s="7" t="s">
        <v>57</v>
      </c>
      <c r="M1192" s="7" t="s">
        <v>32</v>
      </c>
      <c r="N1192" s="7" t="s">
        <v>197</v>
      </c>
      <c r="O1192" s="7" t="s">
        <v>105</v>
      </c>
      <c r="P1192" s="7" t="s">
        <v>54</v>
      </c>
      <c r="Q1192" s="9">
        <v>76204</v>
      </c>
      <c r="R1192" s="9">
        <v>0</v>
      </c>
      <c r="S1192" s="9">
        <f t="shared" si="38"/>
        <v>76204</v>
      </c>
      <c r="T1192" s="7" t="s">
        <v>53</v>
      </c>
      <c r="U1192" s="7" t="s">
        <v>214</v>
      </c>
      <c r="V1192" s="7" t="s">
        <v>2687</v>
      </c>
      <c r="W1192" s="9">
        <v>-16</v>
      </c>
      <c r="X1192" s="7" t="s">
        <v>51</v>
      </c>
      <c r="Y1192" s="4"/>
      <c r="Z1192" s="7" t="s">
        <v>14</v>
      </c>
      <c r="AA1192" s="36" t="s">
        <v>29</v>
      </c>
      <c r="AB1192" s="4" t="s">
        <v>2607</v>
      </c>
      <c r="AC1192" s="22">
        <f t="shared" si="39"/>
        <v>29.88392156862745</v>
      </c>
      <c r="AD1192" s="23">
        <v>0</v>
      </c>
    </row>
    <row r="1193" spans="1:30" x14ac:dyDescent="0.35">
      <c r="A1193" s="7">
        <v>2325</v>
      </c>
      <c r="B1193" s="24">
        <v>45932.268692129626</v>
      </c>
      <c r="C1193" s="24">
        <v>45932</v>
      </c>
      <c r="D1193" s="7" t="s">
        <v>2778</v>
      </c>
      <c r="E1193" s="7" t="s">
        <v>61</v>
      </c>
      <c r="F1193" s="7" t="s">
        <v>2779</v>
      </c>
      <c r="G1193" s="7" t="s">
        <v>2779</v>
      </c>
      <c r="H1193" s="7"/>
      <c r="I1193" s="7"/>
      <c r="J1193" s="7" t="s">
        <v>59</v>
      </c>
      <c r="K1193" s="7" t="s">
        <v>58</v>
      </c>
      <c r="L1193" s="7" t="s">
        <v>57</v>
      </c>
      <c r="M1193" s="7" t="s">
        <v>32</v>
      </c>
      <c r="N1193" s="7" t="s">
        <v>197</v>
      </c>
      <c r="O1193" s="7" t="s">
        <v>105</v>
      </c>
      <c r="P1193" s="7" t="s">
        <v>54</v>
      </c>
      <c r="Q1193" s="9">
        <v>20580.810000000001</v>
      </c>
      <c r="R1193" s="9">
        <v>0</v>
      </c>
      <c r="S1193" s="9">
        <f t="shared" si="38"/>
        <v>20580.810000000001</v>
      </c>
      <c r="T1193" s="7" t="s">
        <v>53</v>
      </c>
      <c r="U1193" s="7" t="s">
        <v>423</v>
      </c>
      <c r="V1193" s="7" t="s">
        <v>2687</v>
      </c>
      <c r="W1193" s="9">
        <v>-5</v>
      </c>
      <c r="X1193" s="7" t="s">
        <v>51</v>
      </c>
      <c r="Y1193" s="4"/>
      <c r="Z1193" s="7" t="s">
        <v>14</v>
      </c>
      <c r="AA1193" s="36" t="s">
        <v>29</v>
      </c>
      <c r="AB1193" s="4" t="s">
        <v>2607</v>
      </c>
      <c r="AC1193" s="22">
        <f t="shared" si="39"/>
        <v>8.0709058823529425</v>
      </c>
      <c r="AD1193" s="23">
        <v>0</v>
      </c>
    </row>
    <row r="1194" spans="1:30" x14ac:dyDescent="0.35">
      <c r="A1194" s="7">
        <v>2324</v>
      </c>
      <c r="B1194" s="24">
        <v>45932.268692129626</v>
      </c>
      <c r="C1194" s="24">
        <v>45932</v>
      </c>
      <c r="D1194" s="7" t="s">
        <v>2780</v>
      </c>
      <c r="E1194" s="7" t="s">
        <v>61</v>
      </c>
      <c r="F1194" s="7" t="s">
        <v>2781</v>
      </c>
      <c r="G1194" s="7" t="s">
        <v>2781</v>
      </c>
      <c r="H1194" s="7"/>
      <c r="I1194" s="7"/>
      <c r="J1194" s="7" t="s">
        <v>59</v>
      </c>
      <c r="K1194" s="7" t="s">
        <v>58</v>
      </c>
      <c r="L1194" s="7" t="s">
        <v>57</v>
      </c>
      <c r="M1194" s="7" t="s">
        <v>32</v>
      </c>
      <c r="N1194" s="7" t="s">
        <v>197</v>
      </c>
      <c r="O1194" s="7" t="s">
        <v>105</v>
      </c>
      <c r="P1194" s="7" t="s">
        <v>54</v>
      </c>
      <c r="Q1194" s="9">
        <v>22546.91</v>
      </c>
      <c r="R1194" s="9">
        <v>0</v>
      </c>
      <c r="S1194" s="9">
        <f t="shared" si="38"/>
        <v>22546.91</v>
      </c>
      <c r="T1194" s="7" t="s">
        <v>53</v>
      </c>
      <c r="U1194" s="7" t="s">
        <v>117</v>
      </c>
      <c r="V1194" s="7" t="s">
        <v>2688</v>
      </c>
      <c r="W1194" s="9">
        <v>-7</v>
      </c>
      <c r="X1194" s="7" t="s">
        <v>94</v>
      </c>
      <c r="Y1194" s="4"/>
      <c r="Z1194" s="7" t="s">
        <v>14</v>
      </c>
      <c r="AA1194" s="36" t="s">
        <v>29</v>
      </c>
      <c r="AB1194" s="4" t="s">
        <v>2607</v>
      </c>
      <c r="AC1194" s="22">
        <f t="shared" si="39"/>
        <v>8.8419254901960791</v>
      </c>
      <c r="AD1194" s="23">
        <v>0</v>
      </c>
    </row>
    <row r="1195" spans="1:30" x14ac:dyDescent="0.35">
      <c r="A1195" s="7">
        <v>41021</v>
      </c>
      <c r="B1195" s="24">
        <v>45953.608749999999</v>
      </c>
      <c r="C1195" s="24">
        <v>45953</v>
      </c>
      <c r="D1195" s="7" t="s">
        <v>2782</v>
      </c>
      <c r="E1195" s="7" t="s">
        <v>61</v>
      </c>
      <c r="F1195" s="7" t="s">
        <v>2783</v>
      </c>
      <c r="G1195" s="7" t="s">
        <v>2783</v>
      </c>
      <c r="H1195" s="7"/>
      <c r="I1195" s="7"/>
      <c r="J1195" s="7" t="s">
        <v>59</v>
      </c>
      <c r="K1195" s="7" t="s">
        <v>58</v>
      </c>
      <c r="L1195" s="7" t="s">
        <v>57</v>
      </c>
      <c r="M1195" s="7" t="s">
        <v>32</v>
      </c>
      <c r="N1195" s="7" t="s">
        <v>106</v>
      </c>
      <c r="O1195" s="7" t="s">
        <v>105</v>
      </c>
      <c r="P1195" s="7" t="s">
        <v>54</v>
      </c>
      <c r="Q1195" s="9">
        <v>1055084.7</v>
      </c>
      <c r="R1195" s="9">
        <v>0</v>
      </c>
      <c r="S1195" s="9">
        <f t="shared" si="38"/>
        <v>1055084.7</v>
      </c>
      <c r="T1195" s="7" t="s">
        <v>53</v>
      </c>
      <c r="U1195" s="7" t="s">
        <v>165</v>
      </c>
      <c r="V1195" s="7" t="s">
        <v>2691</v>
      </c>
      <c r="W1195" s="9">
        <v>-30</v>
      </c>
      <c r="X1195" s="7" t="s">
        <v>94</v>
      </c>
      <c r="Y1195" s="4"/>
      <c r="Z1195" s="7" t="s">
        <v>14</v>
      </c>
      <c r="AA1195" s="36" t="s">
        <v>15</v>
      </c>
      <c r="AB1195" s="4" t="s">
        <v>2606</v>
      </c>
      <c r="AC1195" s="22">
        <f t="shared" si="39"/>
        <v>413.7587058823529</v>
      </c>
      <c r="AD1195" s="23">
        <v>0</v>
      </c>
    </row>
    <row r="1196" spans="1:30" x14ac:dyDescent="0.35">
      <c r="A1196" s="7">
        <v>36710</v>
      </c>
      <c r="B1196" s="24">
        <v>45951.250949074078</v>
      </c>
      <c r="C1196" s="24">
        <v>45951</v>
      </c>
      <c r="D1196" s="7" t="s">
        <v>2784</v>
      </c>
      <c r="E1196" s="7" t="s">
        <v>61</v>
      </c>
      <c r="F1196" s="7" t="s">
        <v>2785</v>
      </c>
      <c r="G1196" s="7" t="s">
        <v>2785</v>
      </c>
      <c r="H1196" s="7"/>
      <c r="I1196" s="7"/>
      <c r="J1196" s="7" t="s">
        <v>59</v>
      </c>
      <c r="K1196" s="7" t="s">
        <v>58</v>
      </c>
      <c r="L1196" s="7" t="s">
        <v>57</v>
      </c>
      <c r="M1196" s="7" t="s">
        <v>32</v>
      </c>
      <c r="N1196" s="7" t="s">
        <v>106</v>
      </c>
      <c r="O1196" s="7" t="s">
        <v>105</v>
      </c>
      <c r="P1196" s="7" t="s">
        <v>54</v>
      </c>
      <c r="Q1196" s="9">
        <v>114000</v>
      </c>
      <c r="R1196" s="9">
        <v>0</v>
      </c>
      <c r="S1196" s="9">
        <f t="shared" si="38"/>
        <v>114000</v>
      </c>
      <c r="T1196" s="7" t="s">
        <v>53</v>
      </c>
      <c r="U1196" s="7" t="s">
        <v>151</v>
      </c>
      <c r="V1196" s="7" t="s">
        <v>2691</v>
      </c>
      <c r="W1196" s="9">
        <v>-20</v>
      </c>
      <c r="X1196" s="7" t="s">
        <v>124</v>
      </c>
      <c r="Y1196" s="4"/>
      <c r="Z1196" s="7" t="s">
        <v>14</v>
      </c>
      <c r="AA1196" s="36" t="s">
        <v>15</v>
      </c>
      <c r="AB1196" s="4" t="s">
        <v>2606</v>
      </c>
      <c r="AC1196" s="22">
        <f t="shared" si="39"/>
        <v>44.705882352941174</v>
      </c>
      <c r="AD1196" s="23">
        <v>0</v>
      </c>
    </row>
    <row r="1197" spans="1:30" x14ac:dyDescent="0.35">
      <c r="A1197" s="7">
        <v>36709</v>
      </c>
      <c r="B1197" s="24">
        <v>45951.250949074078</v>
      </c>
      <c r="C1197" s="24">
        <v>45951</v>
      </c>
      <c r="D1197" s="7" t="s">
        <v>2786</v>
      </c>
      <c r="E1197" s="7" t="s">
        <v>61</v>
      </c>
      <c r="F1197" s="7" t="s">
        <v>2787</v>
      </c>
      <c r="G1197" s="7" t="s">
        <v>2787</v>
      </c>
      <c r="H1197" s="7"/>
      <c r="I1197" s="7"/>
      <c r="J1197" s="7" t="s">
        <v>59</v>
      </c>
      <c r="K1197" s="7" t="s">
        <v>58</v>
      </c>
      <c r="L1197" s="7" t="s">
        <v>57</v>
      </c>
      <c r="M1197" s="7" t="s">
        <v>32</v>
      </c>
      <c r="N1197" s="7" t="s">
        <v>106</v>
      </c>
      <c r="O1197" s="7" t="s">
        <v>105</v>
      </c>
      <c r="P1197" s="7" t="s">
        <v>54</v>
      </c>
      <c r="Q1197" s="9">
        <v>140000</v>
      </c>
      <c r="R1197" s="9">
        <v>0</v>
      </c>
      <c r="S1197" s="9">
        <f t="shared" si="38"/>
        <v>140000</v>
      </c>
      <c r="T1197" s="7" t="s">
        <v>53</v>
      </c>
      <c r="U1197" s="7" t="s">
        <v>133</v>
      </c>
      <c r="V1197" s="7" t="s">
        <v>2691</v>
      </c>
      <c r="W1197" s="9">
        <v>-28</v>
      </c>
      <c r="X1197" s="7" t="s">
        <v>124</v>
      </c>
      <c r="Y1197" s="4"/>
      <c r="Z1197" s="7" t="s">
        <v>14</v>
      </c>
      <c r="AA1197" s="36" t="s">
        <v>15</v>
      </c>
      <c r="AB1197" s="4" t="s">
        <v>2606</v>
      </c>
      <c r="AC1197" s="22">
        <f t="shared" si="39"/>
        <v>54.901960784313722</v>
      </c>
      <c r="AD1197" s="23">
        <v>0</v>
      </c>
    </row>
    <row r="1198" spans="1:30" x14ac:dyDescent="0.35">
      <c r="A1198" s="7">
        <v>36707</v>
      </c>
      <c r="B1198" s="24">
        <v>45951.250949074078</v>
      </c>
      <c r="C1198" s="24">
        <v>45951</v>
      </c>
      <c r="D1198" s="7" t="s">
        <v>2788</v>
      </c>
      <c r="E1198" s="7" t="s">
        <v>61</v>
      </c>
      <c r="F1198" s="7" t="s">
        <v>2789</v>
      </c>
      <c r="G1198" s="7" t="s">
        <v>2789</v>
      </c>
      <c r="H1198" s="7"/>
      <c r="I1198" s="7"/>
      <c r="J1198" s="7" t="s">
        <v>59</v>
      </c>
      <c r="K1198" s="7" t="s">
        <v>58</v>
      </c>
      <c r="L1198" s="7" t="s">
        <v>57</v>
      </c>
      <c r="M1198" s="7" t="s">
        <v>32</v>
      </c>
      <c r="N1198" s="7" t="s">
        <v>106</v>
      </c>
      <c r="O1198" s="7" t="s">
        <v>105</v>
      </c>
      <c r="P1198" s="7" t="s">
        <v>54</v>
      </c>
      <c r="Q1198" s="9">
        <v>700000</v>
      </c>
      <c r="R1198" s="9">
        <v>0</v>
      </c>
      <c r="S1198" s="9">
        <f t="shared" si="38"/>
        <v>700000</v>
      </c>
      <c r="T1198" s="7" t="s">
        <v>53</v>
      </c>
      <c r="U1198" s="7" t="s">
        <v>148</v>
      </c>
      <c r="V1198" s="7" t="s">
        <v>2691</v>
      </c>
      <c r="W1198" s="9">
        <v>-100</v>
      </c>
      <c r="X1198" s="7" t="s">
        <v>94</v>
      </c>
      <c r="Y1198" s="4"/>
      <c r="Z1198" s="7" t="s">
        <v>14</v>
      </c>
      <c r="AA1198" s="36" t="s">
        <v>15</v>
      </c>
      <c r="AB1198" s="4" t="s">
        <v>2606</v>
      </c>
      <c r="AC1198" s="22">
        <f t="shared" si="39"/>
        <v>274.50980392156862</v>
      </c>
      <c r="AD1198" s="23">
        <v>0</v>
      </c>
    </row>
    <row r="1199" spans="1:30" x14ac:dyDescent="0.35">
      <c r="A1199" s="7">
        <v>36705</v>
      </c>
      <c r="B1199" s="24">
        <v>45951.250949074078</v>
      </c>
      <c r="C1199" s="24">
        <v>45951</v>
      </c>
      <c r="D1199" s="7" t="s">
        <v>2790</v>
      </c>
      <c r="E1199" s="7" t="s">
        <v>61</v>
      </c>
      <c r="F1199" s="7" t="s">
        <v>2791</v>
      </c>
      <c r="G1199" s="7" t="s">
        <v>2791</v>
      </c>
      <c r="H1199" s="7"/>
      <c r="I1199" s="7"/>
      <c r="J1199" s="7" t="s">
        <v>59</v>
      </c>
      <c r="K1199" s="7" t="s">
        <v>58</v>
      </c>
      <c r="L1199" s="7" t="s">
        <v>57</v>
      </c>
      <c r="M1199" s="7" t="s">
        <v>32</v>
      </c>
      <c r="N1199" s="7" t="s">
        <v>106</v>
      </c>
      <c r="O1199" s="7" t="s">
        <v>105</v>
      </c>
      <c r="P1199" s="7" t="s">
        <v>54</v>
      </c>
      <c r="Q1199" s="9">
        <v>473256.65</v>
      </c>
      <c r="R1199" s="9">
        <v>0</v>
      </c>
      <c r="S1199" s="9">
        <f t="shared" si="38"/>
        <v>473256.65</v>
      </c>
      <c r="T1199" s="7" t="s">
        <v>53</v>
      </c>
      <c r="U1199" s="7" t="s">
        <v>257</v>
      </c>
      <c r="V1199" s="7" t="s">
        <v>2691</v>
      </c>
      <c r="W1199" s="9">
        <v>-50</v>
      </c>
      <c r="X1199" s="7" t="s">
        <v>129</v>
      </c>
      <c r="Y1199" s="4"/>
      <c r="Z1199" s="7" t="s">
        <v>14</v>
      </c>
      <c r="AA1199" s="36" t="s">
        <v>15</v>
      </c>
      <c r="AB1199" s="4" t="s">
        <v>2606</v>
      </c>
      <c r="AC1199" s="22">
        <f t="shared" si="39"/>
        <v>185.59084313725492</v>
      </c>
      <c r="AD1199" s="23">
        <v>0</v>
      </c>
    </row>
    <row r="1200" spans="1:30" x14ac:dyDescent="0.35">
      <c r="A1200" s="7">
        <v>36703</v>
      </c>
      <c r="B1200" s="24">
        <v>45951.250949074078</v>
      </c>
      <c r="C1200" s="24">
        <v>45951</v>
      </c>
      <c r="D1200" s="7" t="s">
        <v>2792</v>
      </c>
      <c r="E1200" s="7" t="s">
        <v>61</v>
      </c>
      <c r="F1200" s="7" t="s">
        <v>2793</v>
      </c>
      <c r="G1200" s="7" t="s">
        <v>2793</v>
      </c>
      <c r="H1200" s="7"/>
      <c r="I1200" s="7"/>
      <c r="J1200" s="7" t="s">
        <v>59</v>
      </c>
      <c r="K1200" s="7" t="s">
        <v>58</v>
      </c>
      <c r="L1200" s="7" t="s">
        <v>57</v>
      </c>
      <c r="M1200" s="7" t="s">
        <v>32</v>
      </c>
      <c r="N1200" s="7" t="s">
        <v>106</v>
      </c>
      <c r="O1200" s="7" t="s">
        <v>105</v>
      </c>
      <c r="P1200" s="7" t="s">
        <v>54</v>
      </c>
      <c r="Q1200" s="9">
        <v>611681.77</v>
      </c>
      <c r="R1200" s="9">
        <v>0</v>
      </c>
      <c r="S1200" s="9">
        <f t="shared" si="38"/>
        <v>611681.77</v>
      </c>
      <c r="T1200" s="7" t="s">
        <v>53</v>
      </c>
      <c r="U1200" s="7" t="s">
        <v>175</v>
      </c>
      <c r="V1200" s="7" t="s">
        <v>2691</v>
      </c>
      <c r="W1200" s="9">
        <v>-30</v>
      </c>
      <c r="X1200" s="7" t="s">
        <v>129</v>
      </c>
      <c r="Y1200" s="4"/>
      <c r="Z1200" s="7" t="s">
        <v>14</v>
      </c>
      <c r="AA1200" s="36" t="s">
        <v>15</v>
      </c>
      <c r="AB1200" s="4" t="s">
        <v>2606</v>
      </c>
      <c r="AC1200" s="22">
        <f t="shared" si="39"/>
        <v>239.87520392156864</v>
      </c>
      <c r="AD1200" s="23">
        <v>0</v>
      </c>
    </row>
    <row r="1201" spans="1:30" x14ac:dyDescent="0.35">
      <c r="A1201" s="7">
        <v>36701</v>
      </c>
      <c r="B1201" s="24">
        <v>45951.250949074078</v>
      </c>
      <c r="C1201" s="24">
        <v>45951</v>
      </c>
      <c r="D1201" s="7" t="s">
        <v>2794</v>
      </c>
      <c r="E1201" s="7" t="s">
        <v>61</v>
      </c>
      <c r="F1201" s="7" t="s">
        <v>2795</v>
      </c>
      <c r="G1201" s="7" t="s">
        <v>2795</v>
      </c>
      <c r="H1201" s="7"/>
      <c r="I1201" s="7"/>
      <c r="J1201" s="7" t="s">
        <v>59</v>
      </c>
      <c r="K1201" s="7" t="s">
        <v>58</v>
      </c>
      <c r="L1201" s="7" t="s">
        <v>57</v>
      </c>
      <c r="M1201" s="7" t="s">
        <v>32</v>
      </c>
      <c r="N1201" s="7" t="s">
        <v>106</v>
      </c>
      <c r="O1201" s="7" t="s">
        <v>105</v>
      </c>
      <c r="P1201" s="7" t="s">
        <v>54</v>
      </c>
      <c r="Q1201" s="9">
        <v>1822302.65</v>
      </c>
      <c r="R1201" s="9">
        <v>0</v>
      </c>
      <c r="S1201" s="9">
        <f t="shared" si="38"/>
        <v>1822302.65</v>
      </c>
      <c r="T1201" s="7" t="s">
        <v>53</v>
      </c>
      <c r="U1201" s="7" t="s">
        <v>172</v>
      </c>
      <c r="V1201" s="7" t="s">
        <v>2691</v>
      </c>
      <c r="W1201" s="9">
        <v>-50</v>
      </c>
      <c r="X1201" s="7" t="s">
        <v>129</v>
      </c>
      <c r="Y1201" s="4"/>
      <c r="Z1201" s="7" t="s">
        <v>14</v>
      </c>
      <c r="AA1201" s="36" t="s">
        <v>15</v>
      </c>
      <c r="AB1201" s="4" t="s">
        <v>2606</v>
      </c>
      <c r="AC1201" s="22">
        <f t="shared" si="39"/>
        <v>714.62849019607836</v>
      </c>
      <c r="AD1201" s="23">
        <v>0</v>
      </c>
    </row>
    <row r="1202" spans="1:30" x14ac:dyDescent="0.35">
      <c r="A1202" s="7">
        <v>36698</v>
      </c>
      <c r="B1202" s="24">
        <v>45951.250949074078</v>
      </c>
      <c r="C1202" s="24">
        <v>45951</v>
      </c>
      <c r="D1202" s="7" t="s">
        <v>2796</v>
      </c>
      <c r="E1202" s="7" t="s">
        <v>61</v>
      </c>
      <c r="F1202" s="7" t="s">
        <v>2797</v>
      </c>
      <c r="G1202" s="7" t="s">
        <v>2797</v>
      </c>
      <c r="H1202" s="7"/>
      <c r="I1202" s="7"/>
      <c r="J1202" s="7" t="s">
        <v>59</v>
      </c>
      <c r="K1202" s="7" t="s">
        <v>58</v>
      </c>
      <c r="L1202" s="7" t="s">
        <v>57</v>
      </c>
      <c r="M1202" s="7" t="s">
        <v>32</v>
      </c>
      <c r="N1202" s="7" t="s">
        <v>106</v>
      </c>
      <c r="O1202" s="7" t="s">
        <v>105</v>
      </c>
      <c r="P1202" s="7" t="s">
        <v>54</v>
      </c>
      <c r="Q1202" s="9">
        <v>32204.11</v>
      </c>
      <c r="R1202" s="9">
        <v>0</v>
      </c>
      <c r="S1202" s="9">
        <f t="shared" si="38"/>
        <v>32204.11</v>
      </c>
      <c r="T1202" s="7" t="s">
        <v>53</v>
      </c>
      <c r="U1202" s="7" t="s">
        <v>117</v>
      </c>
      <c r="V1202" s="7" t="s">
        <v>2688</v>
      </c>
      <c r="W1202" s="9">
        <v>-10</v>
      </c>
      <c r="X1202" s="7" t="s">
        <v>94</v>
      </c>
      <c r="Y1202" s="4"/>
      <c r="Z1202" s="7" t="s">
        <v>14</v>
      </c>
      <c r="AA1202" s="36" t="s">
        <v>15</v>
      </c>
      <c r="AB1202" s="4" t="s">
        <v>2606</v>
      </c>
      <c r="AC1202" s="22">
        <f t="shared" si="39"/>
        <v>12.629062745098039</v>
      </c>
      <c r="AD1202" s="23">
        <v>0</v>
      </c>
    </row>
    <row r="1203" spans="1:30" x14ac:dyDescent="0.35">
      <c r="A1203" s="7">
        <v>30688</v>
      </c>
      <c r="B1203" s="24">
        <v>45948.512349537035</v>
      </c>
      <c r="C1203" s="24">
        <v>45948</v>
      </c>
      <c r="D1203" s="7" t="s">
        <v>2798</v>
      </c>
      <c r="E1203" s="7" t="s">
        <v>61</v>
      </c>
      <c r="F1203" s="7" t="s">
        <v>2799</v>
      </c>
      <c r="G1203" s="7" t="s">
        <v>2799</v>
      </c>
      <c r="H1203" s="7"/>
      <c r="I1203" s="7"/>
      <c r="J1203" s="7" t="s">
        <v>59</v>
      </c>
      <c r="K1203" s="7" t="s">
        <v>58</v>
      </c>
      <c r="L1203" s="7" t="s">
        <v>57</v>
      </c>
      <c r="M1203" s="7" t="s">
        <v>32</v>
      </c>
      <c r="N1203" s="7" t="s">
        <v>106</v>
      </c>
      <c r="O1203" s="7" t="s">
        <v>105</v>
      </c>
      <c r="P1203" s="7" t="s">
        <v>54</v>
      </c>
      <c r="Q1203" s="9">
        <v>34200</v>
      </c>
      <c r="R1203" s="9">
        <v>0</v>
      </c>
      <c r="S1203" s="9">
        <f t="shared" si="38"/>
        <v>34200</v>
      </c>
      <c r="T1203" s="7" t="s">
        <v>53</v>
      </c>
      <c r="U1203" s="7" t="s">
        <v>151</v>
      </c>
      <c r="V1203" s="7" t="s">
        <v>2691</v>
      </c>
      <c r="W1203" s="9">
        <v>-6</v>
      </c>
      <c r="X1203" s="7" t="s">
        <v>124</v>
      </c>
      <c r="Y1203" s="4"/>
      <c r="Z1203" s="7" t="s">
        <v>14</v>
      </c>
      <c r="AA1203" s="36" t="s">
        <v>15</v>
      </c>
      <c r="AB1203" s="4" t="s">
        <v>2606</v>
      </c>
      <c r="AC1203" s="22">
        <f t="shared" si="39"/>
        <v>13.411764705882353</v>
      </c>
      <c r="AD1203" s="23">
        <v>0</v>
      </c>
    </row>
    <row r="1204" spans="1:30" x14ac:dyDescent="0.35">
      <c r="A1204" s="7">
        <v>30686</v>
      </c>
      <c r="B1204" s="24">
        <v>45948.512349537035</v>
      </c>
      <c r="C1204" s="24">
        <v>45948</v>
      </c>
      <c r="D1204" s="7" t="s">
        <v>2800</v>
      </c>
      <c r="E1204" s="7" t="s">
        <v>61</v>
      </c>
      <c r="F1204" s="7" t="s">
        <v>2801</v>
      </c>
      <c r="G1204" s="7" t="s">
        <v>2801</v>
      </c>
      <c r="H1204" s="7"/>
      <c r="I1204" s="7"/>
      <c r="J1204" s="7" t="s">
        <v>59</v>
      </c>
      <c r="K1204" s="7" t="s">
        <v>58</v>
      </c>
      <c r="L1204" s="7" t="s">
        <v>57</v>
      </c>
      <c r="M1204" s="7" t="s">
        <v>32</v>
      </c>
      <c r="N1204" s="7" t="s">
        <v>106</v>
      </c>
      <c r="O1204" s="7" t="s">
        <v>105</v>
      </c>
      <c r="P1204" s="7" t="s">
        <v>54</v>
      </c>
      <c r="Q1204" s="9">
        <v>140000</v>
      </c>
      <c r="R1204" s="9">
        <v>0</v>
      </c>
      <c r="S1204" s="9">
        <f t="shared" si="38"/>
        <v>140000</v>
      </c>
      <c r="T1204" s="7" t="s">
        <v>53</v>
      </c>
      <c r="U1204" s="7" t="s">
        <v>148</v>
      </c>
      <c r="V1204" s="7" t="s">
        <v>2691</v>
      </c>
      <c r="W1204" s="9">
        <v>-20</v>
      </c>
      <c r="X1204" s="7" t="s">
        <v>94</v>
      </c>
      <c r="Y1204" s="4"/>
      <c r="Z1204" s="7" t="s">
        <v>14</v>
      </c>
      <c r="AA1204" s="36" t="s">
        <v>15</v>
      </c>
      <c r="AB1204" s="4" t="s">
        <v>2606</v>
      </c>
      <c r="AC1204" s="22">
        <f t="shared" si="39"/>
        <v>54.901960784313722</v>
      </c>
      <c r="AD1204" s="23">
        <v>0</v>
      </c>
    </row>
    <row r="1205" spans="1:30" x14ac:dyDescent="0.35">
      <c r="A1205" s="7">
        <v>8767</v>
      </c>
      <c r="B1205" s="24">
        <v>45937.594710648147</v>
      </c>
      <c r="C1205" s="24">
        <v>45937</v>
      </c>
      <c r="D1205" s="7" t="s">
        <v>2802</v>
      </c>
      <c r="E1205" s="7" t="s">
        <v>61</v>
      </c>
      <c r="F1205" s="7" t="s">
        <v>2803</v>
      </c>
      <c r="G1205" s="7" t="s">
        <v>2803</v>
      </c>
      <c r="H1205" s="7"/>
      <c r="I1205" s="7"/>
      <c r="J1205" s="7" t="s">
        <v>59</v>
      </c>
      <c r="K1205" s="7" t="s">
        <v>58</v>
      </c>
      <c r="L1205" s="7" t="s">
        <v>57</v>
      </c>
      <c r="M1205" s="7" t="s">
        <v>32</v>
      </c>
      <c r="N1205" s="7" t="s">
        <v>106</v>
      </c>
      <c r="O1205" s="7" t="s">
        <v>105</v>
      </c>
      <c r="P1205" s="7" t="s">
        <v>54</v>
      </c>
      <c r="Q1205" s="9">
        <v>68400</v>
      </c>
      <c r="R1205" s="9">
        <v>0</v>
      </c>
      <c r="S1205" s="9">
        <f t="shared" si="38"/>
        <v>68400</v>
      </c>
      <c r="T1205" s="7" t="s">
        <v>53</v>
      </c>
      <c r="U1205" s="7" t="s">
        <v>154</v>
      </c>
      <c r="V1205" s="7" t="s">
        <v>2691</v>
      </c>
      <c r="W1205" s="9">
        <v>-12</v>
      </c>
      <c r="X1205" s="7" t="s">
        <v>124</v>
      </c>
      <c r="Y1205" s="4"/>
      <c r="Z1205" s="7" t="s">
        <v>14</v>
      </c>
      <c r="AA1205" s="36" t="s">
        <v>15</v>
      </c>
      <c r="AB1205" s="4" t="s">
        <v>2606</v>
      </c>
      <c r="AC1205" s="22">
        <f t="shared" si="39"/>
        <v>26.823529411764707</v>
      </c>
      <c r="AD1205" s="23">
        <v>0</v>
      </c>
    </row>
    <row r="1206" spans="1:30" x14ac:dyDescent="0.35">
      <c r="A1206" s="7">
        <v>8765</v>
      </c>
      <c r="B1206" s="24">
        <v>45937.594710648147</v>
      </c>
      <c r="C1206" s="24">
        <v>45937</v>
      </c>
      <c r="D1206" s="7" t="s">
        <v>2804</v>
      </c>
      <c r="E1206" s="7" t="s">
        <v>61</v>
      </c>
      <c r="F1206" s="7" t="s">
        <v>2805</v>
      </c>
      <c r="G1206" s="7" t="s">
        <v>2805</v>
      </c>
      <c r="H1206" s="7"/>
      <c r="I1206" s="7"/>
      <c r="J1206" s="7" t="s">
        <v>59</v>
      </c>
      <c r="K1206" s="7" t="s">
        <v>58</v>
      </c>
      <c r="L1206" s="7" t="s">
        <v>57</v>
      </c>
      <c r="M1206" s="7" t="s">
        <v>32</v>
      </c>
      <c r="N1206" s="7" t="s">
        <v>106</v>
      </c>
      <c r="O1206" s="7" t="s">
        <v>105</v>
      </c>
      <c r="P1206" s="7" t="s">
        <v>54</v>
      </c>
      <c r="Q1206" s="9">
        <v>57000</v>
      </c>
      <c r="R1206" s="9">
        <v>0</v>
      </c>
      <c r="S1206" s="9">
        <f t="shared" si="38"/>
        <v>57000</v>
      </c>
      <c r="T1206" s="7" t="s">
        <v>53</v>
      </c>
      <c r="U1206" s="7" t="s">
        <v>151</v>
      </c>
      <c r="V1206" s="7" t="s">
        <v>2691</v>
      </c>
      <c r="W1206" s="9">
        <v>-10</v>
      </c>
      <c r="X1206" s="7" t="s">
        <v>124</v>
      </c>
      <c r="Y1206" s="4"/>
      <c r="Z1206" s="7" t="s">
        <v>14</v>
      </c>
      <c r="AA1206" s="36" t="s">
        <v>15</v>
      </c>
      <c r="AB1206" s="4" t="s">
        <v>2606</v>
      </c>
      <c r="AC1206" s="22">
        <f t="shared" si="39"/>
        <v>22.352941176470587</v>
      </c>
      <c r="AD1206" s="23">
        <v>0</v>
      </c>
    </row>
    <row r="1207" spans="1:30" x14ac:dyDescent="0.35">
      <c r="A1207" s="7">
        <v>8763</v>
      </c>
      <c r="B1207" s="24">
        <v>45937.594710648147</v>
      </c>
      <c r="C1207" s="24">
        <v>45937</v>
      </c>
      <c r="D1207" s="7" t="s">
        <v>2806</v>
      </c>
      <c r="E1207" s="7" t="s">
        <v>61</v>
      </c>
      <c r="F1207" s="7" t="s">
        <v>2807</v>
      </c>
      <c r="G1207" s="7" t="s">
        <v>2807</v>
      </c>
      <c r="H1207" s="7"/>
      <c r="I1207" s="7"/>
      <c r="J1207" s="7" t="s">
        <v>59</v>
      </c>
      <c r="K1207" s="7" t="s">
        <v>58</v>
      </c>
      <c r="L1207" s="7" t="s">
        <v>57</v>
      </c>
      <c r="M1207" s="7" t="s">
        <v>32</v>
      </c>
      <c r="N1207" s="7" t="s">
        <v>106</v>
      </c>
      <c r="O1207" s="7" t="s">
        <v>105</v>
      </c>
      <c r="P1207" s="7" t="s">
        <v>54</v>
      </c>
      <c r="Q1207" s="9">
        <v>200000</v>
      </c>
      <c r="R1207" s="9">
        <v>0</v>
      </c>
      <c r="S1207" s="9">
        <f t="shared" si="38"/>
        <v>200000</v>
      </c>
      <c r="T1207" s="7" t="s">
        <v>53</v>
      </c>
      <c r="U1207" s="7" t="s">
        <v>145</v>
      </c>
      <c r="V1207" s="7" t="s">
        <v>2691</v>
      </c>
      <c r="W1207" s="9">
        <v>-40</v>
      </c>
      <c r="X1207" s="7" t="s">
        <v>94</v>
      </c>
      <c r="Y1207" s="4"/>
      <c r="Z1207" s="7" t="s">
        <v>14</v>
      </c>
      <c r="AA1207" s="36" t="s">
        <v>15</v>
      </c>
      <c r="AB1207" s="4" t="s">
        <v>2606</v>
      </c>
      <c r="AC1207" s="22">
        <f t="shared" si="39"/>
        <v>78.431372549019613</v>
      </c>
      <c r="AD1207" s="23">
        <v>0</v>
      </c>
    </row>
    <row r="1208" spans="1:30" x14ac:dyDescent="0.35">
      <c r="A1208" s="7">
        <v>3295</v>
      </c>
      <c r="B1208" s="24">
        <v>45933.561111111114</v>
      </c>
      <c r="C1208" s="24">
        <v>45933</v>
      </c>
      <c r="D1208" s="7" t="s">
        <v>2808</v>
      </c>
      <c r="E1208" s="7" t="s">
        <v>61</v>
      </c>
      <c r="F1208" s="7" t="s">
        <v>2809</v>
      </c>
      <c r="G1208" s="7" t="s">
        <v>2809</v>
      </c>
      <c r="H1208" s="7"/>
      <c r="I1208" s="7"/>
      <c r="J1208" s="7" t="s">
        <v>59</v>
      </c>
      <c r="K1208" s="7" t="s">
        <v>58</v>
      </c>
      <c r="L1208" s="7" t="s">
        <v>57</v>
      </c>
      <c r="M1208" s="7" t="s">
        <v>32</v>
      </c>
      <c r="N1208" s="7" t="s">
        <v>106</v>
      </c>
      <c r="O1208" s="7" t="s">
        <v>105</v>
      </c>
      <c r="P1208" s="7" t="s">
        <v>54</v>
      </c>
      <c r="Q1208" s="9">
        <v>59261.08</v>
      </c>
      <c r="R1208" s="9">
        <v>0</v>
      </c>
      <c r="S1208" s="9">
        <f t="shared" si="38"/>
        <v>59261.08</v>
      </c>
      <c r="T1208" s="7" t="s">
        <v>53</v>
      </c>
      <c r="U1208" s="7" t="s">
        <v>2704</v>
      </c>
      <c r="V1208" s="7" t="s">
        <v>2691</v>
      </c>
      <c r="W1208" s="9">
        <v>-10</v>
      </c>
      <c r="X1208" s="7" t="s">
        <v>124</v>
      </c>
      <c r="Y1208" s="4"/>
      <c r="Z1208" s="7" t="s">
        <v>14</v>
      </c>
      <c r="AA1208" s="36" t="s">
        <v>15</v>
      </c>
      <c r="AB1208" s="4" t="s">
        <v>2606</v>
      </c>
      <c r="AC1208" s="22">
        <f t="shared" si="39"/>
        <v>23.239639215686275</v>
      </c>
      <c r="AD1208" s="23">
        <v>0</v>
      </c>
    </row>
    <row r="1209" spans="1:30" x14ac:dyDescent="0.35">
      <c r="A1209" s="7">
        <v>3292</v>
      </c>
      <c r="B1209" s="24">
        <v>45933.561111111114</v>
      </c>
      <c r="C1209" s="24">
        <v>45933</v>
      </c>
      <c r="D1209" s="7" t="s">
        <v>2810</v>
      </c>
      <c r="E1209" s="7" t="s">
        <v>61</v>
      </c>
      <c r="F1209" s="7" t="s">
        <v>2811</v>
      </c>
      <c r="G1209" s="7" t="s">
        <v>2811</v>
      </c>
      <c r="H1209" s="7"/>
      <c r="I1209" s="7"/>
      <c r="J1209" s="7" t="s">
        <v>59</v>
      </c>
      <c r="K1209" s="7" t="s">
        <v>58</v>
      </c>
      <c r="L1209" s="7" t="s">
        <v>57</v>
      </c>
      <c r="M1209" s="7" t="s">
        <v>32</v>
      </c>
      <c r="N1209" s="7" t="s">
        <v>106</v>
      </c>
      <c r="O1209" s="7" t="s">
        <v>105</v>
      </c>
      <c r="P1209" s="7" t="s">
        <v>54</v>
      </c>
      <c r="Q1209" s="9">
        <v>57000</v>
      </c>
      <c r="R1209" s="9">
        <v>0</v>
      </c>
      <c r="S1209" s="9">
        <f t="shared" si="38"/>
        <v>57000</v>
      </c>
      <c r="T1209" s="7" t="s">
        <v>53</v>
      </c>
      <c r="U1209" s="7" t="s">
        <v>151</v>
      </c>
      <c r="V1209" s="7" t="s">
        <v>2691</v>
      </c>
      <c r="W1209" s="9">
        <v>-10</v>
      </c>
      <c r="X1209" s="7" t="s">
        <v>124</v>
      </c>
      <c r="Y1209" s="4"/>
      <c r="Z1209" s="7" t="s">
        <v>14</v>
      </c>
      <c r="AA1209" s="36" t="s">
        <v>15</v>
      </c>
      <c r="AB1209" s="4" t="s">
        <v>2606</v>
      </c>
      <c r="AC1209" s="22">
        <f t="shared" si="39"/>
        <v>22.352941176470587</v>
      </c>
      <c r="AD1209" s="23">
        <v>0</v>
      </c>
    </row>
    <row r="1210" spans="1:30" x14ac:dyDescent="0.35">
      <c r="A1210" s="7">
        <v>3290</v>
      </c>
      <c r="B1210" s="24">
        <v>45933.561111111114</v>
      </c>
      <c r="C1210" s="24">
        <v>45933</v>
      </c>
      <c r="D1210" s="7" t="s">
        <v>2812</v>
      </c>
      <c r="E1210" s="7" t="s">
        <v>61</v>
      </c>
      <c r="F1210" s="7" t="s">
        <v>2813</v>
      </c>
      <c r="G1210" s="7" t="s">
        <v>2813</v>
      </c>
      <c r="H1210" s="7"/>
      <c r="I1210" s="7"/>
      <c r="J1210" s="7" t="s">
        <v>59</v>
      </c>
      <c r="K1210" s="7" t="s">
        <v>58</v>
      </c>
      <c r="L1210" s="7" t="s">
        <v>57</v>
      </c>
      <c r="M1210" s="7" t="s">
        <v>32</v>
      </c>
      <c r="N1210" s="7" t="s">
        <v>106</v>
      </c>
      <c r="O1210" s="7" t="s">
        <v>105</v>
      </c>
      <c r="P1210" s="7" t="s">
        <v>54</v>
      </c>
      <c r="Q1210" s="9">
        <v>70000</v>
      </c>
      <c r="R1210" s="9">
        <v>0</v>
      </c>
      <c r="S1210" s="9">
        <f t="shared" si="38"/>
        <v>70000</v>
      </c>
      <c r="T1210" s="7" t="s">
        <v>53</v>
      </c>
      <c r="U1210" s="7" t="s">
        <v>133</v>
      </c>
      <c r="V1210" s="7" t="s">
        <v>2691</v>
      </c>
      <c r="W1210" s="9">
        <v>-14</v>
      </c>
      <c r="X1210" s="7" t="s">
        <v>124</v>
      </c>
      <c r="Y1210" s="4"/>
      <c r="Z1210" s="7" t="s">
        <v>14</v>
      </c>
      <c r="AA1210" s="36" t="s">
        <v>15</v>
      </c>
      <c r="AB1210" s="4" t="s">
        <v>2606</v>
      </c>
      <c r="AC1210" s="22">
        <f t="shared" si="39"/>
        <v>27.450980392156861</v>
      </c>
      <c r="AD1210" s="23">
        <v>0</v>
      </c>
    </row>
    <row r="1211" spans="1:30" x14ac:dyDescent="0.35">
      <c r="A1211" s="7">
        <v>3289</v>
      </c>
      <c r="B1211" s="24">
        <v>45933.561111111114</v>
      </c>
      <c r="C1211" s="24">
        <v>45933</v>
      </c>
      <c r="D1211" s="7" t="s">
        <v>2814</v>
      </c>
      <c r="E1211" s="7" t="s">
        <v>61</v>
      </c>
      <c r="F1211" s="7" t="s">
        <v>2815</v>
      </c>
      <c r="G1211" s="7" t="s">
        <v>2815</v>
      </c>
      <c r="H1211" s="7"/>
      <c r="I1211" s="7"/>
      <c r="J1211" s="7" t="s">
        <v>59</v>
      </c>
      <c r="K1211" s="7" t="s">
        <v>58</v>
      </c>
      <c r="L1211" s="7" t="s">
        <v>57</v>
      </c>
      <c r="M1211" s="7" t="s">
        <v>32</v>
      </c>
      <c r="N1211" s="7" t="s">
        <v>106</v>
      </c>
      <c r="O1211" s="7" t="s">
        <v>105</v>
      </c>
      <c r="P1211" s="7" t="s">
        <v>54</v>
      </c>
      <c r="Q1211" s="9">
        <v>140000</v>
      </c>
      <c r="R1211" s="9">
        <v>0</v>
      </c>
      <c r="S1211" s="9">
        <f t="shared" si="38"/>
        <v>140000</v>
      </c>
      <c r="T1211" s="7" t="s">
        <v>53</v>
      </c>
      <c r="U1211" s="7" t="s">
        <v>148</v>
      </c>
      <c r="V1211" s="7" t="s">
        <v>2691</v>
      </c>
      <c r="W1211" s="9">
        <v>-20</v>
      </c>
      <c r="X1211" s="7" t="s">
        <v>94</v>
      </c>
      <c r="Y1211" s="4"/>
      <c r="Z1211" s="7" t="s">
        <v>14</v>
      </c>
      <c r="AA1211" s="36" t="s">
        <v>15</v>
      </c>
      <c r="AB1211" s="4" t="s">
        <v>2606</v>
      </c>
      <c r="AC1211" s="22">
        <f t="shared" si="39"/>
        <v>54.901960784313722</v>
      </c>
      <c r="AD1211" s="23">
        <v>0</v>
      </c>
    </row>
    <row r="1212" spans="1:30" x14ac:dyDescent="0.35">
      <c r="A1212" s="7">
        <v>3287</v>
      </c>
      <c r="B1212" s="24">
        <v>45933.561111111114</v>
      </c>
      <c r="C1212" s="24">
        <v>45933</v>
      </c>
      <c r="D1212" s="7" t="s">
        <v>2816</v>
      </c>
      <c r="E1212" s="7" t="s">
        <v>61</v>
      </c>
      <c r="F1212" s="7" t="s">
        <v>2817</v>
      </c>
      <c r="G1212" s="7" t="s">
        <v>2817</v>
      </c>
      <c r="H1212" s="7"/>
      <c r="I1212" s="7"/>
      <c r="J1212" s="7" t="s">
        <v>59</v>
      </c>
      <c r="K1212" s="7" t="s">
        <v>58</v>
      </c>
      <c r="L1212" s="7" t="s">
        <v>57</v>
      </c>
      <c r="M1212" s="7" t="s">
        <v>32</v>
      </c>
      <c r="N1212" s="7" t="s">
        <v>106</v>
      </c>
      <c r="O1212" s="7" t="s">
        <v>105</v>
      </c>
      <c r="P1212" s="7" t="s">
        <v>54</v>
      </c>
      <c r="Q1212" s="9">
        <v>48314.84</v>
      </c>
      <c r="R1212" s="9">
        <v>0</v>
      </c>
      <c r="S1212" s="9">
        <f t="shared" si="38"/>
        <v>48314.84</v>
      </c>
      <c r="T1212" s="7" t="s">
        <v>53</v>
      </c>
      <c r="U1212" s="7" t="s">
        <v>117</v>
      </c>
      <c r="V1212" s="7" t="s">
        <v>2688</v>
      </c>
      <c r="W1212" s="9">
        <v>-15</v>
      </c>
      <c r="X1212" s="7" t="s">
        <v>94</v>
      </c>
      <c r="Y1212" s="4"/>
      <c r="Z1212" s="7" t="s">
        <v>14</v>
      </c>
      <c r="AA1212" s="36" t="s">
        <v>15</v>
      </c>
      <c r="AB1212" s="4" t="s">
        <v>2606</v>
      </c>
      <c r="AC1212" s="22">
        <f t="shared" si="39"/>
        <v>18.946996078431372</v>
      </c>
      <c r="AD1212" s="23">
        <v>0</v>
      </c>
    </row>
    <row r="1213" spans="1:30" x14ac:dyDescent="0.35">
      <c r="A1213" s="7">
        <v>3258</v>
      </c>
      <c r="B1213" s="24">
        <v>45933.578599537039</v>
      </c>
      <c r="C1213" s="24">
        <v>45933</v>
      </c>
      <c r="D1213" s="7" t="s">
        <v>2818</v>
      </c>
      <c r="E1213" s="7" t="s">
        <v>61</v>
      </c>
      <c r="F1213" s="7" t="s">
        <v>2819</v>
      </c>
      <c r="G1213" s="7" t="s">
        <v>2819</v>
      </c>
      <c r="H1213" s="7"/>
      <c r="I1213" s="7"/>
      <c r="J1213" s="7" t="s">
        <v>59</v>
      </c>
      <c r="K1213" s="7" t="s">
        <v>58</v>
      </c>
      <c r="L1213" s="7" t="s">
        <v>57</v>
      </c>
      <c r="M1213" s="7" t="s">
        <v>32</v>
      </c>
      <c r="N1213" s="7" t="s">
        <v>106</v>
      </c>
      <c r="O1213" s="7" t="s">
        <v>105</v>
      </c>
      <c r="P1213" s="7" t="s">
        <v>54</v>
      </c>
      <c r="Q1213" s="9">
        <v>999641.12</v>
      </c>
      <c r="R1213" s="9">
        <v>0</v>
      </c>
      <c r="S1213" s="9">
        <f t="shared" si="38"/>
        <v>999641.12</v>
      </c>
      <c r="T1213" s="7" t="s">
        <v>53</v>
      </c>
      <c r="U1213" s="7" t="s">
        <v>130</v>
      </c>
      <c r="V1213" s="7" t="s">
        <v>2691</v>
      </c>
      <c r="W1213" s="9">
        <v>-70</v>
      </c>
      <c r="X1213" s="7" t="s">
        <v>129</v>
      </c>
      <c r="Y1213" s="4"/>
      <c r="Z1213" s="7" t="s">
        <v>14</v>
      </c>
      <c r="AA1213" s="36" t="s">
        <v>15</v>
      </c>
      <c r="AB1213" s="4" t="s">
        <v>2606</v>
      </c>
      <c r="AC1213" s="22">
        <f t="shared" si="39"/>
        <v>392.01612549019609</v>
      </c>
      <c r="AD1213" s="23">
        <v>0</v>
      </c>
    </row>
    <row r="1214" spans="1:30" x14ac:dyDescent="0.35">
      <c r="A1214" s="7">
        <v>1464</v>
      </c>
      <c r="B1214" s="24">
        <v>45932.603043981479</v>
      </c>
      <c r="C1214" s="24">
        <v>45932</v>
      </c>
      <c r="D1214" s="7" t="s">
        <v>2820</v>
      </c>
      <c r="E1214" s="7" t="s">
        <v>61</v>
      </c>
      <c r="F1214" s="7" t="s">
        <v>2821</v>
      </c>
      <c r="G1214" s="7" t="s">
        <v>2821</v>
      </c>
      <c r="H1214" s="7"/>
      <c r="I1214" s="7"/>
      <c r="J1214" s="7" t="s">
        <v>59</v>
      </c>
      <c r="K1214" s="7" t="s">
        <v>58</v>
      </c>
      <c r="L1214" s="7" t="s">
        <v>57</v>
      </c>
      <c r="M1214" s="7" t="s">
        <v>32</v>
      </c>
      <c r="N1214" s="7" t="s">
        <v>106</v>
      </c>
      <c r="O1214" s="7" t="s">
        <v>105</v>
      </c>
      <c r="P1214" s="7" t="s">
        <v>54</v>
      </c>
      <c r="Q1214" s="9">
        <v>140000</v>
      </c>
      <c r="R1214" s="9">
        <v>0</v>
      </c>
      <c r="S1214" s="9">
        <f t="shared" si="38"/>
        <v>140000</v>
      </c>
      <c r="T1214" s="7" t="s">
        <v>53</v>
      </c>
      <c r="U1214" s="7" t="s">
        <v>133</v>
      </c>
      <c r="V1214" s="7" t="s">
        <v>2691</v>
      </c>
      <c r="W1214" s="9">
        <v>-28</v>
      </c>
      <c r="X1214" s="7" t="s">
        <v>124</v>
      </c>
      <c r="Y1214" s="4"/>
      <c r="Z1214" s="7" t="s">
        <v>14</v>
      </c>
      <c r="AA1214" s="36" t="s">
        <v>15</v>
      </c>
      <c r="AB1214" s="4" t="s">
        <v>2606</v>
      </c>
      <c r="AC1214" s="22">
        <f t="shared" si="39"/>
        <v>54.901960784313722</v>
      </c>
      <c r="AD1214" s="23">
        <v>0</v>
      </c>
    </row>
    <row r="1215" spans="1:30" x14ac:dyDescent="0.35">
      <c r="A1215" s="7">
        <v>1461</v>
      </c>
      <c r="B1215" s="24">
        <v>45932.603043981479</v>
      </c>
      <c r="C1215" s="24">
        <v>45932</v>
      </c>
      <c r="D1215" s="7" t="s">
        <v>2822</v>
      </c>
      <c r="E1215" s="7" t="s">
        <v>61</v>
      </c>
      <c r="F1215" s="7" t="s">
        <v>2823</v>
      </c>
      <c r="G1215" s="7" t="s">
        <v>2823</v>
      </c>
      <c r="H1215" s="7"/>
      <c r="I1215" s="7"/>
      <c r="J1215" s="7" t="s">
        <v>59</v>
      </c>
      <c r="K1215" s="7" t="s">
        <v>58</v>
      </c>
      <c r="L1215" s="7" t="s">
        <v>57</v>
      </c>
      <c r="M1215" s="7" t="s">
        <v>32</v>
      </c>
      <c r="N1215" s="7" t="s">
        <v>106</v>
      </c>
      <c r="O1215" s="7" t="s">
        <v>105</v>
      </c>
      <c r="P1215" s="7" t="s">
        <v>54</v>
      </c>
      <c r="Q1215" s="9">
        <v>2915684.24</v>
      </c>
      <c r="R1215" s="9">
        <v>0</v>
      </c>
      <c r="S1215" s="9">
        <f t="shared" si="38"/>
        <v>2915684.24</v>
      </c>
      <c r="T1215" s="7" t="s">
        <v>53</v>
      </c>
      <c r="U1215" s="7" t="s">
        <v>172</v>
      </c>
      <c r="V1215" s="7" t="s">
        <v>2691</v>
      </c>
      <c r="W1215" s="9">
        <v>-80</v>
      </c>
      <c r="X1215" s="7" t="s">
        <v>129</v>
      </c>
      <c r="Y1215" s="4"/>
      <c r="Z1215" s="7" t="s">
        <v>14</v>
      </c>
      <c r="AA1215" s="36" t="s">
        <v>15</v>
      </c>
      <c r="AB1215" s="4" t="s">
        <v>2606</v>
      </c>
      <c r="AC1215" s="22">
        <f t="shared" si="39"/>
        <v>1143.4055843137255</v>
      </c>
      <c r="AD1215" s="23">
        <v>0</v>
      </c>
    </row>
    <row r="1216" spans="1:30" x14ac:dyDescent="0.35">
      <c r="A1216" s="7">
        <v>1459</v>
      </c>
      <c r="B1216" s="24">
        <v>45932.603043981479</v>
      </c>
      <c r="C1216" s="24">
        <v>45932</v>
      </c>
      <c r="D1216" s="7" t="s">
        <v>2824</v>
      </c>
      <c r="E1216" s="7" t="s">
        <v>61</v>
      </c>
      <c r="F1216" s="7" t="s">
        <v>2825</v>
      </c>
      <c r="G1216" s="7" t="s">
        <v>2825</v>
      </c>
      <c r="H1216" s="7"/>
      <c r="I1216" s="7"/>
      <c r="J1216" s="7" t="s">
        <v>59</v>
      </c>
      <c r="K1216" s="7" t="s">
        <v>58</v>
      </c>
      <c r="L1216" s="7" t="s">
        <v>57</v>
      </c>
      <c r="M1216" s="7" t="s">
        <v>32</v>
      </c>
      <c r="N1216" s="7" t="s">
        <v>106</v>
      </c>
      <c r="O1216" s="7" t="s">
        <v>105</v>
      </c>
      <c r="P1216" s="7" t="s">
        <v>54</v>
      </c>
      <c r="Q1216" s="9">
        <v>32209.9</v>
      </c>
      <c r="R1216" s="9">
        <v>0</v>
      </c>
      <c r="S1216" s="9">
        <f t="shared" si="38"/>
        <v>32209.9</v>
      </c>
      <c r="T1216" s="7" t="s">
        <v>53</v>
      </c>
      <c r="U1216" s="7" t="s">
        <v>117</v>
      </c>
      <c r="V1216" s="7" t="s">
        <v>2688</v>
      </c>
      <c r="W1216" s="9">
        <v>-10</v>
      </c>
      <c r="X1216" s="7" t="s">
        <v>94</v>
      </c>
      <c r="Y1216" s="4"/>
      <c r="Z1216" s="7" t="s">
        <v>14</v>
      </c>
      <c r="AA1216" s="36" t="s">
        <v>15</v>
      </c>
      <c r="AB1216" s="4" t="s">
        <v>2606</v>
      </c>
      <c r="AC1216" s="22">
        <f t="shared" si="39"/>
        <v>12.631333333333334</v>
      </c>
      <c r="AD1216" s="23">
        <v>0</v>
      </c>
    </row>
    <row r="1217" spans="1:30" x14ac:dyDescent="0.35">
      <c r="A1217" s="7">
        <v>36136</v>
      </c>
      <c r="B1217" s="24">
        <v>45951.596053240741</v>
      </c>
      <c r="C1217" s="24">
        <v>45951</v>
      </c>
      <c r="D1217" s="7" t="s">
        <v>2826</v>
      </c>
      <c r="E1217" s="7" t="s">
        <v>61</v>
      </c>
      <c r="F1217" s="7" t="s">
        <v>2827</v>
      </c>
      <c r="G1217" s="7" t="s">
        <v>2827</v>
      </c>
      <c r="H1217" s="7"/>
      <c r="I1217" s="7"/>
      <c r="J1217" s="7" t="s">
        <v>59</v>
      </c>
      <c r="K1217" s="7" t="s">
        <v>58</v>
      </c>
      <c r="L1217" s="7" t="s">
        <v>57</v>
      </c>
      <c r="M1217" s="7" t="s">
        <v>32</v>
      </c>
      <c r="N1217" s="7" t="s">
        <v>96</v>
      </c>
      <c r="O1217" s="7" t="s">
        <v>68</v>
      </c>
      <c r="P1217" s="7" t="s">
        <v>54</v>
      </c>
      <c r="Q1217" s="9">
        <v>428417.62</v>
      </c>
      <c r="R1217" s="9">
        <v>0</v>
      </c>
      <c r="S1217" s="9">
        <f t="shared" si="38"/>
        <v>428417.62</v>
      </c>
      <c r="T1217" s="7" t="s">
        <v>53</v>
      </c>
      <c r="U1217" s="7" t="s">
        <v>130</v>
      </c>
      <c r="V1217" s="7" t="s">
        <v>2691</v>
      </c>
      <c r="W1217" s="9">
        <v>-30</v>
      </c>
      <c r="X1217" s="7" t="s">
        <v>129</v>
      </c>
      <c r="Y1217" s="4"/>
      <c r="Z1217" s="7" t="s">
        <v>14</v>
      </c>
      <c r="AA1217" s="36" t="s">
        <v>27</v>
      </c>
      <c r="AB1217" s="4" t="str">
        <f>IFERROR(_xlfn.XLOOKUP(AA1217,AA3:AA1151,AB3:AB1151),0)</f>
        <v>ROADS</v>
      </c>
      <c r="AC1217" s="22">
        <f t="shared" si="39"/>
        <v>168.00690980392156</v>
      </c>
      <c r="AD1217" s="23">
        <v>0</v>
      </c>
    </row>
    <row r="1218" spans="1:30" x14ac:dyDescent="0.35">
      <c r="A1218" s="7">
        <v>28780</v>
      </c>
      <c r="B1218" s="24">
        <v>45947.620069444441</v>
      </c>
      <c r="C1218" s="24">
        <v>45947</v>
      </c>
      <c r="D1218" s="7" t="s">
        <v>2828</v>
      </c>
      <c r="E1218" s="7" t="s">
        <v>61</v>
      </c>
      <c r="F1218" s="7" t="s">
        <v>2829</v>
      </c>
      <c r="G1218" s="7" t="s">
        <v>2829</v>
      </c>
      <c r="H1218" s="7"/>
      <c r="I1218" s="7"/>
      <c r="J1218" s="7" t="s">
        <v>59</v>
      </c>
      <c r="K1218" s="7" t="s">
        <v>58</v>
      </c>
      <c r="L1218" s="7" t="s">
        <v>97</v>
      </c>
      <c r="M1218" s="7" t="s">
        <v>34</v>
      </c>
      <c r="N1218" s="7" t="s">
        <v>106</v>
      </c>
      <c r="O1218" s="7" t="s">
        <v>105</v>
      </c>
      <c r="P1218" s="7" t="s">
        <v>54</v>
      </c>
      <c r="Q1218" s="9">
        <v>117600.01</v>
      </c>
      <c r="R1218" s="9">
        <v>0</v>
      </c>
      <c r="S1218" s="9">
        <f t="shared" si="38"/>
        <v>117600.01</v>
      </c>
      <c r="T1218" s="7" t="s">
        <v>53</v>
      </c>
      <c r="U1218" s="7" t="s">
        <v>111</v>
      </c>
      <c r="V1218" s="7" t="s">
        <v>2830</v>
      </c>
      <c r="W1218" s="9">
        <v>-280</v>
      </c>
      <c r="X1218" s="7" t="s">
        <v>94</v>
      </c>
      <c r="Y1218" s="4"/>
      <c r="Z1218" s="7" t="s">
        <v>14</v>
      </c>
      <c r="AA1218" s="36" t="s">
        <v>15</v>
      </c>
      <c r="AB1218" s="4" t="s">
        <v>2606</v>
      </c>
      <c r="AC1218" s="22">
        <f t="shared" si="39"/>
        <v>46.117650980392156</v>
      </c>
      <c r="AD1218" s="23">
        <v>0</v>
      </c>
    </row>
    <row r="1219" spans="1:30" x14ac:dyDescent="0.35">
      <c r="A1219" s="7">
        <v>8757</v>
      </c>
      <c r="B1219" s="24">
        <v>45937.594976851855</v>
      </c>
      <c r="C1219" s="24">
        <v>45937</v>
      </c>
      <c r="D1219" s="7" t="s">
        <v>2831</v>
      </c>
      <c r="E1219" s="7" t="s">
        <v>61</v>
      </c>
      <c r="F1219" s="7" t="s">
        <v>2832</v>
      </c>
      <c r="G1219" s="7" t="s">
        <v>2832</v>
      </c>
      <c r="H1219" s="7"/>
      <c r="I1219" s="7"/>
      <c r="J1219" s="7" t="s">
        <v>59</v>
      </c>
      <c r="K1219" s="7" t="s">
        <v>58</v>
      </c>
      <c r="L1219" s="7" t="s">
        <v>97</v>
      </c>
      <c r="M1219" s="7" t="s">
        <v>34</v>
      </c>
      <c r="N1219" s="7" t="s">
        <v>106</v>
      </c>
      <c r="O1219" s="7" t="s">
        <v>105</v>
      </c>
      <c r="P1219" s="7" t="s">
        <v>54</v>
      </c>
      <c r="Q1219" s="9">
        <v>105000.02</v>
      </c>
      <c r="R1219" s="9">
        <v>0</v>
      </c>
      <c r="S1219" s="9">
        <f t="shared" ref="S1219:S1282" si="40">+Q1219-R1219</f>
        <v>105000.02</v>
      </c>
      <c r="T1219" s="7" t="s">
        <v>53</v>
      </c>
      <c r="U1219" s="7" t="s">
        <v>111</v>
      </c>
      <c r="V1219" s="7" t="s">
        <v>2830</v>
      </c>
      <c r="W1219" s="9">
        <v>-250</v>
      </c>
      <c r="X1219" s="7" t="s">
        <v>94</v>
      </c>
      <c r="Y1219" s="4"/>
      <c r="Z1219" s="7" t="s">
        <v>14</v>
      </c>
      <c r="AA1219" s="36" t="s">
        <v>15</v>
      </c>
      <c r="AB1219" s="4" t="s">
        <v>2606</v>
      </c>
      <c r="AC1219" s="22">
        <f t="shared" si="39"/>
        <v>41.176478431372551</v>
      </c>
      <c r="AD1219" s="23">
        <v>0</v>
      </c>
    </row>
    <row r="1220" spans="1:30" hidden="1" x14ac:dyDescent="0.35">
      <c r="A1220" s="7">
        <v>2</v>
      </c>
      <c r="B1220" s="24">
        <v>45969.463819444441</v>
      </c>
      <c r="C1220" s="24">
        <v>45969</v>
      </c>
      <c r="D1220" s="7" t="s">
        <v>2837</v>
      </c>
      <c r="E1220" s="7" t="s">
        <v>1842</v>
      </c>
      <c r="F1220" s="7" t="s">
        <v>2838</v>
      </c>
      <c r="G1220" s="7" t="s">
        <v>2839</v>
      </c>
      <c r="H1220" s="7"/>
      <c r="I1220" s="7"/>
      <c r="J1220" s="7" t="s">
        <v>1840</v>
      </c>
      <c r="K1220" s="7" t="s">
        <v>1815</v>
      </c>
      <c r="L1220" s="7" t="s">
        <v>1839</v>
      </c>
      <c r="M1220" s="7" t="s">
        <v>2630</v>
      </c>
      <c r="N1220" s="7" t="s">
        <v>2838</v>
      </c>
      <c r="O1220" s="7" t="s">
        <v>1065</v>
      </c>
      <c r="P1220" s="7" t="s">
        <v>1703</v>
      </c>
      <c r="Q1220" s="9">
        <v>0</v>
      </c>
      <c r="R1220" s="9">
        <v>12711864.41</v>
      </c>
      <c r="S1220" s="9">
        <f t="shared" si="40"/>
        <v>-12711864.41</v>
      </c>
      <c r="T1220" s="7" t="s">
        <v>53</v>
      </c>
      <c r="U1220" s="7"/>
      <c r="V1220" s="7"/>
      <c r="W1220" s="9">
        <v>1</v>
      </c>
      <c r="X1220" s="7"/>
      <c r="Y1220" s="4"/>
      <c r="Z1220" s="7" t="s">
        <v>12</v>
      </c>
      <c r="AA1220" s="36" t="s">
        <v>2630</v>
      </c>
      <c r="AB1220" s="4">
        <f t="shared" ref="AB1220:AB1227" si="41">_xlfn.SINGLE(IFERROR(_xlfn.XLOOKUP(AA1220,AA$3:AA$1219,AB$3:AB$1219),0))</f>
        <v>0</v>
      </c>
      <c r="AC1220" s="22">
        <f t="shared" ref="AC1220:AC1280" si="42">+S1220/$AC$1</f>
        <v>-4985.0448666666671</v>
      </c>
      <c r="AD1220" s="23">
        <v>0</v>
      </c>
    </row>
    <row r="1221" spans="1:30" hidden="1" x14ac:dyDescent="0.35">
      <c r="A1221" s="7">
        <v>3</v>
      </c>
      <c r="B1221" s="24">
        <v>45971.270983796298</v>
      </c>
      <c r="C1221" s="24">
        <v>45971</v>
      </c>
      <c r="D1221" s="7" t="s">
        <v>2840</v>
      </c>
      <c r="E1221" s="7" t="s">
        <v>1331</v>
      </c>
      <c r="F1221" s="7" t="s">
        <v>1933</v>
      </c>
      <c r="G1221" s="7" t="s">
        <v>2841</v>
      </c>
      <c r="H1221" s="7" t="s">
        <v>1931</v>
      </c>
      <c r="I1221" s="7" t="s">
        <v>1930</v>
      </c>
      <c r="J1221" s="7" t="s">
        <v>1816</v>
      </c>
      <c r="K1221" s="7" t="s">
        <v>1815</v>
      </c>
      <c r="L1221" s="7" t="s">
        <v>1814</v>
      </c>
      <c r="M1221" s="7" t="s">
        <v>28</v>
      </c>
      <c r="N1221" s="7" t="s">
        <v>1825</v>
      </c>
      <c r="O1221" s="7" t="s">
        <v>1704</v>
      </c>
      <c r="P1221" s="7" t="s">
        <v>1703</v>
      </c>
      <c r="Q1221" s="9">
        <v>2638346.56</v>
      </c>
      <c r="R1221" s="9">
        <v>0</v>
      </c>
      <c r="S1221" s="9">
        <f t="shared" si="40"/>
        <v>2638346.56</v>
      </c>
      <c r="T1221" s="7" t="s">
        <v>53</v>
      </c>
      <c r="U1221" s="7"/>
      <c r="V1221" s="7"/>
      <c r="W1221" s="9">
        <v>1</v>
      </c>
      <c r="X1221" s="7"/>
      <c r="Y1221" s="4"/>
      <c r="Z1221" s="7" t="s">
        <v>14</v>
      </c>
      <c r="AA1221" s="36" t="s">
        <v>28</v>
      </c>
      <c r="AB1221" s="4"/>
      <c r="AC1221" s="22">
        <f t="shared" si="42"/>
        <v>1034.6457098039216</v>
      </c>
      <c r="AD1221" s="23">
        <v>0</v>
      </c>
    </row>
    <row r="1222" spans="1:30" hidden="1" x14ac:dyDescent="0.35">
      <c r="A1222" s="7">
        <v>4</v>
      </c>
      <c r="B1222" s="24">
        <v>45978.390462962961</v>
      </c>
      <c r="C1222" s="24">
        <v>45972</v>
      </c>
      <c r="D1222" s="7" t="s">
        <v>2842</v>
      </c>
      <c r="E1222" s="7" t="s">
        <v>1842</v>
      </c>
      <c r="F1222" s="7" t="s">
        <v>2843</v>
      </c>
      <c r="G1222" s="7" t="s">
        <v>2844</v>
      </c>
      <c r="H1222" s="7"/>
      <c r="I1222" s="7"/>
      <c r="J1222" s="7" t="s">
        <v>1840</v>
      </c>
      <c r="K1222" s="7" t="s">
        <v>1815</v>
      </c>
      <c r="L1222" s="7" t="s">
        <v>2845</v>
      </c>
      <c r="M1222" s="7" t="s">
        <v>2846</v>
      </c>
      <c r="N1222" s="7" t="s">
        <v>2843</v>
      </c>
      <c r="O1222" s="7" t="s">
        <v>1065</v>
      </c>
      <c r="P1222" s="7" t="s">
        <v>1703</v>
      </c>
      <c r="Q1222" s="9">
        <v>0</v>
      </c>
      <c r="R1222" s="9">
        <v>37090650</v>
      </c>
      <c r="S1222" s="9">
        <f t="shared" si="40"/>
        <v>-37090650</v>
      </c>
      <c r="T1222" s="7" t="s">
        <v>53</v>
      </c>
      <c r="U1222" s="7"/>
      <c r="V1222" s="7"/>
      <c r="W1222" s="9">
        <v>1</v>
      </c>
      <c r="X1222" s="7"/>
      <c r="Y1222" s="4"/>
      <c r="Z1222" s="7" t="s">
        <v>12</v>
      </c>
      <c r="AA1222" s="36" t="s">
        <v>2846</v>
      </c>
      <c r="AB1222" s="4">
        <f t="shared" si="41"/>
        <v>0</v>
      </c>
      <c r="AC1222" s="22">
        <f t="shared" si="42"/>
        <v>-14545.35294117647</v>
      </c>
      <c r="AD1222" s="23">
        <v>0</v>
      </c>
    </row>
    <row r="1223" spans="1:30" x14ac:dyDescent="0.35">
      <c r="A1223" s="7">
        <v>5</v>
      </c>
      <c r="B1223" s="24">
        <v>45973.299409722225</v>
      </c>
      <c r="C1223" s="24">
        <v>45973</v>
      </c>
      <c r="D1223" s="7" t="s">
        <v>2847</v>
      </c>
      <c r="E1223" s="7" t="s">
        <v>1331</v>
      </c>
      <c r="F1223" s="7" t="s">
        <v>2848</v>
      </c>
      <c r="G1223" s="7" t="s">
        <v>2849</v>
      </c>
      <c r="H1223" s="7" t="s">
        <v>1894</v>
      </c>
      <c r="I1223" s="7" t="s">
        <v>1893</v>
      </c>
      <c r="J1223" s="7" t="s">
        <v>1816</v>
      </c>
      <c r="K1223" s="7" t="s">
        <v>1815</v>
      </c>
      <c r="L1223" s="7" t="s">
        <v>1892</v>
      </c>
      <c r="M1223" s="7" t="s">
        <v>16</v>
      </c>
      <c r="N1223" s="7" t="s">
        <v>317</v>
      </c>
      <c r="O1223" s="7" t="s">
        <v>68</v>
      </c>
      <c r="P1223" s="7" t="s">
        <v>54</v>
      </c>
      <c r="Q1223" s="9">
        <v>3180000</v>
      </c>
      <c r="R1223" s="9">
        <v>0</v>
      </c>
      <c r="S1223" s="9">
        <f t="shared" si="40"/>
        <v>3180000</v>
      </c>
      <c r="T1223" s="7" t="s">
        <v>53</v>
      </c>
      <c r="U1223" s="7" t="s">
        <v>1904</v>
      </c>
      <c r="V1223" s="7" t="s">
        <v>1823</v>
      </c>
      <c r="W1223" s="9">
        <v>53</v>
      </c>
      <c r="X1223" s="7" t="s">
        <v>1903</v>
      </c>
      <c r="Y1223" s="4"/>
      <c r="Z1223" s="7" t="s">
        <v>14</v>
      </c>
      <c r="AA1223" s="36" t="s">
        <v>16</v>
      </c>
      <c r="AB1223" s="4" t="str">
        <f t="shared" si="41"/>
        <v>ROADS</v>
      </c>
      <c r="AC1223" s="22">
        <f t="shared" si="42"/>
        <v>1247.0588235294117</v>
      </c>
      <c r="AD1223" s="23">
        <v>0</v>
      </c>
    </row>
    <row r="1224" spans="1:30" x14ac:dyDescent="0.35">
      <c r="A1224" s="7">
        <v>6</v>
      </c>
      <c r="B1224" s="24">
        <v>45973.299409722225</v>
      </c>
      <c r="C1224" s="24">
        <v>45973</v>
      </c>
      <c r="D1224" s="7" t="s">
        <v>2847</v>
      </c>
      <c r="E1224" s="7" t="s">
        <v>1331</v>
      </c>
      <c r="F1224" s="7" t="s">
        <v>2850</v>
      </c>
      <c r="G1224" s="7" t="s">
        <v>2849</v>
      </c>
      <c r="H1224" s="7" t="s">
        <v>1894</v>
      </c>
      <c r="I1224" s="7" t="s">
        <v>1893</v>
      </c>
      <c r="J1224" s="7" t="s">
        <v>1816</v>
      </c>
      <c r="K1224" s="7" t="s">
        <v>1815</v>
      </c>
      <c r="L1224" s="7" t="s">
        <v>1892</v>
      </c>
      <c r="M1224" s="7" t="s">
        <v>16</v>
      </c>
      <c r="N1224" s="7" t="s">
        <v>317</v>
      </c>
      <c r="O1224" s="7" t="s">
        <v>68</v>
      </c>
      <c r="P1224" s="7" t="s">
        <v>54</v>
      </c>
      <c r="Q1224" s="9">
        <v>3180000</v>
      </c>
      <c r="R1224" s="9">
        <v>0</v>
      </c>
      <c r="S1224" s="9">
        <f t="shared" si="40"/>
        <v>3180000</v>
      </c>
      <c r="T1224" s="7" t="s">
        <v>53</v>
      </c>
      <c r="U1224" s="7" t="s">
        <v>1904</v>
      </c>
      <c r="V1224" s="7" t="s">
        <v>1823</v>
      </c>
      <c r="W1224" s="9">
        <v>53</v>
      </c>
      <c r="X1224" s="7" t="s">
        <v>1903</v>
      </c>
      <c r="Y1224" s="4"/>
      <c r="Z1224" s="7" t="s">
        <v>14</v>
      </c>
      <c r="AA1224" s="36" t="s">
        <v>16</v>
      </c>
      <c r="AB1224" s="4" t="str">
        <f t="shared" si="41"/>
        <v>ROADS</v>
      </c>
      <c r="AC1224" s="22">
        <f t="shared" si="42"/>
        <v>1247.0588235294117</v>
      </c>
      <c r="AD1224" s="23">
        <v>0</v>
      </c>
    </row>
    <row r="1225" spans="1:30" x14ac:dyDescent="0.35">
      <c r="A1225" s="7">
        <v>7</v>
      </c>
      <c r="B1225" s="24">
        <v>45973.299409722225</v>
      </c>
      <c r="C1225" s="24">
        <v>45973</v>
      </c>
      <c r="D1225" s="7" t="s">
        <v>2847</v>
      </c>
      <c r="E1225" s="7" t="s">
        <v>1331</v>
      </c>
      <c r="F1225" s="7" t="s">
        <v>2851</v>
      </c>
      <c r="G1225" s="7" t="s">
        <v>2849</v>
      </c>
      <c r="H1225" s="7" t="s">
        <v>1894</v>
      </c>
      <c r="I1225" s="7" t="s">
        <v>1893</v>
      </c>
      <c r="J1225" s="7" t="s">
        <v>1816</v>
      </c>
      <c r="K1225" s="7" t="s">
        <v>1815</v>
      </c>
      <c r="L1225" s="7" t="s">
        <v>1892</v>
      </c>
      <c r="M1225" s="7" t="s">
        <v>16</v>
      </c>
      <c r="N1225" s="7" t="s">
        <v>317</v>
      </c>
      <c r="O1225" s="7" t="s">
        <v>68</v>
      </c>
      <c r="P1225" s="7" t="s">
        <v>54</v>
      </c>
      <c r="Q1225" s="9">
        <v>966000</v>
      </c>
      <c r="R1225" s="9">
        <v>0</v>
      </c>
      <c r="S1225" s="9">
        <f t="shared" si="40"/>
        <v>966000</v>
      </c>
      <c r="T1225" s="7" t="s">
        <v>53</v>
      </c>
      <c r="U1225" s="7" t="s">
        <v>1904</v>
      </c>
      <c r="V1225" s="7" t="s">
        <v>1823</v>
      </c>
      <c r="W1225" s="9">
        <v>92</v>
      </c>
      <c r="X1225" s="7" t="s">
        <v>1903</v>
      </c>
      <c r="Y1225" s="4"/>
      <c r="Z1225" s="7" t="s">
        <v>14</v>
      </c>
      <c r="AA1225" s="36" t="s">
        <v>16</v>
      </c>
      <c r="AB1225" s="4" t="str">
        <f t="shared" si="41"/>
        <v>ROADS</v>
      </c>
      <c r="AC1225" s="22">
        <f t="shared" si="42"/>
        <v>378.8235294117647</v>
      </c>
      <c r="AD1225" s="23">
        <v>0</v>
      </c>
    </row>
    <row r="1226" spans="1:30" x14ac:dyDescent="0.35">
      <c r="A1226" s="7">
        <v>8</v>
      </c>
      <c r="B1226" s="24">
        <v>45973.572905092595</v>
      </c>
      <c r="C1226" s="24">
        <v>45973</v>
      </c>
      <c r="D1226" s="7" t="s">
        <v>2852</v>
      </c>
      <c r="E1226" s="7" t="s">
        <v>1981</v>
      </c>
      <c r="F1226" s="7" t="s">
        <v>2853</v>
      </c>
      <c r="G1226" s="7" t="s">
        <v>2854</v>
      </c>
      <c r="H1226" s="7"/>
      <c r="I1226" s="7"/>
      <c r="J1226" s="7" t="s">
        <v>2148</v>
      </c>
      <c r="K1226" s="7" t="s">
        <v>1815</v>
      </c>
      <c r="L1226" s="7" t="s">
        <v>2147</v>
      </c>
      <c r="M1226" s="7" t="s">
        <v>4</v>
      </c>
      <c r="N1226" s="7" t="s">
        <v>2146</v>
      </c>
      <c r="O1226" s="7" t="s">
        <v>105</v>
      </c>
      <c r="P1226" s="7" t="s">
        <v>1775</v>
      </c>
      <c r="Q1226" s="9">
        <v>10000000</v>
      </c>
      <c r="R1226" s="9">
        <v>0</v>
      </c>
      <c r="S1226" s="9">
        <f t="shared" si="40"/>
        <v>10000000</v>
      </c>
      <c r="T1226" s="7" t="s">
        <v>53</v>
      </c>
      <c r="U1226" s="7"/>
      <c r="V1226" s="7"/>
      <c r="W1226" s="9">
        <v>1</v>
      </c>
      <c r="X1226" s="7"/>
      <c r="Y1226" s="4"/>
      <c r="Z1226" s="7" t="s">
        <v>2</v>
      </c>
      <c r="AA1226" s="36" t="s">
        <v>4</v>
      </c>
      <c r="AB1226" s="4" t="str">
        <f t="shared" si="41"/>
        <v>MINING LAND</v>
      </c>
      <c r="AC1226" s="22">
        <f t="shared" si="42"/>
        <v>3921.5686274509803</v>
      </c>
      <c r="AD1226" s="23">
        <v>0</v>
      </c>
    </row>
    <row r="1227" spans="1:30" hidden="1" x14ac:dyDescent="0.35">
      <c r="A1227" s="7">
        <v>9</v>
      </c>
      <c r="B1227" s="24">
        <v>45973.572905092595</v>
      </c>
      <c r="C1227" s="24">
        <v>45973</v>
      </c>
      <c r="D1227" s="7" t="s">
        <v>2852</v>
      </c>
      <c r="E1227" s="7" t="s">
        <v>1981</v>
      </c>
      <c r="F1227" s="7" t="s">
        <v>2853</v>
      </c>
      <c r="G1227" s="7" t="s">
        <v>2854</v>
      </c>
      <c r="H1227" s="7"/>
      <c r="I1227" s="7"/>
      <c r="J1227" s="7" t="s">
        <v>2148</v>
      </c>
      <c r="K1227" s="7" t="s">
        <v>1815</v>
      </c>
      <c r="L1227" s="7" t="s">
        <v>2472</v>
      </c>
      <c r="M1227" s="7" t="s">
        <v>3</v>
      </c>
      <c r="N1227" s="7" t="s">
        <v>2146</v>
      </c>
      <c r="O1227" s="7" t="s">
        <v>105</v>
      </c>
      <c r="P1227" s="7" t="s">
        <v>1775</v>
      </c>
      <c r="Q1227" s="9">
        <v>0</v>
      </c>
      <c r="R1227" s="9">
        <v>10000000</v>
      </c>
      <c r="S1227" s="9">
        <f t="shared" si="40"/>
        <v>-10000000</v>
      </c>
      <c r="T1227" s="7" t="s">
        <v>53</v>
      </c>
      <c r="U1227" s="7"/>
      <c r="V1227" s="7"/>
      <c r="W1227" s="9">
        <v>1</v>
      </c>
      <c r="X1227" s="7"/>
      <c r="Y1227" s="4"/>
      <c r="Z1227" s="7" t="s">
        <v>2</v>
      </c>
      <c r="AA1227" s="36" t="s">
        <v>3</v>
      </c>
      <c r="AB1227" s="4">
        <f t="shared" si="41"/>
        <v>0</v>
      </c>
      <c r="AC1227" s="22">
        <f t="shared" si="42"/>
        <v>-3921.5686274509803</v>
      </c>
      <c r="AD1227" s="23">
        <v>0</v>
      </c>
    </row>
    <row r="1228" spans="1:30" hidden="1" x14ac:dyDescent="0.35">
      <c r="A1228" s="7">
        <v>11</v>
      </c>
      <c r="B1228" s="24">
        <v>45978.536168981482</v>
      </c>
      <c r="C1228" s="24">
        <v>45978</v>
      </c>
      <c r="D1228" s="7" t="s">
        <v>2856</v>
      </c>
      <c r="E1228" s="7" t="s">
        <v>1331</v>
      </c>
      <c r="F1228" s="7"/>
      <c r="G1228" s="7" t="s">
        <v>2857</v>
      </c>
      <c r="H1228" s="7" t="s">
        <v>1938</v>
      </c>
      <c r="I1228" s="7" t="s">
        <v>1937</v>
      </c>
      <c r="J1228" s="7" t="s">
        <v>1816</v>
      </c>
      <c r="K1228" s="7" t="s">
        <v>1815</v>
      </c>
      <c r="L1228" s="7" t="s">
        <v>1814</v>
      </c>
      <c r="M1228" s="7" t="s">
        <v>28</v>
      </c>
      <c r="N1228" s="7" t="s">
        <v>1825</v>
      </c>
      <c r="O1228" s="7" t="s">
        <v>2855</v>
      </c>
      <c r="P1228" s="7" t="s">
        <v>1703</v>
      </c>
      <c r="Q1228" s="9">
        <v>1200000</v>
      </c>
      <c r="R1228" s="9">
        <v>0</v>
      </c>
      <c r="S1228" s="9">
        <f t="shared" si="40"/>
        <v>1200000</v>
      </c>
      <c r="T1228" s="7" t="s">
        <v>53</v>
      </c>
      <c r="U1228" s="7"/>
      <c r="V1228" s="7"/>
      <c r="W1228" s="9">
        <v>8</v>
      </c>
      <c r="X1228" s="7"/>
      <c r="Y1228" s="4"/>
      <c r="Z1228" s="7" t="s">
        <v>14</v>
      </c>
      <c r="AA1228" s="36" t="s">
        <v>28</v>
      </c>
      <c r="AB1228" s="4"/>
      <c r="AC1228" s="22">
        <f t="shared" si="42"/>
        <v>470.58823529411762</v>
      </c>
      <c r="AD1228" s="23">
        <v>0</v>
      </c>
    </row>
    <row r="1229" spans="1:30" hidden="1" x14ac:dyDescent="0.35">
      <c r="A1229" s="7">
        <v>12</v>
      </c>
      <c r="B1229" s="24">
        <v>45978.45820601852</v>
      </c>
      <c r="C1229" s="24">
        <v>45978</v>
      </c>
      <c r="D1229" s="7" t="s">
        <v>2858</v>
      </c>
      <c r="E1229" s="7" t="s">
        <v>1981</v>
      </c>
      <c r="F1229" s="7" t="s">
        <v>2236</v>
      </c>
      <c r="G1229" s="7" t="s">
        <v>2859</v>
      </c>
      <c r="H1229" s="7"/>
      <c r="I1229" s="7"/>
      <c r="J1229" s="7" t="s">
        <v>2148</v>
      </c>
      <c r="K1229" s="7" t="s">
        <v>1815</v>
      </c>
      <c r="L1229" s="7" t="s">
        <v>2472</v>
      </c>
      <c r="M1229" s="7" t="s">
        <v>3</v>
      </c>
      <c r="N1229" s="7" t="s">
        <v>1825</v>
      </c>
      <c r="O1229" s="7" t="s">
        <v>1703</v>
      </c>
      <c r="P1229" s="7" t="s">
        <v>1703</v>
      </c>
      <c r="Q1229" s="9">
        <v>2000000</v>
      </c>
      <c r="R1229" s="9">
        <v>0</v>
      </c>
      <c r="S1229" s="9">
        <f t="shared" si="40"/>
        <v>2000000</v>
      </c>
      <c r="T1229" s="7" t="s">
        <v>53</v>
      </c>
      <c r="U1229" s="7"/>
      <c r="V1229" s="7"/>
      <c r="W1229" s="9">
        <v>1</v>
      </c>
      <c r="X1229" s="7"/>
      <c r="Y1229" s="4"/>
      <c r="Z1229" s="7" t="s">
        <v>2</v>
      </c>
      <c r="AA1229" s="36" t="s">
        <v>3</v>
      </c>
      <c r="AB1229" s="4"/>
      <c r="AC1229" s="22">
        <f t="shared" si="42"/>
        <v>784.31372549019613</v>
      </c>
      <c r="AD1229" s="23">
        <v>0</v>
      </c>
    </row>
    <row r="1230" spans="1:30" hidden="1" x14ac:dyDescent="0.35">
      <c r="A1230" s="7">
        <v>13</v>
      </c>
      <c r="B1230" s="24">
        <v>45978.457094907404</v>
      </c>
      <c r="C1230" s="24">
        <v>45978</v>
      </c>
      <c r="D1230" s="7" t="s">
        <v>2860</v>
      </c>
      <c r="E1230" s="7" t="s">
        <v>1981</v>
      </c>
      <c r="F1230" s="7" t="s">
        <v>2236</v>
      </c>
      <c r="G1230" s="7" t="s">
        <v>2861</v>
      </c>
      <c r="H1230" s="7"/>
      <c r="I1230" s="7"/>
      <c r="J1230" s="7" t="s">
        <v>2148</v>
      </c>
      <c r="K1230" s="7" t="s">
        <v>1815</v>
      </c>
      <c r="L1230" s="7" t="s">
        <v>2472</v>
      </c>
      <c r="M1230" s="7" t="s">
        <v>3</v>
      </c>
      <c r="N1230" s="7" t="s">
        <v>1825</v>
      </c>
      <c r="O1230" s="7" t="s">
        <v>1703</v>
      </c>
      <c r="P1230" s="7" t="s">
        <v>1703</v>
      </c>
      <c r="Q1230" s="9">
        <v>10000000</v>
      </c>
      <c r="R1230" s="9">
        <v>0</v>
      </c>
      <c r="S1230" s="9">
        <f t="shared" si="40"/>
        <v>10000000</v>
      </c>
      <c r="T1230" s="7" t="s">
        <v>53</v>
      </c>
      <c r="U1230" s="7"/>
      <c r="V1230" s="7"/>
      <c r="W1230" s="9">
        <v>1</v>
      </c>
      <c r="X1230" s="7"/>
      <c r="Y1230" s="4"/>
      <c r="Z1230" s="7" t="s">
        <v>2</v>
      </c>
      <c r="AA1230" s="36" t="s">
        <v>3</v>
      </c>
      <c r="AB1230" s="4"/>
      <c r="AC1230" s="22">
        <f t="shared" si="42"/>
        <v>3921.5686274509803</v>
      </c>
      <c r="AD1230" s="23">
        <v>0</v>
      </c>
    </row>
    <row r="1231" spans="1:30" hidden="1" x14ac:dyDescent="0.35">
      <c r="A1231" s="7">
        <v>14</v>
      </c>
      <c r="B1231" s="24">
        <v>45978.455300925925</v>
      </c>
      <c r="C1231" s="24">
        <v>45978</v>
      </c>
      <c r="D1231" s="7" t="s">
        <v>2862</v>
      </c>
      <c r="E1231" s="7" t="s">
        <v>1981</v>
      </c>
      <c r="F1231" s="7" t="s">
        <v>2236</v>
      </c>
      <c r="G1231" s="7" t="s">
        <v>2863</v>
      </c>
      <c r="H1231" s="7"/>
      <c r="I1231" s="7"/>
      <c r="J1231" s="7" t="s">
        <v>2148</v>
      </c>
      <c r="K1231" s="7" t="s">
        <v>1815</v>
      </c>
      <c r="L1231" s="7" t="s">
        <v>2472</v>
      </c>
      <c r="M1231" s="7" t="s">
        <v>3</v>
      </c>
      <c r="N1231" s="7" t="s">
        <v>1825</v>
      </c>
      <c r="O1231" s="7" t="s">
        <v>1703</v>
      </c>
      <c r="P1231" s="7" t="s">
        <v>1703</v>
      </c>
      <c r="Q1231" s="9">
        <v>4850006</v>
      </c>
      <c r="R1231" s="9">
        <v>0</v>
      </c>
      <c r="S1231" s="9">
        <f t="shared" si="40"/>
        <v>4850006</v>
      </c>
      <c r="T1231" s="7" t="s">
        <v>53</v>
      </c>
      <c r="U1231" s="7"/>
      <c r="V1231" s="7"/>
      <c r="W1231" s="9">
        <v>1</v>
      </c>
      <c r="X1231" s="7"/>
      <c r="Y1231" s="4"/>
      <c r="Z1231" s="7" t="s">
        <v>2</v>
      </c>
      <c r="AA1231" s="36" t="s">
        <v>3</v>
      </c>
      <c r="AB1231" s="4"/>
      <c r="AC1231" s="22">
        <f t="shared" si="42"/>
        <v>1901.963137254902</v>
      </c>
      <c r="AD1231" s="23">
        <v>0</v>
      </c>
    </row>
    <row r="1232" spans="1:30" hidden="1" x14ac:dyDescent="0.35">
      <c r="A1232" s="7">
        <v>15</v>
      </c>
      <c r="B1232" s="24">
        <v>45978.452222222222</v>
      </c>
      <c r="C1232" s="24">
        <v>45978</v>
      </c>
      <c r="D1232" s="7" t="s">
        <v>2864</v>
      </c>
      <c r="E1232" s="7" t="s">
        <v>1981</v>
      </c>
      <c r="F1232" s="7" t="s">
        <v>2236</v>
      </c>
      <c r="G1232" s="7" t="s">
        <v>2865</v>
      </c>
      <c r="H1232" s="7"/>
      <c r="I1232" s="7"/>
      <c r="J1232" s="7" t="s">
        <v>2148</v>
      </c>
      <c r="K1232" s="7" t="s">
        <v>1815</v>
      </c>
      <c r="L1232" s="7" t="s">
        <v>2472</v>
      </c>
      <c r="M1232" s="7" t="s">
        <v>3</v>
      </c>
      <c r="N1232" s="7" t="s">
        <v>1825</v>
      </c>
      <c r="O1232" s="7" t="s">
        <v>1703</v>
      </c>
      <c r="P1232" s="7" t="s">
        <v>1703</v>
      </c>
      <c r="Q1232" s="9">
        <v>4992721</v>
      </c>
      <c r="R1232" s="9">
        <v>0</v>
      </c>
      <c r="S1232" s="9">
        <f t="shared" si="40"/>
        <v>4992721</v>
      </c>
      <c r="T1232" s="7" t="s">
        <v>53</v>
      </c>
      <c r="U1232" s="7"/>
      <c r="V1232" s="7"/>
      <c r="W1232" s="9">
        <v>1</v>
      </c>
      <c r="X1232" s="7"/>
      <c r="Y1232" s="4"/>
      <c r="Z1232" s="7" t="s">
        <v>2</v>
      </c>
      <c r="AA1232" s="36" t="s">
        <v>3</v>
      </c>
      <c r="AB1232" s="4"/>
      <c r="AC1232" s="22">
        <f t="shared" si="42"/>
        <v>1957.9298039215687</v>
      </c>
      <c r="AD1232" s="23">
        <v>0</v>
      </c>
    </row>
    <row r="1233" spans="1:30" hidden="1" x14ac:dyDescent="0.35">
      <c r="A1233" s="7">
        <v>16</v>
      </c>
      <c r="B1233" s="24">
        <v>45978.449791666666</v>
      </c>
      <c r="C1233" s="24">
        <v>45978</v>
      </c>
      <c r="D1233" s="7" t="s">
        <v>2866</v>
      </c>
      <c r="E1233" s="7" t="s">
        <v>1981</v>
      </c>
      <c r="F1233" s="7" t="s">
        <v>2236</v>
      </c>
      <c r="G1233" s="7" t="s">
        <v>2867</v>
      </c>
      <c r="H1233" s="7"/>
      <c r="I1233" s="7"/>
      <c r="J1233" s="7" t="s">
        <v>2148</v>
      </c>
      <c r="K1233" s="7" t="s">
        <v>1815</v>
      </c>
      <c r="L1233" s="7" t="s">
        <v>2472</v>
      </c>
      <c r="M1233" s="7" t="s">
        <v>3</v>
      </c>
      <c r="N1233" s="7" t="s">
        <v>1825</v>
      </c>
      <c r="O1233" s="7" t="s">
        <v>1703</v>
      </c>
      <c r="P1233" s="7" t="s">
        <v>1703</v>
      </c>
      <c r="Q1233" s="9">
        <v>6502200</v>
      </c>
      <c r="R1233" s="9">
        <v>0</v>
      </c>
      <c r="S1233" s="9">
        <f t="shared" si="40"/>
        <v>6502200</v>
      </c>
      <c r="T1233" s="7" t="s">
        <v>53</v>
      </c>
      <c r="U1233" s="7"/>
      <c r="V1233" s="7"/>
      <c r="W1233" s="9">
        <v>1</v>
      </c>
      <c r="X1233" s="7"/>
      <c r="Y1233" s="4"/>
      <c r="Z1233" s="7" t="s">
        <v>2</v>
      </c>
      <c r="AA1233" s="36" t="s">
        <v>3</v>
      </c>
      <c r="AB1233" s="4"/>
      <c r="AC1233" s="22">
        <f t="shared" si="42"/>
        <v>2549.8823529411766</v>
      </c>
      <c r="AD1233" s="23">
        <v>0</v>
      </c>
    </row>
    <row r="1234" spans="1:30" hidden="1" x14ac:dyDescent="0.35">
      <c r="A1234" s="7">
        <v>17</v>
      </c>
      <c r="B1234" s="24">
        <v>45978.448611111111</v>
      </c>
      <c r="C1234" s="24">
        <v>45978</v>
      </c>
      <c r="D1234" s="7" t="s">
        <v>2868</v>
      </c>
      <c r="E1234" s="7" t="s">
        <v>1981</v>
      </c>
      <c r="F1234" s="7" t="s">
        <v>2236</v>
      </c>
      <c r="G1234" s="7" t="s">
        <v>2869</v>
      </c>
      <c r="H1234" s="7"/>
      <c r="I1234" s="7"/>
      <c r="J1234" s="7" t="s">
        <v>2148</v>
      </c>
      <c r="K1234" s="7" t="s">
        <v>1815</v>
      </c>
      <c r="L1234" s="7" t="s">
        <v>2472</v>
      </c>
      <c r="M1234" s="7" t="s">
        <v>3</v>
      </c>
      <c r="N1234" s="7" t="s">
        <v>1825</v>
      </c>
      <c r="O1234" s="7" t="s">
        <v>1703</v>
      </c>
      <c r="P1234" s="7" t="s">
        <v>1703</v>
      </c>
      <c r="Q1234" s="9">
        <v>10000000</v>
      </c>
      <c r="R1234" s="9">
        <v>0</v>
      </c>
      <c r="S1234" s="9">
        <f t="shared" si="40"/>
        <v>10000000</v>
      </c>
      <c r="T1234" s="7" t="s">
        <v>53</v>
      </c>
      <c r="U1234" s="7"/>
      <c r="V1234" s="7"/>
      <c r="W1234" s="9">
        <v>1</v>
      </c>
      <c r="X1234" s="7"/>
      <c r="Y1234" s="4"/>
      <c r="Z1234" s="7" t="s">
        <v>2</v>
      </c>
      <c r="AA1234" s="36" t="s">
        <v>3</v>
      </c>
      <c r="AB1234" s="4"/>
      <c r="AC1234" s="22">
        <f t="shared" si="42"/>
        <v>3921.5686274509803</v>
      </c>
      <c r="AD1234" s="23">
        <v>0</v>
      </c>
    </row>
    <row r="1235" spans="1:30" hidden="1" x14ac:dyDescent="0.35">
      <c r="A1235" s="7">
        <v>18</v>
      </c>
      <c r="B1235" s="24">
        <v>45978.445798611108</v>
      </c>
      <c r="C1235" s="24">
        <v>45978</v>
      </c>
      <c r="D1235" s="7" t="s">
        <v>2870</v>
      </c>
      <c r="E1235" s="7" t="s">
        <v>1981</v>
      </c>
      <c r="F1235" s="7" t="s">
        <v>2219</v>
      </c>
      <c r="G1235" s="7" t="s">
        <v>2871</v>
      </c>
      <c r="H1235" s="7"/>
      <c r="I1235" s="7"/>
      <c r="J1235" s="7" t="s">
        <v>2148</v>
      </c>
      <c r="K1235" s="7" t="s">
        <v>1815</v>
      </c>
      <c r="L1235" s="7" t="s">
        <v>2472</v>
      </c>
      <c r="M1235" s="7" t="s">
        <v>3</v>
      </c>
      <c r="N1235" s="7" t="s">
        <v>1825</v>
      </c>
      <c r="O1235" s="7" t="s">
        <v>1703</v>
      </c>
      <c r="P1235" s="7" t="s">
        <v>1703</v>
      </c>
      <c r="Q1235" s="9">
        <v>921157</v>
      </c>
      <c r="R1235" s="9">
        <v>0</v>
      </c>
      <c r="S1235" s="9">
        <f t="shared" si="40"/>
        <v>921157</v>
      </c>
      <c r="T1235" s="7" t="s">
        <v>53</v>
      </c>
      <c r="U1235" s="7"/>
      <c r="V1235" s="7"/>
      <c r="W1235" s="9">
        <v>1</v>
      </c>
      <c r="X1235" s="7"/>
      <c r="Y1235" s="4"/>
      <c r="Z1235" s="7" t="s">
        <v>2</v>
      </c>
      <c r="AA1235" s="36" t="s">
        <v>3</v>
      </c>
      <c r="AB1235" s="4"/>
      <c r="AC1235" s="22">
        <f t="shared" si="42"/>
        <v>361.23803921568629</v>
      </c>
      <c r="AD1235" s="23">
        <v>0</v>
      </c>
    </row>
    <row r="1236" spans="1:30" hidden="1" x14ac:dyDescent="0.35">
      <c r="A1236" s="7">
        <v>19</v>
      </c>
      <c r="B1236" s="24">
        <v>45978.444247685184</v>
      </c>
      <c r="C1236" s="24">
        <v>45978</v>
      </c>
      <c r="D1236" s="7" t="s">
        <v>2872</v>
      </c>
      <c r="E1236" s="7" t="s">
        <v>1981</v>
      </c>
      <c r="F1236" s="7" t="s">
        <v>2219</v>
      </c>
      <c r="G1236" s="7" t="s">
        <v>2873</v>
      </c>
      <c r="H1236" s="7"/>
      <c r="I1236" s="7"/>
      <c r="J1236" s="7" t="s">
        <v>2148</v>
      </c>
      <c r="K1236" s="7" t="s">
        <v>1815</v>
      </c>
      <c r="L1236" s="7" t="s">
        <v>2472</v>
      </c>
      <c r="M1236" s="7" t="s">
        <v>3</v>
      </c>
      <c r="N1236" s="7" t="s">
        <v>1825</v>
      </c>
      <c r="O1236" s="7" t="s">
        <v>1703</v>
      </c>
      <c r="P1236" s="7" t="s">
        <v>1703</v>
      </c>
      <c r="Q1236" s="9">
        <v>10000000</v>
      </c>
      <c r="R1236" s="9">
        <v>0</v>
      </c>
      <c r="S1236" s="9">
        <f t="shared" si="40"/>
        <v>10000000</v>
      </c>
      <c r="T1236" s="7" t="s">
        <v>53</v>
      </c>
      <c r="U1236" s="7"/>
      <c r="V1236" s="7"/>
      <c r="W1236" s="9">
        <v>1</v>
      </c>
      <c r="X1236" s="7"/>
      <c r="Y1236" s="4"/>
      <c r="Z1236" s="7" t="s">
        <v>2</v>
      </c>
      <c r="AA1236" s="36" t="s">
        <v>3</v>
      </c>
      <c r="AB1236" s="4"/>
      <c r="AC1236" s="22">
        <f t="shared" si="42"/>
        <v>3921.5686274509803</v>
      </c>
      <c r="AD1236" s="23">
        <v>0</v>
      </c>
    </row>
    <row r="1237" spans="1:30" hidden="1" x14ac:dyDescent="0.35">
      <c r="A1237" s="7">
        <v>20</v>
      </c>
      <c r="B1237" s="24">
        <v>45978.442361111112</v>
      </c>
      <c r="C1237" s="24">
        <v>45978</v>
      </c>
      <c r="D1237" s="7" t="s">
        <v>2874</v>
      </c>
      <c r="E1237" s="7" t="s">
        <v>1981</v>
      </c>
      <c r="F1237" s="7" t="s">
        <v>2236</v>
      </c>
      <c r="G1237" s="7" t="s">
        <v>2875</v>
      </c>
      <c r="H1237" s="7"/>
      <c r="I1237" s="7"/>
      <c r="J1237" s="7" t="s">
        <v>2148</v>
      </c>
      <c r="K1237" s="7" t="s">
        <v>1815</v>
      </c>
      <c r="L1237" s="7" t="s">
        <v>2472</v>
      </c>
      <c r="M1237" s="7" t="s">
        <v>3</v>
      </c>
      <c r="N1237" s="7" t="s">
        <v>1825</v>
      </c>
      <c r="O1237" s="7" t="s">
        <v>1703</v>
      </c>
      <c r="P1237" s="7" t="s">
        <v>1703</v>
      </c>
      <c r="Q1237" s="9">
        <v>7252960</v>
      </c>
      <c r="R1237" s="9">
        <v>0</v>
      </c>
      <c r="S1237" s="9">
        <f t="shared" si="40"/>
        <v>7252960</v>
      </c>
      <c r="T1237" s="7" t="s">
        <v>53</v>
      </c>
      <c r="U1237" s="7"/>
      <c r="V1237" s="7"/>
      <c r="W1237" s="9">
        <v>1</v>
      </c>
      <c r="X1237" s="7"/>
      <c r="Y1237" s="4"/>
      <c r="Z1237" s="7" t="s">
        <v>2</v>
      </c>
      <c r="AA1237" s="36" t="s">
        <v>3</v>
      </c>
      <c r="AB1237" s="4"/>
      <c r="AC1237" s="22">
        <f t="shared" si="42"/>
        <v>2844.2980392156865</v>
      </c>
      <c r="AD1237" s="23">
        <v>0</v>
      </c>
    </row>
    <row r="1238" spans="1:30" hidden="1" x14ac:dyDescent="0.35">
      <c r="A1238" s="7">
        <v>21</v>
      </c>
      <c r="B1238" s="24">
        <v>45978.441331018519</v>
      </c>
      <c r="C1238" s="24">
        <v>45978</v>
      </c>
      <c r="D1238" s="7" t="s">
        <v>2876</v>
      </c>
      <c r="E1238" s="7" t="s">
        <v>1981</v>
      </c>
      <c r="F1238" s="7" t="s">
        <v>2219</v>
      </c>
      <c r="G1238" s="7" t="s">
        <v>2877</v>
      </c>
      <c r="H1238" s="7"/>
      <c r="I1238" s="7"/>
      <c r="J1238" s="7" t="s">
        <v>2148</v>
      </c>
      <c r="K1238" s="7" t="s">
        <v>1815</v>
      </c>
      <c r="L1238" s="7" t="s">
        <v>2472</v>
      </c>
      <c r="M1238" s="7" t="s">
        <v>3</v>
      </c>
      <c r="N1238" s="7" t="s">
        <v>1825</v>
      </c>
      <c r="O1238" s="7" t="s">
        <v>1703</v>
      </c>
      <c r="P1238" s="7" t="s">
        <v>1703</v>
      </c>
      <c r="Q1238" s="9">
        <v>10000000</v>
      </c>
      <c r="R1238" s="9">
        <v>0</v>
      </c>
      <c r="S1238" s="9">
        <f t="shared" si="40"/>
        <v>10000000</v>
      </c>
      <c r="T1238" s="7" t="s">
        <v>53</v>
      </c>
      <c r="U1238" s="7"/>
      <c r="V1238" s="7"/>
      <c r="W1238" s="9">
        <v>1</v>
      </c>
      <c r="X1238" s="7"/>
      <c r="Y1238" s="4"/>
      <c r="Z1238" s="7" t="s">
        <v>2</v>
      </c>
      <c r="AA1238" s="36" t="s">
        <v>3</v>
      </c>
      <c r="AB1238" s="4"/>
      <c r="AC1238" s="22">
        <f t="shared" si="42"/>
        <v>3921.5686274509803</v>
      </c>
      <c r="AD1238" s="23">
        <v>0</v>
      </c>
    </row>
    <row r="1239" spans="1:30" hidden="1" x14ac:dyDescent="0.35">
      <c r="A1239" s="7">
        <v>22</v>
      </c>
      <c r="B1239" s="24">
        <v>45978.43949074074</v>
      </c>
      <c r="C1239" s="24">
        <v>45978</v>
      </c>
      <c r="D1239" s="7" t="s">
        <v>2878</v>
      </c>
      <c r="E1239" s="7" t="s">
        <v>1981</v>
      </c>
      <c r="F1239" s="7" t="s">
        <v>2219</v>
      </c>
      <c r="G1239" s="7" t="s">
        <v>2879</v>
      </c>
      <c r="H1239" s="7"/>
      <c r="I1239" s="7"/>
      <c r="J1239" s="7" t="s">
        <v>2148</v>
      </c>
      <c r="K1239" s="7" t="s">
        <v>1815</v>
      </c>
      <c r="L1239" s="7" t="s">
        <v>2472</v>
      </c>
      <c r="M1239" s="7" t="s">
        <v>3</v>
      </c>
      <c r="N1239" s="7" t="s">
        <v>1825</v>
      </c>
      <c r="O1239" s="7" t="s">
        <v>1703</v>
      </c>
      <c r="P1239" s="7" t="s">
        <v>1703</v>
      </c>
      <c r="Q1239" s="9">
        <v>785151</v>
      </c>
      <c r="R1239" s="9">
        <v>0</v>
      </c>
      <c r="S1239" s="9">
        <f t="shared" si="40"/>
        <v>785151</v>
      </c>
      <c r="T1239" s="7" t="s">
        <v>53</v>
      </c>
      <c r="U1239" s="7"/>
      <c r="V1239" s="7"/>
      <c r="W1239" s="9">
        <v>1</v>
      </c>
      <c r="X1239" s="7"/>
      <c r="Y1239" s="4"/>
      <c r="Z1239" s="7" t="s">
        <v>2</v>
      </c>
      <c r="AA1239" s="36" t="s">
        <v>3</v>
      </c>
      <c r="AB1239" s="4"/>
      <c r="AC1239" s="22">
        <f t="shared" si="42"/>
        <v>307.90235294117645</v>
      </c>
      <c r="AD1239" s="23">
        <v>0</v>
      </c>
    </row>
    <row r="1240" spans="1:30" hidden="1" x14ac:dyDescent="0.35">
      <c r="A1240" s="7">
        <v>23</v>
      </c>
      <c r="B1240" s="24">
        <v>45978.438472222224</v>
      </c>
      <c r="C1240" s="24">
        <v>45978</v>
      </c>
      <c r="D1240" s="7" t="s">
        <v>2880</v>
      </c>
      <c r="E1240" s="7" t="s">
        <v>1981</v>
      </c>
      <c r="F1240" s="7" t="s">
        <v>2219</v>
      </c>
      <c r="G1240" s="7" t="s">
        <v>2881</v>
      </c>
      <c r="H1240" s="7"/>
      <c r="I1240" s="7"/>
      <c r="J1240" s="7" t="s">
        <v>2148</v>
      </c>
      <c r="K1240" s="7" t="s">
        <v>1815</v>
      </c>
      <c r="L1240" s="7" t="s">
        <v>2472</v>
      </c>
      <c r="M1240" s="7" t="s">
        <v>3</v>
      </c>
      <c r="N1240" s="7" t="s">
        <v>1825</v>
      </c>
      <c r="O1240" s="7" t="s">
        <v>1703</v>
      </c>
      <c r="P1240" s="7" t="s">
        <v>1703</v>
      </c>
      <c r="Q1240" s="9">
        <v>10000000</v>
      </c>
      <c r="R1240" s="9">
        <v>0</v>
      </c>
      <c r="S1240" s="9">
        <f t="shared" si="40"/>
        <v>10000000</v>
      </c>
      <c r="T1240" s="7" t="s">
        <v>53</v>
      </c>
      <c r="U1240" s="7"/>
      <c r="V1240" s="7"/>
      <c r="W1240" s="9">
        <v>1</v>
      </c>
      <c r="X1240" s="7"/>
      <c r="Y1240" s="4"/>
      <c r="Z1240" s="7" t="s">
        <v>2</v>
      </c>
      <c r="AA1240" s="36" t="s">
        <v>3</v>
      </c>
      <c r="AB1240" s="4"/>
      <c r="AC1240" s="22">
        <f t="shared" si="42"/>
        <v>3921.5686274509803</v>
      </c>
      <c r="AD1240" s="23">
        <v>0</v>
      </c>
    </row>
    <row r="1241" spans="1:30" hidden="1" x14ac:dyDescent="0.35">
      <c r="A1241" s="7">
        <v>24</v>
      </c>
      <c r="B1241" s="24">
        <v>45978.436331018522</v>
      </c>
      <c r="C1241" s="24">
        <v>45978</v>
      </c>
      <c r="D1241" s="7" t="s">
        <v>2882</v>
      </c>
      <c r="E1241" s="7" t="s">
        <v>1981</v>
      </c>
      <c r="F1241" s="7" t="s">
        <v>2236</v>
      </c>
      <c r="G1241" s="7" t="s">
        <v>2883</v>
      </c>
      <c r="H1241" s="7"/>
      <c r="I1241" s="7"/>
      <c r="J1241" s="7" t="s">
        <v>2148</v>
      </c>
      <c r="K1241" s="7" t="s">
        <v>1815</v>
      </c>
      <c r="L1241" s="7" t="s">
        <v>2472</v>
      </c>
      <c r="M1241" s="7" t="s">
        <v>3</v>
      </c>
      <c r="N1241" s="7" t="s">
        <v>1825</v>
      </c>
      <c r="O1241" s="7" t="s">
        <v>1703</v>
      </c>
      <c r="P1241" s="7" t="s">
        <v>1703</v>
      </c>
      <c r="Q1241" s="9">
        <v>7337134</v>
      </c>
      <c r="R1241" s="9">
        <v>0</v>
      </c>
      <c r="S1241" s="9">
        <f t="shared" si="40"/>
        <v>7337134</v>
      </c>
      <c r="T1241" s="7" t="s">
        <v>53</v>
      </c>
      <c r="U1241" s="7"/>
      <c r="V1241" s="7"/>
      <c r="W1241" s="9">
        <v>1</v>
      </c>
      <c r="X1241" s="7"/>
      <c r="Y1241" s="4"/>
      <c r="Z1241" s="7" t="s">
        <v>2</v>
      </c>
      <c r="AA1241" s="36" t="s">
        <v>3</v>
      </c>
      <c r="AB1241" s="4"/>
      <c r="AC1241" s="22">
        <f t="shared" si="42"/>
        <v>2877.3074509803923</v>
      </c>
      <c r="AD1241" s="23">
        <v>0</v>
      </c>
    </row>
    <row r="1242" spans="1:30" hidden="1" x14ac:dyDescent="0.35">
      <c r="A1242" s="7">
        <v>25</v>
      </c>
      <c r="B1242" s="24">
        <v>45978.433252314811</v>
      </c>
      <c r="C1242" s="24">
        <v>45978</v>
      </c>
      <c r="D1242" s="7" t="s">
        <v>2884</v>
      </c>
      <c r="E1242" s="7" t="s">
        <v>1981</v>
      </c>
      <c r="F1242" s="7" t="s">
        <v>2236</v>
      </c>
      <c r="G1242" s="7" t="s">
        <v>2885</v>
      </c>
      <c r="H1242" s="7"/>
      <c r="I1242" s="7"/>
      <c r="J1242" s="7" t="s">
        <v>2148</v>
      </c>
      <c r="K1242" s="7" t="s">
        <v>1815</v>
      </c>
      <c r="L1242" s="7" t="s">
        <v>2472</v>
      </c>
      <c r="M1242" s="7" t="s">
        <v>3</v>
      </c>
      <c r="N1242" s="7" t="s">
        <v>1825</v>
      </c>
      <c r="O1242" s="7" t="s">
        <v>1703</v>
      </c>
      <c r="P1242" s="7" t="s">
        <v>1703</v>
      </c>
      <c r="Q1242" s="9">
        <v>3126438</v>
      </c>
      <c r="R1242" s="9">
        <v>0</v>
      </c>
      <c r="S1242" s="9">
        <f t="shared" si="40"/>
        <v>3126438</v>
      </c>
      <c r="T1242" s="7" t="s">
        <v>53</v>
      </c>
      <c r="U1242" s="7"/>
      <c r="V1242" s="7"/>
      <c r="W1242" s="9">
        <v>1</v>
      </c>
      <c r="X1242" s="7"/>
      <c r="Y1242" s="4"/>
      <c r="Z1242" s="7" t="s">
        <v>2</v>
      </c>
      <c r="AA1242" s="36" t="s">
        <v>3</v>
      </c>
      <c r="AB1242" s="4"/>
      <c r="AC1242" s="22">
        <f t="shared" si="42"/>
        <v>1226.0541176470588</v>
      </c>
      <c r="AD1242" s="23">
        <v>0</v>
      </c>
    </row>
    <row r="1243" spans="1:30" hidden="1" x14ac:dyDescent="0.35">
      <c r="A1243" s="7">
        <v>26</v>
      </c>
      <c r="B1243" s="24">
        <v>45978.43074074074</v>
      </c>
      <c r="C1243" s="24">
        <v>45978</v>
      </c>
      <c r="D1243" s="7" t="s">
        <v>2886</v>
      </c>
      <c r="E1243" s="7" t="s">
        <v>1981</v>
      </c>
      <c r="F1243" s="7" t="s">
        <v>2219</v>
      </c>
      <c r="G1243" s="7" t="s">
        <v>2887</v>
      </c>
      <c r="H1243" s="7"/>
      <c r="I1243" s="7"/>
      <c r="J1243" s="7" t="s">
        <v>2148</v>
      </c>
      <c r="K1243" s="7" t="s">
        <v>1815</v>
      </c>
      <c r="L1243" s="7" t="s">
        <v>2472</v>
      </c>
      <c r="M1243" s="7" t="s">
        <v>3</v>
      </c>
      <c r="N1243" s="7" t="s">
        <v>1825</v>
      </c>
      <c r="O1243" s="7" t="s">
        <v>1703</v>
      </c>
      <c r="P1243" s="7" t="s">
        <v>1703</v>
      </c>
      <c r="Q1243" s="9">
        <v>10000000</v>
      </c>
      <c r="R1243" s="9">
        <v>0</v>
      </c>
      <c r="S1243" s="9">
        <f t="shared" si="40"/>
        <v>10000000</v>
      </c>
      <c r="T1243" s="7" t="s">
        <v>53</v>
      </c>
      <c r="U1243" s="7"/>
      <c r="V1243" s="7"/>
      <c r="W1243" s="9">
        <v>1</v>
      </c>
      <c r="X1243" s="7"/>
      <c r="Y1243" s="4"/>
      <c r="Z1243" s="7" t="s">
        <v>2</v>
      </c>
      <c r="AA1243" s="36" t="s">
        <v>3</v>
      </c>
      <c r="AB1243" s="4"/>
      <c r="AC1243" s="22">
        <f t="shared" si="42"/>
        <v>3921.5686274509803</v>
      </c>
      <c r="AD1243" s="23">
        <v>0</v>
      </c>
    </row>
    <row r="1244" spans="1:30" hidden="1" x14ac:dyDescent="0.35">
      <c r="A1244" s="7">
        <v>27</v>
      </c>
      <c r="B1244" s="24">
        <v>45978.42769675926</v>
      </c>
      <c r="C1244" s="24">
        <v>45978</v>
      </c>
      <c r="D1244" s="7" t="s">
        <v>2888</v>
      </c>
      <c r="E1244" s="7" t="s">
        <v>1981</v>
      </c>
      <c r="F1244" s="7" t="s">
        <v>2236</v>
      </c>
      <c r="G1244" s="7" t="s">
        <v>2889</v>
      </c>
      <c r="H1244" s="7"/>
      <c r="I1244" s="7"/>
      <c r="J1244" s="7" t="s">
        <v>2148</v>
      </c>
      <c r="K1244" s="7" t="s">
        <v>1815</v>
      </c>
      <c r="L1244" s="7" t="s">
        <v>2472</v>
      </c>
      <c r="M1244" s="7" t="s">
        <v>3</v>
      </c>
      <c r="N1244" s="7" t="s">
        <v>1825</v>
      </c>
      <c r="O1244" s="7" t="s">
        <v>1703</v>
      </c>
      <c r="P1244" s="7" t="s">
        <v>1703</v>
      </c>
      <c r="Q1244" s="9">
        <v>3551549</v>
      </c>
      <c r="R1244" s="9">
        <v>0</v>
      </c>
      <c r="S1244" s="9">
        <f t="shared" si="40"/>
        <v>3551549</v>
      </c>
      <c r="T1244" s="7" t="s">
        <v>53</v>
      </c>
      <c r="U1244" s="7"/>
      <c r="V1244" s="7"/>
      <c r="W1244" s="9">
        <v>1</v>
      </c>
      <c r="X1244" s="7"/>
      <c r="Y1244" s="4"/>
      <c r="Z1244" s="7" t="s">
        <v>2</v>
      </c>
      <c r="AA1244" s="36" t="s">
        <v>3</v>
      </c>
      <c r="AB1244" s="4"/>
      <c r="AC1244" s="22">
        <f t="shared" si="42"/>
        <v>1392.7643137254902</v>
      </c>
      <c r="AD1244" s="23">
        <v>0</v>
      </c>
    </row>
    <row r="1245" spans="1:30" hidden="1" x14ac:dyDescent="0.35">
      <c r="A1245" s="7">
        <v>28</v>
      </c>
      <c r="B1245" s="24">
        <v>45978.42527777778</v>
      </c>
      <c r="C1245" s="24">
        <v>45978</v>
      </c>
      <c r="D1245" s="7" t="s">
        <v>2890</v>
      </c>
      <c r="E1245" s="7" t="s">
        <v>1981</v>
      </c>
      <c r="F1245" s="7" t="s">
        <v>2236</v>
      </c>
      <c r="G1245" s="7" t="s">
        <v>2891</v>
      </c>
      <c r="H1245" s="7"/>
      <c r="I1245" s="7"/>
      <c r="J1245" s="7" t="s">
        <v>2148</v>
      </c>
      <c r="K1245" s="7" t="s">
        <v>1815</v>
      </c>
      <c r="L1245" s="7" t="s">
        <v>2472</v>
      </c>
      <c r="M1245" s="7" t="s">
        <v>3</v>
      </c>
      <c r="N1245" s="7" t="s">
        <v>1825</v>
      </c>
      <c r="O1245" s="7" t="s">
        <v>1703</v>
      </c>
      <c r="P1245" s="7" t="s">
        <v>1703</v>
      </c>
      <c r="Q1245" s="9">
        <v>10000000</v>
      </c>
      <c r="R1245" s="9">
        <v>0</v>
      </c>
      <c r="S1245" s="9">
        <f t="shared" si="40"/>
        <v>10000000</v>
      </c>
      <c r="T1245" s="7" t="s">
        <v>53</v>
      </c>
      <c r="U1245" s="7"/>
      <c r="V1245" s="7"/>
      <c r="W1245" s="9">
        <v>1</v>
      </c>
      <c r="X1245" s="7"/>
      <c r="Y1245" s="4"/>
      <c r="Z1245" s="7" t="s">
        <v>2</v>
      </c>
      <c r="AA1245" s="36" t="s">
        <v>3</v>
      </c>
      <c r="AB1245" s="4"/>
      <c r="AC1245" s="22">
        <f t="shared" si="42"/>
        <v>3921.5686274509803</v>
      </c>
      <c r="AD1245" s="23">
        <v>0</v>
      </c>
    </row>
    <row r="1246" spans="1:30" hidden="1" x14ac:dyDescent="0.35">
      <c r="A1246" s="7">
        <v>29</v>
      </c>
      <c r="B1246" s="24">
        <v>45978.422418981485</v>
      </c>
      <c r="C1246" s="24">
        <v>45978</v>
      </c>
      <c r="D1246" s="7" t="s">
        <v>2892</v>
      </c>
      <c r="E1246" s="7" t="s">
        <v>1981</v>
      </c>
      <c r="F1246" s="7" t="s">
        <v>2219</v>
      </c>
      <c r="G1246" s="7" t="s">
        <v>2893</v>
      </c>
      <c r="H1246" s="7"/>
      <c r="I1246" s="7"/>
      <c r="J1246" s="7" t="s">
        <v>2148</v>
      </c>
      <c r="K1246" s="7" t="s">
        <v>1815</v>
      </c>
      <c r="L1246" s="7" t="s">
        <v>2472</v>
      </c>
      <c r="M1246" s="7" t="s">
        <v>3</v>
      </c>
      <c r="N1246" s="7" t="s">
        <v>1825</v>
      </c>
      <c r="O1246" s="7" t="s">
        <v>1703</v>
      </c>
      <c r="P1246" s="7" t="s">
        <v>1703</v>
      </c>
      <c r="Q1246" s="9">
        <v>6448543</v>
      </c>
      <c r="R1246" s="9">
        <v>0</v>
      </c>
      <c r="S1246" s="9">
        <f t="shared" si="40"/>
        <v>6448543</v>
      </c>
      <c r="T1246" s="7" t="s">
        <v>53</v>
      </c>
      <c r="U1246" s="7"/>
      <c r="V1246" s="7"/>
      <c r="W1246" s="9">
        <v>1</v>
      </c>
      <c r="X1246" s="7"/>
      <c r="Y1246" s="4"/>
      <c r="Z1246" s="7" t="s">
        <v>2</v>
      </c>
      <c r="AA1246" s="36" t="s">
        <v>3</v>
      </c>
      <c r="AB1246" s="4"/>
      <c r="AC1246" s="22">
        <f t="shared" si="42"/>
        <v>2528.8403921568629</v>
      </c>
      <c r="AD1246" s="23">
        <v>0</v>
      </c>
    </row>
    <row r="1247" spans="1:30" hidden="1" x14ac:dyDescent="0.35">
      <c r="A1247" s="7">
        <v>30</v>
      </c>
      <c r="B1247" s="24">
        <v>45978.414594907408</v>
      </c>
      <c r="C1247" s="24">
        <v>45978</v>
      </c>
      <c r="D1247" s="7" t="s">
        <v>2894</v>
      </c>
      <c r="E1247" s="7" t="s">
        <v>1981</v>
      </c>
      <c r="F1247" s="7" t="s">
        <v>2236</v>
      </c>
      <c r="G1247" s="7" t="s">
        <v>2895</v>
      </c>
      <c r="H1247" s="7"/>
      <c r="I1247" s="7"/>
      <c r="J1247" s="7" t="s">
        <v>2148</v>
      </c>
      <c r="K1247" s="7" t="s">
        <v>1815</v>
      </c>
      <c r="L1247" s="7" t="s">
        <v>2472</v>
      </c>
      <c r="M1247" s="7" t="s">
        <v>3</v>
      </c>
      <c r="N1247" s="7" t="s">
        <v>1825</v>
      </c>
      <c r="O1247" s="7" t="s">
        <v>1703</v>
      </c>
      <c r="P1247" s="7" t="s">
        <v>1703</v>
      </c>
      <c r="Q1247" s="9">
        <v>6092278</v>
      </c>
      <c r="R1247" s="9">
        <v>0</v>
      </c>
      <c r="S1247" s="9">
        <f t="shared" si="40"/>
        <v>6092278</v>
      </c>
      <c r="T1247" s="7" t="s">
        <v>53</v>
      </c>
      <c r="U1247" s="7"/>
      <c r="V1247" s="7"/>
      <c r="W1247" s="9">
        <v>1</v>
      </c>
      <c r="X1247" s="7"/>
      <c r="Y1247" s="4"/>
      <c r="Z1247" s="7" t="s">
        <v>2</v>
      </c>
      <c r="AA1247" s="36" t="s">
        <v>3</v>
      </c>
      <c r="AB1247" s="4"/>
      <c r="AC1247" s="22">
        <f t="shared" si="42"/>
        <v>2389.1286274509803</v>
      </c>
      <c r="AD1247" s="23">
        <v>0</v>
      </c>
    </row>
    <row r="1248" spans="1:30" hidden="1" x14ac:dyDescent="0.35">
      <c r="A1248" s="7">
        <v>31</v>
      </c>
      <c r="B1248" s="24">
        <v>45978.413136574076</v>
      </c>
      <c r="C1248" s="24">
        <v>45978</v>
      </c>
      <c r="D1248" s="7" t="s">
        <v>2896</v>
      </c>
      <c r="E1248" s="7" t="s">
        <v>1981</v>
      </c>
      <c r="F1248" s="7" t="s">
        <v>2236</v>
      </c>
      <c r="G1248" s="7" t="s">
        <v>2897</v>
      </c>
      <c r="H1248" s="7"/>
      <c r="I1248" s="7"/>
      <c r="J1248" s="7" t="s">
        <v>2148</v>
      </c>
      <c r="K1248" s="7" t="s">
        <v>1815</v>
      </c>
      <c r="L1248" s="7" t="s">
        <v>2472</v>
      </c>
      <c r="M1248" s="7" t="s">
        <v>3</v>
      </c>
      <c r="N1248" s="7" t="s">
        <v>1825</v>
      </c>
      <c r="O1248" s="7" t="s">
        <v>1703</v>
      </c>
      <c r="P1248" s="7" t="s">
        <v>1703</v>
      </c>
      <c r="Q1248" s="9">
        <v>7463102</v>
      </c>
      <c r="R1248" s="9">
        <v>0</v>
      </c>
      <c r="S1248" s="9">
        <f t="shared" si="40"/>
        <v>7463102</v>
      </c>
      <c r="T1248" s="7" t="s">
        <v>53</v>
      </c>
      <c r="U1248" s="7"/>
      <c r="V1248" s="7"/>
      <c r="W1248" s="9">
        <v>1</v>
      </c>
      <c r="X1248" s="7"/>
      <c r="Y1248" s="4"/>
      <c r="Z1248" s="7" t="s">
        <v>2</v>
      </c>
      <c r="AA1248" s="36" t="s">
        <v>3</v>
      </c>
      <c r="AB1248" s="4"/>
      <c r="AC1248" s="22">
        <f t="shared" si="42"/>
        <v>2926.7066666666665</v>
      </c>
      <c r="AD1248" s="23">
        <v>0</v>
      </c>
    </row>
    <row r="1249" spans="1:30" hidden="1" x14ac:dyDescent="0.35">
      <c r="A1249" s="7">
        <v>32</v>
      </c>
      <c r="B1249" s="24">
        <v>45978.411724537036</v>
      </c>
      <c r="C1249" s="24">
        <v>45978</v>
      </c>
      <c r="D1249" s="7" t="s">
        <v>2898</v>
      </c>
      <c r="E1249" s="7" t="s">
        <v>1981</v>
      </c>
      <c r="F1249" s="7" t="s">
        <v>2236</v>
      </c>
      <c r="G1249" s="7" t="s">
        <v>2899</v>
      </c>
      <c r="H1249" s="7"/>
      <c r="I1249" s="7"/>
      <c r="J1249" s="7" t="s">
        <v>2148</v>
      </c>
      <c r="K1249" s="7" t="s">
        <v>1815</v>
      </c>
      <c r="L1249" s="7" t="s">
        <v>2472</v>
      </c>
      <c r="M1249" s="7" t="s">
        <v>3</v>
      </c>
      <c r="N1249" s="7" t="s">
        <v>1825</v>
      </c>
      <c r="O1249" s="7" t="s">
        <v>1703</v>
      </c>
      <c r="P1249" s="7" t="s">
        <v>1703</v>
      </c>
      <c r="Q1249" s="9">
        <v>5343733</v>
      </c>
      <c r="R1249" s="9">
        <v>0</v>
      </c>
      <c r="S1249" s="9">
        <f t="shared" si="40"/>
        <v>5343733</v>
      </c>
      <c r="T1249" s="7" t="s">
        <v>53</v>
      </c>
      <c r="U1249" s="7"/>
      <c r="V1249" s="7"/>
      <c r="W1249" s="9">
        <v>1</v>
      </c>
      <c r="X1249" s="7"/>
      <c r="Y1249" s="4"/>
      <c r="Z1249" s="7" t="s">
        <v>2</v>
      </c>
      <c r="AA1249" s="36" t="s">
        <v>3</v>
      </c>
      <c r="AB1249" s="4"/>
      <c r="AC1249" s="22">
        <f t="shared" si="42"/>
        <v>2095.5815686274509</v>
      </c>
      <c r="AD1249" s="23">
        <v>0</v>
      </c>
    </row>
    <row r="1250" spans="1:30" hidden="1" x14ac:dyDescent="0.35">
      <c r="A1250" s="7">
        <v>33</v>
      </c>
      <c r="B1250" s="24">
        <v>45978.410277777781</v>
      </c>
      <c r="C1250" s="24">
        <v>45978</v>
      </c>
      <c r="D1250" s="7" t="s">
        <v>2900</v>
      </c>
      <c r="E1250" s="7" t="s">
        <v>1981</v>
      </c>
      <c r="F1250" s="7" t="s">
        <v>2236</v>
      </c>
      <c r="G1250" s="7" t="s">
        <v>2901</v>
      </c>
      <c r="H1250" s="7"/>
      <c r="I1250" s="7"/>
      <c r="J1250" s="7" t="s">
        <v>2148</v>
      </c>
      <c r="K1250" s="7" t="s">
        <v>1815</v>
      </c>
      <c r="L1250" s="7" t="s">
        <v>2472</v>
      </c>
      <c r="M1250" s="7" t="s">
        <v>3</v>
      </c>
      <c r="N1250" s="7" t="s">
        <v>1825</v>
      </c>
      <c r="O1250" s="7" t="s">
        <v>1703</v>
      </c>
      <c r="P1250" s="7" t="s">
        <v>1703</v>
      </c>
      <c r="Q1250" s="9">
        <v>9241450</v>
      </c>
      <c r="R1250" s="9">
        <v>0</v>
      </c>
      <c r="S1250" s="9">
        <f t="shared" si="40"/>
        <v>9241450</v>
      </c>
      <c r="T1250" s="7" t="s">
        <v>53</v>
      </c>
      <c r="U1250" s="7"/>
      <c r="V1250" s="7"/>
      <c r="W1250" s="9">
        <v>1</v>
      </c>
      <c r="X1250" s="7"/>
      <c r="Y1250" s="4"/>
      <c r="Z1250" s="7" t="s">
        <v>2</v>
      </c>
      <c r="AA1250" s="36" t="s">
        <v>3</v>
      </c>
      <c r="AB1250" s="4"/>
      <c r="AC1250" s="22">
        <f t="shared" si="42"/>
        <v>3624.0980392156862</v>
      </c>
      <c r="AD1250" s="23">
        <v>0</v>
      </c>
    </row>
    <row r="1251" spans="1:30" hidden="1" x14ac:dyDescent="0.35">
      <c r="A1251" s="7">
        <v>34</v>
      </c>
      <c r="B1251" s="24">
        <v>45978.407638888886</v>
      </c>
      <c r="C1251" s="24">
        <v>45978</v>
      </c>
      <c r="D1251" s="7" t="s">
        <v>2902</v>
      </c>
      <c r="E1251" s="7" t="s">
        <v>1981</v>
      </c>
      <c r="F1251" s="7" t="s">
        <v>2236</v>
      </c>
      <c r="G1251" s="7" t="s">
        <v>2903</v>
      </c>
      <c r="H1251" s="7"/>
      <c r="I1251" s="7"/>
      <c r="J1251" s="7" t="s">
        <v>2148</v>
      </c>
      <c r="K1251" s="7" t="s">
        <v>1815</v>
      </c>
      <c r="L1251" s="7" t="s">
        <v>2472</v>
      </c>
      <c r="M1251" s="7" t="s">
        <v>3</v>
      </c>
      <c r="N1251" s="7" t="s">
        <v>1825</v>
      </c>
      <c r="O1251" s="7" t="s">
        <v>1703</v>
      </c>
      <c r="P1251" s="7" t="s">
        <v>1703</v>
      </c>
      <c r="Q1251" s="9">
        <v>9518492</v>
      </c>
      <c r="R1251" s="9">
        <v>0</v>
      </c>
      <c r="S1251" s="9">
        <f t="shared" si="40"/>
        <v>9518492</v>
      </c>
      <c r="T1251" s="7" t="s">
        <v>53</v>
      </c>
      <c r="U1251" s="7"/>
      <c r="V1251" s="7"/>
      <c r="W1251" s="9">
        <v>1</v>
      </c>
      <c r="X1251" s="7"/>
      <c r="Y1251" s="4"/>
      <c r="Z1251" s="7" t="s">
        <v>2</v>
      </c>
      <c r="AA1251" s="36" t="s">
        <v>3</v>
      </c>
      <c r="AB1251" s="4"/>
      <c r="AC1251" s="22">
        <f t="shared" si="42"/>
        <v>3732.7419607843135</v>
      </c>
      <c r="AD1251" s="23">
        <v>0</v>
      </c>
    </row>
    <row r="1252" spans="1:30" hidden="1" x14ac:dyDescent="0.35">
      <c r="A1252" s="7">
        <v>35</v>
      </c>
      <c r="B1252" s="24">
        <v>45978.405335648145</v>
      </c>
      <c r="C1252" s="24">
        <v>45978</v>
      </c>
      <c r="D1252" s="7" t="s">
        <v>2904</v>
      </c>
      <c r="E1252" s="7" t="s">
        <v>1981</v>
      </c>
      <c r="F1252" s="7" t="s">
        <v>2236</v>
      </c>
      <c r="G1252" s="7" t="s">
        <v>2905</v>
      </c>
      <c r="H1252" s="7"/>
      <c r="I1252" s="7"/>
      <c r="J1252" s="7" t="s">
        <v>2148</v>
      </c>
      <c r="K1252" s="7" t="s">
        <v>1815</v>
      </c>
      <c r="L1252" s="7" t="s">
        <v>2472</v>
      </c>
      <c r="M1252" s="7" t="s">
        <v>3</v>
      </c>
      <c r="N1252" s="7" t="s">
        <v>1825</v>
      </c>
      <c r="O1252" s="7" t="s">
        <v>1703</v>
      </c>
      <c r="P1252" s="7" t="s">
        <v>1703</v>
      </c>
      <c r="Q1252" s="9">
        <v>3515960</v>
      </c>
      <c r="R1252" s="9">
        <v>0</v>
      </c>
      <c r="S1252" s="9">
        <f t="shared" si="40"/>
        <v>3515960</v>
      </c>
      <c r="T1252" s="7" t="s">
        <v>53</v>
      </c>
      <c r="U1252" s="7"/>
      <c r="V1252" s="7"/>
      <c r="W1252" s="9">
        <v>1</v>
      </c>
      <c r="X1252" s="7"/>
      <c r="Y1252" s="4"/>
      <c r="Z1252" s="7" t="s">
        <v>2</v>
      </c>
      <c r="AA1252" s="36" t="s">
        <v>3</v>
      </c>
      <c r="AB1252" s="4"/>
      <c r="AC1252" s="22">
        <f t="shared" si="42"/>
        <v>1378.8078431372548</v>
      </c>
      <c r="AD1252" s="23">
        <v>0</v>
      </c>
    </row>
    <row r="1253" spans="1:30" hidden="1" x14ac:dyDescent="0.35">
      <c r="A1253" s="7">
        <v>36</v>
      </c>
      <c r="B1253" s="24">
        <v>45978.403645833336</v>
      </c>
      <c r="C1253" s="24">
        <v>45978</v>
      </c>
      <c r="D1253" s="7" t="s">
        <v>2906</v>
      </c>
      <c r="E1253" s="7" t="s">
        <v>1981</v>
      </c>
      <c r="F1253" s="7" t="s">
        <v>2236</v>
      </c>
      <c r="G1253" s="7" t="s">
        <v>2907</v>
      </c>
      <c r="H1253" s="7"/>
      <c r="I1253" s="7"/>
      <c r="J1253" s="7" t="s">
        <v>2148</v>
      </c>
      <c r="K1253" s="7" t="s">
        <v>1815</v>
      </c>
      <c r="L1253" s="7" t="s">
        <v>2472</v>
      </c>
      <c r="M1253" s="7" t="s">
        <v>3</v>
      </c>
      <c r="N1253" s="7" t="s">
        <v>1825</v>
      </c>
      <c r="O1253" s="7" t="s">
        <v>1703</v>
      </c>
      <c r="P1253" s="7" t="s">
        <v>1703</v>
      </c>
      <c r="Q1253" s="9">
        <v>10000000</v>
      </c>
      <c r="R1253" s="9">
        <v>0</v>
      </c>
      <c r="S1253" s="9">
        <f t="shared" si="40"/>
        <v>10000000</v>
      </c>
      <c r="T1253" s="7" t="s">
        <v>53</v>
      </c>
      <c r="U1253" s="7"/>
      <c r="V1253" s="7"/>
      <c r="W1253" s="9">
        <v>1</v>
      </c>
      <c r="X1253" s="7"/>
      <c r="Y1253" s="4"/>
      <c r="Z1253" s="7" t="s">
        <v>2</v>
      </c>
      <c r="AA1253" s="36" t="s">
        <v>3</v>
      </c>
      <c r="AB1253" s="4"/>
      <c r="AC1253" s="22">
        <f t="shared" si="42"/>
        <v>3921.5686274509803</v>
      </c>
      <c r="AD1253" s="23">
        <v>0</v>
      </c>
    </row>
    <row r="1254" spans="1:30" hidden="1" x14ac:dyDescent="0.35">
      <c r="A1254" s="7">
        <v>37</v>
      </c>
      <c r="B1254" s="24">
        <v>45978.401886574073</v>
      </c>
      <c r="C1254" s="24">
        <v>45978</v>
      </c>
      <c r="D1254" s="7" t="s">
        <v>2908</v>
      </c>
      <c r="E1254" s="7" t="s">
        <v>1981</v>
      </c>
      <c r="F1254" s="7" t="s">
        <v>2219</v>
      </c>
      <c r="G1254" s="7" t="s">
        <v>2909</v>
      </c>
      <c r="H1254" s="7"/>
      <c r="I1254" s="7"/>
      <c r="J1254" s="7" t="s">
        <v>2148</v>
      </c>
      <c r="K1254" s="7" t="s">
        <v>1815</v>
      </c>
      <c r="L1254" s="7" t="s">
        <v>2472</v>
      </c>
      <c r="M1254" s="7" t="s">
        <v>3</v>
      </c>
      <c r="N1254" s="7" t="s">
        <v>1825</v>
      </c>
      <c r="O1254" s="7" t="s">
        <v>1703</v>
      </c>
      <c r="P1254" s="7" t="s">
        <v>1703</v>
      </c>
      <c r="Q1254" s="9">
        <v>6195135</v>
      </c>
      <c r="R1254" s="9">
        <v>0</v>
      </c>
      <c r="S1254" s="9">
        <f t="shared" si="40"/>
        <v>6195135</v>
      </c>
      <c r="T1254" s="7" t="s">
        <v>53</v>
      </c>
      <c r="U1254" s="7"/>
      <c r="V1254" s="7"/>
      <c r="W1254" s="9">
        <v>1</v>
      </c>
      <c r="X1254" s="7"/>
      <c r="Y1254" s="4"/>
      <c r="Z1254" s="7" t="s">
        <v>2</v>
      </c>
      <c r="AA1254" s="36" t="s">
        <v>3</v>
      </c>
      <c r="AB1254" s="4"/>
      <c r="AC1254" s="22">
        <f t="shared" si="42"/>
        <v>2429.464705882353</v>
      </c>
      <c r="AD1254" s="23">
        <v>0</v>
      </c>
    </row>
    <row r="1255" spans="1:30" hidden="1" x14ac:dyDescent="0.35">
      <c r="A1255" s="7">
        <v>38</v>
      </c>
      <c r="B1255" s="24">
        <v>45978.400682870371</v>
      </c>
      <c r="C1255" s="24">
        <v>45978</v>
      </c>
      <c r="D1255" s="7" t="s">
        <v>2910</v>
      </c>
      <c r="E1255" s="7" t="s">
        <v>1981</v>
      </c>
      <c r="F1255" s="7" t="s">
        <v>2219</v>
      </c>
      <c r="G1255" s="7" t="s">
        <v>2911</v>
      </c>
      <c r="H1255" s="7"/>
      <c r="I1255" s="7"/>
      <c r="J1255" s="7" t="s">
        <v>2148</v>
      </c>
      <c r="K1255" s="7" t="s">
        <v>1815</v>
      </c>
      <c r="L1255" s="7" t="s">
        <v>2472</v>
      </c>
      <c r="M1255" s="7" t="s">
        <v>3</v>
      </c>
      <c r="N1255" s="7" t="s">
        <v>1825</v>
      </c>
      <c r="O1255" s="7" t="s">
        <v>1703</v>
      </c>
      <c r="P1255" s="7" t="s">
        <v>1703</v>
      </c>
      <c r="Q1255" s="9">
        <v>10000000</v>
      </c>
      <c r="R1255" s="9">
        <v>0</v>
      </c>
      <c r="S1255" s="9">
        <f t="shared" si="40"/>
        <v>10000000</v>
      </c>
      <c r="T1255" s="7" t="s">
        <v>53</v>
      </c>
      <c r="U1255" s="7"/>
      <c r="V1255" s="7"/>
      <c r="W1255" s="9">
        <v>1</v>
      </c>
      <c r="X1255" s="7"/>
      <c r="Y1255" s="4"/>
      <c r="Z1255" s="7" t="s">
        <v>2</v>
      </c>
      <c r="AA1255" s="36" t="s">
        <v>3</v>
      </c>
      <c r="AB1255" s="4"/>
      <c r="AC1255" s="22">
        <f t="shared" si="42"/>
        <v>3921.5686274509803</v>
      </c>
      <c r="AD1255" s="23">
        <v>0</v>
      </c>
    </row>
    <row r="1256" spans="1:30" hidden="1" x14ac:dyDescent="0.35">
      <c r="A1256" s="7">
        <v>39</v>
      </c>
      <c r="B1256" s="24">
        <v>45978.399733796294</v>
      </c>
      <c r="C1256" s="24">
        <v>45978</v>
      </c>
      <c r="D1256" s="7" t="s">
        <v>2912</v>
      </c>
      <c r="E1256" s="7" t="s">
        <v>1981</v>
      </c>
      <c r="F1256" s="7" t="s">
        <v>2219</v>
      </c>
      <c r="G1256" s="7" t="s">
        <v>2913</v>
      </c>
      <c r="H1256" s="7"/>
      <c r="I1256" s="7"/>
      <c r="J1256" s="7" t="s">
        <v>2148</v>
      </c>
      <c r="K1256" s="7" t="s">
        <v>1815</v>
      </c>
      <c r="L1256" s="7" t="s">
        <v>2472</v>
      </c>
      <c r="M1256" s="7" t="s">
        <v>3</v>
      </c>
      <c r="N1256" s="7" t="s">
        <v>1825</v>
      </c>
      <c r="O1256" s="7" t="s">
        <v>1703</v>
      </c>
      <c r="P1256" s="7" t="s">
        <v>1703</v>
      </c>
      <c r="Q1256" s="9">
        <v>10000000</v>
      </c>
      <c r="R1256" s="9">
        <v>0</v>
      </c>
      <c r="S1256" s="9">
        <f t="shared" si="40"/>
        <v>10000000</v>
      </c>
      <c r="T1256" s="7" t="s">
        <v>53</v>
      </c>
      <c r="U1256" s="7"/>
      <c r="V1256" s="7"/>
      <c r="W1256" s="9">
        <v>1</v>
      </c>
      <c r="X1256" s="7"/>
      <c r="Y1256" s="4"/>
      <c r="Z1256" s="7" t="s">
        <v>2</v>
      </c>
      <c r="AA1256" s="36" t="s">
        <v>3</v>
      </c>
      <c r="AB1256" s="4"/>
      <c r="AC1256" s="22">
        <f t="shared" si="42"/>
        <v>3921.5686274509803</v>
      </c>
      <c r="AD1256" s="23">
        <v>0</v>
      </c>
    </row>
    <row r="1257" spans="1:30" hidden="1" x14ac:dyDescent="0.35">
      <c r="A1257" s="7">
        <v>40</v>
      </c>
      <c r="B1257" s="24">
        <v>45978.398263888892</v>
      </c>
      <c r="C1257" s="24">
        <v>45978</v>
      </c>
      <c r="D1257" s="7" t="s">
        <v>2914</v>
      </c>
      <c r="E1257" s="7" t="s">
        <v>1981</v>
      </c>
      <c r="F1257" s="7" t="s">
        <v>2236</v>
      </c>
      <c r="G1257" s="7" t="s">
        <v>2915</v>
      </c>
      <c r="H1257" s="7"/>
      <c r="I1257" s="7"/>
      <c r="J1257" s="7" t="s">
        <v>2148</v>
      </c>
      <c r="K1257" s="7" t="s">
        <v>1815</v>
      </c>
      <c r="L1257" s="7" t="s">
        <v>2472</v>
      </c>
      <c r="M1257" s="7" t="s">
        <v>3</v>
      </c>
      <c r="N1257" s="7" t="s">
        <v>1825</v>
      </c>
      <c r="O1257" s="7" t="s">
        <v>1703</v>
      </c>
      <c r="P1257" s="7" t="s">
        <v>1703</v>
      </c>
      <c r="Q1257" s="9">
        <v>7481952</v>
      </c>
      <c r="R1257" s="9">
        <v>0</v>
      </c>
      <c r="S1257" s="9">
        <f t="shared" si="40"/>
        <v>7481952</v>
      </c>
      <c r="T1257" s="7" t="s">
        <v>53</v>
      </c>
      <c r="U1257" s="7"/>
      <c r="V1257" s="7"/>
      <c r="W1257" s="9">
        <v>1</v>
      </c>
      <c r="X1257" s="7"/>
      <c r="Y1257" s="4"/>
      <c r="Z1257" s="7" t="s">
        <v>2</v>
      </c>
      <c r="AA1257" s="36" t="s">
        <v>3</v>
      </c>
      <c r="AB1257" s="4"/>
      <c r="AC1257" s="22">
        <f t="shared" si="42"/>
        <v>2934.0988235294117</v>
      </c>
      <c r="AD1257" s="23">
        <v>0</v>
      </c>
    </row>
    <row r="1258" spans="1:30" hidden="1" x14ac:dyDescent="0.35">
      <c r="A1258" s="7">
        <v>41</v>
      </c>
      <c r="B1258" s="24">
        <v>45978.396631944444</v>
      </c>
      <c r="C1258" s="24">
        <v>45978</v>
      </c>
      <c r="D1258" s="7" t="s">
        <v>2916</v>
      </c>
      <c r="E1258" s="7" t="s">
        <v>1981</v>
      </c>
      <c r="F1258" s="7" t="s">
        <v>2236</v>
      </c>
      <c r="G1258" s="7" t="s">
        <v>2917</v>
      </c>
      <c r="H1258" s="7"/>
      <c r="I1258" s="7"/>
      <c r="J1258" s="7" t="s">
        <v>2148</v>
      </c>
      <c r="K1258" s="7" t="s">
        <v>1815</v>
      </c>
      <c r="L1258" s="7" t="s">
        <v>2472</v>
      </c>
      <c r="M1258" s="7" t="s">
        <v>3</v>
      </c>
      <c r="N1258" s="7" t="s">
        <v>1825</v>
      </c>
      <c r="O1258" s="7" t="s">
        <v>1703</v>
      </c>
      <c r="P1258" s="7" t="s">
        <v>1703</v>
      </c>
      <c r="Q1258" s="9">
        <v>759568</v>
      </c>
      <c r="R1258" s="9">
        <v>0</v>
      </c>
      <c r="S1258" s="9">
        <f t="shared" si="40"/>
        <v>759568</v>
      </c>
      <c r="T1258" s="7" t="s">
        <v>53</v>
      </c>
      <c r="U1258" s="7"/>
      <c r="V1258" s="7"/>
      <c r="W1258" s="9">
        <v>1</v>
      </c>
      <c r="X1258" s="7"/>
      <c r="Y1258" s="4"/>
      <c r="Z1258" s="7" t="s">
        <v>2</v>
      </c>
      <c r="AA1258" s="36" t="s">
        <v>3</v>
      </c>
      <c r="AB1258" s="4"/>
      <c r="AC1258" s="22">
        <f t="shared" si="42"/>
        <v>297.86980392156863</v>
      </c>
      <c r="AD1258" s="23">
        <v>0</v>
      </c>
    </row>
    <row r="1259" spans="1:30" hidden="1" x14ac:dyDescent="0.35">
      <c r="A1259" s="7">
        <v>42</v>
      </c>
      <c r="B1259" s="24">
        <v>45978.395358796297</v>
      </c>
      <c r="C1259" s="24">
        <v>45978</v>
      </c>
      <c r="D1259" s="7" t="s">
        <v>2918</v>
      </c>
      <c r="E1259" s="7" t="s">
        <v>1981</v>
      </c>
      <c r="F1259" s="7" t="s">
        <v>2236</v>
      </c>
      <c r="G1259" s="7" t="s">
        <v>2919</v>
      </c>
      <c r="H1259" s="7"/>
      <c r="I1259" s="7"/>
      <c r="J1259" s="7" t="s">
        <v>2148</v>
      </c>
      <c r="K1259" s="7" t="s">
        <v>1815</v>
      </c>
      <c r="L1259" s="7" t="s">
        <v>2472</v>
      </c>
      <c r="M1259" s="7" t="s">
        <v>3</v>
      </c>
      <c r="N1259" s="7" t="s">
        <v>1825</v>
      </c>
      <c r="O1259" s="7" t="s">
        <v>1703</v>
      </c>
      <c r="P1259" s="7" t="s">
        <v>1703</v>
      </c>
      <c r="Q1259" s="9">
        <v>10000000</v>
      </c>
      <c r="R1259" s="9">
        <v>0</v>
      </c>
      <c r="S1259" s="9">
        <f t="shared" si="40"/>
        <v>10000000</v>
      </c>
      <c r="T1259" s="7" t="s">
        <v>53</v>
      </c>
      <c r="U1259" s="7"/>
      <c r="V1259" s="7"/>
      <c r="W1259" s="9">
        <v>1</v>
      </c>
      <c r="X1259" s="7"/>
      <c r="Y1259" s="4"/>
      <c r="Z1259" s="7" t="s">
        <v>2</v>
      </c>
      <c r="AA1259" s="36" t="s">
        <v>3</v>
      </c>
      <c r="AB1259" s="4"/>
      <c r="AC1259" s="22">
        <f t="shared" si="42"/>
        <v>3921.5686274509803</v>
      </c>
      <c r="AD1259" s="23">
        <v>0</v>
      </c>
    </row>
    <row r="1260" spans="1:30" hidden="1" x14ac:dyDescent="0.35">
      <c r="A1260" s="7">
        <v>43</v>
      </c>
      <c r="B1260" s="24">
        <v>45978.39334490741</v>
      </c>
      <c r="C1260" s="24">
        <v>45978</v>
      </c>
      <c r="D1260" s="7" t="s">
        <v>2920</v>
      </c>
      <c r="E1260" s="7" t="s">
        <v>1981</v>
      </c>
      <c r="F1260" s="7" t="s">
        <v>2219</v>
      </c>
      <c r="G1260" s="7" t="s">
        <v>2921</v>
      </c>
      <c r="H1260" s="7"/>
      <c r="I1260" s="7"/>
      <c r="J1260" s="7" t="s">
        <v>2148</v>
      </c>
      <c r="K1260" s="7" t="s">
        <v>1815</v>
      </c>
      <c r="L1260" s="7" t="s">
        <v>2472</v>
      </c>
      <c r="M1260" s="7" t="s">
        <v>3</v>
      </c>
      <c r="N1260" s="7" t="s">
        <v>1825</v>
      </c>
      <c r="O1260" s="7" t="s">
        <v>1703</v>
      </c>
      <c r="P1260" s="7" t="s">
        <v>1703</v>
      </c>
      <c r="Q1260" s="9">
        <v>4685667</v>
      </c>
      <c r="R1260" s="9">
        <v>0</v>
      </c>
      <c r="S1260" s="9">
        <f t="shared" si="40"/>
        <v>4685667</v>
      </c>
      <c r="T1260" s="7" t="s">
        <v>53</v>
      </c>
      <c r="U1260" s="7"/>
      <c r="V1260" s="7"/>
      <c r="W1260" s="9">
        <v>1</v>
      </c>
      <c r="X1260" s="7"/>
      <c r="Y1260" s="4"/>
      <c r="Z1260" s="7" t="s">
        <v>2</v>
      </c>
      <c r="AA1260" s="36" t="s">
        <v>3</v>
      </c>
      <c r="AB1260" s="4"/>
      <c r="AC1260" s="22">
        <f t="shared" si="42"/>
        <v>1837.5164705882353</v>
      </c>
      <c r="AD1260" s="23">
        <v>0</v>
      </c>
    </row>
    <row r="1261" spans="1:30" hidden="1" x14ac:dyDescent="0.35">
      <c r="A1261" s="7">
        <v>44</v>
      </c>
      <c r="B1261" s="24">
        <v>45978.391932870371</v>
      </c>
      <c r="C1261" s="24">
        <v>45978</v>
      </c>
      <c r="D1261" s="7" t="s">
        <v>2922</v>
      </c>
      <c r="E1261" s="7" t="s">
        <v>1981</v>
      </c>
      <c r="F1261" s="7" t="s">
        <v>2219</v>
      </c>
      <c r="G1261" s="7" t="s">
        <v>2923</v>
      </c>
      <c r="H1261" s="7"/>
      <c r="I1261" s="7"/>
      <c r="J1261" s="7" t="s">
        <v>2148</v>
      </c>
      <c r="K1261" s="7" t="s">
        <v>1815</v>
      </c>
      <c r="L1261" s="7" t="s">
        <v>2472</v>
      </c>
      <c r="M1261" s="7" t="s">
        <v>3</v>
      </c>
      <c r="N1261" s="7" t="s">
        <v>1825</v>
      </c>
      <c r="O1261" s="7" t="s">
        <v>1703</v>
      </c>
      <c r="P1261" s="7" t="s">
        <v>1703</v>
      </c>
      <c r="Q1261" s="9">
        <v>10000000</v>
      </c>
      <c r="R1261" s="9">
        <v>0</v>
      </c>
      <c r="S1261" s="9">
        <f t="shared" si="40"/>
        <v>10000000</v>
      </c>
      <c r="T1261" s="7" t="s">
        <v>53</v>
      </c>
      <c r="U1261" s="7"/>
      <c r="V1261" s="7"/>
      <c r="W1261" s="9">
        <v>1</v>
      </c>
      <c r="X1261" s="7"/>
      <c r="Y1261" s="4"/>
      <c r="Z1261" s="7" t="s">
        <v>2</v>
      </c>
      <c r="AA1261" s="36" t="s">
        <v>3</v>
      </c>
      <c r="AB1261" s="4"/>
      <c r="AC1261" s="22">
        <f t="shared" si="42"/>
        <v>3921.5686274509803</v>
      </c>
      <c r="AD1261" s="23">
        <v>0</v>
      </c>
    </row>
    <row r="1262" spans="1:30" hidden="1" x14ac:dyDescent="0.35">
      <c r="A1262" s="7">
        <v>45</v>
      </c>
      <c r="B1262" s="24">
        <v>45978.390277777777</v>
      </c>
      <c r="C1262" s="24">
        <v>45978</v>
      </c>
      <c r="D1262" s="7" t="s">
        <v>2924</v>
      </c>
      <c r="E1262" s="7" t="s">
        <v>1981</v>
      </c>
      <c r="F1262" s="7" t="s">
        <v>2219</v>
      </c>
      <c r="G1262" s="7" t="s">
        <v>3385</v>
      </c>
      <c r="H1262" s="7"/>
      <c r="I1262" s="7"/>
      <c r="J1262" s="7" t="s">
        <v>2148</v>
      </c>
      <c r="K1262" s="7" t="s">
        <v>1815</v>
      </c>
      <c r="L1262" s="7" t="s">
        <v>2472</v>
      </c>
      <c r="M1262" s="7" t="s">
        <v>3</v>
      </c>
      <c r="N1262" s="7" t="s">
        <v>1825</v>
      </c>
      <c r="O1262" s="7" t="s">
        <v>1703</v>
      </c>
      <c r="P1262" s="7" t="s">
        <v>1703</v>
      </c>
      <c r="Q1262" s="9">
        <v>9259195</v>
      </c>
      <c r="R1262" s="9">
        <v>0</v>
      </c>
      <c r="S1262" s="9">
        <f t="shared" si="40"/>
        <v>9259195</v>
      </c>
      <c r="T1262" s="7" t="s">
        <v>53</v>
      </c>
      <c r="U1262" s="7"/>
      <c r="V1262" s="7"/>
      <c r="W1262" s="9">
        <v>1</v>
      </c>
      <c r="X1262" s="7"/>
      <c r="Y1262" s="4"/>
      <c r="Z1262" s="7" t="s">
        <v>2</v>
      </c>
      <c r="AA1262" s="36" t="s">
        <v>3</v>
      </c>
      <c r="AB1262" s="4"/>
      <c r="AC1262" s="22">
        <f t="shared" si="42"/>
        <v>3631.056862745098</v>
      </c>
      <c r="AD1262" s="23">
        <v>0</v>
      </c>
    </row>
    <row r="1263" spans="1:30" hidden="1" x14ac:dyDescent="0.35">
      <c r="A1263" s="7">
        <v>46</v>
      </c>
      <c r="B1263" s="24">
        <v>45978.386886574073</v>
      </c>
      <c r="C1263" s="24">
        <v>45978</v>
      </c>
      <c r="D1263" s="7" t="s">
        <v>2925</v>
      </c>
      <c r="E1263" s="7" t="s">
        <v>1981</v>
      </c>
      <c r="F1263" s="7" t="s">
        <v>2236</v>
      </c>
      <c r="G1263" s="7" t="s">
        <v>2926</v>
      </c>
      <c r="H1263" s="7"/>
      <c r="I1263" s="7"/>
      <c r="J1263" s="7" t="s">
        <v>2148</v>
      </c>
      <c r="K1263" s="7" t="s">
        <v>1815</v>
      </c>
      <c r="L1263" s="7" t="s">
        <v>2472</v>
      </c>
      <c r="M1263" s="7" t="s">
        <v>3</v>
      </c>
      <c r="N1263" s="7" t="s">
        <v>1825</v>
      </c>
      <c r="O1263" s="7" t="s">
        <v>1703</v>
      </c>
      <c r="P1263" s="7" t="s">
        <v>1703</v>
      </c>
      <c r="Q1263" s="9">
        <v>13250299</v>
      </c>
      <c r="R1263" s="9">
        <v>0</v>
      </c>
      <c r="S1263" s="9">
        <f t="shared" si="40"/>
        <v>13250299</v>
      </c>
      <c r="T1263" s="7" t="s">
        <v>53</v>
      </c>
      <c r="U1263" s="7"/>
      <c r="V1263" s="7"/>
      <c r="W1263" s="9">
        <v>1</v>
      </c>
      <c r="X1263" s="7"/>
      <c r="Y1263" s="4"/>
      <c r="Z1263" s="7" t="s">
        <v>2</v>
      </c>
      <c r="AA1263" s="36" t="s">
        <v>3</v>
      </c>
      <c r="AB1263" s="4"/>
      <c r="AC1263" s="22">
        <f t="shared" si="42"/>
        <v>5196.1956862745101</v>
      </c>
      <c r="AD1263" s="23">
        <v>0</v>
      </c>
    </row>
    <row r="1264" spans="1:30" hidden="1" x14ac:dyDescent="0.35">
      <c r="A1264" s="7">
        <v>47</v>
      </c>
      <c r="B1264" s="24">
        <v>45978.384016203701</v>
      </c>
      <c r="C1264" s="24">
        <v>45978</v>
      </c>
      <c r="D1264" s="7" t="s">
        <v>2927</v>
      </c>
      <c r="E1264" s="7" t="s">
        <v>1981</v>
      </c>
      <c r="F1264" s="7" t="s">
        <v>2236</v>
      </c>
      <c r="G1264" s="7" t="s">
        <v>2928</v>
      </c>
      <c r="H1264" s="7"/>
      <c r="I1264" s="7"/>
      <c r="J1264" s="7" t="s">
        <v>2148</v>
      </c>
      <c r="K1264" s="7" t="s">
        <v>1815</v>
      </c>
      <c r="L1264" s="7" t="s">
        <v>2472</v>
      </c>
      <c r="M1264" s="7" t="s">
        <v>3</v>
      </c>
      <c r="N1264" s="7" t="s">
        <v>1825</v>
      </c>
      <c r="O1264" s="7" t="s">
        <v>1703</v>
      </c>
      <c r="P1264" s="7" t="s">
        <v>1703</v>
      </c>
      <c r="Q1264" s="9">
        <v>2532125</v>
      </c>
      <c r="R1264" s="9">
        <v>0</v>
      </c>
      <c r="S1264" s="9">
        <f t="shared" si="40"/>
        <v>2532125</v>
      </c>
      <c r="T1264" s="7" t="s">
        <v>53</v>
      </c>
      <c r="U1264" s="7"/>
      <c r="V1264" s="7"/>
      <c r="W1264" s="9">
        <v>1</v>
      </c>
      <c r="X1264" s="7"/>
      <c r="Y1264" s="4"/>
      <c r="Z1264" s="7" t="s">
        <v>2</v>
      </c>
      <c r="AA1264" s="36" t="s">
        <v>3</v>
      </c>
      <c r="AB1264" s="4"/>
      <c r="AC1264" s="22">
        <f t="shared" si="42"/>
        <v>992.99019607843138</v>
      </c>
      <c r="AD1264" s="23">
        <v>0</v>
      </c>
    </row>
    <row r="1265" spans="1:30" hidden="1" x14ac:dyDescent="0.35">
      <c r="A1265" s="7">
        <v>48</v>
      </c>
      <c r="B1265" s="24">
        <v>45978.38077546296</v>
      </c>
      <c r="C1265" s="24">
        <v>45978</v>
      </c>
      <c r="D1265" s="7" t="s">
        <v>2929</v>
      </c>
      <c r="E1265" s="7" t="s">
        <v>1981</v>
      </c>
      <c r="F1265" s="7" t="s">
        <v>2219</v>
      </c>
      <c r="G1265" s="7" t="s">
        <v>2930</v>
      </c>
      <c r="H1265" s="7"/>
      <c r="I1265" s="7"/>
      <c r="J1265" s="7" t="s">
        <v>2148</v>
      </c>
      <c r="K1265" s="7" t="s">
        <v>1815</v>
      </c>
      <c r="L1265" s="7" t="s">
        <v>2472</v>
      </c>
      <c r="M1265" s="7" t="s">
        <v>3</v>
      </c>
      <c r="N1265" s="7" t="s">
        <v>1825</v>
      </c>
      <c r="O1265" s="7" t="s">
        <v>1703</v>
      </c>
      <c r="P1265" s="7" t="s">
        <v>1703</v>
      </c>
      <c r="Q1265" s="9">
        <v>10000000</v>
      </c>
      <c r="R1265" s="9">
        <v>0</v>
      </c>
      <c r="S1265" s="9">
        <f t="shared" si="40"/>
        <v>10000000</v>
      </c>
      <c r="T1265" s="7" t="s">
        <v>53</v>
      </c>
      <c r="U1265" s="7"/>
      <c r="V1265" s="7"/>
      <c r="W1265" s="9">
        <v>1</v>
      </c>
      <c r="X1265" s="7"/>
      <c r="Y1265" s="4"/>
      <c r="Z1265" s="7" t="s">
        <v>2</v>
      </c>
      <c r="AA1265" s="36" t="s">
        <v>3</v>
      </c>
      <c r="AB1265" s="4"/>
      <c r="AC1265" s="22">
        <f t="shared" si="42"/>
        <v>3921.5686274509803</v>
      </c>
      <c r="AD1265" s="23">
        <v>0</v>
      </c>
    </row>
    <row r="1266" spans="1:30" hidden="1" x14ac:dyDescent="0.35">
      <c r="A1266" s="7">
        <v>49</v>
      </c>
      <c r="B1266" s="24">
        <v>45978.379502314812</v>
      </c>
      <c r="C1266" s="24">
        <v>45978</v>
      </c>
      <c r="D1266" s="7" t="s">
        <v>2931</v>
      </c>
      <c r="E1266" s="7" t="s">
        <v>1981</v>
      </c>
      <c r="F1266" s="7" t="s">
        <v>2219</v>
      </c>
      <c r="G1266" s="7" t="s">
        <v>2932</v>
      </c>
      <c r="H1266" s="7"/>
      <c r="I1266" s="7"/>
      <c r="J1266" s="7" t="s">
        <v>2148</v>
      </c>
      <c r="K1266" s="7" t="s">
        <v>1815</v>
      </c>
      <c r="L1266" s="7" t="s">
        <v>2472</v>
      </c>
      <c r="M1266" s="7" t="s">
        <v>3</v>
      </c>
      <c r="N1266" s="7" t="s">
        <v>1825</v>
      </c>
      <c r="O1266" s="7" t="s">
        <v>1703</v>
      </c>
      <c r="P1266" s="7" t="s">
        <v>1703</v>
      </c>
      <c r="Q1266" s="9">
        <v>10000000</v>
      </c>
      <c r="R1266" s="9">
        <v>0</v>
      </c>
      <c r="S1266" s="9">
        <f t="shared" si="40"/>
        <v>10000000</v>
      </c>
      <c r="T1266" s="7" t="s">
        <v>53</v>
      </c>
      <c r="U1266" s="7"/>
      <c r="V1266" s="7"/>
      <c r="W1266" s="9">
        <v>1</v>
      </c>
      <c r="X1266" s="7"/>
      <c r="Y1266" s="4"/>
      <c r="Z1266" s="7" t="s">
        <v>2</v>
      </c>
      <c r="AA1266" s="36" t="s">
        <v>3</v>
      </c>
      <c r="AB1266" s="4"/>
      <c r="AC1266" s="22">
        <f t="shared" si="42"/>
        <v>3921.5686274509803</v>
      </c>
      <c r="AD1266" s="23">
        <v>0</v>
      </c>
    </row>
    <row r="1267" spans="1:30" hidden="1" x14ac:dyDescent="0.35">
      <c r="A1267" s="7">
        <v>51</v>
      </c>
      <c r="B1267" s="24">
        <v>45978.388645833336</v>
      </c>
      <c r="C1267" s="24">
        <v>45980</v>
      </c>
      <c r="D1267" s="7" t="s">
        <v>2933</v>
      </c>
      <c r="E1267" s="7" t="s">
        <v>1981</v>
      </c>
      <c r="F1267" s="7" t="s">
        <v>2219</v>
      </c>
      <c r="G1267" s="7" t="s">
        <v>2934</v>
      </c>
      <c r="H1267" s="7"/>
      <c r="I1267" s="7"/>
      <c r="J1267" s="7" t="s">
        <v>2148</v>
      </c>
      <c r="K1267" s="7" t="s">
        <v>1815</v>
      </c>
      <c r="L1267" s="7" t="s">
        <v>2472</v>
      </c>
      <c r="M1267" s="7" t="s">
        <v>3</v>
      </c>
      <c r="N1267" s="7" t="s">
        <v>1825</v>
      </c>
      <c r="O1267" s="7" t="s">
        <v>1703</v>
      </c>
      <c r="P1267" s="7" t="s">
        <v>1703</v>
      </c>
      <c r="Q1267" s="9">
        <v>26080306</v>
      </c>
      <c r="R1267" s="9">
        <v>0</v>
      </c>
      <c r="S1267" s="9">
        <f t="shared" si="40"/>
        <v>26080306</v>
      </c>
      <c r="T1267" s="7" t="s">
        <v>53</v>
      </c>
      <c r="U1267" s="7"/>
      <c r="V1267" s="7"/>
      <c r="W1267" s="9">
        <v>1</v>
      </c>
      <c r="X1267" s="7"/>
      <c r="Y1267" s="4"/>
      <c r="Z1267" s="7" t="s">
        <v>2</v>
      </c>
      <c r="AA1267" s="36" t="s">
        <v>3</v>
      </c>
      <c r="AB1267" s="4"/>
      <c r="AC1267" s="22">
        <f t="shared" si="42"/>
        <v>10227.570980392156</v>
      </c>
      <c r="AD1267" s="23">
        <v>0</v>
      </c>
    </row>
    <row r="1268" spans="1:30" hidden="1" x14ac:dyDescent="0.35">
      <c r="A1268" s="7">
        <v>52</v>
      </c>
      <c r="B1268" s="24">
        <v>45982.536261574074</v>
      </c>
      <c r="C1268" s="24">
        <v>45982</v>
      </c>
      <c r="D1268" s="7" t="s">
        <v>2935</v>
      </c>
      <c r="E1268" s="7" t="s">
        <v>1819</v>
      </c>
      <c r="F1268" s="7" t="s">
        <v>2936</v>
      </c>
      <c r="G1268" s="7" t="s">
        <v>2937</v>
      </c>
      <c r="H1268" s="7"/>
      <c r="I1268" s="7"/>
      <c r="J1268" s="7" t="s">
        <v>2148</v>
      </c>
      <c r="K1268" s="7" t="s">
        <v>1815</v>
      </c>
      <c r="L1268" s="7" t="s">
        <v>2472</v>
      </c>
      <c r="M1268" s="7" t="s">
        <v>3</v>
      </c>
      <c r="N1268" s="7" t="s">
        <v>1825</v>
      </c>
      <c r="O1268" s="7" t="s">
        <v>1703</v>
      </c>
      <c r="P1268" s="7" t="s">
        <v>1703</v>
      </c>
      <c r="Q1268" s="9">
        <v>940651</v>
      </c>
      <c r="R1268" s="9">
        <v>0</v>
      </c>
      <c r="S1268" s="9">
        <f t="shared" si="40"/>
        <v>940651</v>
      </c>
      <c r="T1268" s="7" t="s">
        <v>53</v>
      </c>
      <c r="U1268" s="7"/>
      <c r="V1268" s="7"/>
      <c r="W1268" s="9">
        <v>1</v>
      </c>
      <c r="X1268" s="7"/>
      <c r="Y1268" s="4"/>
      <c r="Z1268" s="7" t="s">
        <v>2</v>
      </c>
      <c r="AA1268" s="36" t="s">
        <v>3</v>
      </c>
      <c r="AB1268" s="4"/>
      <c r="AC1268" s="22">
        <f t="shared" si="42"/>
        <v>368.88274509803921</v>
      </c>
      <c r="AD1268" s="23">
        <v>0</v>
      </c>
    </row>
    <row r="1269" spans="1:30" hidden="1" x14ac:dyDescent="0.35">
      <c r="A1269" s="7">
        <v>53</v>
      </c>
      <c r="B1269" s="24">
        <v>45982.534513888888</v>
      </c>
      <c r="C1269" s="24">
        <v>45982</v>
      </c>
      <c r="D1269" s="7" t="s">
        <v>2938</v>
      </c>
      <c r="E1269" s="7" t="s">
        <v>1819</v>
      </c>
      <c r="F1269" s="7" t="s">
        <v>2936</v>
      </c>
      <c r="G1269" s="7" t="s">
        <v>2939</v>
      </c>
      <c r="H1269" s="7"/>
      <c r="I1269" s="7"/>
      <c r="J1269" s="7" t="s">
        <v>2148</v>
      </c>
      <c r="K1269" s="7" t="s">
        <v>1815</v>
      </c>
      <c r="L1269" s="7" t="s">
        <v>2472</v>
      </c>
      <c r="M1269" s="7" t="s">
        <v>3</v>
      </c>
      <c r="N1269" s="7" t="s">
        <v>1825</v>
      </c>
      <c r="O1269" s="7" t="s">
        <v>1703</v>
      </c>
      <c r="P1269" s="7" t="s">
        <v>1703</v>
      </c>
      <c r="Q1269" s="9">
        <v>4708950</v>
      </c>
      <c r="R1269" s="9">
        <v>0</v>
      </c>
      <c r="S1269" s="9">
        <f t="shared" si="40"/>
        <v>4708950</v>
      </c>
      <c r="T1269" s="7" t="s">
        <v>53</v>
      </c>
      <c r="U1269" s="7"/>
      <c r="V1269" s="7"/>
      <c r="W1269" s="9">
        <v>1</v>
      </c>
      <c r="X1269" s="7"/>
      <c r="Y1269" s="4"/>
      <c r="Z1269" s="7" t="s">
        <v>2</v>
      </c>
      <c r="AA1269" s="36" t="s">
        <v>3</v>
      </c>
      <c r="AB1269" s="4"/>
      <c r="AC1269" s="22">
        <f t="shared" si="42"/>
        <v>1846.6470588235295</v>
      </c>
      <c r="AD1269" s="23">
        <v>0</v>
      </c>
    </row>
    <row r="1270" spans="1:30" hidden="1" x14ac:dyDescent="0.35">
      <c r="A1270" s="7">
        <v>54</v>
      </c>
      <c r="B1270" s="24">
        <v>45982.533229166664</v>
      </c>
      <c r="C1270" s="24">
        <v>45982</v>
      </c>
      <c r="D1270" s="7" t="s">
        <v>2940</v>
      </c>
      <c r="E1270" s="7" t="s">
        <v>1819</v>
      </c>
      <c r="F1270" s="7" t="s">
        <v>2936</v>
      </c>
      <c r="G1270" s="7" t="s">
        <v>2941</v>
      </c>
      <c r="H1270" s="7"/>
      <c r="I1270" s="7"/>
      <c r="J1270" s="7" t="s">
        <v>2148</v>
      </c>
      <c r="K1270" s="7" t="s">
        <v>1815</v>
      </c>
      <c r="L1270" s="7" t="s">
        <v>2472</v>
      </c>
      <c r="M1270" s="7" t="s">
        <v>3</v>
      </c>
      <c r="N1270" s="7" t="s">
        <v>1825</v>
      </c>
      <c r="O1270" s="7" t="s">
        <v>1703</v>
      </c>
      <c r="P1270" s="7" t="s">
        <v>1703</v>
      </c>
      <c r="Q1270" s="9">
        <v>602799</v>
      </c>
      <c r="R1270" s="9">
        <v>0</v>
      </c>
      <c r="S1270" s="9">
        <f t="shared" si="40"/>
        <v>602799</v>
      </c>
      <c r="T1270" s="7" t="s">
        <v>53</v>
      </c>
      <c r="U1270" s="7"/>
      <c r="V1270" s="7"/>
      <c r="W1270" s="9">
        <v>1</v>
      </c>
      <c r="X1270" s="7"/>
      <c r="Y1270" s="4"/>
      <c r="Z1270" s="7" t="s">
        <v>2</v>
      </c>
      <c r="AA1270" s="36" t="s">
        <v>3</v>
      </c>
      <c r="AB1270" s="4"/>
      <c r="AC1270" s="22">
        <f t="shared" si="42"/>
        <v>236.39176470588237</v>
      </c>
      <c r="AD1270" s="23">
        <v>0</v>
      </c>
    </row>
    <row r="1271" spans="1:30" hidden="1" x14ac:dyDescent="0.35">
      <c r="A1271" s="7">
        <v>55</v>
      </c>
      <c r="B1271" s="24">
        <v>45982.531412037039</v>
      </c>
      <c r="C1271" s="24">
        <v>45982</v>
      </c>
      <c r="D1271" s="7" t="s">
        <v>2942</v>
      </c>
      <c r="E1271" s="7" t="s">
        <v>1819</v>
      </c>
      <c r="F1271" s="7" t="s">
        <v>2943</v>
      </c>
      <c r="G1271" s="7" t="s">
        <v>2944</v>
      </c>
      <c r="H1271" s="7"/>
      <c r="I1271" s="7"/>
      <c r="J1271" s="7" t="s">
        <v>2148</v>
      </c>
      <c r="K1271" s="7" t="s">
        <v>1815</v>
      </c>
      <c r="L1271" s="7" t="s">
        <v>2472</v>
      </c>
      <c r="M1271" s="7" t="s">
        <v>3</v>
      </c>
      <c r="N1271" s="7" t="s">
        <v>1825</v>
      </c>
      <c r="O1271" s="7" t="s">
        <v>1703</v>
      </c>
      <c r="P1271" s="7" t="s">
        <v>1703</v>
      </c>
      <c r="Q1271" s="9">
        <v>664730</v>
      </c>
      <c r="R1271" s="9">
        <v>0</v>
      </c>
      <c r="S1271" s="9">
        <f t="shared" si="40"/>
        <v>664730</v>
      </c>
      <c r="T1271" s="7" t="s">
        <v>53</v>
      </c>
      <c r="U1271" s="7"/>
      <c r="V1271" s="7"/>
      <c r="W1271" s="9">
        <v>1</v>
      </c>
      <c r="X1271" s="7"/>
      <c r="Y1271" s="4"/>
      <c r="Z1271" s="7" t="s">
        <v>2</v>
      </c>
      <c r="AA1271" s="36" t="s">
        <v>3</v>
      </c>
      <c r="AB1271" s="4"/>
      <c r="AC1271" s="22">
        <f t="shared" si="42"/>
        <v>260.67843137254903</v>
      </c>
      <c r="AD1271" s="23">
        <v>0</v>
      </c>
    </row>
    <row r="1272" spans="1:30" hidden="1" x14ac:dyDescent="0.35">
      <c r="A1272" s="7">
        <v>56</v>
      </c>
      <c r="B1272" s="24">
        <v>45982.530023148145</v>
      </c>
      <c r="C1272" s="24">
        <v>45982</v>
      </c>
      <c r="D1272" s="7" t="s">
        <v>2945</v>
      </c>
      <c r="E1272" s="7" t="s">
        <v>1819</v>
      </c>
      <c r="F1272" s="7" t="s">
        <v>2936</v>
      </c>
      <c r="G1272" s="7" t="s">
        <v>2946</v>
      </c>
      <c r="H1272" s="7"/>
      <c r="I1272" s="7"/>
      <c r="J1272" s="7" t="s">
        <v>2148</v>
      </c>
      <c r="K1272" s="7" t="s">
        <v>1815</v>
      </c>
      <c r="L1272" s="7" t="s">
        <v>2472</v>
      </c>
      <c r="M1272" s="7" t="s">
        <v>3</v>
      </c>
      <c r="N1272" s="7" t="s">
        <v>1825</v>
      </c>
      <c r="O1272" s="7" t="s">
        <v>1703</v>
      </c>
      <c r="P1272" s="7" t="s">
        <v>1703</v>
      </c>
      <c r="Q1272" s="9">
        <v>3963825</v>
      </c>
      <c r="R1272" s="9">
        <v>0</v>
      </c>
      <c r="S1272" s="9">
        <f t="shared" si="40"/>
        <v>3963825</v>
      </c>
      <c r="T1272" s="7" t="s">
        <v>53</v>
      </c>
      <c r="U1272" s="7"/>
      <c r="V1272" s="7"/>
      <c r="W1272" s="9">
        <v>1</v>
      </c>
      <c r="X1272" s="7"/>
      <c r="Y1272" s="4"/>
      <c r="Z1272" s="7" t="s">
        <v>2</v>
      </c>
      <c r="AA1272" s="36" t="s">
        <v>3</v>
      </c>
      <c r="AB1272" s="4"/>
      <c r="AC1272" s="22">
        <f t="shared" si="42"/>
        <v>1554.4411764705883</v>
      </c>
      <c r="AD1272" s="23">
        <v>0</v>
      </c>
    </row>
    <row r="1273" spans="1:30" hidden="1" x14ac:dyDescent="0.35">
      <c r="A1273" s="7">
        <v>57</v>
      </c>
      <c r="B1273" s="24">
        <v>45982.528726851851</v>
      </c>
      <c r="C1273" s="24">
        <v>45982</v>
      </c>
      <c r="D1273" s="7" t="s">
        <v>2947</v>
      </c>
      <c r="E1273" s="7" t="s">
        <v>1819</v>
      </c>
      <c r="F1273" s="7" t="s">
        <v>2936</v>
      </c>
      <c r="G1273" s="7" t="s">
        <v>2948</v>
      </c>
      <c r="H1273" s="7"/>
      <c r="I1273" s="7"/>
      <c r="J1273" s="7" t="s">
        <v>2148</v>
      </c>
      <c r="K1273" s="7" t="s">
        <v>1815</v>
      </c>
      <c r="L1273" s="7" t="s">
        <v>2472</v>
      </c>
      <c r="M1273" s="7" t="s">
        <v>3</v>
      </c>
      <c r="N1273" s="7" t="s">
        <v>1825</v>
      </c>
      <c r="O1273" s="7" t="s">
        <v>1703</v>
      </c>
      <c r="P1273" s="7" t="s">
        <v>1703</v>
      </c>
      <c r="Q1273" s="9">
        <v>2052898</v>
      </c>
      <c r="R1273" s="9">
        <v>0</v>
      </c>
      <c r="S1273" s="9">
        <f t="shared" si="40"/>
        <v>2052898</v>
      </c>
      <c r="T1273" s="7" t="s">
        <v>53</v>
      </c>
      <c r="U1273" s="7"/>
      <c r="V1273" s="7"/>
      <c r="W1273" s="9">
        <v>1</v>
      </c>
      <c r="X1273" s="7"/>
      <c r="Y1273" s="4"/>
      <c r="Z1273" s="7" t="s">
        <v>2</v>
      </c>
      <c r="AA1273" s="36" t="s">
        <v>3</v>
      </c>
      <c r="AB1273" s="4"/>
      <c r="AC1273" s="22">
        <f t="shared" si="42"/>
        <v>805.05803921568622</v>
      </c>
      <c r="AD1273" s="23">
        <v>0</v>
      </c>
    </row>
    <row r="1274" spans="1:30" hidden="1" x14ac:dyDescent="0.35">
      <c r="A1274" s="7">
        <v>58</v>
      </c>
      <c r="B1274" s="24">
        <v>45982.527337962965</v>
      </c>
      <c r="C1274" s="24">
        <v>45982</v>
      </c>
      <c r="D1274" s="7" t="s">
        <v>2949</v>
      </c>
      <c r="E1274" s="7" t="s">
        <v>1819</v>
      </c>
      <c r="F1274" s="7" t="s">
        <v>2936</v>
      </c>
      <c r="G1274" s="7" t="s">
        <v>2950</v>
      </c>
      <c r="H1274" s="7"/>
      <c r="I1274" s="7"/>
      <c r="J1274" s="7" t="s">
        <v>2148</v>
      </c>
      <c r="K1274" s="7" t="s">
        <v>1815</v>
      </c>
      <c r="L1274" s="7" t="s">
        <v>2472</v>
      </c>
      <c r="M1274" s="7" t="s">
        <v>3</v>
      </c>
      <c r="N1274" s="7" t="s">
        <v>1825</v>
      </c>
      <c r="O1274" s="7" t="s">
        <v>1703</v>
      </c>
      <c r="P1274" s="7" t="s">
        <v>1703</v>
      </c>
      <c r="Q1274" s="9">
        <v>565263</v>
      </c>
      <c r="R1274" s="9">
        <v>0</v>
      </c>
      <c r="S1274" s="9">
        <f t="shared" si="40"/>
        <v>565263</v>
      </c>
      <c r="T1274" s="7" t="s">
        <v>53</v>
      </c>
      <c r="U1274" s="7"/>
      <c r="V1274" s="7"/>
      <c r="W1274" s="9">
        <v>1</v>
      </c>
      <c r="X1274" s="7"/>
      <c r="Y1274" s="4"/>
      <c r="Z1274" s="7" t="s">
        <v>2</v>
      </c>
      <c r="AA1274" s="36" t="s">
        <v>3</v>
      </c>
      <c r="AB1274" s="4"/>
      <c r="AC1274" s="22">
        <f t="shared" si="42"/>
        <v>221.67176470588234</v>
      </c>
      <c r="AD1274" s="23">
        <v>0</v>
      </c>
    </row>
    <row r="1275" spans="1:30" hidden="1" x14ac:dyDescent="0.35">
      <c r="A1275" s="7">
        <v>59</v>
      </c>
      <c r="B1275" s="24">
        <v>45982.525925925926</v>
      </c>
      <c r="C1275" s="24">
        <v>45982</v>
      </c>
      <c r="D1275" s="7" t="s">
        <v>2951</v>
      </c>
      <c r="E1275" s="7" t="s">
        <v>1819</v>
      </c>
      <c r="F1275" s="7" t="s">
        <v>2936</v>
      </c>
      <c r="G1275" s="7" t="s">
        <v>2952</v>
      </c>
      <c r="H1275" s="7"/>
      <c r="I1275" s="7"/>
      <c r="J1275" s="7" t="s">
        <v>2148</v>
      </c>
      <c r="K1275" s="7" t="s">
        <v>1815</v>
      </c>
      <c r="L1275" s="7" t="s">
        <v>2472</v>
      </c>
      <c r="M1275" s="7" t="s">
        <v>3</v>
      </c>
      <c r="N1275" s="7" t="s">
        <v>1825</v>
      </c>
      <c r="O1275" s="7" t="s">
        <v>1703</v>
      </c>
      <c r="P1275" s="7" t="s">
        <v>1703</v>
      </c>
      <c r="Q1275" s="9">
        <v>543273</v>
      </c>
      <c r="R1275" s="9">
        <v>0</v>
      </c>
      <c r="S1275" s="9">
        <f t="shared" si="40"/>
        <v>543273</v>
      </c>
      <c r="T1275" s="7" t="s">
        <v>53</v>
      </c>
      <c r="U1275" s="7"/>
      <c r="V1275" s="7"/>
      <c r="W1275" s="9">
        <v>1</v>
      </c>
      <c r="X1275" s="7"/>
      <c r="Y1275" s="4"/>
      <c r="Z1275" s="7" t="s">
        <v>2</v>
      </c>
      <c r="AA1275" s="36" t="s">
        <v>3</v>
      </c>
      <c r="AB1275" s="4"/>
      <c r="AC1275" s="22">
        <f t="shared" si="42"/>
        <v>213.04823529411766</v>
      </c>
      <c r="AD1275" s="23">
        <v>0</v>
      </c>
    </row>
    <row r="1276" spans="1:30" hidden="1" x14ac:dyDescent="0.35">
      <c r="A1276" s="7">
        <v>60</v>
      </c>
      <c r="B1276" s="24">
        <v>45982.52306712963</v>
      </c>
      <c r="C1276" s="24">
        <v>45982</v>
      </c>
      <c r="D1276" s="7" t="s">
        <v>2953</v>
      </c>
      <c r="E1276" s="7" t="s">
        <v>1819</v>
      </c>
      <c r="F1276" s="7" t="s">
        <v>2936</v>
      </c>
      <c r="G1276" s="7" t="s">
        <v>2954</v>
      </c>
      <c r="H1276" s="7"/>
      <c r="I1276" s="7"/>
      <c r="J1276" s="7" t="s">
        <v>2148</v>
      </c>
      <c r="K1276" s="7" t="s">
        <v>1815</v>
      </c>
      <c r="L1276" s="7" t="s">
        <v>2472</v>
      </c>
      <c r="M1276" s="7" t="s">
        <v>3</v>
      </c>
      <c r="N1276" s="7" t="s">
        <v>1825</v>
      </c>
      <c r="O1276" s="7" t="s">
        <v>1703</v>
      </c>
      <c r="P1276" s="7" t="s">
        <v>1703</v>
      </c>
      <c r="Q1276" s="9">
        <v>450000</v>
      </c>
      <c r="R1276" s="9">
        <v>0</v>
      </c>
      <c r="S1276" s="9">
        <f t="shared" si="40"/>
        <v>450000</v>
      </c>
      <c r="T1276" s="7" t="s">
        <v>53</v>
      </c>
      <c r="U1276" s="7"/>
      <c r="V1276" s="7"/>
      <c r="W1276" s="9">
        <v>1</v>
      </c>
      <c r="X1276" s="7"/>
      <c r="Y1276" s="4"/>
      <c r="Z1276" s="7" t="s">
        <v>2</v>
      </c>
      <c r="AA1276" s="36" t="s">
        <v>3</v>
      </c>
      <c r="AB1276" s="4"/>
      <c r="AC1276" s="22">
        <f t="shared" si="42"/>
        <v>176.47058823529412</v>
      </c>
      <c r="AD1276" s="23">
        <v>0</v>
      </c>
    </row>
    <row r="1277" spans="1:30" hidden="1" x14ac:dyDescent="0.35">
      <c r="A1277" s="7">
        <v>61</v>
      </c>
      <c r="B1277" s="24">
        <v>45982.521782407406</v>
      </c>
      <c r="C1277" s="24">
        <v>45982</v>
      </c>
      <c r="D1277" s="7" t="s">
        <v>2955</v>
      </c>
      <c r="E1277" s="7" t="s">
        <v>1819</v>
      </c>
      <c r="F1277" s="7" t="s">
        <v>2936</v>
      </c>
      <c r="G1277" s="7" t="s">
        <v>2956</v>
      </c>
      <c r="H1277" s="7"/>
      <c r="I1277" s="7"/>
      <c r="J1277" s="7" t="s">
        <v>2148</v>
      </c>
      <c r="K1277" s="7" t="s">
        <v>1815</v>
      </c>
      <c r="L1277" s="7" t="s">
        <v>2472</v>
      </c>
      <c r="M1277" s="7" t="s">
        <v>3</v>
      </c>
      <c r="N1277" s="7" t="s">
        <v>1825</v>
      </c>
      <c r="O1277" s="7" t="s">
        <v>1703</v>
      </c>
      <c r="P1277" s="7" t="s">
        <v>1703</v>
      </c>
      <c r="Q1277" s="9">
        <v>1867103</v>
      </c>
      <c r="R1277" s="9">
        <v>0</v>
      </c>
      <c r="S1277" s="9">
        <f t="shared" si="40"/>
        <v>1867103</v>
      </c>
      <c r="T1277" s="7" t="s">
        <v>53</v>
      </c>
      <c r="U1277" s="7"/>
      <c r="V1277" s="7"/>
      <c r="W1277" s="9">
        <v>1</v>
      </c>
      <c r="X1277" s="7"/>
      <c r="Y1277" s="4"/>
      <c r="Z1277" s="7" t="s">
        <v>2</v>
      </c>
      <c r="AA1277" s="36" t="s">
        <v>3</v>
      </c>
      <c r="AB1277" s="4"/>
      <c r="AC1277" s="22">
        <f t="shared" si="42"/>
        <v>732.19725490196083</v>
      </c>
      <c r="AD1277" s="23">
        <v>0</v>
      </c>
    </row>
    <row r="1278" spans="1:30" hidden="1" x14ac:dyDescent="0.35">
      <c r="A1278" s="7">
        <v>62</v>
      </c>
      <c r="B1278" s="24">
        <v>45982.520370370374</v>
      </c>
      <c r="C1278" s="24">
        <v>45982</v>
      </c>
      <c r="D1278" s="7" t="s">
        <v>2957</v>
      </c>
      <c r="E1278" s="7" t="s">
        <v>1819</v>
      </c>
      <c r="F1278" s="7" t="s">
        <v>2936</v>
      </c>
      <c r="G1278" s="7" t="s">
        <v>2958</v>
      </c>
      <c r="H1278" s="7"/>
      <c r="I1278" s="7"/>
      <c r="J1278" s="7" t="s">
        <v>2148</v>
      </c>
      <c r="K1278" s="7" t="s">
        <v>1815</v>
      </c>
      <c r="L1278" s="7" t="s">
        <v>2472</v>
      </c>
      <c r="M1278" s="7" t="s">
        <v>3</v>
      </c>
      <c r="N1278" s="7" t="s">
        <v>1825</v>
      </c>
      <c r="O1278" s="7" t="s">
        <v>1703</v>
      </c>
      <c r="P1278" s="7" t="s">
        <v>1703</v>
      </c>
      <c r="Q1278" s="9">
        <v>3279150</v>
      </c>
      <c r="R1278" s="9">
        <v>0</v>
      </c>
      <c r="S1278" s="9">
        <f t="shared" si="40"/>
        <v>3279150</v>
      </c>
      <c r="T1278" s="7" t="s">
        <v>53</v>
      </c>
      <c r="U1278" s="7"/>
      <c r="V1278" s="7"/>
      <c r="W1278" s="9">
        <v>1</v>
      </c>
      <c r="X1278" s="7"/>
      <c r="Y1278" s="4"/>
      <c r="Z1278" s="7" t="s">
        <v>2</v>
      </c>
      <c r="AA1278" s="36" t="s">
        <v>3</v>
      </c>
      <c r="AB1278" s="4"/>
      <c r="AC1278" s="22">
        <f t="shared" si="42"/>
        <v>1285.9411764705883</v>
      </c>
      <c r="AD1278" s="23">
        <v>0</v>
      </c>
    </row>
    <row r="1279" spans="1:30" hidden="1" x14ac:dyDescent="0.35">
      <c r="A1279" s="7">
        <v>63</v>
      </c>
      <c r="B1279" s="24">
        <v>45982.519050925926</v>
      </c>
      <c r="C1279" s="24">
        <v>45982</v>
      </c>
      <c r="D1279" s="7" t="s">
        <v>2959</v>
      </c>
      <c r="E1279" s="7" t="s">
        <v>1819</v>
      </c>
      <c r="F1279" s="7" t="s">
        <v>2936</v>
      </c>
      <c r="G1279" s="7" t="s">
        <v>2960</v>
      </c>
      <c r="H1279" s="7"/>
      <c r="I1279" s="7"/>
      <c r="J1279" s="7" t="s">
        <v>2148</v>
      </c>
      <c r="K1279" s="7" t="s">
        <v>1815</v>
      </c>
      <c r="L1279" s="7" t="s">
        <v>2472</v>
      </c>
      <c r="M1279" s="7" t="s">
        <v>3</v>
      </c>
      <c r="N1279" s="7" t="s">
        <v>1825</v>
      </c>
      <c r="O1279" s="7" t="s">
        <v>1703</v>
      </c>
      <c r="P1279" s="7" t="s">
        <v>1703</v>
      </c>
      <c r="Q1279" s="9">
        <v>450000</v>
      </c>
      <c r="R1279" s="9">
        <v>0</v>
      </c>
      <c r="S1279" s="9">
        <f t="shared" si="40"/>
        <v>450000</v>
      </c>
      <c r="T1279" s="7" t="s">
        <v>53</v>
      </c>
      <c r="U1279" s="7"/>
      <c r="V1279" s="7"/>
      <c r="W1279" s="9">
        <v>1</v>
      </c>
      <c r="X1279" s="7"/>
      <c r="Y1279" s="4"/>
      <c r="Z1279" s="7" t="s">
        <v>2</v>
      </c>
      <c r="AA1279" s="36" t="s">
        <v>3</v>
      </c>
      <c r="AB1279" s="4"/>
      <c r="AC1279" s="22">
        <f t="shared" si="42"/>
        <v>176.47058823529412</v>
      </c>
      <c r="AD1279" s="23">
        <v>0</v>
      </c>
    </row>
    <row r="1280" spans="1:30" hidden="1" x14ac:dyDescent="0.35">
      <c r="A1280" s="7">
        <v>64</v>
      </c>
      <c r="B1280" s="24">
        <v>45982.517199074071</v>
      </c>
      <c r="C1280" s="24">
        <v>45982</v>
      </c>
      <c r="D1280" s="7" t="s">
        <v>2961</v>
      </c>
      <c r="E1280" s="7" t="s">
        <v>1819</v>
      </c>
      <c r="F1280" s="7" t="s">
        <v>2936</v>
      </c>
      <c r="G1280" s="7" t="s">
        <v>2962</v>
      </c>
      <c r="H1280" s="7"/>
      <c r="I1280" s="7"/>
      <c r="J1280" s="7" t="s">
        <v>2148</v>
      </c>
      <c r="K1280" s="7" t="s">
        <v>1815</v>
      </c>
      <c r="L1280" s="7" t="s">
        <v>2472</v>
      </c>
      <c r="M1280" s="7" t="s">
        <v>3</v>
      </c>
      <c r="N1280" s="7" t="s">
        <v>1825</v>
      </c>
      <c r="O1280" s="7" t="s">
        <v>1703</v>
      </c>
      <c r="P1280" s="7" t="s">
        <v>1703</v>
      </c>
      <c r="Q1280" s="9">
        <v>1100857</v>
      </c>
      <c r="R1280" s="9">
        <v>0</v>
      </c>
      <c r="S1280" s="9">
        <f t="shared" si="40"/>
        <v>1100857</v>
      </c>
      <c r="T1280" s="7" t="s">
        <v>53</v>
      </c>
      <c r="U1280" s="7"/>
      <c r="V1280" s="7"/>
      <c r="W1280" s="9">
        <v>1</v>
      </c>
      <c r="X1280" s="7"/>
      <c r="Y1280" s="4"/>
      <c r="Z1280" s="7" t="s">
        <v>2</v>
      </c>
      <c r="AA1280" s="36" t="s">
        <v>3</v>
      </c>
      <c r="AB1280" s="4"/>
      <c r="AC1280" s="22">
        <f t="shared" si="42"/>
        <v>431.70862745098037</v>
      </c>
      <c r="AD1280" s="23">
        <v>0</v>
      </c>
    </row>
    <row r="1281" spans="1:30" hidden="1" x14ac:dyDescent="0.35">
      <c r="A1281" s="7">
        <v>65</v>
      </c>
      <c r="B1281" s="24">
        <v>45982.515625</v>
      </c>
      <c r="C1281" s="24">
        <v>45982</v>
      </c>
      <c r="D1281" s="7" t="s">
        <v>2963</v>
      </c>
      <c r="E1281" s="7" t="s">
        <v>1819</v>
      </c>
      <c r="F1281" s="7" t="s">
        <v>2936</v>
      </c>
      <c r="G1281" s="7" t="s">
        <v>2964</v>
      </c>
      <c r="H1281" s="7"/>
      <c r="I1281" s="7"/>
      <c r="J1281" s="7" t="s">
        <v>2148</v>
      </c>
      <c r="K1281" s="7" t="s">
        <v>1815</v>
      </c>
      <c r="L1281" s="7" t="s">
        <v>2472</v>
      </c>
      <c r="M1281" s="7" t="s">
        <v>3</v>
      </c>
      <c r="N1281" s="7" t="s">
        <v>1825</v>
      </c>
      <c r="O1281" s="7" t="s">
        <v>1703</v>
      </c>
      <c r="P1281" s="7" t="s">
        <v>1703</v>
      </c>
      <c r="Q1281" s="9">
        <v>80000</v>
      </c>
      <c r="R1281" s="9">
        <v>0</v>
      </c>
      <c r="S1281" s="9">
        <f t="shared" si="40"/>
        <v>80000</v>
      </c>
      <c r="T1281" s="7" t="s">
        <v>53</v>
      </c>
      <c r="U1281" s="7"/>
      <c r="V1281" s="7"/>
      <c r="W1281" s="9">
        <v>1</v>
      </c>
      <c r="X1281" s="7"/>
      <c r="Y1281" s="4"/>
      <c r="Z1281" s="7" t="s">
        <v>2</v>
      </c>
      <c r="AA1281" s="36" t="s">
        <v>3</v>
      </c>
      <c r="AB1281" s="4"/>
      <c r="AC1281" s="22">
        <f t="shared" ref="AC1281:AC1344" si="43">+S1281/$AC$1</f>
        <v>31.372549019607842</v>
      </c>
      <c r="AD1281" s="23">
        <v>0</v>
      </c>
    </row>
    <row r="1282" spans="1:30" hidden="1" x14ac:dyDescent="0.35">
      <c r="A1282" s="7">
        <v>66</v>
      </c>
      <c r="B1282" s="24">
        <v>45982.514606481483</v>
      </c>
      <c r="C1282" s="24">
        <v>45982</v>
      </c>
      <c r="D1282" s="7" t="s">
        <v>2965</v>
      </c>
      <c r="E1282" s="7" t="s">
        <v>1819</v>
      </c>
      <c r="F1282" s="7" t="s">
        <v>2936</v>
      </c>
      <c r="G1282" s="7" t="s">
        <v>2964</v>
      </c>
      <c r="H1282" s="7"/>
      <c r="I1282" s="7"/>
      <c r="J1282" s="7" t="s">
        <v>2148</v>
      </c>
      <c r="K1282" s="7" t="s">
        <v>1815</v>
      </c>
      <c r="L1282" s="7" t="s">
        <v>2472</v>
      </c>
      <c r="M1282" s="7" t="s">
        <v>3</v>
      </c>
      <c r="N1282" s="7" t="s">
        <v>1825</v>
      </c>
      <c r="O1282" s="7" t="s">
        <v>1703</v>
      </c>
      <c r="P1282" s="7" t="s">
        <v>1703</v>
      </c>
      <c r="Q1282" s="9">
        <v>800000</v>
      </c>
      <c r="R1282" s="9">
        <v>0</v>
      </c>
      <c r="S1282" s="9">
        <f t="shared" si="40"/>
        <v>800000</v>
      </c>
      <c r="T1282" s="7" t="s">
        <v>53</v>
      </c>
      <c r="U1282" s="7"/>
      <c r="V1282" s="7"/>
      <c r="W1282" s="9">
        <v>1</v>
      </c>
      <c r="X1282" s="7"/>
      <c r="Y1282" s="4"/>
      <c r="Z1282" s="7" t="s">
        <v>2</v>
      </c>
      <c r="AA1282" s="36" t="s">
        <v>3</v>
      </c>
      <c r="AB1282" s="4"/>
      <c r="AC1282" s="22">
        <f t="shared" si="43"/>
        <v>313.72549019607845</v>
      </c>
      <c r="AD1282" s="23">
        <v>0</v>
      </c>
    </row>
    <row r="1283" spans="1:30" hidden="1" x14ac:dyDescent="0.35">
      <c r="A1283" s="7">
        <v>67</v>
      </c>
      <c r="B1283" s="24">
        <v>45982.51290509259</v>
      </c>
      <c r="C1283" s="24">
        <v>45982</v>
      </c>
      <c r="D1283" s="7" t="s">
        <v>2966</v>
      </c>
      <c r="E1283" s="7" t="s">
        <v>1819</v>
      </c>
      <c r="F1283" s="7" t="s">
        <v>2936</v>
      </c>
      <c r="G1283" s="7" t="s">
        <v>2967</v>
      </c>
      <c r="H1283" s="7"/>
      <c r="I1283" s="7"/>
      <c r="J1283" s="7" t="s">
        <v>2148</v>
      </c>
      <c r="K1283" s="7" t="s">
        <v>1815</v>
      </c>
      <c r="L1283" s="7" t="s">
        <v>2472</v>
      </c>
      <c r="M1283" s="7" t="s">
        <v>3</v>
      </c>
      <c r="N1283" s="7" t="s">
        <v>1825</v>
      </c>
      <c r="O1283" s="7" t="s">
        <v>1703</v>
      </c>
      <c r="P1283" s="7" t="s">
        <v>1703</v>
      </c>
      <c r="Q1283" s="9">
        <v>1330000</v>
      </c>
      <c r="R1283" s="9">
        <v>0</v>
      </c>
      <c r="S1283" s="9">
        <f t="shared" ref="S1283:S1346" si="44">+Q1283-R1283</f>
        <v>1330000</v>
      </c>
      <c r="T1283" s="7" t="s">
        <v>53</v>
      </c>
      <c r="U1283" s="7"/>
      <c r="V1283" s="7"/>
      <c r="W1283" s="9">
        <v>1</v>
      </c>
      <c r="X1283" s="7"/>
      <c r="Y1283" s="4"/>
      <c r="Z1283" s="7" t="s">
        <v>2</v>
      </c>
      <c r="AA1283" s="36" t="s">
        <v>3</v>
      </c>
      <c r="AB1283" s="4"/>
      <c r="AC1283" s="22">
        <f t="shared" si="43"/>
        <v>521.56862745098044</v>
      </c>
      <c r="AD1283" s="23">
        <v>0</v>
      </c>
    </row>
    <row r="1284" spans="1:30" hidden="1" x14ac:dyDescent="0.35">
      <c r="A1284" s="7">
        <v>68</v>
      </c>
      <c r="B1284" s="24">
        <v>45982.506053240744</v>
      </c>
      <c r="C1284" s="24">
        <v>45982</v>
      </c>
      <c r="D1284" s="7" t="s">
        <v>2968</v>
      </c>
      <c r="E1284" s="7" t="s">
        <v>1819</v>
      </c>
      <c r="F1284" s="7" t="s">
        <v>2936</v>
      </c>
      <c r="G1284" s="7" t="s">
        <v>2969</v>
      </c>
      <c r="H1284" s="7"/>
      <c r="I1284" s="7"/>
      <c r="J1284" s="7" t="s">
        <v>2148</v>
      </c>
      <c r="K1284" s="7" t="s">
        <v>1815</v>
      </c>
      <c r="L1284" s="7" t="s">
        <v>2472</v>
      </c>
      <c r="M1284" s="7" t="s">
        <v>3</v>
      </c>
      <c r="N1284" s="7" t="s">
        <v>1825</v>
      </c>
      <c r="O1284" s="7" t="s">
        <v>1703</v>
      </c>
      <c r="P1284" s="7" t="s">
        <v>1703</v>
      </c>
      <c r="Q1284" s="9">
        <v>66000</v>
      </c>
      <c r="R1284" s="9">
        <v>0</v>
      </c>
      <c r="S1284" s="9">
        <f t="shared" si="44"/>
        <v>66000</v>
      </c>
      <c r="T1284" s="7" t="s">
        <v>53</v>
      </c>
      <c r="U1284" s="7"/>
      <c r="V1284" s="7"/>
      <c r="W1284" s="9">
        <v>1</v>
      </c>
      <c r="X1284" s="7"/>
      <c r="Y1284" s="4"/>
      <c r="Z1284" s="7" t="s">
        <v>2</v>
      </c>
      <c r="AA1284" s="36" t="s">
        <v>3</v>
      </c>
      <c r="AB1284" s="4"/>
      <c r="AC1284" s="22">
        <f t="shared" si="43"/>
        <v>25.882352941176471</v>
      </c>
      <c r="AD1284" s="23">
        <v>0</v>
      </c>
    </row>
    <row r="1285" spans="1:30" hidden="1" x14ac:dyDescent="0.35">
      <c r="A1285" s="7">
        <v>69</v>
      </c>
      <c r="B1285" s="24">
        <v>45982.504745370374</v>
      </c>
      <c r="C1285" s="24">
        <v>45982</v>
      </c>
      <c r="D1285" s="7" t="s">
        <v>2970</v>
      </c>
      <c r="E1285" s="7" t="s">
        <v>1819</v>
      </c>
      <c r="F1285" s="7" t="s">
        <v>2936</v>
      </c>
      <c r="G1285" s="7" t="s">
        <v>2971</v>
      </c>
      <c r="H1285" s="7"/>
      <c r="I1285" s="7"/>
      <c r="J1285" s="7" t="s">
        <v>2148</v>
      </c>
      <c r="K1285" s="7" t="s">
        <v>1815</v>
      </c>
      <c r="L1285" s="7" t="s">
        <v>2472</v>
      </c>
      <c r="M1285" s="7" t="s">
        <v>3</v>
      </c>
      <c r="N1285" s="7" t="s">
        <v>1825</v>
      </c>
      <c r="O1285" s="7" t="s">
        <v>1703</v>
      </c>
      <c r="P1285" s="7" t="s">
        <v>1703</v>
      </c>
      <c r="Q1285" s="9">
        <v>318000</v>
      </c>
      <c r="R1285" s="9">
        <v>0</v>
      </c>
      <c r="S1285" s="9">
        <f t="shared" si="44"/>
        <v>318000</v>
      </c>
      <c r="T1285" s="7" t="s">
        <v>53</v>
      </c>
      <c r="U1285" s="7"/>
      <c r="V1285" s="7"/>
      <c r="W1285" s="9">
        <v>1</v>
      </c>
      <c r="X1285" s="7"/>
      <c r="Y1285" s="4"/>
      <c r="Z1285" s="7" t="s">
        <v>2</v>
      </c>
      <c r="AA1285" s="36" t="s">
        <v>3</v>
      </c>
      <c r="AB1285" s="4"/>
      <c r="AC1285" s="22">
        <f t="shared" si="43"/>
        <v>124.70588235294117</v>
      </c>
      <c r="AD1285" s="23">
        <v>0</v>
      </c>
    </row>
    <row r="1286" spans="1:30" hidden="1" x14ac:dyDescent="0.35">
      <c r="A1286" s="7">
        <v>70</v>
      </c>
      <c r="B1286" s="24">
        <v>45982.503576388888</v>
      </c>
      <c r="C1286" s="24">
        <v>45982</v>
      </c>
      <c r="D1286" s="7" t="s">
        <v>2972</v>
      </c>
      <c r="E1286" s="7" t="s">
        <v>1819</v>
      </c>
      <c r="F1286" s="7" t="s">
        <v>2936</v>
      </c>
      <c r="G1286" s="7" t="s">
        <v>2971</v>
      </c>
      <c r="H1286" s="7"/>
      <c r="I1286" s="7"/>
      <c r="J1286" s="7" t="s">
        <v>2148</v>
      </c>
      <c r="K1286" s="7" t="s">
        <v>1815</v>
      </c>
      <c r="L1286" s="7" t="s">
        <v>2472</v>
      </c>
      <c r="M1286" s="7" t="s">
        <v>3</v>
      </c>
      <c r="N1286" s="7" t="s">
        <v>1825</v>
      </c>
      <c r="O1286" s="7" t="s">
        <v>1703</v>
      </c>
      <c r="P1286" s="7" t="s">
        <v>1703</v>
      </c>
      <c r="Q1286" s="9">
        <v>3180000</v>
      </c>
      <c r="R1286" s="9">
        <v>0</v>
      </c>
      <c r="S1286" s="9">
        <f t="shared" si="44"/>
        <v>3180000</v>
      </c>
      <c r="T1286" s="7" t="s">
        <v>53</v>
      </c>
      <c r="U1286" s="7"/>
      <c r="V1286" s="7"/>
      <c r="W1286" s="9">
        <v>1</v>
      </c>
      <c r="X1286" s="7"/>
      <c r="Y1286" s="4"/>
      <c r="Z1286" s="7" t="s">
        <v>2</v>
      </c>
      <c r="AA1286" s="36" t="s">
        <v>3</v>
      </c>
      <c r="AB1286" s="4"/>
      <c r="AC1286" s="22">
        <f t="shared" si="43"/>
        <v>1247.0588235294117</v>
      </c>
      <c r="AD1286" s="23">
        <v>0</v>
      </c>
    </row>
    <row r="1287" spans="1:30" hidden="1" x14ac:dyDescent="0.35">
      <c r="A1287" s="7">
        <v>71</v>
      </c>
      <c r="B1287" s="24">
        <v>45982.501944444448</v>
      </c>
      <c r="C1287" s="24">
        <v>45982</v>
      </c>
      <c r="D1287" s="7" t="s">
        <v>2973</v>
      </c>
      <c r="E1287" s="7" t="s">
        <v>1819</v>
      </c>
      <c r="F1287" s="7" t="s">
        <v>2936</v>
      </c>
      <c r="G1287" s="7" t="s">
        <v>2974</v>
      </c>
      <c r="H1287" s="7"/>
      <c r="I1287" s="7"/>
      <c r="J1287" s="7" t="s">
        <v>2148</v>
      </c>
      <c r="K1287" s="7" t="s">
        <v>1815</v>
      </c>
      <c r="L1287" s="7" t="s">
        <v>2472</v>
      </c>
      <c r="M1287" s="7" t="s">
        <v>3</v>
      </c>
      <c r="N1287" s="7" t="s">
        <v>1825</v>
      </c>
      <c r="O1287" s="7" t="s">
        <v>1703</v>
      </c>
      <c r="P1287" s="7" t="s">
        <v>1703</v>
      </c>
      <c r="Q1287" s="9">
        <v>286000</v>
      </c>
      <c r="R1287" s="9">
        <v>0</v>
      </c>
      <c r="S1287" s="9">
        <f t="shared" si="44"/>
        <v>286000</v>
      </c>
      <c r="T1287" s="7" t="s">
        <v>53</v>
      </c>
      <c r="U1287" s="7"/>
      <c r="V1287" s="7"/>
      <c r="W1287" s="9">
        <v>1</v>
      </c>
      <c r="X1287" s="7"/>
      <c r="Y1287" s="4"/>
      <c r="Z1287" s="7" t="s">
        <v>2</v>
      </c>
      <c r="AA1287" s="36" t="s">
        <v>3</v>
      </c>
      <c r="AB1287" s="4"/>
      <c r="AC1287" s="22">
        <f t="shared" si="43"/>
        <v>112.15686274509804</v>
      </c>
      <c r="AD1287" s="23">
        <v>0</v>
      </c>
    </row>
    <row r="1288" spans="1:30" hidden="1" x14ac:dyDescent="0.35">
      <c r="A1288" s="7">
        <v>72</v>
      </c>
      <c r="B1288" s="24">
        <v>45982.499351851853</v>
      </c>
      <c r="C1288" s="24">
        <v>45982</v>
      </c>
      <c r="D1288" s="7" t="s">
        <v>2975</v>
      </c>
      <c r="E1288" s="7" t="s">
        <v>1819</v>
      </c>
      <c r="F1288" s="7" t="s">
        <v>2936</v>
      </c>
      <c r="G1288" s="7" t="s">
        <v>2976</v>
      </c>
      <c r="H1288" s="7"/>
      <c r="I1288" s="7"/>
      <c r="J1288" s="7" t="s">
        <v>2148</v>
      </c>
      <c r="K1288" s="7" t="s">
        <v>1815</v>
      </c>
      <c r="L1288" s="7" t="s">
        <v>2472</v>
      </c>
      <c r="M1288" s="7" t="s">
        <v>3</v>
      </c>
      <c r="N1288" s="7" t="s">
        <v>1825</v>
      </c>
      <c r="O1288" s="7" t="s">
        <v>1703</v>
      </c>
      <c r="P1288" s="7" t="s">
        <v>1703</v>
      </c>
      <c r="Q1288" s="9">
        <v>757944</v>
      </c>
      <c r="R1288" s="9">
        <v>0</v>
      </c>
      <c r="S1288" s="9">
        <f t="shared" si="44"/>
        <v>757944</v>
      </c>
      <c r="T1288" s="7" t="s">
        <v>53</v>
      </c>
      <c r="U1288" s="7"/>
      <c r="V1288" s="7"/>
      <c r="W1288" s="9">
        <v>1</v>
      </c>
      <c r="X1288" s="7"/>
      <c r="Y1288" s="4"/>
      <c r="Z1288" s="7" t="s">
        <v>2</v>
      </c>
      <c r="AA1288" s="36" t="s">
        <v>3</v>
      </c>
      <c r="AB1288" s="4"/>
      <c r="AC1288" s="22">
        <f t="shared" si="43"/>
        <v>297.2329411764706</v>
      </c>
      <c r="AD1288" s="23">
        <v>0</v>
      </c>
    </row>
    <row r="1289" spans="1:30" hidden="1" x14ac:dyDescent="0.35">
      <c r="A1289" s="7">
        <v>73</v>
      </c>
      <c r="B1289" s="24">
        <v>45982.497083333335</v>
      </c>
      <c r="C1289" s="24">
        <v>45982</v>
      </c>
      <c r="D1289" s="7" t="s">
        <v>2977</v>
      </c>
      <c r="E1289" s="7" t="s">
        <v>1819</v>
      </c>
      <c r="F1289" s="7" t="s">
        <v>2936</v>
      </c>
      <c r="G1289" s="7" t="s">
        <v>2978</v>
      </c>
      <c r="H1289" s="7"/>
      <c r="I1289" s="7"/>
      <c r="J1289" s="7" t="s">
        <v>2148</v>
      </c>
      <c r="K1289" s="7" t="s">
        <v>1815</v>
      </c>
      <c r="L1289" s="7" t="s">
        <v>2472</v>
      </c>
      <c r="M1289" s="7" t="s">
        <v>3</v>
      </c>
      <c r="N1289" s="7" t="s">
        <v>1825</v>
      </c>
      <c r="O1289" s="7" t="s">
        <v>1703</v>
      </c>
      <c r="P1289" s="7" t="s">
        <v>1703</v>
      </c>
      <c r="Q1289" s="9">
        <v>450000</v>
      </c>
      <c r="R1289" s="9">
        <v>0</v>
      </c>
      <c r="S1289" s="9">
        <f t="shared" si="44"/>
        <v>450000</v>
      </c>
      <c r="T1289" s="7" t="s">
        <v>53</v>
      </c>
      <c r="U1289" s="7"/>
      <c r="V1289" s="7"/>
      <c r="W1289" s="9">
        <v>1</v>
      </c>
      <c r="X1289" s="7"/>
      <c r="Y1289" s="4"/>
      <c r="Z1289" s="7" t="s">
        <v>2</v>
      </c>
      <c r="AA1289" s="36" t="s">
        <v>3</v>
      </c>
      <c r="AB1289" s="4"/>
      <c r="AC1289" s="22">
        <f t="shared" si="43"/>
        <v>176.47058823529412</v>
      </c>
      <c r="AD1289" s="23">
        <v>0</v>
      </c>
    </row>
    <row r="1290" spans="1:30" hidden="1" x14ac:dyDescent="0.35">
      <c r="A1290" s="7">
        <v>74</v>
      </c>
      <c r="B1290" s="24">
        <v>45982.495625000003</v>
      </c>
      <c r="C1290" s="24">
        <v>45982</v>
      </c>
      <c r="D1290" s="7" t="s">
        <v>2979</v>
      </c>
      <c r="E1290" s="7" t="s">
        <v>1819</v>
      </c>
      <c r="F1290" s="7" t="s">
        <v>2936</v>
      </c>
      <c r="G1290" s="7" t="s">
        <v>2980</v>
      </c>
      <c r="H1290" s="7"/>
      <c r="I1290" s="7"/>
      <c r="J1290" s="7" t="s">
        <v>2148</v>
      </c>
      <c r="K1290" s="7" t="s">
        <v>1815</v>
      </c>
      <c r="L1290" s="7" t="s">
        <v>2472</v>
      </c>
      <c r="M1290" s="7" t="s">
        <v>3</v>
      </c>
      <c r="N1290" s="7" t="s">
        <v>1825</v>
      </c>
      <c r="O1290" s="7" t="s">
        <v>1703</v>
      </c>
      <c r="P1290" s="7" t="s">
        <v>1703</v>
      </c>
      <c r="Q1290" s="9">
        <v>2925897</v>
      </c>
      <c r="R1290" s="9">
        <v>0</v>
      </c>
      <c r="S1290" s="9">
        <f t="shared" si="44"/>
        <v>2925897</v>
      </c>
      <c r="T1290" s="7" t="s">
        <v>53</v>
      </c>
      <c r="U1290" s="7"/>
      <c r="V1290" s="7"/>
      <c r="W1290" s="9">
        <v>1</v>
      </c>
      <c r="X1290" s="7"/>
      <c r="Y1290" s="4"/>
      <c r="Z1290" s="7" t="s">
        <v>2</v>
      </c>
      <c r="AA1290" s="36" t="s">
        <v>3</v>
      </c>
      <c r="AB1290" s="4"/>
      <c r="AC1290" s="22">
        <f t="shared" si="43"/>
        <v>1147.4105882352942</v>
      </c>
      <c r="AD1290" s="23">
        <v>0</v>
      </c>
    </row>
    <row r="1291" spans="1:30" hidden="1" x14ac:dyDescent="0.35">
      <c r="A1291" s="7">
        <v>75</v>
      </c>
      <c r="B1291" s="24">
        <v>45982.49423611111</v>
      </c>
      <c r="C1291" s="24">
        <v>45982</v>
      </c>
      <c r="D1291" s="7" t="s">
        <v>2981</v>
      </c>
      <c r="E1291" s="7" t="s">
        <v>1819</v>
      </c>
      <c r="F1291" s="7" t="s">
        <v>2936</v>
      </c>
      <c r="G1291" s="7" t="s">
        <v>2982</v>
      </c>
      <c r="H1291" s="7"/>
      <c r="I1291" s="7"/>
      <c r="J1291" s="7" t="s">
        <v>2148</v>
      </c>
      <c r="K1291" s="7" t="s">
        <v>1815</v>
      </c>
      <c r="L1291" s="7" t="s">
        <v>2472</v>
      </c>
      <c r="M1291" s="7" t="s">
        <v>3</v>
      </c>
      <c r="N1291" s="7" t="s">
        <v>1825</v>
      </c>
      <c r="O1291" s="7" t="s">
        <v>1703</v>
      </c>
      <c r="P1291" s="7" t="s">
        <v>1703</v>
      </c>
      <c r="Q1291" s="9">
        <v>450000</v>
      </c>
      <c r="R1291" s="9">
        <v>0</v>
      </c>
      <c r="S1291" s="9">
        <f t="shared" si="44"/>
        <v>450000</v>
      </c>
      <c r="T1291" s="7" t="s">
        <v>53</v>
      </c>
      <c r="U1291" s="7"/>
      <c r="V1291" s="7"/>
      <c r="W1291" s="9">
        <v>1</v>
      </c>
      <c r="X1291" s="7"/>
      <c r="Y1291" s="4"/>
      <c r="Z1291" s="7" t="s">
        <v>2</v>
      </c>
      <c r="AA1291" s="36" t="s">
        <v>3</v>
      </c>
      <c r="AB1291" s="4"/>
      <c r="AC1291" s="22">
        <f t="shared" si="43"/>
        <v>176.47058823529412</v>
      </c>
      <c r="AD1291" s="23">
        <v>0</v>
      </c>
    </row>
    <row r="1292" spans="1:30" hidden="1" x14ac:dyDescent="0.35">
      <c r="A1292" s="7">
        <v>76</v>
      </c>
      <c r="B1292" s="24">
        <v>45982.493148148147</v>
      </c>
      <c r="C1292" s="24">
        <v>45982</v>
      </c>
      <c r="D1292" s="7" t="s">
        <v>2983</v>
      </c>
      <c r="E1292" s="7" t="s">
        <v>1819</v>
      </c>
      <c r="F1292" s="7" t="s">
        <v>2936</v>
      </c>
      <c r="G1292" s="7" t="s">
        <v>2984</v>
      </c>
      <c r="H1292" s="7"/>
      <c r="I1292" s="7"/>
      <c r="J1292" s="7" t="s">
        <v>2148</v>
      </c>
      <c r="K1292" s="7" t="s">
        <v>1815</v>
      </c>
      <c r="L1292" s="7" t="s">
        <v>2472</v>
      </c>
      <c r="M1292" s="7" t="s">
        <v>3</v>
      </c>
      <c r="N1292" s="7" t="s">
        <v>1825</v>
      </c>
      <c r="O1292" s="7" t="s">
        <v>1703</v>
      </c>
      <c r="P1292" s="7" t="s">
        <v>1703</v>
      </c>
      <c r="Q1292" s="9">
        <v>4769000</v>
      </c>
      <c r="R1292" s="9">
        <v>0</v>
      </c>
      <c r="S1292" s="9">
        <f t="shared" si="44"/>
        <v>4769000</v>
      </c>
      <c r="T1292" s="7" t="s">
        <v>53</v>
      </c>
      <c r="U1292" s="7"/>
      <c r="V1292" s="7"/>
      <c r="W1292" s="9">
        <v>1</v>
      </c>
      <c r="X1292" s="7"/>
      <c r="Y1292" s="4"/>
      <c r="Z1292" s="7" t="s">
        <v>2</v>
      </c>
      <c r="AA1292" s="36" t="s">
        <v>3</v>
      </c>
      <c r="AB1292" s="4"/>
      <c r="AC1292" s="22">
        <f t="shared" si="43"/>
        <v>1870.1960784313726</v>
      </c>
      <c r="AD1292" s="23">
        <v>0</v>
      </c>
    </row>
    <row r="1293" spans="1:30" hidden="1" x14ac:dyDescent="0.35">
      <c r="A1293" s="7">
        <v>77</v>
      </c>
      <c r="B1293" s="24">
        <v>45982.491284722222</v>
      </c>
      <c r="C1293" s="24">
        <v>45982</v>
      </c>
      <c r="D1293" s="7" t="s">
        <v>2985</v>
      </c>
      <c r="E1293" s="7" t="s">
        <v>1819</v>
      </c>
      <c r="F1293" s="7" t="s">
        <v>2936</v>
      </c>
      <c r="G1293" s="7" t="s">
        <v>2986</v>
      </c>
      <c r="H1293" s="7"/>
      <c r="I1293" s="7"/>
      <c r="J1293" s="7" t="s">
        <v>2148</v>
      </c>
      <c r="K1293" s="7" t="s">
        <v>1815</v>
      </c>
      <c r="L1293" s="7" t="s">
        <v>2472</v>
      </c>
      <c r="M1293" s="7" t="s">
        <v>3</v>
      </c>
      <c r="N1293" s="7" t="s">
        <v>1825</v>
      </c>
      <c r="O1293" s="7" t="s">
        <v>1703</v>
      </c>
      <c r="P1293" s="7" t="s">
        <v>1703</v>
      </c>
      <c r="Q1293" s="9">
        <v>2513000</v>
      </c>
      <c r="R1293" s="9">
        <v>0</v>
      </c>
      <c r="S1293" s="9">
        <f t="shared" si="44"/>
        <v>2513000</v>
      </c>
      <c r="T1293" s="7" t="s">
        <v>53</v>
      </c>
      <c r="U1293" s="7"/>
      <c r="V1293" s="7"/>
      <c r="W1293" s="9">
        <v>1</v>
      </c>
      <c r="X1293" s="7"/>
      <c r="Y1293" s="4"/>
      <c r="Z1293" s="7" t="s">
        <v>2</v>
      </c>
      <c r="AA1293" s="36" t="s">
        <v>3</v>
      </c>
      <c r="AB1293" s="4"/>
      <c r="AC1293" s="22">
        <f t="shared" si="43"/>
        <v>985.49019607843138</v>
      </c>
      <c r="AD1293" s="23">
        <v>0</v>
      </c>
    </row>
    <row r="1294" spans="1:30" hidden="1" x14ac:dyDescent="0.35">
      <c r="A1294" s="7">
        <v>78</v>
      </c>
      <c r="B1294" s="24">
        <v>45982.489479166667</v>
      </c>
      <c r="C1294" s="24">
        <v>45982</v>
      </c>
      <c r="D1294" s="7" t="s">
        <v>2987</v>
      </c>
      <c r="E1294" s="7" t="s">
        <v>1819</v>
      </c>
      <c r="F1294" s="7" t="s">
        <v>2936</v>
      </c>
      <c r="G1294" s="7" t="s">
        <v>2988</v>
      </c>
      <c r="H1294" s="7"/>
      <c r="I1294" s="7"/>
      <c r="J1294" s="7" t="s">
        <v>2148</v>
      </c>
      <c r="K1294" s="7" t="s">
        <v>1815</v>
      </c>
      <c r="L1294" s="7" t="s">
        <v>2472</v>
      </c>
      <c r="M1294" s="7" t="s">
        <v>3</v>
      </c>
      <c r="N1294" s="7" t="s">
        <v>1825</v>
      </c>
      <c r="O1294" s="7" t="s">
        <v>1703</v>
      </c>
      <c r="P1294" s="7" t="s">
        <v>1703</v>
      </c>
      <c r="Q1294" s="9">
        <v>1249537</v>
      </c>
      <c r="R1294" s="9">
        <v>0</v>
      </c>
      <c r="S1294" s="9">
        <f t="shared" si="44"/>
        <v>1249537</v>
      </c>
      <c r="T1294" s="7" t="s">
        <v>53</v>
      </c>
      <c r="U1294" s="7"/>
      <c r="V1294" s="7"/>
      <c r="W1294" s="9">
        <v>1</v>
      </c>
      <c r="X1294" s="7"/>
      <c r="Y1294" s="4"/>
      <c r="Z1294" s="7" t="s">
        <v>2</v>
      </c>
      <c r="AA1294" s="36" t="s">
        <v>3</v>
      </c>
      <c r="AB1294" s="4"/>
      <c r="AC1294" s="22">
        <f t="shared" si="43"/>
        <v>490.01450980392156</v>
      </c>
      <c r="AD1294" s="23">
        <v>0</v>
      </c>
    </row>
    <row r="1295" spans="1:30" hidden="1" x14ac:dyDescent="0.35">
      <c r="A1295" s="7">
        <v>79</v>
      </c>
      <c r="B1295" s="24">
        <v>45982.487812500003</v>
      </c>
      <c r="C1295" s="24">
        <v>45982</v>
      </c>
      <c r="D1295" s="7" t="s">
        <v>2989</v>
      </c>
      <c r="E1295" s="7" t="s">
        <v>1819</v>
      </c>
      <c r="F1295" s="7" t="s">
        <v>2936</v>
      </c>
      <c r="G1295" s="7" t="s">
        <v>2990</v>
      </c>
      <c r="H1295" s="7"/>
      <c r="I1295" s="7"/>
      <c r="J1295" s="7" t="s">
        <v>2148</v>
      </c>
      <c r="K1295" s="7" t="s">
        <v>1815</v>
      </c>
      <c r="L1295" s="7" t="s">
        <v>2472</v>
      </c>
      <c r="M1295" s="7" t="s">
        <v>3</v>
      </c>
      <c r="N1295" s="7" t="s">
        <v>1825</v>
      </c>
      <c r="O1295" s="7" t="s">
        <v>1703</v>
      </c>
      <c r="P1295" s="7" t="s">
        <v>1703</v>
      </c>
      <c r="Q1295" s="9">
        <v>479497</v>
      </c>
      <c r="R1295" s="9">
        <v>0</v>
      </c>
      <c r="S1295" s="9">
        <f t="shared" si="44"/>
        <v>479497</v>
      </c>
      <c r="T1295" s="7" t="s">
        <v>53</v>
      </c>
      <c r="U1295" s="7"/>
      <c r="V1295" s="7"/>
      <c r="W1295" s="9">
        <v>1</v>
      </c>
      <c r="X1295" s="7"/>
      <c r="Y1295" s="4"/>
      <c r="Z1295" s="7" t="s">
        <v>2</v>
      </c>
      <c r="AA1295" s="36" t="s">
        <v>3</v>
      </c>
      <c r="AB1295" s="4"/>
      <c r="AC1295" s="22">
        <f t="shared" si="43"/>
        <v>188.03803921568627</v>
      </c>
      <c r="AD1295" s="23">
        <v>0</v>
      </c>
    </row>
    <row r="1296" spans="1:30" hidden="1" x14ac:dyDescent="0.35">
      <c r="A1296" s="7">
        <v>80</v>
      </c>
      <c r="B1296" s="24">
        <v>45982.486307870371</v>
      </c>
      <c r="C1296" s="24">
        <v>45982</v>
      </c>
      <c r="D1296" s="7" t="s">
        <v>2991</v>
      </c>
      <c r="E1296" s="7" t="s">
        <v>1819</v>
      </c>
      <c r="F1296" s="7" t="s">
        <v>2936</v>
      </c>
      <c r="G1296" s="7" t="s">
        <v>2992</v>
      </c>
      <c r="H1296" s="7"/>
      <c r="I1296" s="7"/>
      <c r="J1296" s="7" t="s">
        <v>2148</v>
      </c>
      <c r="K1296" s="7" t="s">
        <v>1815</v>
      </c>
      <c r="L1296" s="7" t="s">
        <v>2472</v>
      </c>
      <c r="M1296" s="7" t="s">
        <v>3</v>
      </c>
      <c r="N1296" s="7" t="s">
        <v>1825</v>
      </c>
      <c r="O1296" s="7" t="s">
        <v>1703</v>
      </c>
      <c r="P1296" s="7" t="s">
        <v>1703</v>
      </c>
      <c r="Q1296" s="9">
        <v>2686699</v>
      </c>
      <c r="R1296" s="9">
        <v>0</v>
      </c>
      <c r="S1296" s="9">
        <f t="shared" si="44"/>
        <v>2686699</v>
      </c>
      <c r="T1296" s="7" t="s">
        <v>53</v>
      </c>
      <c r="U1296" s="7"/>
      <c r="V1296" s="7"/>
      <c r="W1296" s="9">
        <v>1</v>
      </c>
      <c r="X1296" s="7"/>
      <c r="Y1296" s="4"/>
      <c r="Z1296" s="7" t="s">
        <v>2</v>
      </c>
      <c r="AA1296" s="36" t="s">
        <v>3</v>
      </c>
      <c r="AB1296" s="4"/>
      <c r="AC1296" s="22">
        <f t="shared" si="43"/>
        <v>1053.6074509803921</v>
      </c>
      <c r="AD1296" s="23">
        <v>0</v>
      </c>
    </row>
    <row r="1297" spans="1:30" hidden="1" x14ac:dyDescent="0.35">
      <c r="A1297" s="7">
        <v>81</v>
      </c>
      <c r="B1297" s="24">
        <v>45982.480902777781</v>
      </c>
      <c r="C1297" s="24">
        <v>45982</v>
      </c>
      <c r="D1297" s="7" t="s">
        <v>2993</v>
      </c>
      <c r="E1297" s="7" t="s">
        <v>1819</v>
      </c>
      <c r="F1297" s="7" t="s">
        <v>2936</v>
      </c>
      <c r="G1297" s="7" t="s">
        <v>2994</v>
      </c>
      <c r="H1297" s="7"/>
      <c r="I1297" s="7"/>
      <c r="J1297" s="7" t="s">
        <v>2148</v>
      </c>
      <c r="K1297" s="7" t="s">
        <v>1815</v>
      </c>
      <c r="L1297" s="7" t="s">
        <v>2472</v>
      </c>
      <c r="M1297" s="7" t="s">
        <v>3</v>
      </c>
      <c r="N1297" s="7" t="s">
        <v>1825</v>
      </c>
      <c r="O1297" s="7" t="s">
        <v>1703</v>
      </c>
      <c r="P1297" s="7" t="s">
        <v>1703</v>
      </c>
      <c r="Q1297" s="9">
        <v>450000</v>
      </c>
      <c r="R1297" s="9">
        <v>0</v>
      </c>
      <c r="S1297" s="9">
        <f t="shared" si="44"/>
        <v>450000</v>
      </c>
      <c r="T1297" s="7" t="s">
        <v>53</v>
      </c>
      <c r="U1297" s="7"/>
      <c r="V1297" s="7"/>
      <c r="W1297" s="9">
        <v>1</v>
      </c>
      <c r="X1297" s="7"/>
      <c r="Y1297" s="4"/>
      <c r="Z1297" s="7" t="s">
        <v>2</v>
      </c>
      <c r="AA1297" s="36" t="s">
        <v>3</v>
      </c>
      <c r="AB1297" s="4"/>
      <c r="AC1297" s="22">
        <f t="shared" si="43"/>
        <v>176.47058823529412</v>
      </c>
      <c r="AD1297" s="23">
        <v>0</v>
      </c>
    </row>
    <row r="1298" spans="1:30" hidden="1" x14ac:dyDescent="0.35">
      <c r="A1298" s="7">
        <v>82</v>
      </c>
      <c r="B1298" s="24">
        <v>45982.479085648149</v>
      </c>
      <c r="C1298" s="24">
        <v>45982</v>
      </c>
      <c r="D1298" s="7" t="s">
        <v>2995</v>
      </c>
      <c r="E1298" s="7" t="s">
        <v>1819</v>
      </c>
      <c r="F1298" s="7" t="s">
        <v>2936</v>
      </c>
      <c r="G1298" s="7" t="s">
        <v>2996</v>
      </c>
      <c r="H1298" s="7"/>
      <c r="I1298" s="7"/>
      <c r="J1298" s="7" t="s">
        <v>2148</v>
      </c>
      <c r="K1298" s="7" t="s">
        <v>1815</v>
      </c>
      <c r="L1298" s="7" t="s">
        <v>2472</v>
      </c>
      <c r="M1298" s="7" t="s">
        <v>3</v>
      </c>
      <c r="N1298" s="7" t="s">
        <v>1825</v>
      </c>
      <c r="O1298" s="7" t="s">
        <v>1703</v>
      </c>
      <c r="P1298" s="7" t="s">
        <v>1703</v>
      </c>
      <c r="Q1298" s="9">
        <v>815902</v>
      </c>
      <c r="R1298" s="9">
        <v>0</v>
      </c>
      <c r="S1298" s="9">
        <f t="shared" si="44"/>
        <v>815902</v>
      </c>
      <c r="T1298" s="7" t="s">
        <v>53</v>
      </c>
      <c r="U1298" s="7"/>
      <c r="V1298" s="7"/>
      <c r="W1298" s="9">
        <v>1</v>
      </c>
      <c r="X1298" s="7"/>
      <c r="Y1298" s="4"/>
      <c r="Z1298" s="7" t="s">
        <v>2</v>
      </c>
      <c r="AA1298" s="36" t="s">
        <v>3</v>
      </c>
      <c r="AB1298" s="4"/>
      <c r="AC1298" s="22">
        <f t="shared" si="43"/>
        <v>319.96156862745096</v>
      </c>
      <c r="AD1298" s="23">
        <v>0</v>
      </c>
    </row>
    <row r="1299" spans="1:30" hidden="1" x14ac:dyDescent="0.35">
      <c r="A1299" s="7">
        <v>83</v>
      </c>
      <c r="B1299" s="24">
        <v>45982.476956018516</v>
      </c>
      <c r="C1299" s="24">
        <v>45982</v>
      </c>
      <c r="D1299" s="7" t="s">
        <v>2997</v>
      </c>
      <c r="E1299" s="7" t="s">
        <v>1819</v>
      </c>
      <c r="F1299" s="7" t="s">
        <v>2936</v>
      </c>
      <c r="G1299" s="7" t="s">
        <v>2998</v>
      </c>
      <c r="H1299" s="7"/>
      <c r="I1299" s="7"/>
      <c r="J1299" s="7" t="s">
        <v>2148</v>
      </c>
      <c r="K1299" s="7" t="s">
        <v>1815</v>
      </c>
      <c r="L1299" s="7" t="s">
        <v>2472</v>
      </c>
      <c r="M1299" s="7" t="s">
        <v>3</v>
      </c>
      <c r="N1299" s="7" t="s">
        <v>1825</v>
      </c>
      <c r="O1299" s="7" t="s">
        <v>1703</v>
      </c>
      <c r="P1299" s="7" t="s">
        <v>1703</v>
      </c>
      <c r="Q1299" s="9">
        <v>1780000</v>
      </c>
      <c r="R1299" s="9">
        <v>0</v>
      </c>
      <c r="S1299" s="9">
        <f t="shared" si="44"/>
        <v>1780000</v>
      </c>
      <c r="T1299" s="7" t="s">
        <v>53</v>
      </c>
      <c r="U1299" s="7"/>
      <c r="V1299" s="7"/>
      <c r="W1299" s="9">
        <v>1</v>
      </c>
      <c r="X1299" s="7"/>
      <c r="Y1299" s="4"/>
      <c r="Z1299" s="7" t="s">
        <v>2</v>
      </c>
      <c r="AA1299" s="36" t="s">
        <v>3</v>
      </c>
      <c r="AB1299" s="4"/>
      <c r="AC1299" s="22">
        <f t="shared" si="43"/>
        <v>698.03921568627447</v>
      </c>
      <c r="AD1299" s="23">
        <v>0</v>
      </c>
    </row>
    <row r="1300" spans="1:30" hidden="1" x14ac:dyDescent="0.35">
      <c r="A1300" s="7">
        <v>84</v>
      </c>
      <c r="B1300" s="24">
        <v>45982.475486111114</v>
      </c>
      <c r="C1300" s="24">
        <v>45982</v>
      </c>
      <c r="D1300" s="7" t="s">
        <v>2999</v>
      </c>
      <c r="E1300" s="7" t="s">
        <v>1819</v>
      </c>
      <c r="F1300" s="7" t="s">
        <v>2936</v>
      </c>
      <c r="G1300" s="7" t="s">
        <v>3000</v>
      </c>
      <c r="H1300" s="7"/>
      <c r="I1300" s="7"/>
      <c r="J1300" s="7" t="s">
        <v>2148</v>
      </c>
      <c r="K1300" s="7" t="s">
        <v>1815</v>
      </c>
      <c r="L1300" s="7" t="s">
        <v>2472</v>
      </c>
      <c r="M1300" s="7" t="s">
        <v>3</v>
      </c>
      <c r="N1300" s="7" t="s">
        <v>1825</v>
      </c>
      <c r="O1300" s="7" t="s">
        <v>1703</v>
      </c>
      <c r="P1300" s="7" t="s">
        <v>1703</v>
      </c>
      <c r="Q1300" s="9">
        <v>450000</v>
      </c>
      <c r="R1300" s="9">
        <v>0</v>
      </c>
      <c r="S1300" s="9">
        <f t="shared" si="44"/>
        <v>450000</v>
      </c>
      <c r="T1300" s="7" t="s">
        <v>53</v>
      </c>
      <c r="U1300" s="7"/>
      <c r="V1300" s="7"/>
      <c r="W1300" s="9">
        <v>1</v>
      </c>
      <c r="X1300" s="7"/>
      <c r="Y1300" s="4"/>
      <c r="Z1300" s="7" t="s">
        <v>2</v>
      </c>
      <c r="AA1300" s="36" t="s">
        <v>3</v>
      </c>
      <c r="AB1300" s="4"/>
      <c r="AC1300" s="22">
        <f t="shared" si="43"/>
        <v>176.47058823529412</v>
      </c>
      <c r="AD1300" s="23">
        <v>0</v>
      </c>
    </row>
    <row r="1301" spans="1:30" hidden="1" x14ac:dyDescent="0.35">
      <c r="A1301" s="7">
        <v>85</v>
      </c>
      <c r="B1301" s="24">
        <v>45982.473877314813</v>
      </c>
      <c r="C1301" s="24">
        <v>45982</v>
      </c>
      <c r="D1301" s="7" t="s">
        <v>3001</v>
      </c>
      <c r="E1301" s="7" t="s">
        <v>1819</v>
      </c>
      <c r="F1301" s="7" t="s">
        <v>2936</v>
      </c>
      <c r="G1301" s="7" t="s">
        <v>3002</v>
      </c>
      <c r="H1301" s="7"/>
      <c r="I1301" s="7"/>
      <c r="J1301" s="7" t="s">
        <v>2148</v>
      </c>
      <c r="K1301" s="7" t="s">
        <v>1815</v>
      </c>
      <c r="L1301" s="7" t="s">
        <v>2472</v>
      </c>
      <c r="M1301" s="7" t="s">
        <v>3</v>
      </c>
      <c r="N1301" s="7" t="s">
        <v>1825</v>
      </c>
      <c r="O1301" s="7" t="s">
        <v>1703</v>
      </c>
      <c r="P1301" s="7" t="s">
        <v>1703</v>
      </c>
      <c r="Q1301" s="9">
        <v>110000</v>
      </c>
      <c r="R1301" s="9">
        <v>0</v>
      </c>
      <c r="S1301" s="9">
        <f t="shared" si="44"/>
        <v>110000</v>
      </c>
      <c r="T1301" s="7" t="s">
        <v>53</v>
      </c>
      <c r="U1301" s="7"/>
      <c r="V1301" s="7"/>
      <c r="W1301" s="9">
        <v>1</v>
      </c>
      <c r="X1301" s="7"/>
      <c r="Y1301" s="4"/>
      <c r="Z1301" s="7" t="s">
        <v>2</v>
      </c>
      <c r="AA1301" s="36" t="s">
        <v>3</v>
      </c>
      <c r="AB1301" s="4"/>
      <c r="AC1301" s="22">
        <f t="shared" si="43"/>
        <v>43.137254901960787</v>
      </c>
      <c r="AD1301" s="23">
        <v>0</v>
      </c>
    </row>
    <row r="1302" spans="1:30" hidden="1" x14ac:dyDescent="0.35">
      <c r="A1302" s="7">
        <v>86</v>
      </c>
      <c r="B1302" s="24">
        <v>45982.472199074073</v>
      </c>
      <c r="C1302" s="24">
        <v>45982</v>
      </c>
      <c r="D1302" s="7" t="s">
        <v>3003</v>
      </c>
      <c r="E1302" s="7" t="s">
        <v>1819</v>
      </c>
      <c r="F1302" s="7" t="s">
        <v>2936</v>
      </c>
      <c r="G1302" s="7" t="s">
        <v>3002</v>
      </c>
      <c r="H1302" s="7"/>
      <c r="I1302" s="7"/>
      <c r="J1302" s="7" t="s">
        <v>2148</v>
      </c>
      <c r="K1302" s="7" t="s">
        <v>1815</v>
      </c>
      <c r="L1302" s="7" t="s">
        <v>2472</v>
      </c>
      <c r="M1302" s="7" t="s">
        <v>3</v>
      </c>
      <c r="N1302" s="7" t="s">
        <v>1825</v>
      </c>
      <c r="O1302" s="7" t="s">
        <v>1703</v>
      </c>
      <c r="P1302" s="7" t="s">
        <v>1703</v>
      </c>
      <c r="Q1302" s="9">
        <v>2530412</v>
      </c>
      <c r="R1302" s="9">
        <v>0</v>
      </c>
      <c r="S1302" s="9">
        <f t="shared" si="44"/>
        <v>2530412</v>
      </c>
      <c r="T1302" s="7" t="s">
        <v>53</v>
      </c>
      <c r="U1302" s="7"/>
      <c r="V1302" s="7"/>
      <c r="W1302" s="9">
        <v>1</v>
      </c>
      <c r="X1302" s="7"/>
      <c r="Y1302" s="4"/>
      <c r="Z1302" s="7" t="s">
        <v>2</v>
      </c>
      <c r="AA1302" s="36" t="s">
        <v>3</v>
      </c>
      <c r="AB1302" s="4"/>
      <c r="AC1302" s="22">
        <f t="shared" si="43"/>
        <v>992.31843137254907</v>
      </c>
      <c r="AD1302" s="23">
        <v>0</v>
      </c>
    </row>
    <row r="1303" spans="1:30" hidden="1" x14ac:dyDescent="0.35">
      <c r="A1303" s="7">
        <v>87</v>
      </c>
      <c r="B1303" s="24">
        <v>45982.468252314815</v>
      </c>
      <c r="C1303" s="24">
        <v>45982</v>
      </c>
      <c r="D1303" s="7" t="s">
        <v>3004</v>
      </c>
      <c r="E1303" s="7" t="s">
        <v>1819</v>
      </c>
      <c r="F1303" s="7" t="s">
        <v>2936</v>
      </c>
      <c r="G1303" s="7" t="s">
        <v>3005</v>
      </c>
      <c r="H1303" s="7"/>
      <c r="I1303" s="7"/>
      <c r="J1303" s="7" t="s">
        <v>2148</v>
      </c>
      <c r="K1303" s="7" t="s">
        <v>1815</v>
      </c>
      <c r="L1303" s="7" t="s">
        <v>2472</v>
      </c>
      <c r="M1303" s="7" t="s">
        <v>3</v>
      </c>
      <c r="N1303" s="7" t="s">
        <v>1825</v>
      </c>
      <c r="O1303" s="7" t="s">
        <v>1703</v>
      </c>
      <c r="P1303" s="7" t="s">
        <v>1703</v>
      </c>
      <c r="Q1303" s="9">
        <v>1200000</v>
      </c>
      <c r="R1303" s="9">
        <v>0</v>
      </c>
      <c r="S1303" s="9">
        <f t="shared" si="44"/>
        <v>1200000</v>
      </c>
      <c r="T1303" s="7" t="s">
        <v>53</v>
      </c>
      <c r="U1303" s="7"/>
      <c r="V1303" s="7"/>
      <c r="W1303" s="9">
        <v>1</v>
      </c>
      <c r="X1303" s="7"/>
      <c r="Y1303" s="4"/>
      <c r="Z1303" s="7" t="s">
        <v>2</v>
      </c>
      <c r="AA1303" s="36" t="s">
        <v>3</v>
      </c>
      <c r="AB1303" s="4"/>
      <c r="AC1303" s="22">
        <f t="shared" si="43"/>
        <v>470.58823529411762</v>
      </c>
      <c r="AD1303" s="23">
        <v>0</v>
      </c>
    </row>
    <row r="1304" spans="1:30" hidden="1" x14ac:dyDescent="0.35">
      <c r="A1304" s="7">
        <v>88</v>
      </c>
      <c r="B1304" s="24">
        <v>45982.466967592591</v>
      </c>
      <c r="C1304" s="24">
        <v>45982</v>
      </c>
      <c r="D1304" s="7" t="s">
        <v>3006</v>
      </c>
      <c r="E1304" s="7" t="s">
        <v>1819</v>
      </c>
      <c r="F1304" s="7" t="s">
        <v>2936</v>
      </c>
      <c r="G1304" s="7" t="s">
        <v>3007</v>
      </c>
      <c r="H1304" s="7"/>
      <c r="I1304" s="7"/>
      <c r="J1304" s="7" t="s">
        <v>2148</v>
      </c>
      <c r="K1304" s="7" t="s">
        <v>1815</v>
      </c>
      <c r="L1304" s="7" t="s">
        <v>2472</v>
      </c>
      <c r="M1304" s="7" t="s">
        <v>3</v>
      </c>
      <c r="N1304" s="7" t="s">
        <v>1825</v>
      </c>
      <c r="O1304" s="7" t="s">
        <v>1703</v>
      </c>
      <c r="P1304" s="7" t="s">
        <v>1703</v>
      </c>
      <c r="Q1304" s="9">
        <v>1268994</v>
      </c>
      <c r="R1304" s="9">
        <v>0</v>
      </c>
      <c r="S1304" s="9">
        <f t="shared" si="44"/>
        <v>1268994</v>
      </c>
      <c r="T1304" s="7" t="s">
        <v>53</v>
      </c>
      <c r="U1304" s="7"/>
      <c r="V1304" s="7"/>
      <c r="W1304" s="9">
        <v>1</v>
      </c>
      <c r="X1304" s="7"/>
      <c r="Y1304" s="4"/>
      <c r="Z1304" s="7" t="s">
        <v>2</v>
      </c>
      <c r="AA1304" s="36" t="s">
        <v>3</v>
      </c>
      <c r="AB1304" s="4"/>
      <c r="AC1304" s="22">
        <f t="shared" si="43"/>
        <v>497.64470588235292</v>
      </c>
      <c r="AD1304" s="23">
        <v>0</v>
      </c>
    </row>
    <row r="1305" spans="1:30" hidden="1" x14ac:dyDescent="0.35">
      <c r="A1305" s="7">
        <v>89</v>
      </c>
      <c r="B1305" s="24">
        <v>45982.465578703705</v>
      </c>
      <c r="C1305" s="24">
        <v>45982</v>
      </c>
      <c r="D1305" s="7" t="s">
        <v>3008</v>
      </c>
      <c r="E1305" s="7" t="s">
        <v>1819</v>
      </c>
      <c r="F1305" s="7" t="s">
        <v>2936</v>
      </c>
      <c r="G1305" s="7" t="s">
        <v>3009</v>
      </c>
      <c r="H1305" s="7"/>
      <c r="I1305" s="7"/>
      <c r="J1305" s="7" t="s">
        <v>2148</v>
      </c>
      <c r="K1305" s="7" t="s">
        <v>1815</v>
      </c>
      <c r="L1305" s="7" t="s">
        <v>2472</v>
      </c>
      <c r="M1305" s="7" t="s">
        <v>3</v>
      </c>
      <c r="N1305" s="7" t="s">
        <v>1825</v>
      </c>
      <c r="O1305" s="7" t="s">
        <v>1703</v>
      </c>
      <c r="P1305" s="7" t="s">
        <v>1703</v>
      </c>
      <c r="Q1305" s="9">
        <v>723936</v>
      </c>
      <c r="R1305" s="9">
        <v>0</v>
      </c>
      <c r="S1305" s="9">
        <f t="shared" si="44"/>
        <v>723936</v>
      </c>
      <c r="T1305" s="7" t="s">
        <v>53</v>
      </c>
      <c r="U1305" s="7"/>
      <c r="V1305" s="7"/>
      <c r="W1305" s="9">
        <v>1</v>
      </c>
      <c r="X1305" s="7"/>
      <c r="Y1305" s="4"/>
      <c r="Z1305" s="7" t="s">
        <v>2</v>
      </c>
      <c r="AA1305" s="36" t="s">
        <v>3</v>
      </c>
      <c r="AB1305" s="4"/>
      <c r="AC1305" s="22">
        <f t="shared" si="43"/>
        <v>283.89647058823527</v>
      </c>
      <c r="AD1305" s="23">
        <v>0</v>
      </c>
    </row>
    <row r="1306" spans="1:30" hidden="1" x14ac:dyDescent="0.35">
      <c r="A1306" s="7">
        <v>90</v>
      </c>
      <c r="B1306" s="24">
        <v>45982.46429398148</v>
      </c>
      <c r="C1306" s="24">
        <v>45982</v>
      </c>
      <c r="D1306" s="7" t="s">
        <v>3010</v>
      </c>
      <c r="E1306" s="7" t="s">
        <v>1819</v>
      </c>
      <c r="F1306" s="7" t="s">
        <v>2936</v>
      </c>
      <c r="G1306" s="7" t="s">
        <v>3011</v>
      </c>
      <c r="H1306" s="7"/>
      <c r="I1306" s="7"/>
      <c r="J1306" s="7" t="s">
        <v>2148</v>
      </c>
      <c r="K1306" s="7" t="s">
        <v>1815</v>
      </c>
      <c r="L1306" s="7" t="s">
        <v>2472</v>
      </c>
      <c r="M1306" s="7" t="s">
        <v>3</v>
      </c>
      <c r="N1306" s="7" t="s">
        <v>1825</v>
      </c>
      <c r="O1306" s="7" t="s">
        <v>1703</v>
      </c>
      <c r="P1306" s="7" t="s">
        <v>1703</v>
      </c>
      <c r="Q1306" s="9">
        <v>2114268</v>
      </c>
      <c r="R1306" s="9">
        <v>0</v>
      </c>
      <c r="S1306" s="9">
        <f t="shared" si="44"/>
        <v>2114268</v>
      </c>
      <c r="T1306" s="7" t="s">
        <v>53</v>
      </c>
      <c r="U1306" s="7"/>
      <c r="V1306" s="7"/>
      <c r="W1306" s="9">
        <v>1</v>
      </c>
      <c r="X1306" s="7"/>
      <c r="Y1306" s="4"/>
      <c r="Z1306" s="7" t="s">
        <v>2</v>
      </c>
      <c r="AA1306" s="36" t="s">
        <v>3</v>
      </c>
      <c r="AB1306" s="4"/>
      <c r="AC1306" s="22">
        <f t="shared" si="43"/>
        <v>829.12470588235294</v>
      </c>
      <c r="AD1306" s="23">
        <v>0</v>
      </c>
    </row>
    <row r="1307" spans="1:30" hidden="1" x14ac:dyDescent="0.35">
      <c r="A1307" s="7">
        <v>91</v>
      </c>
      <c r="B1307" s="24">
        <v>45982.46266203704</v>
      </c>
      <c r="C1307" s="24">
        <v>45982</v>
      </c>
      <c r="D1307" s="7" t="s">
        <v>3012</v>
      </c>
      <c r="E1307" s="7" t="s">
        <v>1819</v>
      </c>
      <c r="F1307" s="7" t="s">
        <v>2936</v>
      </c>
      <c r="G1307" s="7" t="s">
        <v>3013</v>
      </c>
      <c r="H1307" s="7"/>
      <c r="I1307" s="7"/>
      <c r="J1307" s="7" t="s">
        <v>2148</v>
      </c>
      <c r="K1307" s="7" t="s">
        <v>1815</v>
      </c>
      <c r="L1307" s="7" t="s">
        <v>2472</v>
      </c>
      <c r="M1307" s="7" t="s">
        <v>3</v>
      </c>
      <c r="N1307" s="7" t="s">
        <v>1825</v>
      </c>
      <c r="O1307" s="7" t="s">
        <v>1703</v>
      </c>
      <c r="P1307" s="7" t="s">
        <v>1703</v>
      </c>
      <c r="Q1307" s="9">
        <v>1317043</v>
      </c>
      <c r="R1307" s="9">
        <v>0</v>
      </c>
      <c r="S1307" s="9">
        <f t="shared" si="44"/>
        <v>1317043</v>
      </c>
      <c r="T1307" s="7" t="s">
        <v>53</v>
      </c>
      <c r="U1307" s="7"/>
      <c r="V1307" s="7"/>
      <c r="W1307" s="9">
        <v>1</v>
      </c>
      <c r="X1307" s="7"/>
      <c r="Y1307" s="4"/>
      <c r="Z1307" s="7" t="s">
        <v>2</v>
      </c>
      <c r="AA1307" s="36" t="s">
        <v>3</v>
      </c>
      <c r="AB1307" s="4"/>
      <c r="AC1307" s="22">
        <f t="shared" si="43"/>
        <v>516.48745098039217</v>
      </c>
      <c r="AD1307" s="23">
        <v>0</v>
      </c>
    </row>
    <row r="1308" spans="1:30" hidden="1" x14ac:dyDescent="0.35">
      <c r="A1308" s="7">
        <v>92</v>
      </c>
      <c r="B1308" s="24">
        <v>45982.460266203707</v>
      </c>
      <c r="C1308" s="24">
        <v>45982</v>
      </c>
      <c r="D1308" s="7" t="s">
        <v>3014</v>
      </c>
      <c r="E1308" s="7" t="s">
        <v>1819</v>
      </c>
      <c r="F1308" s="7" t="s">
        <v>2936</v>
      </c>
      <c r="G1308" s="7" t="s">
        <v>3015</v>
      </c>
      <c r="H1308" s="7"/>
      <c r="I1308" s="7"/>
      <c r="J1308" s="7" t="s">
        <v>2148</v>
      </c>
      <c r="K1308" s="7" t="s">
        <v>1815</v>
      </c>
      <c r="L1308" s="7" t="s">
        <v>2472</v>
      </c>
      <c r="M1308" s="7" t="s">
        <v>3</v>
      </c>
      <c r="N1308" s="7" t="s">
        <v>1825</v>
      </c>
      <c r="O1308" s="7" t="s">
        <v>1703</v>
      </c>
      <c r="P1308" s="7" t="s">
        <v>1703</v>
      </c>
      <c r="Q1308" s="9">
        <v>450000</v>
      </c>
      <c r="R1308" s="9">
        <v>0</v>
      </c>
      <c r="S1308" s="9">
        <f t="shared" si="44"/>
        <v>450000</v>
      </c>
      <c r="T1308" s="7" t="s">
        <v>53</v>
      </c>
      <c r="U1308" s="7"/>
      <c r="V1308" s="7"/>
      <c r="W1308" s="9">
        <v>1</v>
      </c>
      <c r="X1308" s="7"/>
      <c r="Y1308" s="4"/>
      <c r="Z1308" s="7" t="s">
        <v>2</v>
      </c>
      <c r="AA1308" s="36" t="s">
        <v>3</v>
      </c>
      <c r="AB1308" s="4"/>
      <c r="AC1308" s="22">
        <f t="shared" si="43"/>
        <v>176.47058823529412</v>
      </c>
      <c r="AD1308" s="23">
        <v>0</v>
      </c>
    </row>
    <row r="1309" spans="1:30" hidden="1" x14ac:dyDescent="0.35">
      <c r="A1309" s="7">
        <v>93</v>
      </c>
      <c r="B1309" s="24">
        <v>45982.45890046296</v>
      </c>
      <c r="C1309" s="24">
        <v>45982</v>
      </c>
      <c r="D1309" s="7" t="s">
        <v>3016</v>
      </c>
      <c r="E1309" s="7" t="s">
        <v>1819</v>
      </c>
      <c r="F1309" s="7" t="s">
        <v>2936</v>
      </c>
      <c r="G1309" s="7" t="s">
        <v>3017</v>
      </c>
      <c r="H1309" s="7"/>
      <c r="I1309" s="7"/>
      <c r="J1309" s="7" t="s">
        <v>2148</v>
      </c>
      <c r="K1309" s="7" t="s">
        <v>1815</v>
      </c>
      <c r="L1309" s="7" t="s">
        <v>2472</v>
      </c>
      <c r="M1309" s="7" t="s">
        <v>3</v>
      </c>
      <c r="N1309" s="7" t="s">
        <v>1825</v>
      </c>
      <c r="O1309" s="7" t="s">
        <v>1703</v>
      </c>
      <c r="P1309" s="7" t="s">
        <v>1703</v>
      </c>
      <c r="Q1309" s="9">
        <v>450000</v>
      </c>
      <c r="R1309" s="9">
        <v>0</v>
      </c>
      <c r="S1309" s="9">
        <f t="shared" si="44"/>
        <v>450000</v>
      </c>
      <c r="T1309" s="7" t="s">
        <v>53</v>
      </c>
      <c r="U1309" s="7"/>
      <c r="V1309" s="7"/>
      <c r="W1309" s="9">
        <v>1</v>
      </c>
      <c r="X1309" s="7"/>
      <c r="Y1309" s="4"/>
      <c r="Z1309" s="7" t="s">
        <v>2</v>
      </c>
      <c r="AA1309" s="36" t="s">
        <v>3</v>
      </c>
      <c r="AB1309" s="4"/>
      <c r="AC1309" s="22">
        <f t="shared" si="43"/>
        <v>176.47058823529412</v>
      </c>
      <c r="AD1309" s="23">
        <v>0</v>
      </c>
    </row>
    <row r="1310" spans="1:30" hidden="1" x14ac:dyDescent="0.35">
      <c r="A1310" s="7">
        <v>94</v>
      </c>
      <c r="B1310" s="24">
        <v>45982.457361111112</v>
      </c>
      <c r="C1310" s="24">
        <v>45982</v>
      </c>
      <c r="D1310" s="7" t="s">
        <v>3018</v>
      </c>
      <c r="E1310" s="7" t="s">
        <v>1819</v>
      </c>
      <c r="F1310" s="7" t="s">
        <v>2936</v>
      </c>
      <c r="G1310" s="7" t="s">
        <v>3019</v>
      </c>
      <c r="H1310" s="7"/>
      <c r="I1310" s="7"/>
      <c r="J1310" s="7" t="s">
        <v>2148</v>
      </c>
      <c r="K1310" s="7" t="s">
        <v>1815</v>
      </c>
      <c r="L1310" s="7" t="s">
        <v>2472</v>
      </c>
      <c r="M1310" s="7" t="s">
        <v>3</v>
      </c>
      <c r="N1310" s="7" t="s">
        <v>1825</v>
      </c>
      <c r="O1310" s="7" t="s">
        <v>1703</v>
      </c>
      <c r="P1310" s="7" t="s">
        <v>1703</v>
      </c>
      <c r="Q1310" s="9">
        <v>1584000</v>
      </c>
      <c r="R1310" s="9">
        <v>0</v>
      </c>
      <c r="S1310" s="9">
        <f t="shared" si="44"/>
        <v>1584000</v>
      </c>
      <c r="T1310" s="7" t="s">
        <v>53</v>
      </c>
      <c r="U1310" s="7"/>
      <c r="V1310" s="7"/>
      <c r="W1310" s="9">
        <v>1</v>
      </c>
      <c r="X1310" s="7"/>
      <c r="Y1310" s="4"/>
      <c r="Z1310" s="7" t="s">
        <v>2</v>
      </c>
      <c r="AA1310" s="36" t="s">
        <v>3</v>
      </c>
      <c r="AB1310" s="4"/>
      <c r="AC1310" s="22">
        <f t="shared" si="43"/>
        <v>621.17647058823525</v>
      </c>
      <c r="AD1310" s="23">
        <v>0</v>
      </c>
    </row>
    <row r="1311" spans="1:30" hidden="1" x14ac:dyDescent="0.35">
      <c r="A1311" s="7">
        <v>95</v>
      </c>
      <c r="B1311" s="24">
        <v>45982.455891203703</v>
      </c>
      <c r="C1311" s="24">
        <v>45982</v>
      </c>
      <c r="D1311" s="7" t="s">
        <v>3020</v>
      </c>
      <c r="E1311" s="7" t="s">
        <v>1819</v>
      </c>
      <c r="F1311" s="7" t="s">
        <v>2936</v>
      </c>
      <c r="G1311" s="7" t="s">
        <v>3021</v>
      </c>
      <c r="H1311" s="7"/>
      <c r="I1311" s="7"/>
      <c r="J1311" s="7" t="s">
        <v>2148</v>
      </c>
      <c r="K1311" s="7" t="s">
        <v>1815</v>
      </c>
      <c r="L1311" s="7" t="s">
        <v>2472</v>
      </c>
      <c r="M1311" s="7" t="s">
        <v>3</v>
      </c>
      <c r="N1311" s="7" t="s">
        <v>1825</v>
      </c>
      <c r="O1311" s="7" t="s">
        <v>1703</v>
      </c>
      <c r="P1311" s="7" t="s">
        <v>1703</v>
      </c>
      <c r="Q1311" s="9">
        <v>335000</v>
      </c>
      <c r="R1311" s="9">
        <v>0</v>
      </c>
      <c r="S1311" s="9">
        <f t="shared" si="44"/>
        <v>335000</v>
      </c>
      <c r="T1311" s="7" t="s">
        <v>53</v>
      </c>
      <c r="U1311" s="7"/>
      <c r="V1311" s="7"/>
      <c r="W1311" s="9">
        <v>1</v>
      </c>
      <c r="X1311" s="7"/>
      <c r="Y1311" s="4"/>
      <c r="Z1311" s="7" t="s">
        <v>2</v>
      </c>
      <c r="AA1311" s="36" t="s">
        <v>3</v>
      </c>
      <c r="AB1311" s="4"/>
      <c r="AC1311" s="22">
        <f t="shared" si="43"/>
        <v>131.37254901960785</v>
      </c>
      <c r="AD1311" s="23">
        <v>0</v>
      </c>
    </row>
    <row r="1312" spans="1:30" hidden="1" x14ac:dyDescent="0.35">
      <c r="A1312" s="7">
        <v>96</v>
      </c>
      <c r="B1312" s="24">
        <v>45982.454143518517</v>
      </c>
      <c r="C1312" s="24">
        <v>45982</v>
      </c>
      <c r="D1312" s="7" t="s">
        <v>3022</v>
      </c>
      <c r="E1312" s="7" t="s">
        <v>1819</v>
      </c>
      <c r="F1312" s="7" t="s">
        <v>2936</v>
      </c>
      <c r="G1312" s="7" t="s">
        <v>3023</v>
      </c>
      <c r="H1312" s="7"/>
      <c r="I1312" s="7"/>
      <c r="J1312" s="7" t="s">
        <v>2148</v>
      </c>
      <c r="K1312" s="7" t="s">
        <v>1815</v>
      </c>
      <c r="L1312" s="7" t="s">
        <v>2472</v>
      </c>
      <c r="M1312" s="7" t="s">
        <v>3</v>
      </c>
      <c r="N1312" s="7" t="s">
        <v>1825</v>
      </c>
      <c r="O1312" s="7" t="s">
        <v>1703</v>
      </c>
      <c r="P1312" s="7" t="s">
        <v>1703</v>
      </c>
      <c r="Q1312" s="9">
        <v>829274</v>
      </c>
      <c r="R1312" s="9">
        <v>0</v>
      </c>
      <c r="S1312" s="9">
        <f t="shared" si="44"/>
        <v>829274</v>
      </c>
      <c r="T1312" s="7" t="s">
        <v>53</v>
      </c>
      <c r="U1312" s="7"/>
      <c r="V1312" s="7"/>
      <c r="W1312" s="9">
        <v>1</v>
      </c>
      <c r="X1312" s="7"/>
      <c r="Y1312" s="4"/>
      <c r="Z1312" s="7" t="s">
        <v>2</v>
      </c>
      <c r="AA1312" s="36" t="s">
        <v>3</v>
      </c>
      <c r="AB1312" s="4"/>
      <c r="AC1312" s="22">
        <f t="shared" si="43"/>
        <v>325.20549019607842</v>
      </c>
      <c r="AD1312" s="23">
        <v>0</v>
      </c>
    </row>
    <row r="1313" spans="1:30" hidden="1" x14ac:dyDescent="0.35">
      <c r="A1313" s="7">
        <v>97</v>
      </c>
      <c r="B1313" s="24">
        <v>45982.452696759261</v>
      </c>
      <c r="C1313" s="24">
        <v>45982</v>
      </c>
      <c r="D1313" s="7" t="s">
        <v>3024</v>
      </c>
      <c r="E1313" s="7" t="s">
        <v>1819</v>
      </c>
      <c r="F1313" s="7" t="s">
        <v>2936</v>
      </c>
      <c r="G1313" s="7" t="s">
        <v>3025</v>
      </c>
      <c r="H1313" s="7"/>
      <c r="I1313" s="7"/>
      <c r="J1313" s="7" t="s">
        <v>2148</v>
      </c>
      <c r="K1313" s="7" t="s">
        <v>1815</v>
      </c>
      <c r="L1313" s="7" t="s">
        <v>2472</v>
      </c>
      <c r="M1313" s="7" t="s">
        <v>3</v>
      </c>
      <c r="N1313" s="7" t="s">
        <v>1825</v>
      </c>
      <c r="O1313" s="7" t="s">
        <v>1703</v>
      </c>
      <c r="P1313" s="7" t="s">
        <v>1703</v>
      </c>
      <c r="Q1313" s="9">
        <v>450000</v>
      </c>
      <c r="R1313" s="9">
        <v>0</v>
      </c>
      <c r="S1313" s="9">
        <f t="shared" si="44"/>
        <v>450000</v>
      </c>
      <c r="T1313" s="7" t="s">
        <v>53</v>
      </c>
      <c r="U1313" s="7"/>
      <c r="V1313" s="7"/>
      <c r="W1313" s="9">
        <v>1</v>
      </c>
      <c r="X1313" s="7"/>
      <c r="Y1313" s="4"/>
      <c r="Z1313" s="7" t="s">
        <v>2</v>
      </c>
      <c r="AA1313" s="36" t="s">
        <v>3</v>
      </c>
      <c r="AB1313" s="4"/>
      <c r="AC1313" s="22">
        <f t="shared" si="43"/>
        <v>176.47058823529412</v>
      </c>
      <c r="AD1313" s="23">
        <v>0</v>
      </c>
    </row>
    <row r="1314" spans="1:30" hidden="1" x14ac:dyDescent="0.35">
      <c r="A1314" s="7">
        <v>98</v>
      </c>
      <c r="B1314" s="24">
        <v>45982.449699074074</v>
      </c>
      <c r="C1314" s="24">
        <v>45982</v>
      </c>
      <c r="D1314" s="7" t="s">
        <v>3026</v>
      </c>
      <c r="E1314" s="7" t="s">
        <v>1819</v>
      </c>
      <c r="F1314" s="7" t="s">
        <v>2936</v>
      </c>
      <c r="G1314" s="7" t="s">
        <v>3027</v>
      </c>
      <c r="H1314" s="7"/>
      <c r="I1314" s="7"/>
      <c r="J1314" s="7" t="s">
        <v>2148</v>
      </c>
      <c r="K1314" s="7" t="s">
        <v>1815</v>
      </c>
      <c r="L1314" s="7" t="s">
        <v>2472</v>
      </c>
      <c r="M1314" s="7" t="s">
        <v>3</v>
      </c>
      <c r="N1314" s="7" t="s">
        <v>1825</v>
      </c>
      <c r="O1314" s="7" t="s">
        <v>1703</v>
      </c>
      <c r="P1314" s="7" t="s">
        <v>1703</v>
      </c>
      <c r="Q1314" s="9">
        <v>450000</v>
      </c>
      <c r="R1314" s="9">
        <v>0</v>
      </c>
      <c r="S1314" s="9">
        <f t="shared" si="44"/>
        <v>450000</v>
      </c>
      <c r="T1314" s="7" t="s">
        <v>53</v>
      </c>
      <c r="U1314" s="7"/>
      <c r="V1314" s="7"/>
      <c r="W1314" s="9">
        <v>1</v>
      </c>
      <c r="X1314" s="7"/>
      <c r="Y1314" s="4"/>
      <c r="Z1314" s="7" t="s">
        <v>2</v>
      </c>
      <c r="AA1314" s="36" t="s">
        <v>3</v>
      </c>
      <c r="AB1314" s="4"/>
      <c r="AC1314" s="22">
        <f t="shared" si="43"/>
        <v>176.47058823529412</v>
      </c>
      <c r="AD1314" s="23">
        <v>0</v>
      </c>
    </row>
    <row r="1315" spans="1:30" hidden="1" x14ac:dyDescent="0.35">
      <c r="A1315" s="7">
        <v>99</v>
      </c>
      <c r="B1315" s="24">
        <v>45982.446435185186</v>
      </c>
      <c r="C1315" s="24">
        <v>45982</v>
      </c>
      <c r="D1315" s="7" t="s">
        <v>3028</v>
      </c>
      <c r="E1315" s="7" t="s">
        <v>1819</v>
      </c>
      <c r="F1315" s="7" t="s">
        <v>2936</v>
      </c>
      <c r="G1315" s="7" t="s">
        <v>3029</v>
      </c>
      <c r="H1315" s="7"/>
      <c r="I1315" s="7"/>
      <c r="J1315" s="7" t="s">
        <v>2148</v>
      </c>
      <c r="K1315" s="7" t="s">
        <v>1815</v>
      </c>
      <c r="L1315" s="7" t="s">
        <v>2472</v>
      </c>
      <c r="M1315" s="7" t="s">
        <v>3</v>
      </c>
      <c r="N1315" s="7" t="s">
        <v>1825</v>
      </c>
      <c r="O1315" s="7" t="s">
        <v>1703</v>
      </c>
      <c r="P1315" s="7" t="s">
        <v>1703</v>
      </c>
      <c r="Q1315" s="9">
        <v>554000</v>
      </c>
      <c r="R1315" s="9">
        <v>0</v>
      </c>
      <c r="S1315" s="9">
        <f t="shared" si="44"/>
        <v>554000</v>
      </c>
      <c r="T1315" s="7" t="s">
        <v>53</v>
      </c>
      <c r="U1315" s="7"/>
      <c r="V1315" s="7"/>
      <c r="W1315" s="9">
        <v>1</v>
      </c>
      <c r="X1315" s="7"/>
      <c r="Y1315" s="4"/>
      <c r="Z1315" s="7" t="s">
        <v>2</v>
      </c>
      <c r="AA1315" s="36" t="s">
        <v>3</v>
      </c>
      <c r="AB1315" s="4"/>
      <c r="AC1315" s="22">
        <f t="shared" si="43"/>
        <v>217.25490196078431</v>
      </c>
      <c r="AD1315" s="23">
        <v>0</v>
      </c>
    </row>
    <row r="1316" spans="1:30" hidden="1" x14ac:dyDescent="0.35">
      <c r="A1316" s="7">
        <v>100</v>
      </c>
      <c r="B1316" s="24">
        <v>45982.442569444444</v>
      </c>
      <c r="C1316" s="24">
        <v>45982</v>
      </c>
      <c r="D1316" s="7" t="s">
        <v>3030</v>
      </c>
      <c r="E1316" s="7" t="s">
        <v>1819</v>
      </c>
      <c r="F1316" s="7" t="s">
        <v>2936</v>
      </c>
      <c r="G1316" s="7" t="s">
        <v>3031</v>
      </c>
      <c r="H1316" s="7"/>
      <c r="I1316" s="7"/>
      <c r="J1316" s="7" t="s">
        <v>2148</v>
      </c>
      <c r="K1316" s="7" t="s">
        <v>1815</v>
      </c>
      <c r="L1316" s="7" t="s">
        <v>2472</v>
      </c>
      <c r="M1316" s="7" t="s">
        <v>3</v>
      </c>
      <c r="N1316" s="7" t="s">
        <v>1825</v>
      </c>
      <c r="O1316" s="7" t="s">
        <v>1703</v>
      </c>
      <c r="P1316" s="7" t="s">
        <v>1703</v>
      </c>
      <c r="Q1316" s="9">
        <v>4356000</v>
      </c>
      <c r="R1316" s="9">
        <v>0</v>
      </c>
      <c r="S1316" s="9">
        <f t="shared" si="44"/>
        <v>4356000</v>
      </c>
      <c r="T1316" s="7" t="s">
        <v>53</v>
      </c>
      <c r="U1316" s="7"/>
      <c r="V1316" s="7"/>
      <c r="W1316" s="9">
        <v>1</v>
      </c>
      <c r="X1316" s="7"/>
      <c r="Y1316" s="4"/>
      <c r="Z1316" s="7" t="s">
        <v>2</v>
      </c>
      <c r="AA1316" s="36" t="s">
        <v>3</v>
      </c>
      <c r="AB1316" s="4"/>
      <c r="AC1316" s="22">
        <f t="shared" si="43"/>
        <v>1708.2352941176471</v>
      </c>
      <c r="AD1316" s="23">
        <v>0</v>
      </c>
    </row>
    <row r="1317" spans="1:30" hidden="1" x14ac:dyDescent="0.35">
      <c r="A1317" s="7">
        <v>101</v>
      </c>
      <c r="B1317" s="24">
        <v>45982.438159722224</v>
      </c>
      <c r="C1317" s="24">
        <v>45982</v>
      </c>
      <c r="D1317" s="7" t="s">
        <v>3032</v>
      </c>
      <c r="E1317" s="7" t="s">
        <v>1819</v>
      </c>
      <c r="F1317" s="7" t="s">
        <v>2936</v>
      </c>
      <c r="G1317" s="7" t="s">
        <v>3033</v>
      </c>
      <c r="H1317" s="7"/>
      <c r="I1317" s="7"/>
      <c r="J1317" s="7" t="s">
        <v>2148</v>
      </c>
      <c r="K1317" s="7" t="s">
        <v>1815</v>
      </c>
      <c r="L1317" s="7" t="s">
        <v>2472</v>
      </c>
      <c r="M1317" s="7" t="s">
        <v>3</v>
      </c>
      <c r="N1317" s="7" t="s">
        <v>1825</v>
      </c>
      <c r="O1317" s="7" t="s">
        <v>1703</v>
      </c>
      <c r="P1317" s="7" t="s">
        <v>1703</v>
      </c>
      <c r="Q1317" s="9">
        <v>69000</v>
      </c>
      <c r="R1317" s="9">
        <v>0</v>
      </c>
      <c r="S1317" s="9">
        <f t="shared" si="44"/>
        <v>69000</v>
      </c>
      <c r="T1317" s="7" t="s">
        <v>53</v>
      </c>
      <c r="U1317" s="7"/>
      <c r="V1317" s="7"/>
      <c r="W1317" s="9">
        <v>1</v>
      </c>
      <c r="X1317" s="7"/>
      <c r="Y1317" s="4"/>
      <c r="Z1317" s="7" t="s">
        <v>2</v>
      </c>
      <c r="AA1317" s="36" t="s">
        <v>3</v>
      </c>
      <c r="AB1317" s="4"/>
      <c r="AC1317" s="22">
        <f t="shared" si="43"/>
        <v>27.058823529411764</v>
      </c>
      <c r="AD1317" s="23">
        <v>0</v>
      </c>
    </row>
    <row r="1318" spans="1:30" hidden="1" x14ac:dyDescent="0.35">
      <c r="A1318" s="7">
        <v>102</v>
      </c>
      <c r="B1318" s="24">
        <v>45982.436377314814</v>
      </c>
      <c r="C1318" s="24">
        <v>45982</v>
      </c>
      <c r="D1318" s="7" t="s">
        <v>3034</v>
      </c>
      <c r="E1318" s="7" t="s">
        <v>1819</v>
      </c>
      <c r="F1318" s="7" t="s">
        <v>2936</v>
      </c>
      <c r="G1318" s="7" t="s">
        <v>3035</v>
      </c>
      <c r="H1318" s="7"/>
      <c r="I1318" s="7"/>
      <c r="J1318" s="7" t="s">
        <v>2148</v>
      </c>
      <c r="K1318" s="7" t="s">
        <v>1815</v>
      </c>
      <c r="L1318" s="7" t="s">
        <v>2472</v>
      </c>
      <c r="M1318" s="7" t="s">
        <v>3</v>
      </c>
      <c r="N1318" s="7" t="s">
        <v>1825</v>
      </c>
      <c r="O1318" s="7" t="s">
        <v>1703</v>
      </c>
      <c r="P1318" s="7" t="s">
        <v>1703</v>
      </c>
      <c r="Q1318" s="9">
        <v>994000</v>
      </c>
      <c r="R1318" s="9">
        <v>0</v>
      </c>
      <c r="S1318" s="9">
        <f t="shared" si="44"/>
        <v>994000</v>
      </c>
      <c r="T1318" s="7" t="s">
        <v>53</v>
      </c>
      <c r="U1318" s="7"/>
      <c r="V1318" s="7"/>
      <c r="W1318" s="9">
        <v>1</v>
      </c>
      <c r="X1318" s="7"/>
      <c r="Y1318" s="4"/>
      <c r="Z1318" s="7" t="s">
        <v>2</v>
      </c>
      <c r="AA1318" s="36" t="s">
        <v>3</v>
      </c>
      <c r="AB1318" s="4"/>
      <c r="AC1318" s="22">
        <f t="shared" si="43"/>
        <v>389.80392156862746</v>
      </c>
      <c r="AD1318" s="23">
        <v>0</v>
      </c>
    </row>
    <row r="1319" spans="1:30" hidden="1" x14ac:dyDescent="0.35">
      <c r="A1319" s="7">
        <v>103</v>
      </c>
      <c r="B1319" s="24">
        <v>45982.43476851852</v>
      </c>
      <c r="C1319" s="24">
        <v>45982</v>
      </c>
      <c r="D1319" s="7" t="s">
        <v>3036</v>
      </c>
      <c r="E1319" s="7" t="s">
        <v>1819</v>
      </c>
      <c r="F1319" s="7" t="s">
        <v>2936</v>
      </c>
      <c r="G1319" s="7" t="s">
        <v>3037</v>
      </c>
      <c r="H1319" s="7"/>
      <c r="I1319" s="7"/>
      <c r="J1319" s="7" t="s">
        <v>2148</v>
      </c>
      <c r="K1319" s="7" t="s">
        <v>1815</v>
      </c>
      <c r="L1319" s="7" t="s">
        <v>2472</v>
      </c>
      <c r="M1319" s="7" t="s">
        <v>3</v>
      </c>
      <c r="N1319" s="7" t="s">
        <v>1825</v>
      </c>
      <c r="O1319" s="7" t="s">
        <v>1703</v>
      </c>
      <c r="P1319" s="7" t="s">
        <v>1703</v>
      </c>
      <c r="Q1319" s="9">
        <v>479000</v>
      </c>
      <c r="R1319" s="9">
        <v>0</v>
      </c>
      <c r="S1319" s="9">
        <f t="shared" si="44"/>
        <v>479000</v>
      </c>
      <c r="T1319" s="7" t="s">
        <v>53</v>
      </c>
      <c r="U1319" s="7"/>
      <c r="V1319" s="7"/>
      <c r="W1319" s="9">
        <v>1</v>
      </c>
      <c r="X1319" s="7"/>
      <c r="Y1319" s="4"/>
      <c r="Z1319" s="7" t="s">
        <v>2</v>
      </c>
      <c r="AA1319" s="36" t="s">
        <v>3</v>
      </c>
      <c r="AB1319" s="4"/>
      <c r="AC1319" s="22">
        <f t="shared" si="43"/>
        <v>187.84313725490196</v>
      </c>
      <c r="AD1319" s="23">
        <v>0</v>
      </c>
    </row>
    <row r="1320" spans="1:30" hidden="1" x14ac:dyDescent="0.35">
      <c r="A1320" s="7">
        <v>104</v>
      </c>
      <c r="B1320" s="24">
        <v>45982.432719907411</v>
      </c>
      <c r="C1320" s="24">
        <v>45982</v>
      </c>
      <c r="D1320" s="7" t="s">
        <v>3038</v>
      </c>
      <c r="E1320" s="7" t="s">
        <v>1819</v>
      </c>
      <c r="F1320" s="7" t="s">
        <v>2936</v>
      </c>
      <c r="G1320" s="7" t="s">
        <v>3039</v>
      </c>
      <c r="H1320" s="7"/>
      <c r="I1320" s="7"/>
      <c r="J1320" s="7" t="s">
        <v>2148</v>
      </c>
      <c r="K1320" s="7" t="s">
        <v>1815</v>
      </c>
      <c r="L1320" s="7" t="s">
        <v>2472</v>
      </c>
      <c r="M1320" s="7" t="s">
        <v>3</v>
      </c>
      <c r="N1320" s="7" t="s">
        <v>1825</v>
      </c>
      <c r="O1320" s="7" t="s">
        <v>1703</v>
      </c>
      <c r="P1320" s="7" t="s">
        <v>1703</v>
      </c>
      <c r="Q1320" s="9">
        <v>2284912</v>
      </c>
      <c r="R1320" s="9">
        <v>0</v>
      </c>
      <c r="S1320" s="9">
        <f t="shared" si="44"/>
        <v>2284912</v>
      </c>
      <c r="T1320" s="7" t="s">
        <v>53</v>
      </c>
      <c r="U1320" s="7"/>
      <c r="V1320" s="7"/>
      <c r="W1320" s="9">
        <v>1</v>
      </c>
      <c r="X1320" s="7"/>
      <c r="Y1320" s="4"/>
      <c r="Z1320" s="7" t="s">
        <v>2</v>
      </c>
      <c r="AA1320" s="36" t="s">
        <v>3</v>
      </c>
      <c r="AB1320" s="4"/>
      <c r="AC1320" s="22">
        <f t="shared" si="43"/>
        <v>896.04392156862741</v>
      </c>
      <c r="AD1320" s="23">
        <v>0</v>
      </c>
    </row>
    <row r="1321" spans="1:30" hidden="1" x14ac:dyDescent="0.35">
      <c r="A1321" s="7">
        <v>105</v>
      </c>
      <c r="B1321" s="24">
        <v>45982.430671296293</v>
      </c>
      <c r="C1321" s="24">
        <v>45982</v>
      </c>
      <c r="D1321" s="7" t="s">
        <v>3040</v>
      </c>
      <c r="E1321" s="7" t="s">
        <v>1819</v>
      </c>
      <c r="F1321" s="7" t="s">
        <v>2936</v>
      </c>
      <c r="G1321" s="7" t="s">
        <v>3041</v>
      </c>
      <c r="H1321" s="7"/>
      <c r="I1321" s="7"/>
      <c r="J1321" s="7" t="s">
        <v>2148</v>
      </c>
      <c r="K1321" s="7" t="s">
        <v>1815</v>
      </c>
      <c r="L1321" s="7" t="s">
        <v>2472</v>
      </c>
      <c r="M1321" s="7" t="s">
        <v>3</v>
      </c>
      <c r="N1321" s="7" t="s">
        <v>1825</v>
      </c>
      <c r="O1321" s="7" t="s">
        <v>1703</v>
      </c>
      <c r="P1321" s="7" t="s">
        <v>1703</v>
      </c>
      <c r="Q1321" s="9">
        <v>802116</v>
      </c>
      <c r="R1321" s="9">
        <v>0</v>
      </c>
      <c r="S1321" s="9">
        <f t="shared" si="44"/>
        <v>802116</v>
      </c>
      <c r="T1321" s="7" t="s">
        <v>53</v>
      </c>
      <c r="U1321" s="7"/>
      <c r="V1321" s="7"/>
      <c r="W1321" s="9">
        <v>1</v>
      </c>
      <c r="X1321" s="7"/>
      <c r="Y1321" s="4"/>
      <c r="Z1321" s="7" t="s">
        <v>2</v>
      </c>
      <c r="AA1321" s="36" t="s">
        <v>3</v>
      </c>
      <c r="AB1321" s="4"/>
      <c r="AC1321" s="22">
        <f t="shared" si="43"/>
        <v>314.55529411764707</v>
      </c>
      <c r="AD1321" s="23">
        <v>0</v>
      </c>
    </row>
    <row r="1322" spans="1:30" hidden="1" x14ac:dyDescent="0.35">
      <c r="A1322" s="7">
        <v>106</v>
      </c>
      <c r="B1322" s="24">
        <v>45982.428136574075</v>
      </c>
      <c r="C1322" s="24">
        <v>45982</v>
      </c>
      <c r="D1322" s="7" t="s">
        <v>3042</v>
      </c>
      <c r="E1322" s="7" t="s">
        <v>1819</v>
      </c>
      <c r="F1322" s="7" t="s">
        <v>2936</v>
      </c>
      <c r="G1322" s="7" t="s">
        <v>3043</v>
      </c>
      <c r="H1322" s="7"/>
      <c r="I1322" s="7"/>
      <c r="J1322" s="7" t="s">
        <v>2148</v>
      </c>
      <c r="K1322" s="7" t="s">
        <v>1815</v>
      </c>
      <c r="L1322" s="7" t="s">
        <v>2472</v>
      </c>
      <c r="M1322" s="7" t="s">
        <v>3</v>
      </c>
      <c r="N1322" s="7" t="s">
        <v>1825</v>
      </c>
      <c r="O1322" s="7" t="s">
        <v>1703</v>
      </c>
      <c r="P1322" s="7" t="s">
        <v>1703</v>
      </c>
      <c r="Q1322" s="9">
        <v>1135206</v>
      </c>
      <c r="R1322" s="9">
        <v>0</v>
      </c>
      <c r="S1322" s="9">
        <f t="shared" si="44"/>
        <v>1135206</v>
      </c>
      <c r="T1322" s="7" t="s">
        <v>53</v>
      </c>
      <c r="U1322" s="7"/>
      <c r="V1322" s="7"/>
      <c r="W1322" s="9">
        <v>1</v>
      </c>
      <c r="X1322" s="7"/>
      <c r="Y1322" s="4"/>
      <c r="Z1322" s="7" t="s">
        <v>2</v>
      </c>
      <c r="AA1322" s="36" t="s">
        <v>3</v>
      </c>
      <c r="AB1322" s="4"/>
      <c r="AC1322" s="22">
        <f t="shared" si="43"/>
        <v>445.17882352941177</v>
      </c>
      <c r="AD1322" s="23">
        <v>0</v>
      </c>
    </row>
    <row r="1323" spans="1:30" hidden="1" x14ac:dyDescent="0.35">
      <c r="A1323" s="7">
        <v>107</v>
      </c>
      <c r="B1323" s="24">
        <v>45982.426527777781</v>
      </c>
      <c r="C1323" s="24">
        <v>45982</v>
      </c>
      <c r="D1323" s="7" t="s">
        <v>3044</v>
      </c>
      <c r="E1323" s="7" t="s">
        <v>1819</v>
      </c>
      <c r="F1323" s="7" t="s">
        <v>2936</v>
      </c>
      <c r="G1323" s="7" t="s">
        <v>3045</v>
      </c>
      <c r="H1323" s="7"/>
      <c r="I1323" s="7"/>
      <c r="J1323" s="7" t="s">
        <v>2148</v>
      </c>
      <c r="K1323" s="7" t="s">
        <v>1815</v>
      </c>
      <c r="L1323" s="7" t="s">
        <v>2472</v>
      </c>
      <c r="M1323" s="7" t="s">
        <v>3</v>
      </c>
      <c r="N1323" s="7" t="s">
        <v>1825</v>
      </c>
      <c r="O1323" s="7" t="s">
        <v>1703</v>
      </c>
      <c r="P1323" s="7" t="s">
        <v>1703</v>
      </c>
      <c r="Q1323" s="9">
        <v>2795709</v>
      </c>
      <c r="R1323" s="9">
        <v>0</v>
      </c>
      <c r="S1323" s="9">
        <f t="shared" si="44"/>
        <v>2795709</v>
      </c>
      <c r="T1323" s="7" t="s">
        <v>53</v>
      </c>
      <c r="U1323" s="7"/>
      <c r="V1323" s="7"/>
      <c r="W1323" s="9">
        <v>1</v>
      </c>
      <c r="X1323" s="7"/>
      <c r="Y1323" s="4"/>
      <c r="Z1323" s="7" t="s">
        <v>2</v>
      </c>
      <c r="AA1323" s="36" t="s">
        <v>3</v>
      </c>
      <c r="AB1323" s="4"/>
      <c r="AC1323" s="22">
        <f t="shared" si="43"/>
        <v>1096.3564705882352</v>
      </c>
      <c r="AD1323" s="23">
        <v>0</v>
      </c>
    </row>
    <row r="1324" spans="1:30" hidden="1" x14ac:dyDescent="0.35">
      <c r="A1324" s="7">
        <v>108</v>
      </c>
      <c r="B1324" s="24">
        <v>45982.416238425925</v>
      </c>
      <c r="C1324" s="24">
        <v>45982</v>
      </c>
      <c r="D1324" s="7" t="s">
        <v>3046</v>
      </c>
      <c r="E1324" s="7" t="s">
        <v>1819</v>
      </c>
      <c r="F1324" s="7" t="s">
        <v>2936</v>
      </c>
      <c r="G1324" s="7" t="s">
        <v>3047</v>
      </c>
      <c r="H1324" s="7"/>
      <c r="I1324" s="7"/>
      <c r="J1324" s="7" t="s">
        <v>2148</v>
      </c>
      <c r="K1324" s="7" t="s">
        <v>1815</v>
      </c>
      <c r="L1324" s="7" t="s">
        <v>2472</v>
      </c>
      <c r="M1324" s="7" t="s">
        <v>3</v>
      </c>
      <c r="N1324" s="7" t="s">
        <v>1825</v>
      </c>
      <c r="O1324" s="7" t="s">
        <v>1703</v>
      </c>
      <c r="P1324" s="7" t="s">
        <v>1703</v>
      </c>
      <c r="Q1324" s="9">
        <v>1019304</v>
      </c>
      <c r="R1324" s="9">
        <v>0</v>
      </c>
      <c r="S1324" s="9">
        <f t="shared" si="44"/>
        <v>1019304</v>
      </c>
      <c r="T1324" s="7" t="s">
        <v>53</v>
      </c>
      <c r="U1324" s="7"/>
      <c r="V1324" s="7"/>
      <c r="W1324" s="9">
        <v>1</v>
      </c>
      <c r="X1324" s="7"/>
      <c r="Y1324" s="4"/>
      <c r="Z1324" s="7" t="s">
        <v>2</v>
      </c>
      <c r="AA1324" s="36" t="s">
        <v>3</v>
      </c>
      <c r="AB1324" s="4"/>
      <c r="AC1324" s="22">
        <f t="shared" si="43"/>
        <v>399.72705882352943</v>
      </c>
      <c r="AD1324" s="23">
        <v>0</v>
      </c>
    </row>
    <row r="1325" spans="1:30" hidden="1" x14ac:dyDescent="0.35">
      <c r="A1325" s="7">
        <v>109</v>
      </c>
      <c r="B1325" s="24">
        <v>45982.413842592592</v>
      </c>
      <c r="C1325" s="24">
        <v>45982</v>
      </c>
      <c r="D1325" s="7" t="s">
        <v>3048</v>
      </c>
      <c r="E1325" s="7" t="s">
        <v>1819</v>
      </c>
      <c r="F1325" s="7" t="s">
        <v>2936</v>
      </c>
      <c r="G1325" s="7" t="s">
        <v>3049</v>
      </c>
      <c r="H1325" s="7"/>
      <c r="I1325" s="7"/>
      <c r="J1325" s="7" t="s">
        <v>2148</v>
      </c>
      <c r="K1325" s="7" t="s">
        <v>1815</v>
      </c>
      <c r="L1325" s="7" t="s">
        <v>2472</v>
      </c>
      <c r="M1325" s="7" t="s">
        <v>3</v>
      </c>
      <c r="N1325" s="7" t="s">
        <v>1825</v>
      </c>
      <c r="O1325" s="7" t="s">
        <v>1703</v>
      </c>
      <c r="P1325" s="7" t="s">
        <v>1703</v>
      </c>
      <c r="Q1325" s="9">
        <v>1155902</v>
      </c>
      <c r="R1325" s="9">
        <v>0</v>
      </c>
      <c r="S1325" s="9">
        <f t="shared" si="44"/>
        <v>1155902</v>
      </c>
      <c r="T1325" s="7" t="s">
        <v>53</v>
      </c>
      <c r="U1325" s="7"/>
      <c r="V1325" s="7"/>
      <c r="W1325" s="9">
        <v>1</v>
      </c>
      <c r="X1325" s="7"/>
      <c r="Y1325" s="4"/>
      <c r="Z1325" s="7" t="s">
        <v>2</v>
      </c>
      <c r="AA1325" s="36" t="s">
        <v>3</v>
      </c>
      <c r="AB1325" s="4"/>
      <c r="AC1325" s="22">
        <f t="shared" si="43"/>
        <v>453.29490196078433</v>
      </c>
      <c r="AD1325" s="23">
        <v>0</v>
      </c>
    </row>
    <row r="1326" spans="1:30" hidden="1" x14ac:dyDescent="0.35">
      <c r="A1326" s="7">
        <v>110</v>
      </c>
      <c r="B1326" s="24">
        <v>45982.411539351851</v>
      </c>
      <c r="C1326" s="24">
        <v>45982</v>
      </c>
      <c r="D1326" s="7" t="s">
        <v>3050</v>
      </c>
      <c r="E1326" s="7" t="s">
        <v>1819</v>
      </c>
      <c r="F1326" s="7" t="s">
        <v>2936</v>
      </c>
      <c r="G1326" s="7" t="s">
        <v>3051</v>
      </c>
      <c r="H1326" s="7"/>
      <c r="I1326" s="7"/>
      <c r="J1326" s="7" t="s">
        <v>2148</v>
      </c>
      <c r="K1326" s="7" t="s">
        <v>1815</v>
      </c>
      <c r="L1326" s="7" t="s">
        <v>2472</v>
      </c>
      <c r="M1326" s="7" t="s">
        <v>3</v>
      </c>
      <c r="N1326" s="7" t="s">
        <v>1825</v>
      </c>
      <c r="O1326" s="7" t="s">
        <v>1704</v>
      </c>
      <c r="P1326" s="7" t="s">
        <v>1703</v>
      </c>
      <c r="Q1326" s="9">
        <v>2987445</v>
      </c>
      <c r="R1326" s="9">
        <v>0</v>
      </c>
      <c r="S1326" s="9">
        <f t="shared" si="44"/>
        <v>2987445</v>
      </c>
      <c r="T1326" s="7" t="s">
        <v>53</v>
      </c>
      <c r="U1326" s="7"/>
      <c r="V1326" s="7"/>
      <c r="W1326" s="9">
        <v>1</v>
      </c>
      <c r="X1326" s="7"/>
      <c r="Y1326" s="4"/>
      <c r="Z1326" s="7" t="s">
        <v>2</v>
      </c>
      <c r="AA1326" s="36" t="s">
        <v>3</v>
      </c>
      <c r="AB1326" s="4"/>
      <c r="AC1326" s="22">
        <f t="shared" si="43"/>
        <v>1171.5470588235294</v>
      </c>
      <c r="AD1326" s="23">
        <v>0</v>
      </c>
    </row>
    <row r="1327" spans="1:30" hidden="1" x14ac:dyDescent="0.35">
      <c r="A1327" s="7">
        <v>111</v>
      </c>
      <c r="B1327" s="24">
        <v>45982.409780092596</v>
      </c>
      <c r="C1327" s="24">
        <v>45982</v>
      </c>
      <c r="D1327" s="7" t="s">
        <v>3052</v>
      </c>
      <c r="E1327" s="7" t="s">
        <v>1819</v>
      </c>
      <c r="F1327" s="7" t="s">
        <v>2936</v>
      </c>
      <c r="G1327" s="7" t="s">
        <v>3053</v>
      </c>
      <c r="H1327" s="7"/>
      <c r="I1327" s="7"/>
      <c r="J1327" s="7" t="s">
        <v>2148</v>
      </c>
      <c r="K1327" s="7" t="s">
        <v>1815</v>
      </c>
      <c r="L1327" s="7" t="s">
        <v>2472</v>
      </c>
      <c r="M1327" s="7" t="s">
        <v>3</v>
      </c>
      <c r="N1327" s="7" t="s">
        <v>1825</v>
      </c>
      <c r="O1327" s="7" t="s">
        <v>1703</v>
      </c>
      <c r="P1327" s="7" t="s">
        <v>1703</v>
      </c>
      <c r="Q1327" s="9">
        <v>450000</v>
      </c>
      <c r="R1327" s="9">
        <v>0</v>
      </c>
      <c r="S1327" s="9">
        <f t="shared" si="44"/>
        <v>450000</v>
      </c>
      <c r="T1327" s="7" t="s">
        <v>53</v>
      </c>
      <c r="U1327" s="7"/>
      <c r="V1327" s="7"/>
      <c r="W1327" s="9">
        <v>1</v>
      </c>
      <c r="X1327" s="7"/>
      <c r="Y1327" s="4"/>
      <c r="Z1327" s="7" t="s">
        <v>2</v>
      </c>
      <c r="AA1327" s="36" t="s">
        <v>3</v>
      </c>
      <c r="AB1327" s="4"/>
      <c r="AC1327" s="22">
        <f t="shared" si="43"/>
        <v>176.47058823529412</v>
      </c>
      <c r="AD1327" s="23">
        <v>0</v>
      </c>
    </row>
    <row r="1328" spans="1:30" hidden="1" x14ac:dyDescent="0.35">
      <c r="A1328" s="7">
        <v>112</v>
      </c>
      <c r="B1328" s="24">
        <v>45982.408229166664</v>
      </c>
      <c r="C1328" s="24">
        <v>45982</v>
      </c>
      <c r="D1328" s="7" t="s">
        <v>3054</v>
      </c>
      <c r="E1328" s="7" t="s">
        <v>1819</v>
      </c>
      <c r="F1328" s="7" t="s">
        <v>2936</v>
      </c>
      <c r="G1328" s="7" t="s">
        <v>3055</v>
      </c>
      <c r="H1328" s="7"/>
      <c r="I1328" s="7"/>
      <c r="J1328" s="7" t="s">
        <v>2148</v>
      </c>
      <c r="K1328" s="7" t="s">
        <v>1815</v>
      </c>
      <c r="L1328" s="7" t="s">
        <v>2472</v>
      </c>
      <c r="M1328" s="7" t="s">
        <v>3</v>
      </c>
      <c r="N1328" s="7" t="s">
        <v>1825</v>
      </c>
      <c r="O1328" s="7" t="s">
        <v>1703</v>
      </c>
      <c r="P1328" s="7" t="s">
        <v>1703</v>
      </c>
      <c r="Q1328" s="9">
        <v>450000</v>
      </c>
      <c r="R1328" s="9">
        <v>0</v>
      </c>
      <c r="S1328" s="9">
        <f t="shared" si="44"/>
        <v>450000</v>
      </c>
      <c r="T1328" s="7" t="s">
        <v>53</v>
      </c>
      <c r="U1328" s="7"/>
      <c r="V1328" s="7"/>
      <c r="W1328" s="9">
        <v>1</v>
      </c>
      <c r="X1328" s="7"/>
      <c r="Y1328" s="4"/>
      <c r="Z1328" s="7" t="s">
        <v>2</v>
      </c>
      <c r="AA1328" s="36" t="s">
        <v>3</v>
      </c>
      <c r="AB1328" s="4"/>
      <c r="AC1328" s="22">
        <f t="shared" si="43"/>
        <v>176.47058823529412</v>
      </c>
      <c r="AD1328" s="23">
        <v>0</v>
      </c>
    </row>
    <row r="1329" spans="1:30" hidden="1" x14ac:dyDescent="0.35">
      <c r="A1329" s="7">
        <v>113</v>
      </c>
      <c r="B1329" s="24">
        <v>45982.406805555554</v>
      </c>
      <c r="C1329" s="24">
        <v>45982</v>
      </c>
      <c r="D1329" s="7" t="s">
        <v>3056</v>
      </c>
      <c r="E1329" s="7" t="s">
        <v>1819</v>
      </c>
      <c r="F1329" s="7" t="s">
        <v>2936</v>
      </c>
      <c r="G1329" s="7" t="s">
        <v>3057</v>
      </c>
      <c r="H1329" s="7"/>
      <c r="I1329" s="7"/>
      <c r="J1329" s="7" t="s">
        <v>2148</v>
      </c>
      <c r="K1329" s="7" t="s">
        <v>1815</v>
      </c>
      <c r="L1329" s="7" t="s">
        <v>2472</v>
      </c>
      <c r="M1329" s="7" t="s">
        <v>3</v>
      </c>
      <c r="N1329" s="7" t="s">
        <v>1825</v>
      </c>
      <c r="O1329" s="7" t="s">
        <v>1703</v>
      </c>
      <c r="P1329" s="7" t="s">
        <v>1703</v>
      </c>
      <c r="Q1329" s="9">
        <v>4618362</v>
      </c>
      <c r="R1329" s="9">
        <v>0</v>
      </c>
      <c r="S1329" s="9">
        <f t="shared" si="44"/>
        <v>4618362</v>
      </c>
      <c r="T1329" s="7" t="s">
        <v>53</v>
      </c>
      <c r="U1329" s="7"/>
      <c r="V1329" s="7"/>
      <c r="W1329" s="9">
        <v>1</v>
      </c>
      <c r="X1329" s="7"/>
      <c r="Y1329" s="4"/>
      <c r="Z1329" s="7" t="s">
        <v>2</v>
      </c>
      <c r="AA1329" s="36" t="s">
        <v>3</v>
      </c>
      <c r="AB1329" s="4"/>
      <c r="AC1329" s="22">
        <f t="shared" si="43"/>
        <v>1811.1223529411764</v>
      </c>
      <c r="AD1329" s="23">
        <v>0</v>
      </c>
    </row>
    <row r="1330" spans="1:30" hidden="1" x14ac:dyDescent="0.35">
      <c r="A1330" s="7">
        <v>114</v>
      </c>
      <c r="B1330" s="24">
        <v>45982.405347222222</v>
      </c>
      <c r="C1330" s="24">
        <v>45982</v>
      </c>
      <c r="D1330" s="7" t="s">
        <v>3058</v>
      </c>
      <c r="E1330" s="7" t="s">
        <v>1819</v>
      </c>
      <c r="F1330" s="7" t="s">
        <v>2936</v>
      </c>
      <c r="G1330" s="7" t="s">
        <v>3059</v>
      </c>
      <c r="H1330" s="7"/>
      <c r="I1330" s="7"/>
      <c r="J1330" s="7" t="s">
        <v>2148</v>
      </c>
      <c r="K1330" s="7" t="s">
        <v>1815</v>
      </c>
      <c r="L1330" s="7" t="s">
        <v>2472</v>
      </c>
      <c r="M1330" s="7" t="s">
        <v>3</v>
      </c>
      <c r="N1330" s="7" t="s">
        <v>1825</v>
      </c>
      <c r="O1330" s="7" t="s">
        <v>1703</v>
      </c>
      <c r="P1330" s="7" t="s">
        <v>1703</v>
      </c>
      <c r="Q1330" s="9">
        <v>2832113</v>
      </c>
      <c r="R1330" s="9">
        <v>0</v>
      </c>
      <c r="S1330" s="9">
        <f t="shared" si="44"/>
        <v>2832113</v>
      </c>
      <c r="T1330" s="7" t="s">
        <v>53</v>
      </c>
      <c r="U1330" s="7"/>
      <c r="V1330" s="7"/>
      <c r="W1330" s="9">
        <v>1</v>
      </c>
      <c r="X1330" s="7"/>
      <c r="Y1330" s="4"/>
      <c r="Z1330" s="7" t="s">
        <v>2</v>
      </c>
      <c r="AA1330" s="36" t="s">
        <v>3</v>
      </c>
      <c r="AB1330" s="4"/>
      <c r="AC1330" s="22">
        <f t="shared" si="43"/>
        <v>1110.6325490196079</v>
      </c>
      <c r="AD1330" s="23">
        <v>0</v>
      </c>
    </row>
    <row r="1331" spans="1:30" hidden="1" x14ac:dyDescent="0.35">
      <c r="A1331" s="7">
        <v>115</v>
      </c>
      <c r="B1331" s="24">
        <v>45982.403634259259</v>
      </c>
      <c r="C1331" s="24">
        <v>45982</v>
      </c>
      <c r="D1331" s="7" t="s">
        <v>3060</v>
      </c>
      <c r="E1331" s="7" t="s">
        <v>1819</v>
      </c>
      <c r="F1331" s="7" t="s">
        <v>2936</v>
      </c>
      <c r="G1331" s="7" t="s">
        <v>3061</v>
      </c>
      <c r="H1331" s="7"/>
      <c r="I1331" s="7"/>
      <c r="J1331" s="7" t="s">
        <v>2148</v>
      </c>
      <c r="K1331" s="7" t="s">
        <v>1815</v>
      </c>
      <c r="L1331" s="7" t="s">
        <v>2472</v>
      </c>
      <c r="M1331" s="7" t="s">
        <v>3</v>
      </c>
      <c r="N1331" s="7" t="s">
        <v>1825</v>
      </c>
      <c r="O1331" s="7" t="s">
        <v>1703</v>
      </c>
      <c r="P1331" s="7" t="s">
        <v>1703</v>
      </c>
      <c r="Q1331" s="9">
        <v>150000</v>
      </c>
      <c r="R1331" s="9">
        <v>0</v>
      </c>
      <c r="S1331" s="9">
        <f t="shared" si="44"/>
        <v>150000</v>
      </c>
      <c r="T1331" s="7" t="s">
        <v>53</v>
      </c>
      <c r="U1331" s="7"/>
      <c r="V1331" s="7"/>
      <c r="W1331" s="9">
        <v>1</v>
      </c>
      <c r="X1331" s="7"/>
      <c r="Y1331" s="4"/>
      <c r="Z1331" s="7" t="s">
        <v>2</v>
      </c>
      <c r="AA1331" s="36" t="s">
        <v>3</v>
      </c>
      <c r="AB1331" s="4"/>
      <c r="AC1331" s="22">
        <f t="shared" si="43"/>
        <v>58.823529411764703</v>
      </c>
      <c r="AD1331" s="23">
        <v>0</v>
      </c>
    </row>
    <row r="1332" spans="1:30" hidden="1" x14ac:dyDescent="0.35">
      <c r="A1332" s="7">
        <v>116</v>
      </c>
      <c r="B1332" s="24">
        <v>45982.392083333332</v>
      </c>
      <c r="C1332" s="24">
        <v>45982</v>
      </c>
      <c r="D1332" s="7" t="s">
        <v>3062</v>
      </c>
      <c r="E1332" s="7" t="s">
        <v>1819</v>
      </c>
      <c r="F1332" s="7" t="s">
        <v>2936</v>
      </c>
      <c r="G1332" s="7" t="s">
        <v>3063</v>
      </c>
      <c r="H1332" s="7"/>
      <c r="I1332" s="7"/>
      <c r="J1332" s="7" t="s">
        <v>2148</v>
      </c>
      <c r="K1332" s="7" t="s">
        <v>1815</v>
      </c>
      <c r="L1332" s="7" t="s">
        <v>2472</v>
      </c>
      <c r="M1332" s="7" t="s">
        <v>3</v>
      </c>
      <c r="N1332" s="7" t="s">
        <v>1825</v>
      </c>
      <c r="O1332" s="7" t="s">
        <v>1703</v>
      </c>
      <c r="P1332" s="7" t="s">
        <v>1703</v>
      </c>
      <c r="Q1332" s="9">
        <v>59000</v>
      </c>
      <c r="R1332" s="9">
        <v>0</v>
      </c>
      <c r="S1332" s="9">
        <f t="shared" si="44"/>
        <v>59000</v>
      </c>
      <c r="T1332" s="7" t="s">
        <v>53</v>
      </c>
      <c r="U1332" s="7"/>
      <c r="V1332" s="7"/>
      <c r="W1332" s="9">
        <v>1</v>
      </c>
      <c r="X1332" s="7"/>
      <c r="Y1332" s="4"/>
      <c r="Z1332" s="7" t="s">
        <v>2</v>
      </c>
      <c r="AA1332" s="36" t="s">
        <v>3</v>
      </c>
      <c r="AB1332" s="4"/>
      <c r="AC1332" s="22">
        <f t="shared" si="43"/>
        <v>23.137254901960784</v>
      </c>
      <c r="AD1332" s="23">
        <v>0</v>
      </c>
    </row>
    <row r="1333" spans="1:30" hidden="1" x14ac:dyDescent="0.35">
      <c r="A1333" s="7">
        <v>117</v>
      </c>
      <c r="B1333" s="24">
        <v>45982.389537037037</v>
      </c>
      <c r="C1333" s="24">
        <v>45982</v>
      </c>
      <c r="D1333" s="7" t="s">
        <v>3064</v>
      </c>
      <c r="E1333" s="7" t="s">
        <v>1819</v>
      </c>
      <c r="F1333" s="7" t="s">
        <v>2936</v>
      </c>
      <c r="G1333" s="7" t="s">
        <v>3065</v>
      </c>
      <c r="H1333" s="7"/>
      <c r="I1333" s="7"/>
      <c r="J1333" s="7" t="s">
        <v>2148</v>
      </c>
      <c r="K1333" s="7" t="s">
        <v>1815</v>
      </c>
      <c r="L1333" s="7" t="s">
        <v>2472</v>
      </c>
      <c r="M1333" s="7" t="s">
        <v>3</v>
      </c>
      <c r="N1333" s="7" t="s">
        <v>1825</v>
      </c>
      <c r="O1333" s="7" t="s">
        <v>1703</v>
      </c>
      <c r="P1333" s="7" t="s">
        <v>1703</v>
      </c>
      <c r="Q1333" s="9">
        <v>1204400</v>
      </c>
      <c r="R1333" s="9">
        <v>0</v>
      </c>
      <c r="S1333" s="9">
        <f t="shared" si="44"/>
        <v>1204400</v>
      </c>
      <c r="T1333" s="7" t="s">
        <v>53</v>
      </c>
      <c r="U1333" s="7"/>
      <c r="V1333" s="7"/>
      <c r="W1333" s="9">
        <v>1</v>
      </c>
      <c r="X1333" s="7"/>
      <c r="Y1333" s="4"/>
      <c r="Z1333" s="7" t="s">
        <v>2</v>
      </c>
      <c r="AA1333" s="36" t="s">
        <v>3</v>
      </c>
      <c r="AB1333" s="4"/>
      <c r="AC1333" s="22">
        <f t="shared" si="43"/>
        <v>472.31372549019608</v>
      </c>
      <c r="AD1333" s="23">
        <v>0</v>
      </c>
    </row>
    <row r="1334" spans="1:30" hidden="1" x14ac:dyDescent="0.35">
      <c r="A1334" s="7">
        <v>118</v>
      </c>
      <c r="B1334" s="24">
        <v>45982.387094907404</v>
      </c>
      <c r="C1334" s="24">
        <v>45982</v>
      </c>
      <c r="D1334" s="7" t="s">
        <v>3066</v>
      </c>
      <c r="E1334" s="7" t="s">
        <v>1819</v>
      </c>
      <c r="F1334" s="7" t="s">
        <v>2936</v>
      </c>
      <c r="G1334" s="7" t="s">
        <v>3067</v>
      </c>
      <c r="H1334" s="7"/>
      <c r="I1334" s="7"/>
      <c r="J1334" s="7" t="s">
        <v>2148</v>
      </c>
      <c r="K1334" s="7" t="s">
        <v>1815</v>
      </c>
      <c r="L1334" s="7" t="s">
        <v>2472</v>
      </c>
      <c r="M1334" s="7" t="s">
        <v>3</v>
      </c>
      <c r="N1334" s="7" t="s">
        <v>1825</v>
      </c>
      <c r="O1334" s="7" t="s">
        <v>1703</v>
      </c>
      <c r="P1334" s="7" t="s">
        <v>1703</v>
      </c>
      <c r="Q1334" s="9">
        <v>630000</v>
      </c>
      <c r="R1334" s="9">
        <v>0</v>
      </c>
      <c r="S1334" s="9">
        <f t="shared" si="44"/>
        <v>630000</v>
      </c>
      <c r="T1334" s="7" t="s">
        <v>53</v>
      </c>
      <c r="U1334" s="7"/>
      <c r="V1334" s="7"/>
      <c r="W1334" s="9">
        <v>1</v>
      </c>
      <c r="X1334" s="7"/>
      <c r="Y1334" s="4"/>
      <c r="Z1334" s="7" t="s">
        <v>2</v>
      </c>
      <c r="AA1334" s="36" t="s">
        <v>3</v>
      </c>
      <c r="AB1334" s="4"/>
      <c r="AC1334" s="22">
        <f t="shared" si="43"/>
        <v>247.05882352941177</v>
      </c>
      <c r="AD1334" s="23">
        <v>0</v>
      </c>
    </row>
    <row r="1335" spans="1:30" hidden="1" x14ac:dyDescent="0.35">
      <c r="A1335" s="7">
        <v>119</v>
      </c>
      <c r="B1335" s="24">
        <v>45982.385451388887</v>
      </c>
      <c r="C1335" s="24">
        <v>45982</v>
      </c>
      <c r="D1335" s="7" t="s">
        <v>3068</v>
      </c>
      <c r="E1335" s="7" t="s">
        <v>1819</v>
      </c>
      <c r="F1335" s="7" t="s">
        <v>2936</v>
      </c>
      <c r="G1335" s="7" t="s">
        <v>3069</v>
      </c>
      <c r="H1335" s="7"/>
      <c r="I1335" s="7"/>
      <c r="J1335" s="7" t="s">
        <v>2148</v>
      </c>
      <c r="K1335" s="7" t="s">
        <v>1815</v>
      </c>
      <c r="L1335" s="7" t="s">
        <v>2472</v>
      </c>
      <c r="M1335" s="7" t="s">
        <v>3</v>
      </c>
      <c r="N1335" s="7" t="s">
        <v>1825</v>
      </c>
      <c r="O1335" s="7" t="s">
        <v>1703</v>
      </c>
      <c r="P1335" s="7" t="s">
        <v>1703</v>
      </c>
      <c r="Q1335" s="9">
        <v>1135206</v>
      </c>
      <c r="R1335" s="9">
        <v>0</v>
      </c>
      <c r="S1335" s="9">
        <f t="shared" si="44"/>
        <v>1135206</v>
      </c>
      <c r="T1335" s="7" t="s">
        <v>53</v>
      </c>
      <c r="U1335" s="7"/>
      <c r="V1335" s="7"/>
      <c r="W1335" s="9">
        <v>1</v>
      </c>
      <c r="X1335" s="7"/>
      <c r="Y1335" s="4"/>
      <c r="Z1335" s="7" t="s">
        <v>2</v>
      </c>
      <c r="AA1335" s="36" t="s">
        <v>3</v>
      </c>
      <c r="AB1335" s="4"/>
      <c r="AC1335" s="22">
        <f t="shared" si="43"/>
        <v>445.17882352941177</v>
      </c>
      <c r="AD1335" s="23">
        <v>0</v>
      </c>
    </row>
    <row r="1336" spans="1:30" hidden="1" x14ac:dyDescent="0.35">
      <c r="A1336" s="7">
        <v>120</v>
      </c>
      <c r="B1336" s="24">
        <v>45982.38082175926</v>
      </c>
      <c r="C1336" s="24">
        <v>45982</v>
      </c>
      <c r="D1336" s="7" t="s">
        <v>3070</v>
      </c>
      <c r="E1336" s="7" t="s">
        <v>1819</v>
      </c>
      <c r="F1336" s="7" t="s">
        <v>2936</v>
      </c>
      <c r="G1336" s="7" t="s">
        <v>3071</v>
      </c>
      <c r="H1336" s="7"/>
      <c r="I1336" s="7"/>
      <c r="J1336" s="7" t="s">
        <v>2148</v>
      </c>
      <c r="K1336" s="7" t="s">
        <v>1815</v>
      </c>
      <c r="L1336" s="7" t="s">
        <v>2472</v>
      </c>
      <c r="M1336" s="7" t="s">
        <v>3</v>
      </c>
      <c r="N1336" s="7" t="s">
        <v>1825</v>
      </c>
      <c r="O1336" s="7" t="s">
        <v>1703</v>
      </c>
      <c r="P1336" s="7" t="s">
        <v>1703</v>
      </c>
      <c r="Q1336" s="9">
        <v>100000</v>
      </c>
      <c r="R1336" s="9">
        <v>0</v>
      </c>
      <c r="S1336" s="9">
        <f t="shared" si="44"/>
        <v>100000</v>
      </c>
      <c r="T1336" s="7" t="s">
        <v>53</v>
      </c>
      <c r="U1336" s="7"/>
      <c r="V1336" s="7"/>
      <c r="W1336" s="9">
        <v>1</v>
      </c>
      <c r="X1336" s="7"/>
      <c r="Y1336" s="4"/>
      <c r="Z1336" s="7" t="s">
        <v>2</v>
      </c>
      <c r="AA1336" s="36" t="s">
        <v>3</v>
      </c>
      <c r="AB1336" s="4"/>
      <c r="AC1336" s="22">
        <f t="shared" si="43"/>
        <v>39.215686274509807</v>
      </c>
      <c r="AD1336" s="23">
        <v>0</v>
      </c>
    </row>
    <row r="1337" spans="1:30" hidden="1" x14ac:dyDescent="0.35">
      <c r="A1337" s="7">
        <v>121</v>
      </c>
      <c r="B1337" s="24">
        <v>45982.377291666664</v>
      </c>
      <c r="C1337" s="24">
        <v>45982</v>
      </c>
      <c r="D1337" s="7" t="s">
        <v>3072</v>
      </c>
      <c r="E1337" s="7" t="s">
        <v>1819</v>
      </c>
      <c r="F1337" s="7" t="s">
        <v>2936</v>
      </c>
      <c r="G1337" s="7" t="s">
        <v>3073</v>
      </c>
      <c r="H1337" s="7"/>
      <c r="I1337" s="7"/>
      <c r="J1337" s="7" t="s">
        <v>2148</v>
      </c>
      <c r="K1337" s="7" t="s">
        <v>1815</v>
      </c>
      <c r="L1337" s="7" t="s">
        <v>2472</v>
      </c>
      <c r="M1337" s="7" t="s">
        <v>3</v>
      </c>
      <c r="N1337" s="7" t="s">
        <v>1825</v>
      </c>
      <c r="O1337" s="7" t="s">
        <v>1704</v>
      </c>
      <c r="P1337" s="7" t="s">
        <v>1703</v>
      </c>
      <c r="Q1337" s="9">
        <v>42000</v>
      </c>
      <c r="R1337" s="9">
        <v>0</v>
      </c>
      <c r="S1337" s="9">
        <f t="shared" si="44"/>
        <v>42000</v>
      </c>
      <c r="T1337" s="7" t="s">
        <v>53</v>
      </c>
      <c r="U1337" s="7"/>
      <c r="V1337" s="7"/>
      <c r="W1337" s="9">
        <v>1</v>
      </c>
      <c r="X1337" s="7"/>
      <c r="Y1337" s="4"/>
      <c r="Z1337" s="7" t="s">
        <v>2</v>
      </c>
      <c r="AA1337" s="36" t="s">
        <v>3</v>
      </c>
      <c r="AB1337" s="4"/>
      <c r="AC1337" s="22">
        <f t="shared" si="43"/>
        <v>16.470588235294116</v>
      </c>
      <c r="AD1337" s="23">
        <v>0</v>
      </c>
    </row>
    <row r="1338" spans="1:30" hidden="1" x14ac:dyDescent="0.35">
      <c r="A1338" s="7">
        <v>122</v>
      </c>
      <c r="B1338" s="24">
        <v>45982.375648148147</v>
      </c>
      <c r="C1338" s="24">
        <v>45982</v>
      </c>
      <c r="D1338" s="7" t="s">
        <v>3074</v>
      </c>
      <c r="E1338" s="7" t="s">
        <v>1819</v>
      </c>
      <c r="F1338" s="7" t="s">
        <v>2936</v>
      </c>
      <c r="G1338" s="7" t="s">
        <v>3075</v>
      </c>
      <c r="H1338" s="7"/>
      <c r="I1338" s="7"/>
      <c r="J1338" s="7" t="s">
        <v>2148</v>
      </c>
      <c r="K1338" s="7" t="s">
        <v>1815</v>
      </c>
      <c r="L1338" s="7" t="s">
        <v>2472</v>
      </c>
      <c r="M1338" s="7" t="s">
        <v>3</v>
      </c>
      <c r="N1338" s="7" t="s">
        <v>1825</v>
      </c>
      <c r="O1338" s="7" t="s">
        <v>1703</v>
      </c>
      <c r="P1338" s="7" t="s">
        <v>1703</v>
      </c>
      <c r="Q1338" s="9">
        <v>3095745</v>
      </c>
      <c r="R1338" s="9">
        <v>0</v>
      </c>
      <c r="S1338" s="9">
        <f t="shared" si="44"/>
        <v>3095745</v>
      </c>
      <c r="T1338" s="7" t="s">
        <v>53</v>
      </c>
      <c r="U1338" s="7"/>
      <c r="V1338" s="7"/>
      <c r="W1338" s="9">
        <v>1</v>
      </c>
      <c r="X1338" s="7"/>
      <c r="Y1338" s="4"/>
      <c r="Z1338" s="7" t="s">
        <v>2</v>
      </c>
      <c r="AA1338" s="36" t="s">
        <v>3</v>
      </c>
      <c r="AB1338" s="4"/>
      <c r="AC1338" s="22">
        <f t="shared" si="43"/>
        <v>1214.0176470588235</v>
      </c>
      <c r="AD1338" s="23">
        <v>0</v>
      </c>
    </row>
    <row r="1339" spans="1:30" hidden="1" x14ac:dyDescent="0.35">
      <c r="A1339" s="7">
        <v>123</v>
      </c>
      <c r="B1339" s="24">
        <v>45982.373645833337</v>
      </c>
      <c r="C1339" s="24">
        <v>45982</v>
      </c>
      <c r="D1339" s="7" t="s">
        <v>3076</v>
      </c>
      <c r="E1339" s="7" t="s">
        <v>1819</v>
      </c>
      <c r="F1339" s="7" t="s">
        <v>2936</v>
      </c>
      <c r="G1339" s="7" t="s">
        <v>3077</v>
      </c>
      <c r="H1339" s="7"/>
      <c r="I1339" s="7"/>
      <c r="J1339" s="7" t="s">
        <v>2148</v>
      </c>
      <c r="K1339" s="7" t="s">
        <v>1815</v>
      </c>
      <c r="L1339" s="7" t="s">
        <v>2472</v>
      </c>
      <c r="M1339" s="7" t="s">
        <v>3</v>
      </c>
      <c r="N1339" s="7" t="s">
        <v>1825</v>
      </c>
      <c r="O1339" s="7" t="s">
        <v>1703</v>
      </c>
      <c r="P1339" s="7" t="s">
        <v>1703</v>
      </c>
      <c r="Q1339" s="9">
        <v>113000</v>
      </c>
      <c r="R1339" s="9">
        <v>0</v>
      </c>
      <c r="S1339" s="9">
        <f t="shared" si="44"/>
        <v>113000</v>
      </c>
      <c r="T1339" s="7" t="s">
        <v>53</v>
      </c>
      <c r="U1339" s="7"/>
      <c r="V1339" s="7"/>
      <c r="W1339" s="9">
        <v>1</v>
      </c>
      <c r="X1339" s="7"/>
      <c r="Y1339" s="4"/>
      <c r="Z1339" s="7" t="s">
        <v>2</v>
      </c>
      <c r="AA1339" s="36" t="s">
        <v>3</v>
      </c>
      <c r="AB1339" s="4"/>
      <c r="AC1339" s="22">
        <f t="shared" si="43"/>
        <v>44.313725490196077</v>
      </c>
      <c r="AD1339" s="23">
        <v>0</v>
      </c>
    </row>
    <row r="1340" spans="1:30" hidden="1" x14ac:dyDescent="0.35">
      <c r="A1340" s="7">
        <v>124</v>
      </c>
      <c r="B1340" s="24">
        <v>45982.354780092595</v>
      </c>
      <c r="C1340" s="24">
        <v>45982</v>
      </c>
      <c r="D1340" s="7" t="s">
        <v>3078</v>
      </c>
      <c r="E1340" s="7" t="s">
        <v>1819</v>
      </c>
      <c r="F1340" s="7" t="s">
        <v>2936</v>
      </c>
      <c r="G1340" s="7" t="s">
        <v>3079</v>
      </c>
      <c r="H1340" s="7"/>
      <c r="I1340" s="7"/>
      <c r="J1340" s="7" t="s">
        <v>2148</v>
      </c>
      <c r="K1340" s="7" t="s">
        <v>1815</v>
      </c>
      <c r="L1340" s="7" t="s">
        <v>2472</v>
      </c>
      <c r="M1340" s="7" t="s">
        <v>3</v>
      </c>
      <c r="N1340" s="7" t="s">
        <v>1825</v>
      </c>
      <c r="O1340" s="7" t="s">
        <v>1703</v>
      </c>
      <c r="P1340" s="7" t="s">
        <v>1703</v>
      </c>
      <c r="Q1340" s="9">
        <v>4984386</v>
      </c>
      <c r="R1340" s="9">
        <v>0</v>
      </c>
      <c r="S1340" s="9">
        <f t="shared" si="44"/>
        <v>4984386</v>
      </c>
      <c r="T1340" s="7" t="s">
        <v>53</v>
      </c>
      <c r="U1340" s="7"/>
      <c r="V1340" s="7"/>
      <c r="W1340" s="9">
        <v>1</v>
      </c>
      <c r="X1340" s="7"/>
      <c r="Y1340" s="4"/>
      <c r="Z1340" s="7" t="s">
        <v>2</v>
      </c>
      <c r="AA1340" s="36" t="s">
        <v>3</v>
      </c>
      <c r="AB1340" s="4"/>
      <c r="AC1340" s="22">
        <f t="shared" si="43"/>
        <v>1954.6611764705883</v>
      </c>
      <c r="AD1340" s="23">
        <v>0</v>
      </c>
    </row>
    <row r="1341" spans="1:30" hidden="1" x14ac:dyDescent="0.35">
      <c r="A1341" s="7">
        <v>125</v>
      </c>
      <c r="B1341" s="24">
        <v>45982.353113425925</v>
      </c>
      <c r="C1341" s="24">
        <v>45982</v>
      </c>
      <c r="D1341" s="7" t="s">
        <v>3080</v>
      </c>
      <c r="E1341" s="7" t="s">
        <v>1819</v>
      </c>
      <c r="F1341" s="7" t="s">
        <v>2936</v>
      </c>
      <c r="G1341" s="7" t="s">
        <v>3081</v>
      </c>
      <c r="H1341" s="7"/>
      <c r="I1341" s="7"/>
      <c r="J1341" s="7" t="s">
        <v>2148</v>
      </c>
      <c r="K1341" s="7" t="s">
        <v>1815</v>
      </c>
      <c r="L1341" s="7" t="s">
        <v>2472</v>
      </c>
      <c r="M1341" s="7" t="s">
        <v>3</v>
      </c>
      <c r="N1341" s="7" t="s">
        <v>1825</v>
      </c>
      <c r="O1341" s="7" t="s">
        <v>1703</v>
      </c>
      <c r="P1341" s="7" t="s">
        <v>1703</v>
      </c>
      <c r="Q1341" s="9">
        <v>60000</v>
      </c>
      <c r="R1341" s="9">
        <v>0</v>
      </c>
      <c r="S1341" s="9">
        <f t="shared" si="44"/>
        <v>60000</v>
      </c>
      <c r="T1341" s="7" t="s">
        <v>53</v>
      </c>
      <c r="U1341" s="7"/>
      <c r="V1341" s="7"/>
      <c r="W1341" s="9">
        <v>1</v>
      </c>
      <c r="X1341" s="7"/>
      <c r="Y1341" s="4"/>
      <c r="Z1341" s="7" t="s">
        <v>2</v>
      </c>
      <c r="AA1341" s="36" t="s">
        <v>3</v>
      </c>
      <c r="AB1341" s="4"/>
      <c r="AC1341" s="22">
        <f t="shared" si="43"/>
        <v>23.529411764705884</v>
      </c>
      <c r="AD1341" s="23">
        <v>0</v>
      </c>
    </row>
    <row r="1342" spans="1:30" hidden="1" x14ac:dyDescent="0.35">
      <c r="A1342" s="7">
        <v>126</v>
      </c>
      <c r="B1342" s="24">
        <v>45982.351342592592</v>
      </c>
      <c r="C1342" s="24">
        <v>45982</v>
      </c>
      <c r="D1342" s="7" t="s">
        <v>3082</v>
      </c>
      <c r="E1342" s="7" t="s">
        <v>1819</v>
      </c>
      <c r="F1342" s="7" t="s">
        <v>2936</v>
      </c>
      <c r="G1342" s="7" t="s">
        <v>3083</v>
      </c>
      <c r="H1342" s="7"/>
      <c r="I1342" s="7"/>
      <c r="J1342" s="7" t="s">
        <v>2148</v>
      </c>
      <c r="K1342" s="7" t="s">
        <v>1815</v>
      </c>
      <c r="L1342" s="7" t="s">
        <v>2472</v>
      </c>
      <c r="M1342" s="7" t="s">
        <v>3</v>
      </c>
      <c r="N1342" s="7" t="s">
        <v>1825</v>
      </c>
      <c r="O1342" s="7" t="s">
        <v>1703</v>
      </c>
      <c r="P1342" s="7" t="s">
        <v>1703</v>
      </c>
      <c r="Q1342" s="9">
        <v>788480</v>
      </c>
      <c r="R1342" s="9">
        <v>0</v>
      </c>
      <c r="S1342" s="9">
        <f t="shared" si="44"/>
        <v>788480</v>
      </c>
      <c r="T1342" s="7" t="s">
        <v>53</v>
      </c>
      <c r="U1342" s="7"/>
      <c r="V1342" s="7"/>
      <c r="W1342" s="9">
        <v>1</v>
      </c>
      <c r="X1342" s="7"/>
      <c r="Y1342" s="4"/>
      <c r="Z1342" s="7" t="s">
        <v>2</v>
      </c>
      <c r="AA1342" s="36" t="s">
        <v>3</v>
      </c>
      <c r="AB1342" s="4"/>
      <c r="AC1342" s="22">
        <f t="shared" si="43"/>
        <v>309.20784313725488</v>
      </c>
      <c r="AD1342" s="23">
        <v>0</v>
      </c>
    </row>
    <row r="1343" spans="1:30" hidden="1" x14ac:dyDescent="0.35">
      <c r="A1343" s="7">
        <v>127</v>
      </c>
      <c r="B1343" s="24">
        <v>45982.34983796296</v>
      </c>
      <c r="C1343" s="24">
        <v>45982</v>
      </c>
      <c r="D1343" s="7" t="s">
        <v>3084</v>
      </c>
      <c r="E1343" s="7" t="s">
        <v>1819</v>
      </c>
      <c r="F1343" s="7" t="s">
        <v>2936</v>
      </c>
      <c r="G1343" s="7" t="s">
        <v>3085</v>
      </c>
      <c r="H1343" s="7"/>
      <c r="I1343" s="7"/>
      <c r="J1343" s="7" t="s">
        <v>2148</v>
      </c>
      <c r="K1343" s="7" t="s">
        <v>1815</v>
      </c>
      <c r="L1343" s="7" t="s">
        <v>2472</v>
      </c>
      <c r="M1343" s="7" t="s">
        <v>3</v>
      </c>
      <c r="N1343" s="7" t="s">
        <v>1825</v>
      </c>
      <c r="O1343" s="7" t="s">
        <v>1703</v>
      </c>
      <c r="P1343" s="7" t="s">
        <v>1703</v>
      </c>
      <c r="Q1343" s="9">
        <v>93000</v>
      </c>
      <c r="R1343" s="9">
        <v>0</v>
      </c>
      <c r="S1343" s="9">
        <f t="shared" si="44"/>
        <v>93000</v>
      </c>
      <c r="T1343" s="7" t="s">
        <v>53</v>
      </c>
      <c r="U1343" s="7"/>
      <c r="V1343" s="7"/>
      <c r="W1343" s="9">
        <v>1</v>
      </c>
      <c r="X1343" s="7"/>
      <c r="Y1343" s="4"/>
      <c r="Z1343" s="7" t="s">
        <v>2</v>
      </c>
      <c r="AA1343" s="36" t="s">
        <v>3</v>
      </c>
      <c r="AB1343" s="4"/>
      <c r="AC1343" s="22">
        <f t="shared" si="43"/>
        <v>36.470588235294116</v>
      </c>
      <c r="AD1343" s="23">
        <v>0</v>
      </c>
    </row>
    <row r="1344" spans="1:30" hidden="1" x14ac:dyDescent="0.35">
      <c r="A1344" s="7">
        <v>128</v>
      </c>
      <c r="B1344" s="24">
        <v>45982.348043981481</v>
      </c>
      <c r="C1344" s="24">
        <v>45982</v>
      </c>
      <c r="D1344" s="7" t="s">
        <v>3086</v>
      </c>
      <c r="E1344" s="7" t="s">
        <v>1819</v>
      </c>
      <c r="F1344" s="7" t="s">
        <v>2936</v>
      </c>
      <c r="G1344" s="7" t="s">
        <v>3087</v>
      </c>
      <c r="H1344" s="7"/>
      <c r="I1344" s="7"/>
      <c r="J1344" s="7" t="s">
        <v>2148</v>
      </c>
      <c r="K1344" s="7" t="s">
        <v>1815</v>
      </c>
      <c r="L1344" s="7" t="s">
        <v>2472</v>
      </c>
      <c r="M1344" s="7" t="s">
        <v>3</v>
      </c>
      <c r="N1344" s="7" t="s">
        <v>1825</v>
      </c>
      <c r="O1344" s="7" t="s">
        <v>1703</v>
      </c>
      <c r="P1344" s="7" t="s">
        <v>1703</v>
      </c>
      <c r="Q1344" s="9">
        <v>4684456</v>
      </c>
      <c r="R1344" s="9">
        <v>0</v>
      </c>
      <c r="S1344" s="9">
        <f t="shared" si="44"/>
        <v>4684456</v>
      </c>
      <c r="T1344" s="7" t="s">
        <v>53</v>
      </c>
      <c r="U1344" s="7"/>
      <c r="V1344" s="7"/>
      <c r="W1344" s="9">
        <v>1</v>
      </c>
      <c r="X1344" s="7"/>
      <c r="Y1344" s="4"/>
      <c r="Z1344" s="7" t="s">
        <v>2</v>
      </c>
      <c r="AA1344" s="36" t="s">
        <v>3</v>
      </c>
      <c r="AB1344" s="4"/>
      <c r="AC1344" s="22">
        <f t="shared" si="43"/>
        <v>1837.0415686274509</v>
      </c>
      <c r="AD1344" s="23">
        <v>0</v>
      </c>
    </row>
    <row r="1345" spans="1:30" hidden="1" x14ac:dyDescent="0.35">
      <c r="A1345" s="7">
        <v>129</v>
      </c>
      <c r="B1345" s="24">
        <v>45982.346203703702</v>
      </c>
      <c r="C1345" s="24">
        <v>45982</v>
      </c>
      <c r="D1345" s="7" t="s">
        <v>3088</v>
      </c>
      <c r="E1345" s="7" t="s">
        <v>1819</v>
      </c>
      <c r="F1345" s="7" t="s">
        <v>3089</v>
      </c>
      <c r="G1345" s="7" t="s">
        <v>3090</v>
      </c>
      <c r="H1345" s="7"/>
      <c r="I1345" s="7"/>
      <c r="J1345" s="7" t="s">
        <v>2148</v>
      </c>
      <c r="K1345" s="7" t="s">
        <v>1815</v>
      </c>
      <c r="L1345" s="7" t="s">
        <v>2472</v>
      </c>
      <c r="M1345" s="7" t="s">
        <v>3</v>
      </c>
      <c r="N1345" s="7" t="s">
        <v>1825</v>
      </c>
      <c r="O1345" s="7" t="s">
        <v>1703</v>
      </c>
      <c r="P1345" s="7" t="s">
        <v>1703</v>
      </c>
      <c r="Q1345" s="9">
        <v>799501</v>
      </c>
      <c r="R1345" s="9">
        <v>0</v>
      </c>
      <c r="S1345" s="9">
        <f t="shared" si="44"/>
        <v>799501</v>
      </c>
      <c r="T1345" s="7" t="s">
        <v>53</v>
      </c>
      <c r="U1345" s="7"/>
      <c r="V1345" s="7"/>
      <c r="W1345" s="9">
        <v>1</v>
      </c>
      <c r="X1345" s="7"/>
      <c r="Y1345" s="4"/>
      <c r="Z1345" s="7" t="s">
        <v>2</v>
      </c>
      <c r="AA1345" s="36" t="s">
        <v>3</v>
      </c>
      <c r="AB1345" s="4"/>
      <c r="AC1345" s="22">
        <f t="shared" ref="AC1345:AC1408" si="45">+S1345/$AC$1</f>
        <v>313.5298039215686</v>
      </c>
      <c r="AD1345" s="23">
        <v>0</v>
      </c>
    </row>
    <row r="1346" spans="1:30" hidden="1" x14ac:dyDescent="0.35">
      <c r="A1346" s="7">
        <v>130</v>
      </c>
      <c r="B1346" s="24">
        <v>45982.344629629632</v>
      </c>
      <c r="C1346" s="24">
        <v>45982</v>
      </c>
      <c r="D1346" s="7" t="s">
        <v>3091</v>
      </c>
      <c r="E1346" s="7" t="s">
        <v>1819</v>
      </c>
      <c r="F1346" s="7" t="s">
        <v>2936</v>
      </c>
      <c r="G1346" s="7" t="s">
        <v>3092</v>
      </c>
      <c r="H1346" s="7"/>
      <c r="I1346" s="7"/>
      <c r="J1346" s="7" t="s">
        <v>2148</v>
      </c>
      <c r="K1346" s="7" t="s">
        <v>1815</v>
      </c>
      <c r="L1346" s="7" t="s">
        <v>2472</v>
      </c>
      <c r="M1346" s="7" t="s">
        <v>3</v>
      </c>
      <c r="N1346" s="7" t="s">
        <v>1825</v>
      </c>
      <c r="O1346" s="7" t="s">
        <v>1703</v>
      </c>
      <c r="P1346" s="7" t="s">
        <v>1703</v>
      </c>
      <c r="Q1346" s="9">
        <v>872142</v>
      </c>
      <c r="R1346" s="9">
        <v>0</v>
      </c>
      <c r="S1346" s="9">
        <f t="shared" si="44"/>
        <v>872142</v>
      </c>
      <c r="T1346" s="7" t="s">
        <v>53</v>
      </c>
      <c r="U1346" s="7"/>
      <c r="V1346" s="7"/>
      <c r="W1346" s="9">
        <v>1</v>
      </c>
      <c r="X1346" s="7"/>
      <c r="Y1346" s="4"/>
      <c r="Z1346" s="7" t="s">
        <v>2</v>
      </c>
      <c r="AA1346" s="36" t="s">
        <v>3</v>
      </c>
      <c r="AB1346" s="4"/>
      <c r="AC1346" s="22">
        <f t="shared" si="45"/>
        <v>342.01647058823528</v>
      </c>
      <c r="AD1346" s="23">
        <v>0</v>
      </c>
    </row>
    <row r="1347" spans="1:30" hidden="1" x14ac:dyDescent="0.35">
      <c r="A1347" s="7">
        <v>131</v>
      </c>
      <c r="B1347" s="24">
        <v>45982.343055555553</v>
      </c>
      <c r="C1347" s="24">
        <v>45982</v>
      </c>
      <c r="D1347" s="7" t="s">
        <v>3093</v>
      </c>
      <c r="E1347" s="7" t="s">
        <v>1819</v>
      </c>
      <c r="F1347" s="7" t="s">
        <v>2936</v>
      </c>
      <c r="G1347" s="7" t="s">
        <v>3094</v>
      </c>
      <c r="H1347" s="7"/>
      <c r="I1347" s="7"/>
      <c r="J1347" s="7" t="s">
        <v>2148</v>
      </c>
      <c r="K1347" s="7" t="s">
        <v>1815</v>
      </c>
      <c r="L1347" s="7" t="s">
        <v>2472</v>
      </c>
      <c r="M1347" s="7" t="s">
        <v>3</v>
      </c>
      <c r="N1347" s="7" t="s">
        <v>1825</v>
      </c>
      <c r="O1347" s="7" t="s">
        <v>1703</v>
      </c>
      <c r="P1347" s="7" t="s">
        <v>1703</v>
      </c>
      <c r="Q1347" s="9">
        <v>63000</v>
      </c>
      <c r="R1347" s="9">
        <v>0</v>
      </c>
      <c r="S1347" s="9">
        <f t="shared" ref="S1347:S1410" si="46">+Q1347-R1347</f>
        <v>63000</v>
      </c>
      <c r="T1347" s="7" t="s">
        <v>53</v>
      </c>
      <c r="U1347" s="7"/>
      <c r="V1347" s="7"/>
      <c r="W1347" s="9">
        <v>1</v>
      </c>
      <c r="X1347" s="7"/>
      <c r="Y1347" s="4"/>
      <c r="Z1347" s="7" t="s">
        <v>2</v>
      </c>
      <c r="AA1347" s="36" t="s">
        <v>3</v>
      </c>
      <c r="AB1347" s="4"/>
      <c r="AC1347" s="22">
        <f t="shared" si="45"/>
        <v>24.705882352941178</v>
      </c>
      <c r="AD1347" s="23">
        <v>0</v>
      </c>
    </row>
    <row r="1348" spans="1:30" hidden="1" x14ac:dyDescent="0.35">
      <c r="A1348" s="7">
        <v>132</v>
      </c>
      <c r="B1348" s="24">
        <v>45985.466967592591</v>
      </c>
      <c r="C1348" s="24">
        <v>45985</v>
      </c>
      <c r="D1348" s="7" t="s">
        <v>3095</v>
      </c>
      <c r="E1348" s="7" t="s">
        <v>1819</v>
      </c>
      <c r="F1348" s="7" t="s">
        <v>2642</v>
      </c>
      <c r="G1348" s="7" t="s">
        <v>3096</v>
      </c>
      <c r="H1348" s="7"/>
      <c r="I1348" s="7"/>
      <c r="J1348" s="7" t="s">
        <v>1816</v>
      </c>
      <c r="K1348" s="7" t="s">
        <v>1815</v>
      </c>
      <c r="L1348" s="7" t="s">
        <v>1814</v>
      </c>
      <c r="M1348" s="7" t="s">
        <v>28</v>
      </c>
      <c r="N1348" s="7" t="s">
        <v>1825</v>
      </c>
      <c r="O1348" s="7" t="s">
        <v>1703</v>
      </c>
      <c r="P1348" s="7" t="s">
        <v>1703</v>
      </c>
      <c r="Q1348" s="9">
        <v>9600000</v>
      </c>
      <c r="R1348" s="9">
        <v>0</v>
      </c>
      <c r="S1348" s="9">
        <f t="shared" si="46"/>
        <v>9600000</v>
      </c>
      <c r="T1348" s="7" t="s">
        <v>53</v>
      </c>
      <c r="U1348" s="7"/>
      <c r="V1348" s="7"/>
      <c r="W1348" s="9">
        <v>1</v>
      </c>
      <c r="X1348" s="7"/>
      <c r="Y1348" s="4"/>
      <c r="Z1348" s="7" t="s">
        <v>14</v>
      </c>
      <c r="AA1348" s="36" t="s">
        <v>28</v>
      </c>
      <c r="AB1348" s="4"/>
      <c r="AC1348" s="22">
        <f t="shared" si="45"/>
        <v>3764.705882352941</v>
      </c>
      <c r="AD1348" s="23">
        <v>0</v>
      </c>
    </row>
    <row r="1349" spans="1:30" hidden="1" x14ac:dyDescent="0.35">
      <c r="A1349" s="7">
        <v>133</v>
      </c>
      <c r="B1349" s="24">
        <v>45985.465115740742</v>
      </c>
      <c r="C1349" s="24">
        <v>45985</v>
      </c>
      <c r="D1349" s="7" t="s">
        <v>3097</v>
      </c>
      <c r="E1349" s="7" t="s">
        <v>1819</v>
      </c>
      <c r="F1349" s="7" t="s">
        <v>2642</v>
      </c>
      <c r="G1349" s="7" t="s">
        <v>3098</v>
      </c>
      <c r="H1349" s="7"/>
      <c r="I1349" s="7"/>
      <c r="J1349" s="7" t="s">
        <v>1816</v>
      </c>
      <c r="K1349" s="7" t="s">
        <v>1815</v>
      </c>
      <c r="L1349" s="7" t="s">
        <v>1814</v>
      </c>
      <c r="M1349" s="7" t="s">
        <v>28</v>
      </c>
      <c r="N1349" s="7" t="s">
        <v>1825</v>
      </c>
      <c r="O1349" s="7" t="s">
        <v>1703</v>
      </c>
      <c r="P1349" s="7" t="s">
        <v>1703</v>
      </c>
      <c r="Q1349" s="9">
        <v>2500000</v>
      </c>
      <c r="R1349" s="9">
        <v>0</v>
      </c>
      <c r="S1349" s="9">
        <f t="shared" si="46"/>
        <v>2500000</v>
      </c>
      <c r="T1349" s="7" t="s">
        <v>53</v>
      </c>
      <c r="U1349" s="7"/>
      <c r="V1349" s="7"/>
      <c r="W1349" s="9">
        <v>1</v>
      </c>
      <c r="X1349" s="7"/>
      <c r="Y1349" s="4"/>
      <c r="Z1349" s="7" t="s">
        <v>14</v>
      </c>
      <c r="AA1349" s="36" t="s">
        <v>28</v>
      </c>
      <c r="AB1349" s="4"/>
      <c r="AC1349" s="22">
        <f t="shared" si="45"/>
        <v>980.39215686274508</v>
      </c>
      <c r="AD1349" s="23">
        <v>0</v>
      </c>
    </row>
    <row r="1350" spans="1:30" hidden="1" x14ac:dyDescent="0.35">
      <c r="A1350" s="7">
        <v>134</v>
      </c>
      <c r="B1350" s="24">
        <v>45985.463738425926</v>
      </c>
      <c r="C1350" s="24">
        <v>45985</v>
      </c>
      <c r="D1350" s="7" t="s">
        <v>3099</v>
      </c>
      <c r="E1350" s="7" t="s">
        <v>1819</v>
      </c>
      <c r="F1350" s="7" t="s">
        <v>2642</v>
      </c>
      <c r="G1350" s="7" t="s">
        <v>3098</v>
      </c>
      <c r="H1350" s="7"/>
      <c r="I1350" s="7"/>
      <c r="J1350" s="7" t="s">
        <v>1816</v>
      </c>
      <c r="K1350" s="7" t="s">
        <v>1815</v>
      </c>
      <c r="L1350" s="7" t="s">
        <v>1814</v>
      </c>
      <c r="M1350" s="7" t="s">
        <v>28</v>
      </c>
      <c r="N1350" s="7" t="s">
        <v>1825</v>
      </c>
      <c r="O1350" s="7" t="s">
        <v>1703</v>
      </c>
      <c r="P1350" s="7" t="s">
        <v>1703</v>
      </c>
      <c r="Q1350" s="9">
        <v>2500000</v>
      </c>
      <c r="R1350" s="9">
        <v>0</v>
      </c>
      <c r="S1350" s="9">
        <f t="shared" si="46"/>
        <v>2500000</v>
      </c>
      <c r="T1350" s="7" t="s">
        <v>53</v>
      </c>
      <c r="U1350" s="7"/>
      <c r="V1350" s="7"/>
      <c r="W1350" s="9">
        <v>1</v>
      </c>
      <c r="X1350" s="7"/>
      <c r="Y1350" s="4"/>
      <c r="Z1350" s="7" t="s">
        <v>14</v>
      </c>
      <c r="AA1350" s="36" t="s">
        <v>28</v>
      </c>
      <c r="AB1350" s="4"/>
      <c r="AC1350" s="22">
        <f t="shared" si="45"/>
        <v>980.39215686274508</v>
      </c>
      <c r="AD1350" s="23">
        <v>0</v>
      </c>
    </row>
    <row r="1351" spans="1:30" hidden="1" x14ac:dyDescent="0.35">
      <c r="A1351" s="7">
        <v>135</v>
      </c>
      <c r="B1351" s="24">
        <v>45986.271620370368</v>
      </c>
      <c r="C1351" s="24">
        <v>45986</v>
      </c>
      <c r="D1351" s="7" t="s">
        <v>3100</v>
      </c>
      <c r="E1351" s="7" t="s">
        <v>1331</v>
      </c>
      <c r="F1351" s="7" t="s">
        <v>3101</v>
      </c>
      <c r="G1351" s="7" t="s">
        <v>3102</v>
      </c>
      <c r="H1351" s="7" t="s">
        <v>3103</v>
      </c>
      <c r="I1351" s="7" t="s">
        <v>3104</v>
      </c>
      <c r="J1351" s="7" t="s">
        <v>1816</v>
      </c>
      <c r="K1351" s="7" t="s">
        <v>1815</v>
      </c>
      <c r="L1351" s="7" t="s">
        <v>1814</v>
      </c>
      <c r="M1351" s="7" t="s">
        <v>28</v>
      </c>
      <c r="N1351" s="7" t="s">
        <v>1825</v>
      </c>
      <c r="O1351" s="7" t="s">
        <v>1703</v>
      </c>
      <c r="P1351" s="7" t="s">
        <v>1703</v>
      </c>
      <c r="Q1351" s="9">
        <v>750000</v>
      </c>
      <c r="R1351" s="9">
        <v>0</v>
      </c>
      <c r="S1351" s="9">
        <f t="shared" si="46"/>
        <v>750000</v>
      </c>
      <c r="T1351" s="7" t="s">
        <v>53</v>
      </c>
      <c r="U1351" s="7"/>
      <c r="V1351" s="7"/>
      <c r="W1351" s="9">
        <v>1</v>
      </c>
      <c r="X1351" s="7"/>
      <c r="Y1351" s="4"/>
      <c r="Z1351" s="7" t="s">
        <v>14</v>
      </c>
      <c r="AA1351" s="36" t="s">
        <v>28</v>
      </c>
      <c r="AB1351" s="4"/>
      <c r="AC1351" s="22">
        <f t="shared" si="45"/>
        <v>294.11764705882354</v>
      </c>
      <c r="AD1351" s="23">
        <v>0</v>
      </c>
    </row>
    <row r="1352" spans="1:30" x14ac:dyDescent="0.35">
      <c r="A1352" s="7">
        <v>136</v>
      </c>
      <c r="B1352" s="24">
        <v>45988.516493055555</v>
      </c>
      <c r="C1352" s="24">
        <v>45988</v>
      </c>
      <c r="D1352" s="7" t="s">
        <v>3105</v>
      </c>
      <c r="E1352" s="7" t="s">
        <v>1981</v>
      </c>
      <c r="F1352" s="7" t="s">
        <v>2219</v>
      </c>
      <c r="G1352" s="7" t="s">
        <v>3106</v>
      </c>
      <c r="H1352" s="7"/>
      <c r="I1352" s="7"/>
      <c r="J1352" s="7" t="s">
        <v>2148</v>
      </c>
      <c r="K1352" s="7" t="s">
        <v>1815</v>
      </c>
      <c r="L1352" s="7" t="s">
        <v>2147</v>
      </c>
      <c r="M1352" s="7" t="s">
        <v>4</v>
      </c>
      <c r="N1352" s="7" t="s">
        <v>2146</v>
      </c>
      <c r="O1352" s="7" t="s">
        <v>105</v>
      </c>
      <c r="P1352" s="7" t="s">
        <v>1775</v>
      </c>
      <c r="Q1352" s="9">
        <v>200000000</v>
      </c>
      <c r="R1352" s="9">
        <v>0</v>
      </c>
      <c r="S1352" s="9">
        <f t="shared" si="46"/>
        <v>200000000</v>
      </c>
      <c r="T1352" s="7" t="s">
        <v>53</v>
      </c>
      <c r="U1352" s="7"/>
      <c r="V1352" s="7"/>
      <c r="W1352" s="9">
        <v>1</v>
      </c>
      <c r="X1352" s="7"/>
      <c r="Y1352" s="4"/>
      <c r="Z1352" s="7" t="s">
        <v>2</v>
      </c>
      <c r="AA1352" s="36" t="s">
        <v>4</v>
      </c>
      <c r="AB1352" s="4" t="str">
        <f t="shared" ref="AB1352:AB1409" si="47">_xlfn.SINGLE(IFERROR(_xlfn.XLOOKUP(AA1352,AA$3:AA$1219,AB$3:AB$1219),0))</f>
        <v>MINING LAND</v>
      </c>
      <c r="AC1352" s="22">
        <f t="shared" si="45"/>
        <v>78431.372549019608</v>
      </c>
      <c r="AD1352" s="23">
        <v>0</v>
      </c>
    </row>
    <row r="1353" spans="1:30" x14ac:dyDescent="0.35">
      <c r="A1353" s="7">
        <v>137</v>
      </c>
      <c r="B1353" s="24">
        <v>45989.342534722222</v>
      </c>
      <c r="C1353" s="24">
        <v>45989</v>
      </c>
      <c r="D1353" s="7" t="s">
        <v>3107</v>
      </c>
      <c r="E1353" s="7" t="s">
        <v>1331</v>
      </c>
      <c r="F1353" s="7" t="s">
        <v>3108</v>
      </c>
      <c r="G1353" s="7" t="s">
        <v>3109</v>
      </c>
      <c r="H1353" s="7" t="s">
        <v>1894</v>
      </c>
      <c r="I1353" s="7" t="s">
        <v>1893</v>
      </c>
      <c r="J1353" s="7" t="s">
        <v>1816</v>
      </c>
      <c r="K1353" s="7" t="s">
        <v>1815</v>
      </c>
      <c r="L1353" s="7" t="s">
        <v>2330</v>
      </c>
      <c r="M1353" s="7" t="s">
        <v>29</v>
      </c>
      <c r="N1353" s="7" t="s">
        <v>197</v>
      </c>
      <c r="O1353" s="7" t="s">
        <v>1065</v>
      </c>
      <c r="P1353" s="7" t="s">
        <v>54</v>
      </c>
      <c r="Q1353" s="9">
        <v>22600000</v>
      </c>
      <c r="R1353" s="9">
        <v>0</v>
      </c>
      <c r="S1353" s="9">
        <f t="shared" si="46"/>
        <v>22600000</v>
      </c>
      <c r="T1353" s="7" t="s">
        <v>53</v>
      </c>
      <c r="U1353" s="7" t="s">
        <v>1890</v>
      </c>
      <c r="V1353" s="7" t="s">
        <v>1823</v>
      </c>
      <c r="W1353" s="9">
        <v>1</v>
      </c>
      <c r="X1353" s="7" t="s">
        <v>1889</v>
      </c>
      <c r="Y1353" s="4"/>
      <c r="Z1353" s="7" t="s">
        <v>14</v>
      </c>
      <c r="AA1353" s="36" t="s">
        <v>29</v>
      </c>
      <c r="AB1353" s="4" t="s">
        <v>2607</v>
      </c>
      <c r="AC1353" s="22">
        <f t="shared" si="45"/>
        <v>8862.745098039215</v>
      </c>
      <c r="AD1353" s="23">
        <v>0</v>
      </c>
    </row>
    <row r="1354" spans="1:30" x14ac:dyDescent="0.35">
      <c r="A1354" s="7">
        <v>138</v>
      </c>
      <c r="B1354" s="24">
        <v>45989.413344907407</v>
      </c>
      <c r="C1354" s="24">
        <v>45989</v>
      </c>
      <c r="D1354" s="7" t="s">
        <v>3110</v>
      </c>
      <c r="E1354" s="7" t="s">
        <v>1819</v>
      </c>
      <c r="F1354" s="7" t="s">
        <v>2936</v>
      </c>
      <c r="G1354" s="7" t="s">
        <v>3111</v>
      </c>
      <c r="H1354" s="7"/>
      <c r="I1354" s="7"/>
      <c r="J1354" s="7" t="s">
        <v>2148</v>
      </c>
      <c r="K1354" s="7" t="s">
        <v>1815</v>
      </c>
      <c r="L1354" s="7" t="s">
        <v>2147</v>
      </c>
      <c r="M1354" s="7" t="s">
        <v>4</v>
      </c>
      <c r="N1354" s="7" t="s">
        <v>1825</v>
      </c>
      <c r="O1354" s="7" t="s">
        <v>105</v>
      </c>
      <c r="P1354" s="7" t="s">
        <v>1775</v>
      </c>
      <c r="Q1354" s="9">
        <v>4000000</v>
      </c>
      <c r="R1354" s="9">
        <v>0</v>
      </c>
      <c r="S1354" s="9">
        <f t="shared" si="46"/>
        <v>4000000</v>
      </c>
      <c r="T1354" s="7" t="s">
        <v>53</v>
      </c>
      <c r="U1354" s="7"/>
      <c r="V1354" s="7"/>
      <c r="W1354" s="9">
        <v>1</v>
      </c>
      <c r="X1354" s="7"/>
      <c r="Y1354" s="4"/>
      <c r="Z1354" s="7" t="s">
        <v>2</v>
      </c>
      <c r="AA1354" s="36" t="s">
        <v>4</v>
      </c>
      <c r="AB1354" s="4" t="str">
        <f t="shared" si="47"/>
        <v>MINING LAND</v>
      </c>
      <c r="AC1354" s="22">
        <f t="shared" si="45"/>
        <v>1568.6274509803923</v>
      </c>
      <c r="AD1354" s="23">
        <v>0</v>
      </c>
    </row>
    <row r="1355" spans="1:30" hidden="1" x14ac:dyDescent="0.35">
      <c r="A1355" s="7">
        <v>139</v>
      </c>
      <c r="B1355" s="24">
        <v>45990.370497685188</v>
      </c>
      <c r="C1355" s="24">
        <v>45990</v>
      </c>
      <c r="D1355" s="7" t="s">
        <v>3112</v>
      </c>
      <c r="E1355" s="7" t="s">
        <v>1981</v>
      </c>
      <c r="F1355" s="7" t="s">
        <v>2236</v>
      </c>
      <c r="G1355" s="7" t="s">
        <v>3386</v>
      </c>
      <c r="H1355" s="7"/>
      <c r="I1355" s="7"/>
      <c r="J1355" s="7" t="s">
        <v>2148</v>
      </c>
      <c r="K1355" s="7" t="s">
        <v>1815</v>
      </c>
      <c r="L1355" s="7" t="s">
        <v>2472</v>
      </c>
      <c r="M1355" s="7" t="s">
        <v>3</v>
      </c>
      <c r="N1355" s="7" t="s">
        <v>1825</v>
      </c>
      <c r="O1355" s="7" t="s">
        <v>1704</v>
      </c>
      <c r="P1355" s="7" t="s">
        <v>1703</v>
      </c>
      <c r="Q1355" s="9">
        <v>7791084</v>
      </c>
      <c r="R1355" s="9">
        <v>0</v>
      </c>
      <c r="S1355" s="9">
        <f t="shared" si="46"/>
        <v>7791084</v>
      </c>
      <c r="T1355" s="7" t="s">
        <v>53</v>
      </c>
      <c r="U1355" s="7"/>
      <c r="V1355" s="7"/>
      <c r="W1355" s="9">
        <v>1</v>
      </c>
      <c r="X1355" s="7"/>
      <c r="Y1355" s="4"/>
      <c r="Z1355" s="7" t="s">
        <v>2</v>
      </c>
      <c r="AA1355" s="36" t="s">
        <v>3</v>
      </c>
      <c r="AB1355" s="4"/>
      <c r="AC1355" s="22">
        <f t="shared" si="45"/>
        <v>3055.3270588235296</v>
      </c>
      <c r="AD1355" s="23">
        <v>0</v>
      </c>
    </row>
    <row r="1356" spans="1:30" hidden="1" x14ac:dyDescent="0.35">
      <c r="A1356" s="7">
        <v>140</v>
      </c>
      <c r="B1356" s="24">
        <v>45990.367546296293</v>
      </c>
      <c r="C1356" s="24">
        <v>45990</v>
      </c>
      <c r="D1356" s="7" t="s">
        <v>3113</v>
      </c>
      <c r="E1356" s="7" t="s">
        <v>1981</v>
      </c>
      <c r="F1356" s="7" t="s">
        <v>2219</v>
      </c>
      <c r="G1356" s="7" t="s">
        <v>3387</v>
      </c>
      <c r="H1356" s="7"/>
      <c r="I1356" s="7"/>
      <c r="J1356" s="7" t="s">
        <v>2148</v>
      </c>
      <c r="K1356" s="7" t="s">
        <v>1815</v>
      </c>
      <c r="L1356" s="7" t="s">
        <v>2472</v>
      </c>
      <c r="M1356" s="7" t="s">
        <v>3</v>
      </c>
      <c r="N1356" s="7" t="s">
        <v>1825</v>
      </c>
      <c r="O1356" s="7" t="s">
        <v>1703</v>
      </c>
      <c r="P1356" s="7" t="s">
        <v>1703</v>
      </c>
      <c r="Q1356" s="9">
        <v>7421474</v>
      </c>
      <c r="R1356" s="9">
        <v>0</v>
      </c>
      <c r="S1356" s="9">
        <f t="shared" si="46"/>
        <v>7421474</v>
      </c>
      <c r="T1356" s="7" t="s">
        <v>53</v>
      </c>
      <c r="U1356" s="7"/>
      <c r="V1356" s="7"/>
      <c r="W1356" s="9">
        <v>1</v>
      </c>
      <c r="X1356" s="7"/>
      <c r="Y1356" s="4"/>
      <c r="Z1356" s="7" t="s">
        <v>2</v>
      </c>
      <c r="AA1356" s="36" t="s">
        <v>3</v>
      </c>
      <c r="AB1356" s="4"/>
      <c r="AC1356" s="22">
        <f t="shared" si="45"/>
        <v>2910.3819607843138</v>
      </c>
      <c r="AD1356" s="23">
        <v>0</v>
      </c>
    </row>
    <row r="1357" spans="1:30" hidden="1" x14ac:dyDescent="0.35">
      <c r="A1357" s="7">
        <v>141</v>
      </c>
      <c r="B1357" s="24">
        <v>45990.365543981483</v>
      </c>
      <c r="C1357" s="24">
        <v>45990</v>
      </c>
      <c r="D1357" s="7" t="s">
        <v>3114</v>
      </c>
      <c r="E1357" s="7" t="s">
        <v>1981</v>
      </c>
      <c r="F1357" s="7" t="s">
        <v>2219</v>
      </c>
      <c r="G1357" s="7" t="s">
        <v>3388</v>
      </c>
      <c r="H1357" s="7"/>
      <c r="I1357" s="7"/>
      <c r="J1357" s="7" t="s">
        <v>2148</v>
      </c>
      <c r="K1357" s="7" t="s">
        <v>1815</v>
      </c>
      <c r="L1357" s="7" t="s">
        <v>2472</v>
      </c>
      <c r="M1357" s="7" t="s">
        <v>3</v>
      </c>
      <c r="N1357" s="7" t="s">
        <v>1825</v>
      </c>
      <c r="O1357" s="7" t="s">
        <v>1703</v>
      </c>
      <c r="P1357" s="7" t="s">
        <v>1703</v>
      </c>
      <c r="Q1357" s="9">
        <v>1587809</v>
      </c>
      <c r="R1357" s="9">
        <v>0</v>
      </c>
      <c r="S1357" s="9">
        <f t="shared" si="46"/>
        <v>1587809</v>
      </c>
      <c r="T1357" s="7" t="s">
        <v>53</v>
      </c>
      <c r="U1357" s="7"/>
      <c r="V1357" s="7"/>
      <c r="W1357" s="9">
        <v>1</v>
      </c>
      <c r="X1357" s="7"/>
      <c r="Y1357" s="4"/>
      <c r="Z1357" s="7" t="s">
        <v>2</v>
      </c>
      <c r="AA1357" s="36" t="s">
        <v>3</v>
      </c>
      <c r="AB1357" s="4"/>
      <c r="AC1357" s="22">
        <f t="shared" si="45"/>
        <v>622.67019607843133</v>
      </c>
      <c r="AD1357" s="23">
        <v>0</v>
      </c>
    </row>
    <row r="1358" spans="1:30" hidden="1" x14ac:dyDescent="0.35">
      <c r="A1358" s="7">
        <v>142</v>
      </c>
      <c r="B1358" s="24">
        <v>45990.355196759258</v>
      </c>
      <c r="C1358" s="24">
        <v>45990</v>
      </c>
      <c r="D1358" s="7" t="s">
        <v>3115</v>
      </c>
      <c r="E1358" s="7" t="s">
        <v>1981</v>
      </c>
      <c r="F1358" s="7" t="s">
        <v>2236</v>
      </c>
      <c r="G1358" s="7" t="s">
        <v>3116</v>
      </c>
      <c r="H1358" s="7"/>
      <c r="I1358" s="7"/>
      <c r="J1358" s="7" t="s">
        <v>2148</v>
      </c>
      <c r="K1358" s="7" t="s">
        <v>1815</v>
      </c>
      <c r="L1358" s="7" t="s">
        <v>2472</v>
      </c>
      <c r="M1358" s="7" t="s">
        <v>3</v>
      </c>
      <c r="N1358" s="7" t="s">
        <v>1825</v>
      </c>
      <c r="O1358" s="7" t="s">
        <v>1703</v>
      </c>
      <c r="P1358" s="7" t="s">
        <v>1703</v>
      </c>
      <c r="Q1358" s="9">
        <v>10000000</v>
      </c>
      <c r="R1358" s="9">
        <v>0</v>
      </c>
      <c r="S1358" s="9">
        <f t="shared" si="46"/>
        <v>10000000</v>
      </c>
      <c r="T1358" s="7" t="s">
        <v>53</v>
      </c>
      <c r="U1358" s="7"/>
      <c r="V1358" s="7"/>
      <c r="W1358" s="9">
        <v>1</v>
      </c>
      <c r="X1358" s="7"/>
      <c r="Y1358" s="4"/>
      <c r="Z1358" s="7" t="s">
        <v>2</v>
      </c>
      <c r="AA1358" s="36" t="s">
        <v>3</v>
      </c>
      <c r="AB1358" s="4"/>
      <c r="AC1358" s="22">
        <f t="shared" si="45"/>
        <v>3921.5686274509803</v>
      </c>
      <c r="AD1358" s="23">
        <v>0</v>
      </c>
    </row>
    <row r="1359" spans="1:30" hidden="1" x14ac:dyDescent="0.35">
      <c r="A1359" s="7">
        <v>143</v>
      </c>
      <c r="B1359" s="24">
        <v>45990.349039351851</v>
      </c>
      <c r="C1359" s="24">
        <v>45990</v>
      </c>
      <c r="D1359" s="7" t="s">
        <v>3117</v>
      </c>
      <c r="E1359" s="7" t="s">
        <v>1981</v>
      </c>
      <c r="F1359" s="7" t="s">
        <v>2236</v>
      </c>
      <c r="G1359" s="7" t="s">
        <v>3118</v>
      </c>
      <c r="H1359" s="7"/>
      <c r="I1359" s="7"/>
      <c r="J1359" s="7" t="s">
        <v>2148</v>
      </c>
      <c r="K1359" s="7" t="s">
        <v>1815</v>
      </c>
      <c r="L1359" s="7" t="s">
        <v>2472</v>
      </c>
      <c r="M1359" s="7" t="s">
        <v>3</v>
      </c>
      <c r="N1359" s="7" t="s">
        <v>1825</v>
      </c>
      <c r="O1359" s="7" t="s">
        <v>1703</v>
      </c>
      <c r="P1359" s="7" t="s">
        <v>1703</v>
      </c>
      <c r="Q1359" s="9">
        <v>5266661</v>
      </c>
      <c r="R1359" s="9">
        <v>0</v>
      </c>
      <c r="S1359" s="9">
        <f t="shared" si="46"/>
        <v>5266661</v>
      </c>
      <c r="T1359" s="7" t="s">
        <v>53</v>
      </c>
      <c r="U1359" s="7"/>
      <c r="V1359" s="7"/>
      <c r="W1359" s="9">
        <v>1</v>
      </c>
      <c r="X1359" s="7"/>
      <c r="Y1359" s="4"/>
      <c r="Z1359" s="7" t="s">
        <v>2</v>
      </c>
      <c r="AA1359" s="36" t="s">
        <v>3</v>
      </c>
      <c r="AB1359" s="4"/>
      <c r="AC1359" s="22">
        <f t="shared" si="45"/>
        <v>2065.3572549019609</v>
      </c>
      <c r="AD1359" s="23">
        <v>0</v>
      </c>
    </row>
    <row r="1360" spans="1:30" hidden="1" x14ac:dyDescent="0.35">
      <c r="A1360" s="7">
        <v>144</v>
      </c>
      <c r="B1360" s="24">
        <v>45990.347662037035</v>
      </c>
      <c r="C1360" s="24">
        <v>45990</v>
      </c>
      <c r="D1360" s="7" t="s">
        <v>3119</v>
      </c>
      <c r="E1360" s="7" t="s">
        <v>1981</v>
      </c>
      <c r="F1360" s="7" t="s">
        <v>2236</v>
      </c>
      <c r="G1360" s="7" t="s">
        <v>3120</v>
      </c>
      <c r="H1360" s="7"/>
      <c r="I1360" s="7"/>
      <c r="J1360" s="7" t="s">
        <v>2148</v>
      </c>
      <c r="K1360" s="7" t="s">
        <v>1815</v>
      </c>
      <c r="L1360" s="7" t="s">
        <v>2472</v>
      </c>
      <c r="M1360" s="7" t="s">
        <v>3</v>
      </c>
      <c r="N1360" s="7" t="s">
        <v>1825</v>
      </c>
      <c r="O1360" s="7" t="s">
        <v>1703</v>
      </c>
      <c r="P1360" s="7" t="s">
        <v>1703</v>
      </c>
      <c r="Q1360" s="9">
        <v>10000000</v>
      </c>
      <c r="R1360" s="9">
        <v>0</v>
      </c>
      <c r="S1360" s="9">
        <f t="shared" si="46"/>
        <v>10000000</v>
      </c>
      <c r="T1360" s="7" t="s">
        <v>53</v>
      </c>
      <c r="U1360" s="7"/>
      <c r="V1360" s="7"/>
      <c r="W1360" s="9">
        <v>1</v>
      </c>
      <c r="X1360" s="7"/>
      <c r="Y1360" s="4"/>
      <c r="Z1360" s="7" t="s">
        <v>2</v>
      </c>
      <c r="AA1360" s="36" t="s">
        <v>3</v>
      </c>
      <c r="AB1360" s="4"/>
      <c r="AC1360" s="22">
        <f t="shared" si="45"/>
        <v>3921.5686274509803</v>
      </c>
      <c r="AD1360" s="23">
        <v>0</v>
      </c>
    </row>
    <row r="1361" spans="1:30" hidden="1" x14ac:dyDescent="0.35">
      <c r="A1361" s="7">
        <v>145</v>
      </c>
      <c r="B1361" s="24">
        <v>45990.346388888887</v>
      </c>
      <c r="C1361" s="24">
        <v>45990</v>
      </c>
      <c r="D1361" s="7" t="s">
        <v>3121</v>
      </c>
      <c r="E1361" s="7" t="s">
        <v>1981</v>
      </c>
      <c r="F1361" s="7" t="s">
        <v>2236</v>
      </c>
      <c r="G1361" s="7" t="s">
        <v>3122</v>
      </c>
      <c r="H1361" s="7"/>
      <c r="I1361" s="7"/>
      <c r="J1361" s="7" t="s">
        <v>2148</v>
      </c>
      <c r="K1361" s="7" t="s">
        <v>1815</v>
      </c>
      <c r="L1361" s="7" t="s">
        <v>2472</v>
      </c>
      <c r="M1361" s="7" t="s">
        <v>3</v>
      </c>
      <c r="N1361" s="7" t="s">
        <v>1825</v>
      </c>
      <c r="O1361" s="7" t="s">
        <v>1703</v>
      </c>
      <c r="P1361" s="7" t="s">
        <v>1703</v>
      </c>
      <c r="Q1361" s="9">
        <v>10000000</v>
      </c>
      <c r="R1361" s="9">
        <v>0</v>
      </c>
      <c r="S1361" s="9">
        <f t="shared" si="46"/>
        <v>10000000</v>
      </c>
      <c r="T1361" s="7" t="s">
        <v>53</v>
      </c>
      <c r="U1361" s="7"/>
      <c r="V1361" s="7"/>
      <c r="W1361" s="9">
        <v>1</v>
      </c>
      <c r="X1361" s="7"/>
      <c r="Y1361" s="4"/>
      <c r="Z1361" s="7" t="s">
        <v>2</v>
      </c>
      <c r="AA1361" s="36" t="s">
        <v>3</v>
      </c>
      <c r="AB1361" s="4"/>
      <c r="AC1361" s="22">
        <f t="shared" si="45"/>
        <v>3921.5686274509803</v>
      </c>
      <c r="AD1361" s="23">
        <v>0</v>
      </c>
    </row>
    <row r="1362" spans="1:30" hidden="1" x14ac:dyDescent="0.35">
      <c r="A1362" s="7">
        <v>146</v>
      </c>
      <c r="B1362" s="24">
        <v>45990.344930555555</v>
      </c>
      <c r="C1362" s="24">
        <v>45990</v>
      </c>
      <c r="D1362" s="7" t="s">
        <v>3123</v>
      </c>
      <c r="E1362" s="7" t="s">
        <v>1981</v>
      </c>
      <c r="F1362" s="7" t="s">
        <v>2236</v>
      </c>
      <c r="G1362" s="7" t="s">
        <v>3124</v>
      </c>
      <c r="H1362" s="7"/>
      <c r="I1362" s="7"/>
      <c r="J1362" s="7" t="s">
        <v>2148</v>
      </c>
      <c r="K1362" s="7" t="s">
        <v>1815</v>
      </c>
      <c r="L1362" s="7" t="s">
        <v>2472</v>
      </c>
      <c r="M1362" s="7" t="s">
        <v>3</v>
      </c>
      <c r="N1362" s="7" t="s">
        <v>1825</v>
      </c>
      <c r="O1362" s="7" t="s">
        <v>1703</v>
      </c>
      <c r="P1362" s="7" t="s">
        <v>1703</v>
      </c>
      <c r="Q1362" s="9">
        <v>10000000</v>
      </c>
      <c r="R1362" s="9">
        <v>0</v>
      </c>
      <c r="S1362" s="9">
        <f t="shared" si="46"/>
        <v>10000000</v>
      </c>
      <c r="T1362" s="7" t="s">
        <v>53</v>
      </c>
      <c r="U1362" s="7"/>
      <c r="V1362" s="7"/>
      <c r="W1362" s="9">
        <v>1</v>
      </c>
      <c r="X1362" s="7"/>
      <c r="Y1362" s="4"/>
      <c r="Z1362" s="7" t="s">
        <v>2</v>
      </c>
      <c r="AA1362" s="36" t="s">
        <v>3</v>
      </c>
      <c r="AB1362" s="4"/>
      <c r="AC1362" s="22">
        <f t="shared" si="45"/>
        <v>3921.5686274509803</v>
      </c>
      <c r="AD1362" s="23">
        <v>0</v>
      </c>
    </row>
    <row r="1363" spans="1:30" hidden="1" x14ac:dyDescent="0.35">
      <c r="A1363" s="7">
        <v>147</v>
      </c>
      <c r="B1363" s="24">
        <v>45990.343888888892</v>
      </c>
      <c r="C1363" s="24">
        <v>45990</v>
      </c>
      <c r="D1363" s="7" t="s">
        <v>3125</v>
      </c>
      <c r="E1363" s="7" t="s">
        <v>1981</v>
      </c>
      <c r="F1363" s="7" t="s">
        <v>2236</v>
      </c>
      <c r="G1363" s="7" t="s">
        <v>3126</v>
      </c>
      <c r="H1363" s="7"/>
      <c r="I1363" s="7"/>
      <c r="J1363" s="7" t="s">
        <v>2148</v>
      </c>
      <c r="K1363" s="7" t="s">
        <v>1815</v>
      </c>
      <c r="L1363" s="7" t="s">
        <v>2472</v>
      </c>
      <c r="M1363" s="7" t="s">
        <v>3</v>
      </c>
      <c r="N1363" s="7" t="s">
        <v>1825</v>
      </c>
      <c r="O1363" s="7" t="s">
        <v>1703</v>
      </c>
      <c r="P1363" s="7" t="s">
        <v>1703</v>
      </c>
      <c r="Q1363" s="9">
        <v>10000000</v>
      </c>
      <c r="R1363" s="9">
        <v>0</v>
      </c>
      <c r="S1363" s="9">
        <f t="shared" si="46"/>
        <v>10000000</v>
      </c>
      <c r="T1363" s="7" t="s">
        <v>53</v>
      </c>
      <c r="U1363" s="7"/>
      <c r="V1363" s="7"/>
      <c r="W1363" s="9">
        <v>1</v>
      </c>
      <c r="X1363" s="7"/>
      <c r="Y1363" s="4"/>
      <c r="Z1363" s="7" t="s">
        <v>2</v>
      </c>
      <c r="AA1363" s="36" t="s">
        <v>3</v>
      </c>
      <c r="AB1363" s="4"/>
      <c r="AC1363" s="22">
        <f t="shared" si="45"/>
        <v>3921.5686274509803</v>
      </c>
      <c r="AD1363" s="23">
        <v>0</v>
      </c>
    </row>
    <row r="1364" spans="1:30" hidden="1" x14ac:dyDescent="0.35">
      <c r="A1364" s="7">
        <v>148</v>
      </c>
      <c r="B1364" s="24">
        <v>45990.342430555553</v>
      </c>
      <c r="C1364" s="24">
        <v>45990</v>
      </c>
      <c r="D1364" s="7" t="s">
        <v>3127</v>
      </c>
      <c r="E1364" s="7" t="s">
        <v>1981</v>
      </c>
      <c r="F1364" s="7" t="s">
        <v>2236</v>
      </c>
      <c r="G1364" s="7" t="s">
        <v>3128</v>
      </c>
      <c r="H1364" s="7"/>
      <c r="I1364" s="7"/>
      <c r="J1364" s="7" t="s">
        <v>2148</v>
      </c>
      <c r="K1364" s="7" t="s">
        <v>1815</v>
      </c>
      <c r="L1364" s="7" t="s">
        <v>2472</v>
      </c>
      <c r="M1364" s="7" t="s">
        <v>3</v>
      </c>
      <c r="N1364" s="7" t="s">
        <v>1825</v>
      </c>
      <c r="O1364" s="7" t="s">
        <v>1703</v>
      </c>
      <c r="P1364" s="7" t="s">
        <v>1703</v>
      </c>
      <c r="Q1364" s="9">
        <v>10000000</v>
      </c>
      <c r="R1364" s="9">
        <v>0</v>
      </c>
      <c r="S1364" s="9">
        <f t="shared" si="46"/>
        <v>10000000</v>
      </c>
      <c r="T1364" s="7" t="s">
        <v>53</v>
      </c>
      <c r="U1364" s="7"/>
      <c r="V1364" s="7"/>
      <c r="W1364" s="9">
        <v>1</v>
      </c>
      <c r="X1364" s="7"/>
      <c r="Y1364" s="4"/>
      <c r="Z1364" s="7" t="s">
        <v>2</v>
      </c>
      <c r="AA1364" s="36" t="s">
        <v>3</v>
      </c>
      <c r="AB1364" s="4"/>
      <c r="AC1364" s="22">
        <f t="shared" si="45"/>
        <v>3921.5686274509803</v>
      </c>
      <c r="AD1364" s="23">
        <v>0</v>
      </c>
    </row>
    <row r="1365" spans="1:30" hidden="1" x14ac:dyDescent="0.35">
      <c r="A1365" s="7">
        <v>149</v>
      </c>
      <c r="B1365" s="24">
        <v>45990.341481481482</v>
      </c>
      <c r="C1365" s="24">
        <v>45990</v>
      </c>
      <c r="D1365" s="7" t="s">
        <v>3129</v>
      </c>
      <c r="E1365" s="7" t="s">
        <v>1981</v>
      </c>
      <c r="F1365" s="7" t="s">
        <v>2219</v>
      </c>
      <c r="G1365" s="7" t="s">
        <v>3130</v>
      </c>
      <c r="H1365" s="7"/>
      <c r="I1365" s="7"/>
      <c r="J1365" s="7" t="s">
        <v>2148</v>
      </c>
      <c r="K1365" s="7" t="s">
        <v>1815</v>
      </c>
      <c r="L1365" s="7" t="s">
        <v>2472</v>
      </c>
      <c r="M1365" s="7" t="s">
        <v>3</v>
      </c>
      <c r="N1365" s="7" t="s">
        <v>1825</v>
      </c>
      <c r="O1365" s="7" t="s">
        <v>1703</v>
      </c>
      <c r="P1365" s="7" t="s">
        <v>1703</v>
      </c>
      <c r="Q1365" s="9">
        <v>10000000</v>
      </c>
      <c r="R1365" s="9">
        <v>0</v>
      </c>
      <c r="S1365" s="9">
        <f t="shared" si="46"/>
        <v>10000000</v>
      </c>
      <c r="T1365" s="7" t="s">
        <v>53</v>
      </c>
      <c r="U1365" s="7"/>
      <c r="V1365" s="7"/>
      <c r="W1365" s="9">
        <v>1</v>
      </c>
      <c r="X1365" s="7"/>
      <c r="Y1365" s="4"/>
      <c r="Z1365" s="7" t="s">
        <v>2</v>
      </c>
      <c r="AA1365" s="36" t="s">
        <v>3</v>
      </c>
      <c r="AB1365" s="4"/>
      <c r="AC1365" s="22">
        <f t="shared" si="45"/>
        <v>3921.5686274509803</v>
      </c>
      <c r="AD1365" s="23">
        <v>0</v>
      </c>
    </row>
    <row r="1366" spans="1:30" hidden="1" x14ac:dyDescent="0.35">
      <c r="A1366" s="7">
        <v>150</v>
      </c>
      <c r="B1366" s="24">
        <v>45990.339837962965</v>
      </c>
      <c r="C1366" s="24">
        <v>45990</v>
      </c>
      <c r="D1366" s="7" t="s">
        <v>3131</v>
      </c>
      <c r="E1366" s="7" t="s">
        <v>1981</v>
      </c>
      <c r="F1366" s="7" t="s">
        <v>2236</v>
      </c>
      <c r="G1366" s="7" t="s">
        <v>3132</v>
      </c>
      <c r="H1366" s="7"/>
      <c r="I1366" s="7"/>
      <c r="J1366" s="7" t="s">
        <v>2148</v>
      </c>
      <c r="K1366" s="7" t="s">
        <v>1815</v>
      </c>
      <c r="L1366" s="7" t="s">
        <v>2472</v>
      </c>
      <c r="M1366" s="7" t="s">
        <v>3</v>
      </c>
      <c r="N1366" s="7" t="s">
        <v>1825</v>
      </c>
      <c r="O1366" s="7" t="s">
        <v>1703</v>
      </c>
      <c r="P1366" s="7" t="s">
        <v>1703</v>
      </c>
      <c r="Q1366" s="9">
        <v>379569</v>
      </c>
      <c r="R1366" s="9">
        <v>0</v>
      </c>
      <c r="S1366" s="9">
        <f t="shared" si="46"/>
        <v>379569</v>
      </c>
      <c r="T1366" s="7" t="s">
        <v>53</v>
      </c>
      <c r="U1366" s="7"/>
      <c r="V1366" s="7"/>
      <c r="W1366" s="9">
        <v>1</v>
      </c>
      <c r="X1366" s="7"/>
      <c r="Y1366" s="4"/>
      <c r="Z1366" s="7" t="s">
        <v>2</v>
      </c>
      <c r="AA1366" s="36" t="s">
        <v>3</v>
      </c>
      <c r="AB1366" s="4"/>
      <c r="AC1366" s="22">
        <f t="shared" si="45"/>
        <v>148.85058823529411</v>
      </c>
      <c r="AD1366" s="23">
        <v>0</v>
      </c>
    </row>
    <row r="1367" spans="1:30" hidden="1" x14ac:dyDescent="0.35">
      <c r="A1367" s="7">
        <v>151</v>
      </c>
      <c r="B1367" s="24">
        <v>45990.338935185187</v>
      </c>
      <c r="C1367" s="24">
        <v>45990</v>
      </c>
      <c r="D1367" s="7" t="s">
        <v>3133</v>
      </c>
      <c r="E1367" s="7" t="s">
        <v>1981</v>
      </c>
      <c r="F1367" s="7" t="s">
        <v>2236</v>
      </c>
      <c r="G1367" s="7" t="s">
        <v>3134</v>
      </c>
      <c r="H1367" s="7"/>
      <c r="I1367" s="7"/>
      <c r="J1367" s="7" t="s">
        <v>2148</v>
      </c>
      <c r="K1367" s="7" t="s">
        <v>1815</v>
      </c>
      <c r="L1367" s="7" t="s">
        <v>2472</v>
      </c>
      <c r="M1367" s="7" t="s">
        <v>3</v>
      </c>
      <c r="N1367" s="7" t="s">
        <v>1825</v>
      </c>
      <c r="O1367" s="7" t="s">
        <v>1703</v>
      </c>
      <c r="P1367" s="7" t="s">
        <v>1703</v>
      </c>
      <c r="Q1367" s="9">
        <v>10000000</v>
      </c>
      <c r="R1367" s="9">
        <v>0</v>
      </c>
      <c r="S1367" s="9">
        <f t="shared" si="46"/>
        <v>10000000</v>
      </c>
      <c r="T1367" s="7" t="s">
        <v>53</v>
      </c>
      <c r="U1367" s="7"/>
      <c r="V1367" s="7"/>
      <c r="W1367" s="9">
        <v>1</v>
      </c>
      <c r="X1367" s="7"/>
      <c r="Y1367" s="4"/>
      <c r="Z1367" s="7" t="s">
        <v>2</v>
      </c>
      <c r="AA1367" s="36" t="s">
        <v>3</v>
      </c>
      <c r="AB1367" s="4"/>
      <c r="AC1367" s="22">
        <f t="shared" si="45"/>
        <v>3921.5686274509803</v>
      </c>
      <c r="AD1367" s="23">
        <v>0</v>
      </c>
    </row>
    <row r="1368" spans="1:30" hidden="1" x14ac:dyDescent="0.35">
      <c r="A1368" s="7">
        <v>152</v>
      </c>
      <c r="B1368" s="24">
        <v>45990.332905092589</v>
      </c>
      <c r="C1368" s="24">
        <v>45990</v>
      </c>
      <c r="D1368" s="7" t="s">
        <v>3135</v>
      </c>
      <c r="E1368" s="7" t="s">
        <v>1981</v>
      </c>
      <c r="F1368" s="7" t="s">
        <v>2236</v>
      </c>
      <c r="G1368" s="7" t="s">
        <v>3136</v>
      </c>
      <c r="H1368" s="7"/>
      <c r="I1368" s="7"/>
      <c r="J1368" s="7" t="s">
        <v>2148</v>
      </c>
      <c r="K1368" s="7" t="s">
        <v>1815</v>
      </c>
      <c r="L1368" s="7" t="s">
        <v>2472</v>
      </c>
      <c r="M1368" s="7" t="s">
        <v>3</v>
      </c>
      <c r="N1368" s="7" t="s">
        <v>1825</v>
      </c>
      <c r="O1368" s="7" t="s">
        <v>1703</v>
      </c>
      <c r="P1368" s="7" t="s">
        <v>1703</v>
      </c>
      <c r="Q1368" s="9">
        <v>3693419</v>
      </c>
      <c r="R1368" s="9">
        <v>0</v>
      </c>
      <c r="S1368" s="9">
        <f t="shared" si="46"/>
        <v>3693419</v>
      </c>
      <c r="T1368" s="7" t="s">
        <v>53</v>
      </c>
      <c r="U1368" s="7"/>
      <c r="V1368" s="7"/>
      <c r="W1368" s="9">
        <v>1</v>
      </c>
      <c r="X1368" s="7"/>
      <c r="Y1368" s="4"/>
      <c r="Z1368" s="7" t="s">
        <v>2</v>
      </c>
      <c r="AA1368" s="36" t="s">
        <v>3</v>
      </c>
      <c r="AB1368" s="4"/>
      <c r="AC1368" s="22">
        <f t="shared" si="45"/>
        <v>1448.3996078431373</v>
      </c>
      <c r="AD1368" s="23">
        <v>0</v>
      </c>
    </row>
    <row r="1369" spans="1:30" hidden="1" x14ac:dyDescent="0.35">
      <c r="A1369" s="7">
        <v>153</v>
      </c>
      <c r="B1369" s="24">
        <v>45990.331805555557</v>
      </c>
      <c r="C1369" s="24">
        <v>45990</v>
      </c>
      <c r="D1369" s="7" t="s">
        <v>3137</v>
      </c>
      <c r="E1369" s="7" t="s">
        <v>1981</v>
      </c>
      <c r="F1369" s="7" t="s">
        <v>2219</v>
      </c>
      <c r="G1369" s="7" t="s">
        <v>3138</v>
      </c>
      <c r="H1369" s="7"/>
      <c r="I1369" s="7"/>
      <c r="J1369" s="7" t="s">
        <v>2148</v>
      </c>
      <c r="K1369" s="7" t="s">
        <v>1815</v>
      </c>
      <c r="L1369" s="7" t="s">
        <v>2472</v>
      </c>
      <c r="M1369" s="7" t="s">
        <v>3</v>
      </c>
      <c r="N1369" s="7" t="s">
        <v>1825</v>
      </c>
      <c r="O1369" s="7" t="s">
        <v>1703</v>
      </c>
      <c r="P1369" s="7" t="s">
        <v>1703</v>
      </c>
      <c r="Q1369" s="9">
        <v>10000000</v>
      </c>
      <c r="R1369" s="9">
        <v>0</v>
      </c>
      <c r="S1369" s="9">
        <f t="shared" si="46"/>
        <v>10000000</v>
      </c>
      <c r="T1369" s="7" t="s">
        <v>53</v>
      </c>
      <c r="U1369" s="7"/>
      <c r="V1369" s="7"/>
      <c r="W1369" s="9">
        <v>1</v>
      </c>
      <c r="X1369" s="7"/>
      <c r="Y1369" s="4"/>
      <c r="Z1369" s="7" t="s">
        <v>2</v>
      </c>
      <c r="AA1369" s="36" t="s">
        <v>3</v>
      </c>
      <c r="AB1369" s="4"/>
      <c r="AC1369" s="22">
        <f t="shared" si="45"/>
        <v>3921.5686274509803</v>
      </c>
      <c r="AD1369" s="23">
        <v>0</v>
      </c>
    </row>
    <row r="1370" spans="1:30" hidden="1" x14ac:dyDescent="0.35">
      <c r="A1370" s="7">
        <v>154</v>
      </c>
      <c r="B1370" s="24">
        <v>45990.330196759256</v>
      </c>
      <c r="C1370" s="24">
        <v>45990</v>
      </c>
      <c r="D1370" s="7" t="s">
        <v>3139</v>
      </c>
      <c r="E1370" s="7" t="s">
        <v>1981</v>
      </c>
      <c r="F1370" s="7" t="s">
        <v>2219</v>
      </c>
      <c r="G1370" s="7" t="s">
        <v>3140</v>
      </c>
      <c r="H1370" s="7"/>
      <c r="I1370" s="7"/>
      <c r="J1370" s="7" t="s">
        <v>2148</v>
      </c>
      <c r="K1370" s="7" t="s">
        <v>1815</v>
      </c>
      <c r="L1370" s="7" t="s">
        <v>2472</v>
      </c>
      <c r="M1370" s="7" t="s">
        <v>3</v>
      </c>
      <c r="N1370" s="7" t="s">
        <v>1825</v>
      </c>
      <c r="O1370" s="7" t="s">
        <v>1703</v>
      </c>
      <c r="P1370" s="7" t="s">
        <v>1703</v>
      </c>
      <c r="Q1370" s="9">
        <v>5367571</v>
      </c>
      <c r="R1370" s="9">
        <v>0</v>
      </c>
      <c r="S1370" s="9">
        <f t="shared" si="46"/>
        <v>5367571</v>
      </c>
      <c r="T1370" s="7" t="s">
        <v>53</v>
      </c>
      <c r="U1370" s="7"/>
      <c r="V1370" s="7"/>
      <c r="W1370" s="9">
        <v>1</v>
      </c>
      <c r="X1370" s="7"/>
      <c r="Y1370" s="4"/>
      <c r="Z1370" s="7" t="s">
        <v>2</v>
      </c>
      <c r="AA1370" s="36" t="s">
        <v>3</v>
      </c>
      <c r="AB1370" s="4"/>
      <c r="AC1370" s="22">
        <f t="shared" si="45"/>
        <v>2104.9298039215687</v>
      </c>
      <c r="AD1370" s="23">
        <v>0</v>
      </c>
    </row>
    <row r="1371" spans="1:30" hidden="1" x14ac:dyDescent="0.35">
      <c r="A1371" s="7">
        <v>155</v>
      </c>
      <c r="B1371" s="24">
        <v>45990.327199074076</v>
      </c>
      <c r="C1371" s="24">
        <v>45990</v>
      </c>
      <c r="D1371" s="7" t="s">
        <v>3141</v>
      </c>
      <c r="E1371" s="7" t="s">
        <v>1981</v>
      </c>
      <c r="F1371" s="7" t="s">
        <v>2236</v>
      </c>
      <c r="G1371" s="7" t="s">
        <v>3142</v>
      </c>
      <c r="H1371" s="7"/>
      <c r="I1371" s="7"/>
      <c r="J1371" s="7" t="s">
        <v>2148</v>
      </c>
      <c r="K1371" s="7" t="s">
        <v>1815</v>
      </c>
      <c r="L1371" s="7" t="s">
        <v>2472</v>
      </c>
      <c r="M1371" s="7" t="s">
        <v>3</v>
      </c>
      <c r="N1371" s="7" t="s">
        <v>1825</v>
      </c>
      <c r="O1371" s="7" t="s">
        <v>1703</v>
      </c>
      <c r="P1371" s="7" t="s">
        <v>1703</v>
      </c>
      <c r="Q1371" s="9">
        <v>6000000</v>
      </c>
      <c r="R1371" s="9">
        <v>0</v>
      </c>
      <c r="S1371" s="9">
        <f t="shared" si="46"/>
        <v>6000000</v>
      </c>
      <c r="T1371" s="7" t="s">
        <v>53</v>
      </c>
      <c r="U1371" s="7"/>
      <c r="V1371" s="7"/>
      <c r="W1371" s="9">
        <v>1</v>
      </c>
      <c r="X1371" s="7"/>
      <c r="Y1371" s="4"/>
      <c r="Z1371" s="7" t="s">
        <v>2</v>
      </c>
      <c r="AA1371" s="36" t="s">
        <v>3</v>
      </c>
      <c r="AB1371" s="4"/>
      <c r="AC1371" s="22">
        <f t="shared" si="45"/>
        <v>2352.9411764705883</v>
      </c>
      <c r="AD1371" s="23">
        <v>0</v>
      </c>
    </row>
    <row r="1372" spans="1:30" hidden="1" x14ac:dyDescent="0.35">
      <c r="A1372" s="7">
        <v>156</v>
      </c>
      <c r="B1372" s="24">
        <v>45990.325590277775</v>
      </c>
      <c r="C1372" s="24">
        <v>45990</v>
      </c>
      <c r="D1372" s="7" t="s">
        <v>3143</v>
      </c>
      <c r="E1372" s="7" t="s">
        <v>1981</v>
      </c>
      <c r="F1372" s="7" t="s">
        <v>2236</v>
      </c>
      <c r="G1372" s="7" t="s">
        <v>3144</v>
      </c>
      <c r="H1372" s="7"/>
      <c r="I1372" s="7"/>
      <c r="J1372" s="7" t="s">
        <v>2148</v>
      </c>
      <c r="K1372" s="7" t="s">
        <v>1815</v>
      </c>
      <c r="L1372" s="7" t="s">
        <v>2472</v>
      </c>
      <c r="M1372" s="7" t="s">
        <v>3</v>
      </c>
      <c r="N1372" s="7" t="s">
        <v>1825</v>
      </c>
      <c r="O1372" s="7" t="s">
        <v>1703</v>
      </c>
      <c r="P1372" s="7" t="s">
        <v>1703</v>
      </c>
      <c r="Q1372" s="9">
        <v>9594947</v>
      </c>
      <c r="R1372" s="9">
        <v>0</v>
      </c>
      <c r="S1372" s="9">
        <f t="shared" si="46"/>
        <v>9594947</v>
      </c>
      <c r="T1372" s="7" t="s">
        <v>53</v>
      </c>
      <c r="U1372" s="7"/>
      <c r="V1372" s="7"/>
      <c r="W1372" s="9">
        <v>1</v>
      </c>
      <c r="X1372" s="7"/>
      <c r="Y1372" s="4"/>
      <c r="Z1372" s="7" t="s">
        <v>2</v>
      </c>
      <c r="AA1372" s="36" t="s">
        <v>3</v>
      </c>
      <c r="AB1372" s="4"/>
      <c r="AC1372" s="22">
        <f t="shared" si="45"/>
        <v>3762.72431372549</v>
      </c>
      <c r="AD1372" s="23">
        <v>0</v>
      </c>
    </row>
    <row r="1373" spans="1:30" hidden="1" x14ac:dyDescent="0.35">
      <c r="A1373" s="7">
        <v>157</v>
      </c>
      <c r="B1373" s="24">
        <v>45990.323981481481</v>
      </c>
      <c r="C1373" s="24">
        <v>45990</v>
      </c>
      <c r="D1373" s="7" t="s">
        <v>3145</v>
      </c>
      <c r="E1373" s="7" t="s">
        <v>1981</v>
      </c>
      <c r="F1373" s="7" t="s">
        <v>2219</v>
      </c>
      <c r="G1373" s="7" t="s">
        <v>3146</v>
      </c>
      <c r="H1373" s="7"/>
      <c r="I1373" s="7"/>
      <c r="J1373" s="7" t="s">
        <v>2148</v>
      </c>
      <c r="K1373" s="7" t="s">
        <v>1815</v>
      </c>
      <c r="L1373" s="7" t="s">
        <v>2472</v>
      </c>
      <c r="M1373" s="7" t="s">
        <v>3</v>
      </c>
      <c r="N1373" s="7" t="s">
        <v>1825</v>
      </c>
      <c r="O1373" s="7" t="s">
        <v>1703</v>
      </c>
      <c r="P1373" s="7" t="s">
        <v>1703</v>
      </c>
      <c r="Q1373" s="9">
        <v>7674603</v>
      </c>
      <c r="R1373" s="9">
        <v>0</v>
      </c>
      <c r="S1373" s="9">
        <f t="shared" si="46"/>
        <v>7674603</v>
      </c>
      <c r="T1373" s="7" t="s">
        <v>53</v>
      </c>
      <c r="U1373" s="7"/>
      <c r="V1373" s="7"/>
      <c r="W1373" s="9">
        <v>1</v>
      </c>
      <c r="X1373" s="7"/>
      <c r="Y1373" s="4"/>
      <c r="Z1373" s="7" t="s">
        <v>2</v>
      </c>
      <c r="AA1373" s="36" t="s">
        <v>3</v>
      </c>
      <c r="AB1373" s="4"/>
      <c r="AC1373" s="22">
        <f t="shared" si="45"/>
        <v>3009.6482352941175</v>
      </c>
      <c r="AD1373" s="23">
        <v>0</v>
      </c>
    </row>
    <row r="1374" spans="1:30" hidden="1" x14ac:dyDescent="0.35">
      <c r="A1374" s="7">
        <v>158</v>
      </c>
      <c r="B1374" s="24">
        <v>45990.320636574077</v>
      </c>
      <c r="C1374" s="24">
        <v>45990</v>
      </c>
      <c r="D1374" s="7" t="s">
        <v>3147</v>
      </c>
      <c r="E1374" s="7" t="s">
        <v>1981</v>
      </c>
      <c r="F1374" s="7" t="s">
        <v>2219</v>
      </c>
      <c r="G1374" s="7" t="s">
        <v>3148</v>
      </c>
      <c r="H1374" s="7"/>
      <c r="I1374" s="7"/>
      <c r="J1374" s="7" t="s">
        <v>2148</v>
      </c>
      <c r="K1374" s="7" t="s">
        <v>1815</v>
      </c>
      <c r="L1374" s="7" t="s">
        <v>2472</v>
      </c>
      <c r="M1374" s="7" t="s">
        <v>3</v>
      </c>
      <c r="N1374" s="7" t="s">
        <v>1825</v>
      </c>
      <c r="O1374" s="7" t="s">
        <v>1703</v>
      </c>
      <c r="P1374" s="7" t="s">
        <v>1703</v>
      </c>
      <c r="Q1374" s="9">
        <v>10000000</v>
      </c>
      <c r="R1374" s="9">
        <v>0</v>
      </c>
      <c r="S1374" s="9">
        <f t="shared" si="46"/>
        <v>10000000</v>
      </c>
      <c r="T1374" s="7" t="s">
        <v>53</v>
      </c>
      <c r="U1374" s="7"/>
      <c r="V1374" s="7"/>
      <c r="W1374" s="9">
        <v>1</v>
      </c>
      <c r="X1374" s="7"/>
      <c r="Y1374" s="4"/>
      <c r="Z1374" s="7" t="s">
        <v>2</v>
      </c>
      <c r="AA1374" s="36" t="s">
        <v>3</v>
      </c>
      <c r="AB1374" s="4"/>
      <c r="AC1374" s="22">
        <f t="shared" si="45"/>
        <v>3921.5686274509803</v>
      </c>
      <c r="AD1374" s="23">
        <v>0</v>
      </c>
    </row>
    <row r="1375" spans="1:30" hidden="1" x14ac:dyDescent="0.35">
      <c r="A1375" s="7">
        <v>159</v>
      </c>
      <c r="B1375" s="24">
        <v>45990.319861111115</v>
      </c>
      <c r="C1375" s="24">
        <v>45990</v>
      </c>
      <c r="D1375" s="7" t="s">
        <v>3149</v>
      </c>
      <c r="E1375" s="7" t="s">
        <v>1981</v>
      </c>
      <c r="F1375" s="7" t="s">
        <v>2219</v>
      </c>
      <c r="G1375" s="7" t="s">
        <v>3150</v>
      </c>
      <c r="H1375" s="7"/>
      <c r="I1375" s="7"/>
      <c r="J1375" s="7" t="s">
        <v>2148</v>
      </c>
      <c r="K1375" s="7" t="s">
        <v>1815</v>
      </c>
      <c r="L1375" s="7" t="s">
        <v>2472</v>
      </c>
      <c r="M1375" s="7" t="s">
        <v>3</v>
      </c>
      <c r="N1375" s="7" t="s">
        <v>1825</v>
      </c>
      <c r="O1375" s="7" t="s">
        <v>1703</v>
      </c>
      <c r="P1375" s="7" t="s">
        <v>1703</v>
      </c>
      <c r="Q1375" s="9">
        <v>10000000</v>
      </c>
      <c r="R1375" s="9">
        <v>0</v>
      </c>
      <c r="S1375" s="9">
        <f t="shared" si="46"/>
        <v>10000000</v>
      </c>
      <c r="T1375" s="7" t="s">
        <v>53</v>
      </c>
      <c r="U1375" s="7"/>
      <c r="V1375" s="7"/>
      <c r="W1375" s="9">
        <v>1</v>
      </c>
      <c r="X1375" s="7"/>
      <c r="Y1375" s="4"/>
      <c r="Z1375" s="7" t="s">
        <v>2</v>
      </c>
      <c r="AA1375" s="36" t="s">
        <v>3</v>
      </c>
      <c r="AB1375" s="4"/>
      <c r="AC1375" s="22">
        <f t="shared" si="45"/>
        <v>3921.5686274509803</v>
      </c>
      <c r="AD1375" s="23">
        <v>0</v>
      </c>
    </row>
    <row r="1376" spans="1:30" hidden="1" x14ac:dyDescent="0.35">
      <c r="A1376" s="7">
        <v>160</v>
      </c>
      <c r="B1376" s="24">
        <v>45990.315497685187</v>
      </c>
      <c r="C1376" s="24">
        <v>45990</v>
      </c>
      <c r="D1376" s="7" t="s">
        <v>3151</v>
      </c>
      <c r="E1376" s="7" t="s">
        <v>1981</v>
      </c>
      <c r="F1376" s="7" t="s">
        <v>2236</v>
      </c>
      <c r="G1376" s="7" t="s">
        <v>3152</v>
      </c>
      <c r="H1376" s="7"/>
      <c r="I1376" s="7"/>
      <c r="J1376" s="7" t="s">
        <v>2148</v>
      </c>
      <c r="K1376" s="7" t="s">
        <v>1815</v>
      </c>
      <c r="L1376" s="7" t="s">
        <v>2472</v>
      </c>
      <c r="M1376" s="7" t="s">
        <v>3</v>
      </c>
      <c r="N1376" s="7" t="s">
        <v>1825</v>
      </c>
      <c r="O1376" s="7" t="s">
        <v>1703</v>
      </c>
      <c r="P1376" s="7" t="s">
        <v>1703</v>
      </c>
      <c r="Q1376" s="9">
        <v>6109781</v>
      </c>
      <c r="R1376" s="9">
        <v>0</v>
      </c>
      <c r="S1376" s="9">
        <f t="shared" si="46"/>
        <v>6109781</v>
      </c>
      <c r="T1376" s="7" t="s">
        <v>53</v>
      </c>
      <c r="U1376" s="7"/>
      <c r="V1376" s="7"/>
      <c r="W1376" s="9">
        <v>1</v>
      </c>
      <c r="X1376" s="7"/>
      <c r="Y1376" s="4"/>
      <c r="Z1376" s="7" t="s">
        <v>2</v>
      </c>
      <c r="AA1376" s="36" t="s">
        <v>3</v>
      </c>
      <c r="AB1376" s="4"/>
      <c r="AC1376" s="22">
        <f t="shared" si="45"/>
        <v>2395.9925490196078</v>
      </c>
      <c r="AD1376" s="23">
        <v>0</v>
      </c>
    </row>
    <row r="1377" spans="1:30" hidden="1" x14ac:dyDescent="0.35">
      <c r="A1377" s="7">
        <v>6354</v>
      </c>
      <c r="B1377" s="24">
        <v>45967.620081018518</v>
      </c>
      <c r="C1377" s="24">
        <v>45967</v>
      </c>
      <c r="D1377" s="7" t="s">
        <v>3389</v>
      </c>
      <c r="E1377" s="7" t="s">
        <v>61</v>
      </c>
      <c r="F1377" s="7" t="s">
        <v>3390</v>
      </c>
      <c r="G1377" s="7" t="s">
        <v>3390</v>
      </c>
      <c r="H1377" s="7"/>
      <c r="I1377" s="7"/>
      <c r="J1377" s="7" t="s">
        <v>59</v>
      </c>
      <c r="K1377" s="7" t="s">
        <v>58</v>
      </c>
      <c r="L1377" s="7" t="s">
        <v>325</v>
      </c>
      <c r="M1377" s="7" t="s">
        <v>33</v>
      </c>
      <c r="N1377" s="7" t="s">
        <v>1699</v>
      </c>
      <c r="O1377" s="7" t="s">
        <v>1560</v>
      </c>
      <c r="P1377" s="7" t="s">
        <v>1560</v>
      </c>
      <c r="Q1377" s="11">
        <v>1180800</v>
      </c>
      <c r="R1377" s="9">
        <v>0</v>
      </c>
      <c r="S1377" s="9">
        <f t="shared" si="46"/>
        <v>1180800</v>
      </c>
      <c r="T1377" s="7" t="s">
        <v>53</v>
      </c>
      <c r="U1377" s="7" t="s">
        <v>1721</v>
      </c>
      <c r="V1377" s="30">
        <v>-2</v>
      </c>
      <c r="W1377" s="7" t="s">
        <v>94</v>
      </c>
      <c r="X1377" s="4"/>
      <c r="Y1377" s="4"/>
      <c r="Z1377" s="7" t="s">
        <v>5</v>
      </c>
      <c r="AA1377" s="37" t="s">
        <v>6</v>
      </c>
      <c r="AB1377" s="4">
        <f t="shared" si="47"/>
        <v>0</v>
      </c>
      <c r="AC1377" s="22">
        <f t="shared" si="45"/>
        <v>463.05882352941177</v>
      </c>
      <c r="AD1377" s="23">
        <v>0</v>
      </c>
    </row>
    <row r="1378" spans="1:30" hidden="1" x14ac:dyDescent="0.35">
      <c r="A1378" s="7">
        <v>21701</v>
      </c>
      <c r="B1378" s="24">
        <v>45975.611550925925</v>
      </c>
      <c r="C1378" s="24">
        <v>45975</v>
      </c>
      <c r="D1378" s="7" t="s">
        <v>3391</v>
      </c>
      <c r="E1378" s="7" t="s">
        <v>61</v>
      </c>
      <c r="F1378" s="7" t="s">
        <v>3392</v>
      </c>
      <c r="G1378" s="7" t="s">
        <v>3393</v>
      </c>
      <c r="H1378" s="7"/>
      <c r="I1378" s="7"/>
      <c r="J1378" s="7" t="s">
        <v>59</v>
      </c>
      <c r="K1378" s="7" t="s">
        <v>58</v>
      </c>
      <c r="L1378" s="7" t="s">
        <v>325</v>
      </c>
      <c r="M1378" s="7" t="s">
        <v>33</v>
      </c>
      <c r="N1378" s="7" t="s">
        <v>1699</v>
      </c>
      <c r="O1378" s="7" t="s">
        <v>1560</v>
      </c>
      <c r="P1378" s="7" t="s">
        <v>196</v>
      </c>
      <c r="Q1378" s="11">
        <v>740112.99</v>
      </c>
      <c r="R1378" s="9">
        <v>0</v>
      </c>
      <c r="S1378" s="9">
        <f t="shared" si="46"/>
        <v>740112.99</v>
      </c>
      <c r="T1378" s="7" t="s">
        <v>53</v>
      </c>
      <c r="U1378" s="7" t="s">
        <v>1718</v>
      </c>
      <c r="V1378" s="4"/>
      <c r="W1378" s="9">
        <v>-1</v>
      </c>
      <c r="X1378" s="7" t="s">
        <v>94</v>
      </c>
      <c r="Y1378" s="4"/>
      <c r="Z1378" s="4" t="str">
        <f>_xlfn.XLOOKUP(U1378,U252:U1377,Z252:Z1377)</f>
        <v>341000-341100 OFFICE &amp; MISC EQUIPEMENTS</v>
      </c>
      <c r="AA1378" s="37" t="s">
        <v>8</v>
      </c>
      <c r="AB1378" s="4">
        <f t="shared" si="47"/>
        <v>0</v>
      </c>
      <c r="AC1378" s="22">
        <f t="shared" si="45"/>
        <v>290.24038823529412</v>
      </c>
      <c r="AD1378" s="23">
        <v>0</v>
      </c>
    </row>
    <row r="1379" spans="1:30" hidden="1" x14ac:dyDescent="0.35">
      <c r="A1379" s="7">
        <v>25921</v>
      </c>
      <c r="B1379" s="24">
        <v>45978.396805555552</v>
      </c>
      <c r="C1379" s="24">
        <v>45978</v>
      </c>
      <c r="D1379" s="7" t="s">
        <v>3394</v>
      </c>
      <c r="E1379" s="7" t="s">
        <v>61</v>
      </c>
      <c r="F1379" s="7" t="s">
        <v>3395</v>
      </c>
      <c r="G1379" s="7" t="s">
        <v>3396</v>
      </c>
      <c r="H1379" s="7"/>
      <c r="I1379" s="7"/>
      <c r="J1379" s="7" t="s">
        <v>59</v>
      </c>
      <c r="K1379" s="7" t="s">
        <v>58</v>
      </c>
      <c r="L1379" s="7" t="s">
        <v>325</v>
      </c>
      <c r="M1379" s="7" t="s">
        <v>33</v>
      </c>
      <c r="N1379" s="7" t="s">
        <v>1699</v>
      </c>
      <c r="O1379" s="7" t="s">
        <v>1704</v>
      </c>
      <c r="P1379" s="7" t="s">
        <v>1703</v>
      </c>
      <c r="Q1379" s="11">
        <v>18644067.800000001</v>
      </c>
      <c r="R1379" s="9">
        <v>0</v>
      </c>
      <c r="S1379" s="9">
        <f t="shared" si="46"/>
        <v>18644067.800000001</v>
      </c>
      <c r="T1379" s="7" t="s">
        <v>53</v>
      </c>
      <c r="U1379" s="7" t="s">
        <v>3397</v>
      </c>
      <c r="W1379" s="9">
        <v>-1</v>
      </c>
      <c r="X1379" s="7" t="s">
        <v>94</v>
      </c>
      <c r="Y1379" s="4"/>
      <c r="Z1379" s="7" t="s">
        <v>12</v>
      </c>
      <c r="AA1379" s="36" t="s">
        <v>2630</v>
      </c>
      <c r="AB1379" s="4">
        <f t="shared" si="47"/>
        <v>0</v>
      </c>
      <c r="AC1379" s="22">
        <f t="shared" si="45"/>
        <v>7311.3991372549026</v>
      </c>
      <c r="AD1379" s="23">
        <v>0</v>
      </c>
    </row>
    <row r="1380" spans="1:30" hidden="1" x14ac:dyDescent="0.35">
      <c r="A1380" s="7">
        <v>25923</v>
      </c>
      <c r="B1380" s="24">
        <v>45978.396805555552</v>
      </c>
      <c r="C1380" s="24">
        <v>45978</v>
      </c>
      <c r="D1380" s="7" t="s">
        <v>3398</v>
      </c>
      <c r="E1380" s="7" t="s">
        <v>61</v>
      </c>
      <c r="F1380" s="7" t="s">
        <v>3399</v>
      </c>
      <c r="G1380" s="7" t="s">
        <v>3399</v>
      </c>
      <c r="H1380" s="7"/>
      <c r="I1380" s="7"/>
      <c r="J1380" s="7" t="s">
        <v>59</v>
      </c>
      <c r="K1380" s="7" t="s">
        <v>58</v>
      </c>
      <c r="L1380" s="7" t="s">
        <v>325</v>
      </c>
      <c r="M1380" s="7" t="s">
        <v>33</v>
      </c>
      <c r="N1380" s="7" t="s">
        <v>1699</v>
      </c>
      <c r="O1380" s="7" t="s">
        <v>1704</v>
      </c>
      <c r="P1380" s="7" t="s">
        <v>1703</v>
      </c>
      <c r="Q1380" s="11">
        <v>761864.41</v>
      </c>
      <c r="R1380" s="9">
        <v>0</v>
      </c>
      <c r="S1380" s="9">
        <f t="shared" si="46"/>
        <v>761864.41</v>
      </c>
      <c r="T1380" s="7" t="s">
        <v>53</v>
      </c>
      <c r="U1380" s="7" t="s">
        <v>3400</v>
      </c>
      <c r="W1380" s="9">
        <v>-1</v>
      </c>
      <c r="X1380" s="7" t="s">
        <v>94</v>
      </c>
      <c r="Y1380" s="4"/>
      <c r="Z1380" s="7" t="s">
        <v>5</v>
      </c>
      <c r="AA1380" s="37" t="s">
        <v>6</v>
      </c>
      <c r="AB1380" s="4">
        <f t="shared" si="47"/>
        <v>0</v>
      </c>
      <c r="AC1380" s="22">
        <f t="shared" si="45"/>
        <v>298.77035686274513</v>
      </c>
      <c r="AD1380" s="23">
        <v>0</v>
      </c>
    </row>
    <row r="1381" spans="1:30" hidden="1" x14ac:dyDescent="0.35">
      <c r="A1381" s="7">
        <v>25925</v>
      </c>
      <c r="B1381" s="24">
        <v>45978.395798611113</v>
      </c>
      <c r="C1381" s="24">
        <v>45978</v>
      </c>
      <c r="D1381" s="7" t="s">
        <v>3401</v>
      </c>
      <c r="E1381" s="7" t="s">
        <v>61</v>
      </c>
      <c r="F1381" s="7" t="s">
        <v>3402</v>
      </c>
      <c r="G1381" s="7" t="s">
        <v>3403</v>
      </c>
      <c r="H1381" s="7"/>
      <c r="I1381" s="7"/>
      <c r="J1381" s="7" t="s">
        <v>59</v>
      </c>
      <c r="K1381" s="7" t="s">
        <v>58</v>
      </c>
      <c r="L1381" s="7" t="s">
        <v>325</v>
      </c>
      <c r="M1381" s="7" t="s">
        <v>33</v>
      </c>
      <c r="N1381" s="7" t="s">
        <v>1699</v>
      </c>
      <c r="O1381" s="7" t="s">
        <v>1704</v>
      </c>
      <c r="P1381" s="7" t="s">
        <v>1703</v>
      </c>
      <c r="Q1381" s="11">
        <v>1413500</v>
      </c>
      <c r="R1381" s="9">
        <v>0</v>
      </c>
      <c r="S1381" s="9">
        <f t="shared" si="46"/>
        <v>1413500</v>
      </c>
      <c r="T1381" s="7" t="s">
        <v>53</v>
      </c>
      <c r="U1381" s="7" t="s">
        <v>1711</v>
      </c>
      <c r="V1381" s="4"/>
      <c r="W1381" s="9">
        <v>-1</v>
      </c>
      <c r="X1381" s="7" t="s">
        <v>94</v>
      </c>
      <c r="Y1381" s="4"/>
      <c r="Z1381" s="4" t="str">
        <f>_xlfn.XLOOKUP(U1381,U255:U1380,Z255:Z1380)</f>
        <v>341000-341100 OFFICE &amp; MISC EQUIPEMENTS</v>
      </c>
      <c r="AA1381" s="37" t="s">
        <v>8</v>
      </c>
      <c r="AB1381" s="4">
        <f t="shared" si="47"/>
        <v>0</v>
      </c>
      <c r="AC1381" s="22">
        <f t="shared" si="45"/>
        <v>554.31372549019613</v>
      </c>
      <c r="AD1381" s="23">
        <v>0</v>
      </c>
    </row>
    <row r="1382" spans="1:30" hidden="1" x14ac:dyDescent="0.35">
      <c r="A1382" s="7">
        <v>27834</v>
      </c>
      <c r="B1382" s="24">
        <v>45979.597407407404</v>
      </c>
      <c r="C1382" s="24">
        <v>45979</v>
      </c>
      <c r="D1382" s="7" t="s">
        <v>3404</v>
      </c>
      <c r="E1382" s="7" t="s">
        <v>61</v>
      </c>
      <c r="F1382" s="7" t="s">
        <v>3405</v>
      </c>
      <c r="G1382" s="7" t="s">
        <v>3406</v>
      </c>
      <c r="H1382" s="7"/>
      <c r="I1382" s="7"/>
      <c r="J1382" s="7" t="s">
        <v>59</v>
      </c>
      <c r="K1382" s="7" t="s">
        <v>58</v>
      </c>
      <c r="L1382" s="7" t="s">
        <v>325</v>
      </c>
      <c r="M1382" s="7" t="s">
        <v>33</v>
      </c>
      <c r="N1382" s="7" t="s">
        <v>1699</v>
      </c>
      <c r="O1382" s="7" t="s">
        <v>1703</v>
      </c>
      <c r="P1382" s="7" t="s">
        <v>196</v>
      </c>
      <c r="Q1382" s="11">
        <v>9252542.3699999992</v>
      </c>
      <c r="R1382" s="9">
        <v>0</v>
      </c>
      <c r="S1382" s="9">
        <f t="shared" si="46"/>
        <v>9252542.3699999992</v>
      </c>
      <c r="T1382" s="7" t="s">
        <v>53</v>
      </c>
      <c r="U1382" s="7" t="s">
        <v>3407</v>
      </c>
      <c r="V1382" s="4"/>
      <c r="W1382" s="9">
        <v>-1</v>
      </c>
      <c r="X1382" s="7" t="s">
        <v>94</v>
      </c>
      <c r="Y1382" s="4"/>
      <c r="Z1382" s="4" t="s">
        <v>7</v>
      </c>
      <c r="AA1382" s="37" t="s">
        <v>10</v>
      </c>
      <c r="AB1382" s="4">
        <f t="shared" si="47"/>
        <v>0</v>
      </c>
      <c r="AC1382" s="22">
        <f t="shared" si="45"/>
        <v>3628.4479882352939</v>
      </c>
      <c r="AD1382" s="23">
        <v>0</v>
      </c>
    </row>
    <row r="1383" spans="1:30" hidden="1" x14ac:dyDescent="0.35">
      <c r="A1383" s="7">
        <v>33160</v>
      </c>
      <c r="B1383" s="24">
        <v>45982.251203703701</v>
      </c>
      <c r="C1383" s="24">
        <v>45982</v>
      </c>
      <c r="D1383" s="7" t="s">
        <v>3408</v>
      </c>
      <c r="E1383" s="7" t="s">
        <v>61</v>
      </c>
      <c r="F1383" s="7" t="s">
        <v>3409</v>
      </c>
      <c r="G1383" s="7" t="s">
        <v>3410</v>
      </c>
      <c r="H1383" s="7"/>
      <c r="I1383" s="7"/>
      <c r="J1383" s="7" t="s">
        <v>59</v>
      </c>
      <c r="K1383" s="7" t="s">
        <v>58</v>
      </c>
      <c r="L1383" s="7" t="s">
        <v>325</v>
      </c>
      <c r="M1383" s="7" t="s">
        <v>33</v>
      </c>
      <c r="N1383" s="7" t="s">
        <v>1699</v>
      </c>
      <c r="O1383" s="7" t="s">
        <v>1704</v>
      </c>
      <c r="P1383" s="7" t="s">
        <v>1743</v>
      </c>
      <c r="Q1383" s="11">
        <v>1413500</v>
      </c>
      <c r="R1383" s="9">
        <v>0</v>
      </c>
      <c r="S1383" s="9">
        <f t="shared" si="46"/>
        <v>1413500</v>
      </c>
      <c r="T1383" s="7" t="s">
        <v>53</v>
      </c>
      <c r="U1383" s="7" t="s">
        <v>1711</v>
      </c>
      <c r="V1383" s="4"/>
      <c r="W1383" s="9">
        <v>-1</v>
      </c>
      <c r="X1383" s="7" t="s">
        <v>94</v>
      </c>
      <c r="Y1383" s="4"/>
      <c r="Z1383" s="4" t="str">
        <f>_xlfn.XLOOKUP(U1383,U257:U1382,Z257:Z1382)</f>
        <v>341000-341100 OFFICE &amp; MISC EQUIPEMENTS</v>
      </c>
      <c r="AA1383" s="37" t="s">
        <v>8</v>
      </c>
      <c r="AB1383" s="4">
        <f t="shared" si="47"/>
        <v>0</v>
      </c>
      <c r="AC1383" s="22">
        <f t="shared" si="45"/>
        <v>554.31372549019613</v>
      </c>
      <c r="AD1383" s="23">
        <v>0</v>
      </c>
    </row>
    <row r="1384" spans="1:30" hidden="1" x14ac:dyDescent="0.35">
      <c r="A1384" s="7">
        <v>27833</v>
      </c>
      <c r="B1384" s="24">
        <v>45979.597407407404</v>
      </c>
      <c r="C1384" s="24">
        <v>45979</v>
      </c>
      <c r="D1384" s="7" t="s">
        <v>3411</v>
      </c>
      <c r="E1384" s="7" t="s">
        <v>61</v>
      </c>
      <c r="F1384" s="7" t="s">
        <v>3412</v>
      </c>
      <c r="G1384" s="7" t="s">
        <v>3413</v>
      </c>
      <c r="H1384" s="7"/>
      <c r="I1384" s="7"/>
      <c r="J1384" s="7" t="s">
        <v>59</v>
      </c>
      <c r="K1384" s="7" t="s">
        <v>58</v>
      </c>
      <c r="L1384" s="7" t="s">
        <v>57</v>
      </c>
      <c r="M1384" s="7" t="s">
        <v>32</v>
      </c>
      <c r="N1384" s="7" t="s">
        <v>118</v>
      </c>
      <c r="O1384" s="7" t="s">
        <v>1703</v>
      </c>
      <c r="P1384" s="7" t="s">
        <v>196</v>
      </c>
      <c r="Q1384" s="9">
        <v>494067.8</v>
      </c>
      <c r="R1384" s="9">
        <v>0</v>
      </c>
      <c r="S1384" s="9">
        <f t="shared" si="46"/>
        <v>494067.8</v>
      </c>
      <c r="T1384" s="7" t="s">
        <v>53</v>
      </c>
      <c r="U1384" s="7" t="s">
        <v>3414</v>
      </c>
      <c r="V1384" s="4"/>
      <c r="W1384" s="9">
        <v>-1</v>
      </c>
      <c r="X1384" s="7" t="s">
        <v>94</v>
      </c>
      <c r="Y1384" s="4"/>
      <c r="Z1384" s="4" t="s">
        <v>7</v>
      </c>
      <c r="AA1384" s="37" t="s">
        <v>10</v>
      </c>
      <c r="AB1384" s="4">
        <f t="shared" si="47"/>
        <v>0</v>
      </c>
      <c r="AC1384" s="22">
        <f t="shared" si="45"/>
        <v>193.75207843137255</v>
      </c>
      <c r="AD1384" s="23">
        <v>0</v>
      </c>
    </row>
    <row r="1385" spans="1:30" hidden="1" x14ac:dyDescent="0.35">
      <c r="A1385" s="7">
        <v>1539</v>
      </c>
      <c r="B1385" s="24">
        <v>45966.599583333336</v>
      </c>
      <c r="C1385" s="24">
        <v>45966</v>
      </c>
      <c r="D1385" s="7" t="s">
        <v>3415</v>
      </c>
      <c r="E1385" s="7" t="s">
        <v>61</v>
      </c>
      <c r="F1385" s="7" t="s">
        <v>3416</v>
      </c>
      <c r="G1385" s="7" t="s">
        <v>3417</v>
      </c>
      <c r="H1385" s="7"/>
      <c r="I1385" s="7"/>
      <c r="J1385" s="7" t="s">
        <v>59</v>
      </c>
      <c r="K1385" s="7" t="s">
        <v>58</v>
      </c>
      <c r="L1385" s="7" t="s">
        <v>325</v>
      </c>
      <c r="M1385" s="7" t="s">
        <v>33</v>
      </c>
      <c r="N1385" s="7" t="s">
        <v>118</v>
      </c>
      <c r="O1385" s="7" t="s">
        <v>1704</v>
      </c>
      <c r="P1385" s="7" t="s">
        <v>1703</v>
      </c>
      <c r="Q1385" s="11">
        <v>7627118.5999999996</v>
      </c>
      <c r="R1385" s="9">
        <v>0</v>
      </c>
      <c r="S1385" s="9">
        <f t="shared" si="46"/>
        <v>7627118.5999999996</v>
      </c>
      <c r="T1385" s="7" t="s">
        <v>53</v>
      </c>
      <c r="U1385" s="7" t="s">
        <v>3418</v>
      </c>
      <c r="V1385" s="33">
        <v>-20</v>
      </c>
      <c r="W1385" s="7" t="s">
        <v>94</v>
      </c>
      <c r="X1385" s="4"/>
      <c r="Y1385" s="4"/>
      <c r="Z1385" s="7" t="s">
        <v>5</v>
      </c>
      <c r="AA1385" s="37" t="s">
        <v>6</v>
      </c>
      <c r="AB1385" s="4">
        <f t="shared" si="47"/>
        <v>0</v>
      </c>
      <c r="AC1385" s="22">
        <f t="shared" si="45"/>
        <v>2991.026901960784</v>
      </c>
      <c r="AD1385" s="23">
        <v>0</v>
      </c>
    </row>
    <row r="1386" spans="1:30" x14ac:dyDescent="0.35">
      <c r="A1386" s="7">
        <v>915</v>
      </c>
      <c r="B1386" s="24">
        <v>45761.589895833335</v>
      </c>
      <c r="C1386" s="24">
        <v>45761</v>
      </c>
      <c r="D1386" s="7" t="s">
        <v>3153</v>
      </c>
      <c r="E1386" s="7" t="s">
        <v>61</v>
      </c>
      <c r="F1386" s="7" t="s">
        <v>3154</v>
      </c>
      <c r="G1386" s="7" t="s">
        <v>3154</v>
      </c>
      <c r="H1386" s="7"/>
      <c r="I1386" s="7"/>
      <c r="J1386" s="7" t="s">
        <v>3155</v>
      </c>
      <c r="K1386" s="7" t="s">
        <v>3156</v>
      </c>
      <c r="L1386" s="7" t="s">
        <v>3157</v>
      </c>
      <c r="M1386" s="7" t="s">
        <v>3158</v>
      </c>
      <c r="N1386" s="7" t="s">
        <v>197</v>
      </c>
      <c r="O1386" s="7" t="s">
        <v>1065</v>
      </c>
      <c r="P1386" s="7" t="s">
        <v>1064</v>
      </c>
      <c r="Q1386" s="11">
        <v>490093.69</v>
      </c>
      <c r="R1386" s="9">
        <v>0</v>
      </c>
      <c r="S1386" s="9">
        <f t="shared" si="46"/>
        <v>490093.69</v>
      </c>
      <c r="T1386" s="7" t="s">
        <v>53</v>
      </c>
      <c r="U1386" s="7" t="s">
        <v>3159</v>
      </c>
      <c r="V1386" s="7" t="s">
        <v>3160</v>
      </c>
      <c r="W1386" s="9">
        <v>-6.25</v>
      </c>
      <c r="X1386" s="7" t="s">
        <v>1501</v>
      </c>
      <c r="Y1386" s="4"/>
      <c r="Z1386" s="7" t="s">
        <v>14</v>
      </c>
      <c r="AA1386" s="36" t="s">
        <v>29</v>
      </c>
      <c r="AB1386" s="4" t="s">
        <v>2607</v>
      </c>
      <c r="AC1386" s="22">
        <f t="shared" si="45"/>
        <v>192.19360392156864</v>
      </c>
      <c r="AD1386" s="23">
        <v>0</v>
      </c>
    </row>
    <row r="1387" spans="1:30" x14ac:dyDescent="0.35">
      <c r="A1387" s="7">
        <v>918</v>
      </c>
      <c r="B1387" s="24">
        <v>45761.573819444442</v>
      </c>
      <c r="C1387" s="24">
        <v>45761</v>
      </c>
      <c r="D1387" s="7" t="s">
        <v>3161</v>
      </c>
      <c r="E1387" s="7" t="s">
        <v>61</v>
      </c>
      <c r="F1387" s="7" t="s">
        <v>3162</v>
      </c>
      <c r="G1387" s="7" t="s">
        <v>3162</v>
      </c>
      <c r="H1387" s="7"/>
      <c r="I1387" s="7"/>
      <c r="J1387" s="7" t="s">
        <v>3155</v>
      </c>
      <c r="K1387" s="7" t="s">
        <v>3156</v>
      </c>
      <c r="L1387" s="7" t="s">
        <v>3157</v>
      </c>
      <c r="M1387" s="7" t="s">
        <v>3158</v>
      </c>
      <c r="N1387" s="7" t="s">
        <v>96</v>
      </c>
      <c r="O1387" s="7" t="s">
        <v>1560</v>
      </c>
      <c r="P1387" s="7" t="s">
        <v>1064</v>
      </c>
      <c r="Q1387" s="11">
        <v>470489.95</v>
      </c>
      <c r="R1387" s="9">
        <v>0</v>
      </c>
      <c r="S1387" s="9">
        <f t="shared" si="46"/>
        <v>470489.95</v>
      </c>
      <c r="T1387" s="7" t="s">
        <v>53</v>
      </c>
      <c r="U1387" s="7" t="s">
        <v>3159</v>
      </c>
      <c r="V1387" s="7" t="s">
        <v>3160</v>
      </c>
      <c r="W1387" s="9">
        <v>-6</v>
      </c>
      <c r="X1387" s="7" t="s">
        <v>1501</v>
      </c>
      <c r="Y1387" s="4"/>
      <c r="Z1387" s="7" t="s">
        <v>14</v>
      </c>
      <c r="AA1387" s="36" t="s">
        <v>27</v>
      </c>
      <c r="AB1387" s="4" t="str">
        <f t="shared" si="47"/>
        <v>ROADS</v>
      </c>
      <c r="AC1387" s="22">
        <f t="shared" si="45"/>
        <v>184.50586274509806</v>
      </c>
      <c r="AD1387" s="23">
        <v>0</v>
      </c>
    </row>
    <row r="1388" spans="1:30" x14ac:dyDescent="0.35">
      <c r="A1388" s="7">
        <v>3688</v>
      </c>
      <c r="B1388" s="24">
        <v>45807.591412037036</v>
      </c>
      <c r="C1388" s="24">
        <v>45807</v>
      </c>
      <c r="D1388" s="7" t="s">
        <v>3163</v>
      </c>
      <c r="E1388" s="7" t="s">
        <v>61</v>
      </c>
      <c r="F1388" s="7" t="s">
        <v>3164</v>
      </c>
      <c r="G1388" s="7" t="s">
        <v>3164</v>
      </c>
      <c r="H1388" s="7"/>
      <c r="I1388" s="7"/>
      <c r="J1388" s="7" t="s">
        <v>3155</v>
      </c>
      <c r="K1388" s="7" t="s">
        <v>3156</v>
      </c>
      <c r="L1388" s="7" t="s">
        <v>3157</v>
      </c>
      <c r="M1388" s="7" t="s">
        <v>3158</v>
      </c>
      <c r="N1388" s="7" t="s">
        <v>96</v>
      </c>
      <c r="O1388" s="7" t="s">
        <v>1065</v>
      </c>
      <c r="P1388" s="7" t="s">
        <v>1064</v>
      </c>
      <c r="Q1388" s="11">
        <v>907799.42</v>
      </c>
      <c r="R1388" s="9">
        <v>0</v>
      </c>
      <c r="S1388" s="9">
        <f t="shared" si="46"/>
        <v>907799.42</v>
      </c>
      <c r="T1388" s="7" t="s">
        <v>53</v>
      </c>
      <c r="U1388" s="7" t="s">
        <v>3159</v>
      </c>
      <c r="V1388" s="7" t="s">
        <v>3160</v>
      </c>
      <c r="W1388" s="9">
        <v>-12</v>
      </c>
      <c r="X1388" s="7" t="s">
        <v>1501</v>
      </c>
      <c r="Y1388" s="4"/>
      <c r="Z1388" s="7" t="s">
        <v>14</v>
      </c>
      <c r="AA1388" s="36" t="s">
        <v>27</v>
      </c>
      <c r="AB1388" s="4" t="str">
        <f t="shared" si="47"/>
        <v>ROADS</v>
      </c>
      <c r="AC1388" s="22">
        <f t="shared" si="45"/>
        <v>355.99977254901961</v>
      </c>
      <c r="AD1388" s="23">
        <v>0</v>
      </c>
    </row>
    <row r="1389" spans="1:30" x14ac:dyDescent="0.35">
      <c r="A1389" s="7">
        <v>3690</v>
      </c>
      <c r="B1389" s="24">
        <v>45807.575636574074</v>
      </c>
      <c r="C1389" s="24">
        <v>45807</v>
      </c>
      <c r="D1389" s="7" t="s">
        <v>3165</v>
      </c>
      <c r="E1389" s="7" t="s">
        <v>61</v>
      </c>
      <c r="F1389" s="7" t="s">
        <v>3166</v>
      </c>
      <c r="G1389" s="7" t="s">
        <v>3166</v>
      </c>
      <c r="H1389" s="7"/>
      <c r="I1389" s="7"/>
      <c r="J1389" s="7" t="s">
        <v>3155</v>
      </c>
      <c r="K1389" s="7" t="s">
        <v>3156</v>
      </c>
      <c r="L1389" s="7" t="s">
        <v>3157</v>
      </c>
      <c r="M1389" s="7" t="s">
        <v>3158</v>
      </c>
      <c r="N1389" s="7" t="s">
        <v>197</v>
      </c>
      <c r="O1389" s="7" t="s">
        <v>1065</v>
      </c>
      <c r="P1389" s="7" t="s">
        <v>1064</v>
      </c>
      <c r="Q1389" s="11">
        <v>378249.76</v>
      </c>
      <c r="R1389" s="9">
        <v>0</v>
      </c>
      <c r="S1389" s="9">
        <f t="shared" si="46"/>
        <v>378249.76</v>
      </c>
      <c r="T1389" s="7" t="s">
        <v>53</v>
      </c>
      <c r="U1389" s="7" t="s">
        <v>3159</v>
      </c>
      <c r="V1389" s="7" t="s">
        <v>3160</v>
      </c>
      <c r="W1389" s="9">
        <v>-5</v>
      </c>
      <c r="X1389" s="7" t="s">
        <v>1501</v>
      </c>
      <c r="Y1389" s="4"/>
      <c r="Z1389" s="7" t="s">
        <v>14</v>
      </c>
      <c r="AA1389" s="36" t="s">
        <v>29</v>
      </c>
      <c r="AB1389" s="4" t="s">
        <v>2607</v>
      </c>
      <c r="AC1389" s="22">
        <f t="shared" si="45"/>
        <v>148.33323921568629</v>
      </c>
      <c r="AD1389" s="23">
        <v>0</v>
      </c>
    </row>
    <row r="1390" spans="1:30" x14ac:dyDescent="0.35">
      <c r="A1390" s="7">
        <v>4174</v>
      </c>
      <c r="B1390" s="24">
        <v>45814.580497685187</v>
      </c>
      <c r="C1390" s="24">
        <v>45814</v>
      </c>
      <c r="D1390" s="7" t="s">
        <v>3167</v>
      </c>
      <c r="E1390" s="7" t="s">
        <v>61</v>
      </c>
      <c r="F1390" s="7" t="s">
        <v>3168</v>
      </c>
      <c r="G1390" s="7" t="s">
        <v>3168</v>
      </c>
      <c r="H1390" s="7"/>
      <c r="I1390" s="7"/>
      <c r="J1390" s="7" t="s">
        <v>3155</v>
      </c>
      <c r="K1390" s="7" t="s">
        <v>3156</v>
      </c>
      <c r="L1390" s="7" t="s">
        <v>3157</v>
      </c>
      <c r="M1390" s="7" t="s">
        <v>3158</v>
      </c>
      <c r="N1390" s="7" t="s">
        <v>197</v>
      </c>
      <c r="O1390" s="7" t="s">
        <v>1065</v>
      </c>
      <c r="P1390" s="7" t="s">
        <v>1064</v>
      </c>
      <c r="Q1390" s="11">
        <v>145810.88</v>
      </c>
      <c r="R1390" s="9">
        <v>0</v>
      </c>
      <c r="S1390" s="9">
        <f t="shared" si="46"/>
        <v>145810.88</v>
      </c>
      <c r="T1390" s="7" t="s">
        <v>53</v>
      </c>
      <c r="U1390" s="7" t="s">
        <v>3159</v>
      </c>
      <c r="V1390" s="7" t="s">
        <v>3160</v>
      </c>
      <c r="W1390" s="9">
        <v>-1.5</v>
      </c>
      <c r="X1390" s="7" t="s">
        <v>1501</v>
      </c>
      <c r="Y1390" s="4"/>
      <c r="Z1390" s="7" t="s">
        <v>14</v>
      </c>
      <c r="AA1390" s="36" t="s">
        <v>29</v>
      </c>
      <c r="AB1390" s="4" t="s">
        <v>2607</v>
      </c>
      <c r="AC1390" s="22">
        <f t="shared" si="45"/>
        <v>57.180737254901963</v>
      </c>
      <c r="AD1390" s="23">
        <v>0</v>
      </c>
    </row>
    <row r="1391" spans="1:30" x14ac:dyDescent="0.35">
      <c r="A1391" s="7">
        <v>5587</v>
      </c>
      <c r="B1391" s="24">
        <v>45833.603229166663</v>
      </c>
      <c r="C1391" s="24">
        <v>45833</v>
      </c>
      <c r="D1391" s="7" t="s">
        <v>3169</v>
      </c>
      <c r="E1391" s="7" t="s">
        <v>61</v>
      </c>
      <c r="F1391" s="7" t="s">
        <v>3170</v>
      </c>
      <c r="G1391" s="7" t="s">
        <v>3170</v>
      </c>
      <c r="H1391" s="7"/>
      <c r="I1391" s="7"/>
      <c r="J1391" s="7" t="s">
        <v>3155</v>
      </c>
      <c r="K1391" s="7" t="s">
        <v>3156</v>
      </c>
      <c r="L1391" s="7" t="s">
        <v>3157</v>
      </c>
      <c r="M1391" s="7" t="s">
        <v>3158</v>
      </c>
      <c r="N1391" s="7" t="s">
        <v>197</v>
      </c>
      <c r="O1391" s="7" t="s">
        <v>105</v>
      </c>
      <c r="P1391" s="7" t="s">
        <v>54</v>
      </c>
      <c r="Q1391" s="11">
        <v>90977.46</v>
      </c>
      <c r="R1391" s="9">
        <v>0</v>
      </c>
      <c r="S1391" s="9">
        <f t="shared" si="46"/>
        <v>90977.46</v>
      </c>
      <c r="T1391" s="7" t="s">
        <v>53</v>
      </c>
      <c r="U1391" s="7" t="s">
        <v>3159</v>
      </c>
      <c r="V1391" s="7" t="s">
        <v>3160</v>
      </c>
      <c r="W1391" s="9">
        <v>-1.25</v>
      </c>
      <c r="X1391" s="7" t="s">
        <v>1501</v>
      </c>
      <c r="Y1391" s="4"/>
      <c r="Z1391" s="7" t="s">
        <v>14</v>
      </c>
      <c r="AA1391" s="36" t="s">
        <v>29</v>
      </c>
      <c r="AB1391" s="4" t="s">
        <v>2607</v>
      </c>
      <c r="AC1391" s="22">
        <f t="shared" si="45"/>
        <v>35.67743529411765</v>
      </c>
      <c r="AD1391" s="23">
        <v>0</v>
      </c>
    </row>
    <row r="1392" spans="1:30" x14ac:dyDescent="0.35">
      <c r="A1392" s="7">
        <v>7819</v>
      </c>
      <c r="B1392" s="24">
        <v>45860.592685185184</v>
      </c>
      <c r="C1392" s="24">
        <v>45860</v>
      </c>
      <c r="D1392" s="7" t="s">
        <v>3171</v>
      </c>
      <c r="E1392" s="7" t="s">
        <v>61</v>
      </c>
      <c r="F1392" s="7" t="s">
        <v>3172</v>
      </c>
      <c r="G1392" s="7" t="s">
        <v>3172</v>
      </c>
      <c r="H1392" s="7"/>
      <c r="I1392" s="7"/>
      <c r="J1392" s="7" t="s">
        <v>3155</v>
      </c>
      <c r="K1392" s="7" t="s">
        <v>3156</v>
      </c>
      <c r="L1392" s="7" t="s">
        <v>3157</v>
      </c>
      <c r="M1392" s="7" t="s">
        <v>3158</v>
      </c>
      <c r="N1392" s="7" t="s">
        <v>197</v>
      </c>
      <c r="O1392" s="7" t="s">
        <v>105</v>
      </c>
      <c r="P1392" s="7" t="s">
        <v>54</v>
      </c>
      <c r="Q1392" s="11">
        <v>490347.37</v>
      </c>
      <c r="R1392" s="9">
        <v>0</v>
      </c>
      <c r="S1392" s="9">
        <f t="shared" si="46"/>
        <v>490347.37</v>
      </c>
      <c r="T1392" s="7" t="s">
        <v>53</v>
      </c>
      <c r="U1392" s="7" t="s">
        <v>3159</v>
      </c>
      <c r="V1392" s="7" t="s">
        <v>3160</v>
      </c>
      <c r="W1392" s="9">
        <v>-4</v>
      </c>
      <c r="X1392" s="7" t="s">
        <v>1501</v>
      </c>
      <c r="Y1392" s="4"/>
      <c r="Z1392" s="7" t="s">
        <v>14</v>
      </c>
      <c r="AA1392" s="36" t="s">
        <v>29</v>
      </c>
      <c r="AB1392" s="4" t="s">
        <v>2607</v>
      </c>
      <c r="AC1392" s="22">
        <f t="shared" si="45"/>
        <v>192.29308627450979</v>
      </c>
      <c r="AD1392" s="23">
        <v>0</v>
      </c>
    </row>
    <row r="1393" spans="1:30" x14ac:dyDescent="0.35">
      <c r="A1393" s="7">
        <v>8628</v>
      </c>
      <c r="B1393" s="24">
        <v>45869.572129629632</v>
      </c>
      <c r="C1393" s="24">
        <v>45869</v>
      </c>
      <c r="D1393" s="7" t="s">
        <v>3173</v>
      </c>
      <c r="E1393" s="7" t="s">
        <v>61</v>
      </c>
      <c r="F1393" s="7" t="s">
        <v>3174</v>
      </c>
      <c r="G1393" s="7" t="s">
        <v>3174</v>
      </c>
      <c r="H1393" s="7"/>
      <c r="I1393" s="7"/>
      <c r="J1393" s="7" t="s">
        <v>3155</v>
      </c>
      <c r="K1393" s="7" t="s">
        <v>3156</v>
      </c>
      <c r="L1393" s="7" t="s">
        <v>3157</v>
      </c>
      <c r="M1393" s="7" t="s">
        <v>3158</v>
      </c>
      <c r="N1393" s="7" t="s">
        <v>197</v>
      </c>
      <c r="O1393" s="7" t="s">
        <v>105</v>
      </c>
      <c r="P1393" s="7" t="s">
        <v>54</v>
      </c>
      <c r="Q1393" s="11">
        <v>187657.22</v>
      </c>
      <c r="R1393" s="9">
        <v>0</v>
      </c>
      <c r="S1393" s="9">
        <f t="shared" si="46"/>
        <v>187657.22</v>
      </c>
      <c r="T1393" s="7" t="s">
        <v>53</v>
      </c>
      <c r="U1393" s="7" t="s">
        <v>3159</v>
      </c>
      <c r="V1393" s="7" t="s">
        <v>3160</v>
      </c>
      <c r="W1393" s="9">
        <v>-3</v>
      </c>
      <c r="X1393" s="7" t="s">
        <v>1501</v>
      </c>
      <c r="Y1393" s="4"/>
      <c r="Z1393" s="7" t="s">
        <v>14</v>
      </c>
      <c r="AA1393" s="36" t="s">
        <v>29</v>
      </c>
      <c r="AB1393" s="4" t="s">
        <v>2607</v>
      </c>
      <c r="AC1393" s="22">
        <f t="shared" si="45"/>
        <v>73.591066666666663</v>
      </c>
      <c r="AD1393" s="23">
        <v>0</v>
      </c>
    </row>
    <row r="1394" spans="1:30" x14ac:dyDescent="0.35">
      <c r="A1394" s="7">
        <v>8630</v>
      </c>
      <c r="B1394" s="24">
        <v>45869.564143518517</v>
      </c>
      <c r="C1394" s="24">
        <v>45869</v>
      </c>
      <c r="D1394" s="7" t="s">
        <v>3175</v>
      </c>
      <c r="E1394" s="7" t="s">
        <v>61</v>
      </c>
      <c r="F1394" s="7" t="s">
        <v>3176</v>
      </c>
      <c r="G1394" s="7" t="s">
        <v>3176</v>
      </c>
      <c r="H1394" s="7"/>
      <c r="I1394" s="7"/>
      <c r="J1394" s="7" t="s">
        <v>3155</v>
      </c>
      <c r="K1394" s="7" t="s">
        <v>3156</v>
      </c>
      <c r="L1394" s="7" t="s">
        <v>3157</v>
      </c>
      <c r="M1394" s="7" t="s">
        <v>3158</v>
      </c>
      <c r="N1394" s="7" t="s">
        <v>96</v>
      </c>
      <c r="O1394" s="7" t="s">
        <v>68</v>
      </c>
      <c r="P1394" s="7" t="s">
        <v>54</v>
      </c>
      <c r="Q1394" s="11">
        <v>122533.47</v>
      </c>
      <c r="R1394" s="9">
        <v>0</v>
      </c>
      <c r="S1394" s="9">
        <f t="shared" si="46"/>
        <v>122533.47</v>
      </c>
      <c r="T1394" s="7" t="s">
        <v>53</v>
      </c>
      <c r="U1394" s="7" t="s">
        <v>3177</v>
      </c>
      <c r="V1394" s="7" t="s">
        <v>3160</v>
      </c>
      <c r="W1394" s="9">
        <v>-2</v>
      </c>
      <c r="X1394" s="7" t="s">
        <v>1501</v>
      </c>
      <c r="Y1394" s="4"/>
      <c r="Z1394" s="7" t="s">
        <v>14</v>
      </c>
      <c r="AA1394" s="36" t="s">
        <v>27</v>
      </c>
      <c r="AB1394" s="4" t="str">
        <f t="shared" si="47"/>
        <v>ROADS</v>
      </c>
      <c r="AC1394" s="22">
        <f t="shared" si="45"/>
        <v>48.052341176470591</v>
      </c>
      <c r="AD1394" s="23">
        <v>0</v>
      </c>
    </row>
    <row r="1395" spans="1:30" x14ac:dyDescent="0.35">
      <c r="A1395" s="7">
        <v>8631</v>
      </c>
      <c r="B1395" s="24">
        <v>45869.558842592596</v>
      </c>
      <c r="C1395" s="24">
        <v>45869</v>
      </c>
      <c r="D1395" s="7" t="s">
        <v>3178</v>
      </c>
      <c r="E1395" s="7" t="s">
        <v>61</v>
      </c>
      <c r="F1395" s="7" t="s">
        <v>3179</v>
      </c>
      <c r="G1395" s="7" t="s">
        <v>3179</v>
      </c>
      <c r="H1395" s="7"/>
      <c r="I1395" s="7"/>
      <c r="J1395" s="7" t="s">
        <v>3155</v>
      </c>
      <c r="K1395" s="7" t="s">
        <v>3156</v>
      </c>
      <c r="L1395" s="7" t="s">
        <v>3157</v>
      </c>
      <c r="M1395" s="7" t="s">
        <v>3158</v>
      </c>
      <c r="N1395" s="7" t="s">
        <v>197</v>
      </c>
      <c r="O1395" s="7" t="s">
        <v>105</v>
      </c>
      <c r="P1395" s="7" t="s">
        <v>54</v>
      </c>
      <c r="Q1395" s="11">
        <v>93828.61</v>
      </c>
      <c r="R1395" s="9">
        <v>0</v>
      </c>
      <c r="S1395" s="9">
        <f t="shared" si="46"/>
        <v>93828.61</v>
      </c>
      <c r="T1395" s="7" t="s">
        <v>53</v>
      </c>
      <c r="U1395" s="7" t="s">
        <v>3159</v>
      </c>
      <c r="V1395" s="7" t="s">
        <v>3160</v>
      </c>
      <c r="W1395" s="9">
        <v>-1.5</v>
      </c>
      <c r="X1395" s="7" t="s">
        <v>1501</v>
      </c>
      <c r="Y1395" s="4"/>
      <c r="Z1395" s="7" t="s">
        <v>14</v>
      </c>
      <c r="AA1395" s="36" t="s">
        <v>29</v>
      </c>
      <c r="AB1395" s="4" t="s">
        <v>2607</v>
      </c>
      <c r="AC1395" s="22">
        <f t="shared" si="45"/>
        <v>36.795533333333331</v>
      </c>
      <c r="AD1395" s="23">
        <v>0</v>
      </c>
    </row>
    <row r="1396" spans="1:30" x14ac:dyDescent="0.35">
      <c r="A1396" s="7">
        <v>9002</v>
      </c>
      <c r="B1396" s="24">
        <v>45873.597418981481</v>
      </c>
      <c r="C1396" s="24">
        <v>45873</v>
      </c>
      <c r="D1396" s="7" t="s">
        <v>3180</v>
      </c>
      <c r="E1396" s="7" t="s">
        <v>61</v>
      </c>
      <c r="F1396" s="7" t="s">
        <v>3181</v>
      </c>
      <c r="G1396" s="7" t="s">
        <v>3181</v>
      </c>
      <c r="H1396" s="7"/>
      <c r="I1396" s="7"/>
      <c r="J1396" s="7" t="s">
        <v>3155</v>
      </c>
      <c r="K1396" s="7" t="s">
        <v>3156</v>
      </c>
      <c r="L1396" s="7" t="s">
        <v>3157</v>
      </c>
      <c r="M1396" s="7" t="s">
        <v>3158</v>
      </c>
      <c r="N1396" s="7" t="s">
        <v>197</v>
      </c>
      <c r="O1396" s="7" t="s">
        <v>105</v>
      </c>
      <c r="P1396" s="7" t="s">
        <v>54</v>
      </c>
      <c r="Q1396" s="11">
        <v>187530.02</v>
      </c>
      <c r="R1396" s="9">
        <v>0</v>
      </c>
      <c r="S1396" s="9">
        <f t="shared" si="46"/>
        <v>187530.02</v>
      </c>
      <c r="T1396" s="7" t="s">
        <v>53</v>
      </c>
      <c r="U1396" s="7" t="s">
        <v>3159</v>
      </c>
      <c r="V1396" s="7" t="s">
        <v>3160</v>
      </c>
      <c r="W1396" s="9">
        <v>-3</v>
      </c>
      <c r="X1396" s="7" t="s">
        <v>1501</v>
      </c>
      <c r="Y1396" s="4"/>
      <c r="Z1396" s="7" t="s">
        <v>14</v>
      </c>
      <c r="AA1396" s="36" t="s">
        <v>29</v>
      </c>
      <c r="AB1396" s="4" t="s">
        <v>2607</v>
      </c>
      <c r="AC1396" s="22">
        <f t="shared" si="45"/>
        <v>73.541184313725481</v>
      </c>
      <c r="AD1396" s="23">
        <v>0</v>
      </c>
    </row>
    <row r="1397" spans="1:30" x14ac:dyDescent="0.35">
      <c r="A1397" s="7">
        <v>9669</v>
      </c>
      <c r="B1397" s="24">
        <v>45880.573599537034</v>
      </c>
      <c r="C1397" s="24">
        <v>45880</v>
      </c>
      <c r="D1397" s="7" t="s">
        <v>3182</v>
      </c>
      <c r="E1397" s="7" t="s">
        <v>61</v>
      </c>
      <c r="F1397" s="7" t="s">
        <v>3183</v>
      </c>
      <c r="G1397" s="7" t="s">
        <v>3183</v>
      </c>
      <c r="H1397" s="7"/>
      <c r="I1397" s="7"/>
      <c r="J1397" s="7" t="s">
        <v>3155</v>
      </c>
      <c r="K1397" s="7" t="s">
        <v>3156</v>
      </c>
      <c r="L1397" s="7" t="s">
        <v>3157</v>
      </c>
      <c r="M1397" s="7" t="s">
        <v>3158</v>
      </c>
      <c r="N1397" s="7" t="s">
        <v>197</v>
      </c>
      <c r="O1397" s="7" t="s">
        <v>105</v>
      </c>
      <c r="P1397" s="7" t="s">
        <v>54</v>
      </c>
      <c r="Q1397" s="11">
        <v>444936.84</v>
      </c>
      <c r="R1397" s="9">
        <v>0</v>
      </c>
      <c r="S1397" s="9">
        <f t="shared" si="46"/>
        <v>444936.84</v>
      </c>
      <c r="T1397" s="7" t="s">
        <v>53</v>
      </c>
      <c r="U1397" s="7" t="s">
        <v>3159</v>
      </c>
      <c r="V1397" s="7" t="s">
        <v>3160</v>
      </c>
      <c r="W1397" s="9">
        <v>-3</v>
      </c>
      <c r="X1397" s="7" t="s">
        <v>1501</v>
      </c>
      <c r="Y1397" s="4"/>
      <c r="Z1397" s="7" t="s">
        <v>14</v>
      </c>
      <c r="AA1397" s="36" t="s">
        <v>29</v>
      </c>
      <c r="AB1397" s="4" t="s">
        <v>2607</v>
      </c>
      <c r="AC1397" s="22">
        <f t="shared" si="45"/>
        <v>174.48503529411767</v>
      </c>
      <c r="AD1397" s="23">
        <v>0</v>
      </c>
    </row>
    <row r="1398" spans="1:30" x14ac:dyDescent="0.35">
      <c r="A1398" s="7">
        <v>12393</v>
      </c>
      <c r="B1398" s="24">
        <v>45910.595023148147</v>
      </c>
      <c r="C1398" s="24">
        <v>45910</v>
      </c>
      <c r="D1398" s="7" t="s">
        <v>3184</v>
      </c>
      <c r="E1398" s="7" t="s">
        <v>61</v>
      </c>
      <c r="F1398" s="7" t="s">
        <v>3185</v>
      </c>
      <c r="G1398" s="7" t="s">
        <v>3185</v>
      </c>
      <c r="H1398" s="7"/>
      <c r="I1398" s="7"/>
      <c r="J1398" s="7" t="s">
        <v>3155</v>
      </c>
      <c r="K1398" s="7" t="s">
        <v>3156</v>
      </c>
      <c r="L1398" s="7" t="s">
        <v>3157</v>
      </c>
      <c r="M1398" s="7" t="s">
        <v>3158</v>
      </c>
      <c r="N1398" s="7" t="s">
        <v>96</v>
      </c>
      <c r="O1398" s="7" t="s">
        <v>68</v>
      </c>
      <c r="P1398" s="7" t="s">
        <v>54</v>
      </c>
      <c r="Q1398" s="11">
        <v>311090.90999999997</v>
      </c>
      <c r="R1398" s="9">
        <v>0</v>
      </c>
      <c r="S1398" s="9">
        <f t="shared" si="46"/>
        <v>311090.90999999997</v>
      </c>
      <c r="T1398" s="7" t="s">
        <v>53</v>
      </c>
      <c r="U1398" s="7" t="s">
        <v>3159</v>
      </c>
      <c r="V1398" s="7" t="s">
        <v>3160</v>
      </c>
      <c r="W1398" s="9">
        <v>-5</v>
      </c>
      <c r="X1398" s="7" t="s">
        <v>1501</v>
      </c>
      <c r="Y1398" s="4"/>
      <c r="Z1398" s="7" t="s">
        <v>14</v>
      </c>
      <c r="AA1398" s="36" t="s">
        <v>27</v>
      </c>
      <c r="AB1398" s="4" t="str">
        <f t="shared" si="47"/>
        <v>ROADS</v>
      </c>
      <c r="AC1398" s="22">
        <f t="shared" si="45"/>
        <v>121.99643529411763</v>
      </c>
      <c r="AD1398" s="23">
        <v>0</v>
      </c>
    </row>
    <row r="1399" spans="1:30" x14ac:dyDescent="0.35">
      <c r="A1399" s="7">
        <v>12398</v>
      </c>
      <c r="B1399" s="24">
        <v>45910.578379629631</v>
      </c>
      <c r="C1399" s="24">
        <v>45910</v>
      </c>
      <c r="D1399" s="7" t="s">
        <v>3186</v>
      </c>
      <c r="E1399" s="7" t="s">
        <v>61</v>
      </c>
      <c r="F1399" s="7" t="s">
        <v>3187</v>
      </c>
      <c r="G1399" s="7" t="s">
        <v>3187</v>
      </c>
      <c r="H1399" s="7"/>
      <c r="I1399" s="7"/>
      <c r="J1399" s="7" t="s">
        <v>3155</v>
      </c>
      <c r="K1399" s="7" t="s">
        <v>3156</v>
      </c>
      <c r="L1399" s="7" t="s">
        <v>3157</v>
      </c>
      <c r="M1399" s="7" t="s">
        <v>3158</v>
      </c>
      <c r="N1399" s="7" t="s">
        <v>106</v>
      </c>
      <c r="O1399" s="7" t="s">
        <v>105</v>
      </c>
      <c r="P1399" s="7" t="s">
        <v>54</v>
      </c>
      <c r="Q1399" s="11">
        <v>248872.72</v>
      </c>
      <c r="R1399" s="9">
        <v>0</v>
      </c>
      <c r="S1399" s="9">
        <f t="shared" si="46"/>
        <v>248872.72</v>
      </c>
      <c r="T1399" s="7" t="s">
        <v>53</v>
      </c>
      <c r="U1399" s="7" t="s">
        <v>3159</v>
      </c>
      <c r="V1399" s="7" t="s">
        <v>3160</v>
      </c>
      <c r="W1399" s="9">
        <v>-4</v>
      </c>
      <c r="X1399" s="7" t="s">
        <v>1501</v>
      </c>
      <c r="Y1399" s="4"/>
      <c r="Z1399" s="7" t="s">
        <v>14</v>
      </c>
      <c r="AA1399" s="36" t="s">
        <v>15</v>
      </c>
      <c r="AB1399" s="4" t="str">
        <f t="shared" si="47"/>
        <v>RM SHED</v>
      </c>
      <c r="AC1399" s="22">
        <f t="shared" si="45"/>
        <v>97.597145098039221</v>
      </c>
      <c r="AD1399" s="23">
        <v>0</v>
      </c>
    </row>
    <row r="1400" spans="1:30" x14ac:dyDescent="0.35">
      <c r="A1400" s="7">
        <v>12399</v>
      </c>
      <c r="B1400" s="24">
        <v>45910.57775462963</v>
      </c>
      <c r="C1400" s="24">
        <v>45910</v>
      </c>
      <c r="D1400" s="7" t="s">
        <v>3188</v>
      </c>
      <c r="E1400" s="7" t="s">
        <v>61</v>
      </c>
      <c r="F1400" s="7" t="s">
        <v>3189</v>
      </c>
      <c r="G1400" s="7" t="s">
        <v>3189</v>
      </c>
      <c r="H1400" s="7"/>
      <c r="I1400" s="7"/>
      <c r="J1400" s="7" t="s">
        <v>3155</v>
      </c>
      <c r="K1400" s="7" t="s">
        <v>3156</v>
      </c>
      <c r="L1400" s="7" t="s">
        <v>3157</v>
      </c>
      <c r="M1400" s="7" t="s">
        <v>3158</v>
      </c>
      <c r="N1400" s="7" t="s">
        <v>96</v>
      </c>
      <c r="O1400" s="7" t="s">
        <v>68</v>
      </c>
      <c r="P1400" s="7" t="s">
        <v>54</v>
      </c>
      <c r="Q1400" s="11">
        <v>311090.90999999997</v>
      </c>
      <c r="R1400" s="9">
        <v>0</v>
      </c>
      <c r="S1400" s="9">
        <f t="shared" si="46"/>
        <v>311090.90999999997</v>
      </c>
      <c r="T1400" s="7" t="s">
        <v>53</v>
      </c>
      <c r="U1400" s="7" t="s">
        <v>3159</v>
      </c>
      <c r="V1400" s="7" t="s">
        <v>3160</v>
      </c>
      <c r="W1400" s="9">
        <v>-5</v>
      </c>
      <c r="X1400" s="7" t="s">
        <v>1501</v>
      </c>
      <c r="Y1400" s="4"/>
      <c r="Z1400" s="7" t="s">
        <v>14</v>
      </c>
      <c r="AA1400" s="36" t="s">
        <v>27</v>
      </c>
      <c r="AB1400" s="4" t="str">
        <f t="shared" si="47"/>
        <v>ROADS</v>
      </c>
      <c r="AC1400" s="22">
        <f t="shared" si="45"/>
        <v>121.99643529411763</v>
      </c>
      <c r="AD1400" s="23">
        <v>0</v>
      </c>
    </row>
    <row r="1401" spans="1:30" x14ac:dyDescent="0.35">
      <c r="A1401" s="7">
        <v>13174</v>
      </c>
      <c r="B1401" s="24">
        <v>45918.602696759262</v>
      </c>
      <c r="C1401" s="24">
        <v>45918</v>
      </c>
      <c r="D1401" s="7" t="s">
        <v>3190</v>
      </c>
      <c r="E1401" s="7" t="s">
        <v>61</v>
      </c>
      <c r="F1401" s="7" t="s">
        <v>3191</v>
      </c>
      <c r="G1401" s="7" t="s">
        <v>3191</v>
      </c>
      <c r="H1401" s="7"/>
      <c r="I1401" s="7"/>
      <c r="J1401" s="7" t="s">
        <v>3155</v>
      </c>
      <c r="K1401" s="7" t="s">
        <v>3156</v>
      </c>
      <c r="L1401" s="7" t="s">
        <v>3157</v>
      </c>
      <c r="M1401" s="7" t="s">
        <v>3158</v>
      </c>
      <c r="N1401" s="7" t="s">
        <v>106</v>
      </c>
      <c r="O1401" s="7" t="s">
        <v>105</v>
      </c>
      <c r="P1401" s="7" t="s">
        <v>54</v>
      </c>
      <c r="Q1401" s="11">
        <v>301186.59999999998</v>
      </c>
      <c r="R1401" s="9">
        <v>0</v>
      </c>
      <c r="S1401" s="9">
        <f t="shared" si="46"/>
        <v>301186.59999999998</v>
      </c>
      <c r="T1401" s="7" t="s">
        <v>53</v>
      </c>
      <c r="U1401" s="7" t="s">
        <v>3177</v>
      </c>
      <c r="V1401" s="7" t="s">
        <v>3160</v>
      </c>
      <c r="W1401" s="9">
        <v>-2</v>
      </c>
      <c r="X1401" s="7" t="s">
        <v>1501</v>
      </c>
      <c r="Y1401" s="4"/>
      <c r="Z1401" s="7" t="s">
        <v>14</v>
      </c>
      <c r="AA1401" s="36" t="s">
        <v>15</v>
      </c>
      <c r="AB1401" s="4" t="str">
        <f t="shared" si="47"/>
        <v>RM SHED</v>
      </c>
      <c r="AC1401" s="22">
        <f t="shared" si="45"/>
        <v>118.11239215686274</v>
      </c>
      <c r="AD1401" s="23">
        <v>0</v>
      </c>
    </row>
    <row r="1402" spans="1:30" x14ac:dyDescent="0.35">
      <c r="A1402" s="7">
        <v>13175</v>
      </c>
      <c r="B1402" s="24">
        <v>45918.601840277777</v>
      </c>
      <c r="C1402" s="24">
        <v>45918</v>
      </c>
      <c r="D1402" s="7" t="s">
        <v>3192</v>
      </c>
      <c r="E1402" s="7" t="s">
        <v>61</v>
      </c>
      <c r="F1402" s="7" t="s">
        <v>3193</v>
      </c>
      <c r="G1402" s="7" t="s">
        <v>3193</v>
      </c>
      <c r="H1402" s="7"/>
      <c r="I1402" s="7"/>
      <c r="J1402" s="7" t="s">
        <v>3155</v>
      </c>
      <c r="K1402" s="7" t="s">
        <v>3156</v>
      </c>
      <c r="L1402" s="7" t="s">
        <v>3157</v>
      </c>
      <c r="M1402" s="7" t="s">
        <v>3158</v>
      </c>
      <c r="N1402" s="7" t="s">
        <v>96</v>
      </c>
      <c r="O1402" s="7" t="s">
        <v>68</v>
      </c>
      <c r="P1402" s="7" t="s">
        <v>54</v>
      </c>
      <c r="Q1402" s="11">
        <v>602373.19999999995</v>
      </c>
      <c r="R1402" s="9">
        <v>0</v>
      </c>
      <c r="S1402" s="9">
        <f t="shared" si="46"/>
        <v>602373.19999999995</v>
      </c>
      <c r="T1402" s="7" t="s">
        <v>53</v>
      </c>
      <c r="U1402" s="7" t="s">
        <v>3177</v>
      </c>
      <c r="V1402" s="7" t="s">
        <v>3160</v>
      </c>
      <c r="W1402" s="9">
        <v>-4</v>
      </c>
      <c r="X1402" s="7" t="s">
        <v>1501</v>
      </c>
      <c r="Y1402" s="4"/>
      <c r="Z1402" s="7" t="s">
        <v>14</v>
      </c>
      <c r="AA1402" s="36" t="s">
        <v>27</v>
      </c>
      <c r="AB1402" s="4" t="str">
        <f t="shared" si="47"/>
        <v>ROADS</v>
      </c>
      <c r="AC1402" s="22">
        <f t="shared" si="45"/>
        <v>236.22478431372548</v>
      </c>
      <c r="AD1402" s="23">
        <v>0</v>
      </c>
    </row>
    <row r="1403" spans="1:30" x14ac:dyDescent="0.35">
      <c r="A1403" s="7">
        <v>13545</v>
      </c>
      <c r="B1403" s="24">
        <v>45922.283506944441</v>
      </c>
      <c r="C1403" s="24">
        <v>45922</v>
      </c>
      <c r="D1403" s="7" t="s">
        <v>3194</v>
      </c>
      <c r="E1403" s="7" t="s">
        <v>61</v>
      </c>
      <c r="F1403" s="7" t="s">
        <v>3195</v>
      </c>
      <c r="G1403" s="7" t="s">
        <v>3195</v>
      </c>
      <c r="H1403" s="7"/>
      <c r="I1403" s="7"/>
      <c r="J1403" s="7" t="s">
        <v>3155</v>
      </c>
      <c r="K1403" s="7" t="s">
        <v>3156</v>
      </c>
      <c r="L1403" s="7" t="s">
        <v>3157</v>
      </c>
      <c r="M1403" s="7" t="s">
        <v>3158</v>
      </c>
      <c r="N1403" s="7" t="s">
        <v>106</v>
      </c>
      <c r="O1403" s="7" t="s">
        <v>105</v>
      </c>
      <c r="P1403" s="7" t="s">
        <v>54</v>
      </c>
      <c r="Q1403" s="11">
        <v>872673.57</v>
      </c>
      <c r="R1403" s="9">
        <v>0</v>
      </c>
      <c r="S1403" s="9">
        <f t="shared" si="46"/>
        <v>872673.57</v>
      </c>
      <c r="T1403" s="7" t="s">
        <v>53</v>
      </c>
      <c r="U1403" s="7" t="s">
        <v>3159</v>
      </c>
      <c r="V1403" s="7" t="s">
        <v>3160</v>
      </c>
      <c r="W1403" s="9">
        <v>-14</v>
      </c>
      <c r="X1403" s="7" t="s">
        <v>1501</v>
      </c>
      <c r="Y1403" s="4"/>
      <c r="Z1403" s="7" t="s">
        <v>14</v>
      </c>
      <c r="AA1403" s="36" t="s">
        <v>15</v>
      </c>
      <c r="AB1403" s="4" t="str">
        <f t="shared" si="47"/>
        <v>RM SHED</v>
      </c>
      <c r="AC1403" s="22">
        <f t="shared" si="45"/>
        <v>342.22492941176466</v>
      </c>
      <c r="AD1403" s="23">
        <v>0</v>
      </c>
    </row>
    <row r="1404" spans="1:30" x14ac:dyDescent="0.35">
      <c r="A1404" s="7">
        <v>13832</v>
      </c>
      <c r="B1404" s="24">
        <v>45925.590405092589</v>
      </c>
      <c r="C1404" s="24">
        <v>45925</v>
      </c>
      <c r="D1404" s="7" t="s">
        <v>3196</v>
      </c>
      <c r="E1404" s="7" t="s">
        <v>61</v>
      </c>
      <c r="F1404" s="7" t="s">
        <v>3197</v>
      </c>
      <c r="G1404" s="7" t="s">
        <v>3197</v>
      </c>
      <c r="H1404" s="7"/>
      <c r="I1404" s="7"/>
      <c r="J1404" s="7" t="s">
        <v>3155</v>
      </c>
      <c r="K1404" s="7" t="s">
        <v>3156</v>
      </c>
      <c r="L1404" s="7" t="s">
        <v>3157</v>
      </c>
      <c r="M1404" s="7" t="s">
        <v>3158</v>
      </c>
      <c r="N1404" s="7" t="s">
        <v>114</v>
      </c>
      <c r="O1404" s="7" t="s">
        <v>68</v>
      </c>
      <c r="P1404" s="7" t="s">
        <v>54</v>
      </c>
      <c r="Q1404" s="11">
        <v>580067.21</v>
      </c>
      <c r="R1404" s="9">
        <v>0</v>
      </c>
      <c r="S1404" s="9">
        <f t="shared" si="46"/>
        <v>580067.21</v>
      </c>
      <c r="T1404" s="7" t="s">
        <v>53</v>
      </c>
      <c r="U1404" s="7" t="s">
        <v>3177</v>
      </c>
      <c r="V1404" s="7" t="s">
        <v>3160</v>
      </c>
      <c r="W1404" s="9">
        <v>-4</v>
      </c>
      <c r="X1404" s="7" t="s">
        <v>1501</v>
      </c>
      <c r="Y1404" s="4"/>
      <c r="Z1404" s="7" t="s">
        <v>14</v>
      </c>
      <c r="AA1404" s="36" t="s">
        <v>31</v>
      </c>
      <c r="AB1404" s="4" t="str">
        <f t="shared" si="47"/>
        <v>WALL</v>
      </c>
      <c r="AC1404" s="22">
        <f t="shared" si="45"/>
        <v>227.47733725490195</v>
      </c>
      <c r="AD1404" s="23">
        <v>0</v>
      </c>
    </row>
    <row r="1405" spans="1:30" x14ac:dyDescent="0.35">
      <c r="A1405" s="7">
        <v>14962</v>
      </c>
      <c r="B1405" s="24">
        <v>45937.594976851855</v>
      </c>
      <c r="C1405" s="24">
        <v>45937</v>
      </c>
      <c r="D1405" s="7" t="s">
        <v>3198</v>
      </c>
      <c r="E1405" s="7" t="s">
        <v>61</v>
      </c>
      <c r="F1405" s="7" t="s">
        <v>3199</v>
      </c>
      <c r="G1405" s="7" t="s">
        <v>3199</v>
      </c>
      <c r="H1405" s="7"/>
      <c r="I1405" s="7"/>
      <c r="J1405" s="7" t="s">
        <v>3155</v>
      </c>
      <c r="K1405" s="7" t="s">
        <v>3156</v>
      </c>
      <c r="L1405" s="7" t="s">
        <v>3157</v>
      </c>
      <c r="M1405" s="7" t="s">
        <v>3158</v>
      </c>
      <c r="N1405" s="7" t="s">
        <v>106</v>
      </c>
      <c r="O1405" s="7" t="s">
        <v>105</v>
      </c>
      <c r="P1405" s="7" t="s">
        <v>54</v>
      </c>
      <c r="Q1405" s="11">
        <v>1841949.32</v>
      </c>
      <c r="R1405" s="9">
        <v>0</v>
      </c>
      <c r="S1405" s="9">
        <f t="shared" si="46"/>
        <v>1841949.32</v>
      </c>
      <c r="T1405" s="7" t="s">
        <v>53</v>
      </c>
      <c r="U1405" s="7" t="s">
        <v>3159</v>
      </c>
      <c r="V1405" s="7" t="s">
        <v>3160</v>
      </c>
      <c r="W1405" s="9">
        <v>-12.5</v>
      </c>
      <c r="X1405" s="7" t="s">
        <v>1501</v>
      </c>
      <c r="Y1405" s="4"/>
      <c r="Z1405" s="7" t="s">
        <v>14</v>
      </c>
      <c r="AA1405" s="36" t="s">
        <v>15</v>
      </c>
      <c r="AB1405" s="4" t="str">
        <f t="shared" si="47"/>
        <v>RM SHED</v>
      </c>
      <c r="AC1405" s="22">
        <f t="shared" si="45"/>
        <v>722.3330666666667</v>
      </c>
      <c r="AD1405" s="23">
        <v>0</v>
      </c>
    </row>
    <row r="1406" spans="1:30" x14ac:dyDescent="0.35">
      <c r="A1406" s="7">
        <v>15987</v>
      </c>
      <c r="B1406" s="24">
        <v>45947.620069444441</v>
      </c>
      <c r="C1406" s="24">
        <v>45947</v>
      </c>
      <c r="D1406" s="7" t="s">
        <v>3200</v>
      </c>
      <c r="E1406" s="7" t="s">
        <v>61</v>
      </c>
      <c r="F1406" s="7" t="s">
        <v>3201</v>
      </c>
      <c r="G1406" s="7" t="s">
        <v>3201</v>
      </c>
      <c r="H1406" s="7"/>
      <c r="I1406" s="7"/>
      <c r="J1406" s="7" t="s">
        <v>3155</v>
      </c>
      <c r="K1406" s="7" t="s">
        <v>3156</v>
      </c>
      <c r="L1406" s="7" t="s">
        <v>3157</v>
      </c>
      <c r="M1406" s="7" t="s">
        <v>3158</v>
      </c>
      <c r="N1406" s="7" t="s">
        <v>106</v>
      </c>
      <c r="O1406" s="7" t="s">
        <v>105</v>
      </c>
      <c r="P1406" s="7" t="s">
        <v>54</v>
      </c>
      <c r="Q1406" s="11">
        <v>837900.66</v>
      </c>
      <c r="R1406" s="9">
        <v>0</v>
      </c>
      <c r="S1406" s="9">
        <f t="shared" si="46"/>
        <v>837900.66</v>
      </c>
      <c r="T1406" s="7" t="s">
        <v>53</v>
      </c>
      <c r="U1406" s="7" t="s">
        <v>3159</v>
      </c>
      <c r="V1406" s="7" t="s">
        <v>3160</v>
      </c>
      <c r="W1406" s="9">
        <v>-14</v>
      </c>
      <c r="X1406" s="7" t="s">
        <v>1501</v>
      </c>
      <c r="Y1406" s="4"/>
      <c r="Z1406" s="7" t="s">
        <v>14</v>
      </c>
      <c r="AA1406" s="36" t="s">
        <v>15</v>
      </c>
      <c r="AB1406" s="4" t="str">
        <f t="shared" si="47"/>
        <v>RM SHED</v>
      </c>
      <c r="AC1406" s="22">
        <f t="shared" si="45"/>
        <v>328.58849411764709</v>
      </c>
      <c r="AD1406" s="23">
        <v>0</v>
      </c>
    </row>
    <row r="1407" spans="1:30" x14ac:dyDescent="0.35">
      <c r="A1407" s="7">
        <v>364</v>
      </c>
      <c r="B1407" s="24">
        <v>45965.531076388892</v>
      </c>
      <c r="C1407" s="24">
        <v>45965</v>
      </c>
      <c r="D1407" s="7" t="s">
        <v>3202</v>
      </c>
      <c r="E1407" s="7" t="s">
        <v>61</v>
      </c>
      <c r="F1407" s="7" t="s">
        <v>3203</v>
      </c>
      <c r="G1407" s="7" t="s">
        <v>3203</v>
      </c>
      <c r="H1407" s="7"/>
      <c r="I1407" s="7"/>
      <c r="J1407" s="7" t="s">
        <v>59</v>
      </c>
      <c r="K1407" s="7" t="s">
        <v>58</v>
      </c>
      <c r="L1407" s="7" t="s">
        <v>57</v>
      </c>
      <c r="M1407" s="7" t="s">
        <v>32</v>
      </c>
      <c r="N1407" s="7" t="s">
        <v>106</v>
      </c>
      <c r="O1407" s="7" t="s">
        <v>105</v>
      </c>
      <c r="P1407" s="7" t="s">
        <v>54</v>
      </c>
      <c r="Q1407" s="9">
        <v>32204.11</v>
      </c>
      <c r="R1407" s="9">
        <v>0</v>
      </c>
      <c r="S1407" s="9">
        <f t="shared" si="46"/>
        <v>32204.11</v>
      </c>
      <c r="T1407" s="7" t="s">
        <v>53</v>
      </c>
      <c r="U1407" s="7" t="s">
        <v>117</v>
      </c>
      <c r="V1407" s="7" t="s">
        <v>2688</v>
      </c>
      <c r="W1407" s="9">
        <v>-10</v>
      </c>
      <c r="X1407" s="7" t="s">
        <v>94</v>
      </c>
      <c r="Y1407" s="4"/>
      <c r="Z1407" s="7" t="s">
        <v>14</v>
      </c>
      <c r="AA1407" s="36" t="s">
        <v>15</v>
      </c>
      <c r="AB1407" s="4" t="str">
        <f t="shared" si="47"/>
        <v>RM SHED</v>
      </c>
      <c r="AC1407" s="22">
        <f t="shared" si="45"/>
        <v>12.629062745098039</v>
      </c>
      <c r="AD1407" s="23">
        <v>0</v>
      </c>
    </row>
    <row r="1408" spans="1:30" x14ac:dyDescent="0.35">
      <c r="A1408" s="7">
        <v>365</v>
      </c>
      <c r="B1408" s="24">
        <v>45965.531076388892</v>
      </c>
      <c r="C1408" s="24">
        <v>45965</v>
      </c>
      <c r="D1408" s="7" t="s">
        <v>3204</v>
      </c>
      <c r="E1408" s="7" t="s">
        <v>61</v>
      </c>
      <c r="F1408" s="7" t="s">
        <v>3205</v>
      </c>
      <c r="G1408" s="7" t="s">
        <v>3205</v>
      </c>
      <c r="H1408" s="7"/>
      <c r="I1408" s="7"/>
      <c r="J1408" s="7" t="s">
        <v>59</v>
      </c>
      <c r="K1408" s="7" t="s">
        <v>58</v>
      </c>
      <c r="L1408" s="7" t="s">
        <v>57</v>
      </c>
      <c r="M1408" s="7" t="s">
        <v>32</v>
      </c>
      <c r="N1408" s="7" t="s">
        <v>106</v>
      </c>
      <c r="O1408" s="7" t="s">
        <v>105</v>
      </c>
      <c r="P1408" s="7" t="s">
        <v>54</v>
      </c>
      <c r="Q1408" s="9">
        <v>143500</v>
      </c>
      <c r="R1408" s="9">
        <v>0</v>
      </c>
      <c r="S1408" s="9">
        <f t="shared" si="46"/>
        <v>143500</v>
      </c>
      <c r="T1408" s="7" t="s">
        <v>53</v>
      </c>
      <c r="U1408" s="7" t="s">
        <v>133</v>
      </c>
      <c r="V1408" s="7" t="s">
        <v>2691</v>
      </c>
      <c r="W1408" s="9">
        <v>-28.7</v>
      </c>
      <c r="X1408" s="7" t="s">
        <v>124</v>
      </c>
      <c r="Y1408" s="4"/>
      <c r="Z1408" s="7" t="s">
        <v>14</v>
      </c>
      <c r="AA1408" s="36" t="s">
        <v>15</v>
      </c>
      <c r="AB1408" s="4" t="str">
        <f t="shared" si="47"/>
        <v>RM SHED</v>
      </c>
      <c r="AC1408" s="22">
        <f t="shared" si="45"/>
        <v>56.274509803921568</v>
      </c>
      <c r="AD1408" s="23">
        <v>0</v>
      </c>
    </row>
    <row r="1409" spans="1:30" x14ac:dyDescent="0.35">
      <c r="A1409" s="7">
        <v>368</v>
      </c>
      <c r="B1409" s="24">
        <v>45965.531076388892</v>
      </c>
      <c r="C1409" s="24">
        <v>45965</v>
      </c>
      <c r="D1409" s="7" t="s">
        <v>3206</v>
      </c>
      <c r="E1409" s="7" t="s">
        <v>61</v>
      </c>
      <c r="F1409" s="7" t="s">
        <v>3207</v>
      </c>
      <c r="G1409" s="7" t="s">
        <v>3207</v>
      </c>
      <c r="H1409" s="7"/>
      <c r="I1409" s="7"/>
      <c r="J1409" s="7" t="s">
        <v>59</v>
      </c>
      <c r="K1409" s="7" t="s">
        <v>58</v>
      </c>
      <c r="L1409" s="7" t="s">
        <v>57</v>
      </c>
      <c r="M1409" s="7" t="s">
        <v>32</v>
      </c>
      <c r="N1409" s="7" t="s">
        <v>106</v>
      </c>
      <c r="O1409" s="7" t="s">
        <v>105</v>
      </c>
      <c r="P1409" s="7" t="s">
        <v>54</v>
      </c>
      <c r="Q1409" s="9">
        <v>49756.37</v>
      </c>
      <c r="R1409" s="9">
        <v>0</v>
      </c>
      <c r="S1409" s="9">
        <f t="shared" si="46"/>
        <v>49756.37</v>
      </c>
      <c r="T1409" s="7" t="s">
        <v>53</v>
      </c>
      <c r="U1409" s="7" t="s">
        <v>739</v>
      </c>
      <c r="V1409" s="7" t="s">
        <v>2691</v>
      </c>
      <c r="W1409" s="9">
        <v>-5</v>
      </c>
      <c r="X1409" s="7" t="s">
        <v>124</v>
      </c>
      <c r="Y1409" s="4"/>
      <c r="Z1409" s="7" t="s">
        <v>14</v>
      </c>
      <c r="AA1409" s="36" t="s">
        <v>15</v>
      </c>
      <c r="AB1409" s="4" t="str">
        <f t="shared" si="47"/>
        <v>RM SHED</v>
      </c>
      <c r="AC1409" s="22">
        <f t="shared" ref="AC1409:AC1464" si="48">+S1409/$AC$1</f>
        <v>19.512301960784313</v>
      </c>
      <c r="AD1409" s="23">
        <v>0</v>
      </c>
    </row>
    <row r="1410" spans="1:30" x14ac:dyDescent="0.35">
      <c r="A1410" s="7">
        <v>1345</v>
      </c>
      <c r="B1410" s="24">
        <v>45966.616319444445</v>
      </c>
      <c r="C1410" s="24">
        <v>45966</v>
      </c>
      <c r="D1410" s="7" t="s">
        <v>3208</v>
      </c>
      <c r="E1410" s="7" t="s">
        <v>61</v>
      </c>
      <c r="F1410" s="7" t="s">
        <v>3209</v>
      </c>
      <c r="G1410" s="7" t="s">
        <v>3209</v>
      </c>
      <c r="H1410" s="7"/>
      <c r="I1410" s="7"/>
      <c r="J1410" s="7" t="s">
        <v>59</v>
      </c>
      <c r="K1410" s="7" t="s">
        <v>58</v>
      </c>
      <c r="L1410" s="7" t="s">
        <v>57</v>
      </c>
      <c r="M1410" s="7" t="s">
        <v>32</v>
      </c>
      <c r="N1410" s="7" t="s">
        <v>114</v>
      </c>
      <c r="O1410" s="7" t="s">
        <v>68</v>
      </c>
      <c r="P1410" s="7" t="s">
        <v>54</v>
      </c>
      <c r="Q1410" s="9">
        <v>1822302.65</v>
      </c>
      <c r="R1410" s="9">
        <v>0</v>
      </c>
      <c r="S1410" s="9">
        <f t="shared" si="46"/>
        <v>1822302.65</v>
      </c>
      <c r="T1410" s="7" t="s">
        <v>53</v>
      </c>
      <c r="U1410" s="7" t="s">
        <v>172</v>
      </c>
      <c r="V1410" s="7" t="s">
        <v>2691</v>
      </c>
      <c r="W1410" s="9">
        <v>-50</v>
      </c>
      <c r="X1410" s="7" t="s">
        <v>129</v>
      </c>
      <c r="Y1410" s="4"/>
      <c r="Z1410" s="7" t="s">
        <v>14</v>
      </c>
      <c r="AA1410" s="36" t="s">
        <v>31</v>
      </c>
      <c r="AB1410" s="4" t="str">
        <f t="shared" ref="AB1410:AB1465" si="49">_xlfn.SINGLE(IFERROR(_xlfn.XLOOKUP(AA1410,AA$3:AA$1219,AB$3:AB$1219),0))</f>
        <v>WALL</v>
      </c>
      <c r="AC1410" s="22">
        <f t="shared" si="48"/>
        <v>714.62849019607836</v>
      </c>
      <c r="AD1410" s="23">
        <v>0</v>
      </c>
    </row>
    <row r="1411" spans="1:30" x14ac:dyDescent="0.35">
      <c r="A1411" s="7">
        <v>1351</v>
      </c>
      <c r="B1411" s="24">
        <v>45966.615173611113</v>
      </c>
      <c r="C1411" s="24">
        <v>45966</v>
      </c>
      <c r="D1411" s="7" t="s">
        <v>3210</v>
      </c>
      <c r="E1411" s="7" t="s">
        <v>61</v>
      </c>
      <c r="F1411" s="7" t="s">
        <v>3211</v>
      </c>
      <c r="G1411" s="7" t="s">
        <v>3211</v>
      </c>
      <c r="H1411" s="7"/>
      <c r="I1411" s="7"/>
      <c r="J1411" s="7" t="s">
        <v>59</v>
      </c>
      <c r="K1411" s="7" t="s">
        <v>58</v>
      </c>
      <c r="L1411" s="7" t="s">
        <v>57</v>
      </c>
      <c r="M1411" s="7" t="s">
        <v>32</v>
      </c>
      <c r="N1411" s="7" t="s">
        <v>106</v>
      </c>
      <c r="O1411" s="7" t="s">
        <v>105</v>
      </c>
      <c r="P1411" s="7" t="s">
        <v>54</v>
      </c>
      <c r="Q1411" s="9">
        <v>738783.63</v>
      </c>
      <c r="R1411" s="9">
        <v>0</v>
      </c>
      <c r="S1411" s="9">
        <f t="shared" ref="S1411:S1474" si="50">+Q1411-R1411</f>
        <v>738783.63</v>
      </c>
      <c r="T1411" s="7" t="s">
        <v>53</v>
      </c>
      <c r="U1411" s="7" t="s">
        <v>350</v>
      </c>
      <c r="V1411" s="7" t="s">
        <v>2691</v>
      </c>
      <c r="W1411" s="9">
        <v>-13</v>
      </c>
      <c r="X1411" s="7" t="s">
        <v>129</v>
      </c>
      <c r="Y1411" s="4"/>
      <c r="Z1411" s="7" t="s">
        <v>14</v>
      </c>
      <c r="AA1411" s="36" t="s">
        <v>15</v>
      </c>
      <c r="AB1411" s="4" t="str">
        <f t="shared" si="49"/>
        <v>RM SHED</v>
      </c>
      <c r="AC1411" s="22">
        <f t="shared" si="48"/>
        <v>289.7190705882353</v>
      </c>
      <c r="AD1411" s="23">
        <v>0</v>
      </c>
    </row>
    <row r="1412" spans="1:30" x14ac:dyDescent="0.35">
      <c r="A1412" s="7">
        <v>1352</v>
      </c>
      <c r="B1412" s="24">
        <v>45966.615173611113</v>
      </c>
      <c r="C1412" s="24">
        <v>45966</v>
      </c>
      <c r="D1412" s="7" t="s">
        <v>3212</v>
      </c>
      <c r="E1412" s="7" t="s">
        <v>61</v>
      </c>
      <c r="F1412" s="7" t="s">
        <v>3213</v>
      </c>
      <c r="G1412" s="7" t="s">
        <v>3213</v>
      </c>
      <c r="H1412" s="7"/>
      <c r="I1412" s="7"/>
      <c r="J1412" s="7" t="s">
        <v>59</v>
      </c>
      <c r="K1412" s="7" t="s">
        <v>58</v>
      </c>
      <c r="L1412" s="7" t="s">
        <v>57</v>
      </c>
      <c r="M1412" s="7" t="s">
        <v>32</v>
      </c>
      <c r="N1412" s="7" t="s">
        <v>106</v>
      </c>
      <c r="O1412" s="7" t="s">
        <v>105</v>
      </c>
      <c r="P1412" s="7" t="s">
        <v>54</v>
      </c>
      <c r="Q1412" s="9">
        <v>757210.64</v>
      </c>
      <c r="R1412" s="9">
        <v>0</v>
      </c>
      <c r="S1412" s="9">
        <f t="shared" si="50"/>
        <v>757210.64</v>
      </c>
      <c r="T1412" s="7" t="s">
        <v>53</v>
      </c>
      <c r="U1412" s="7" t="s">
        <v>257</v>
      </c>
      <c r="V1412" s="7" t="s">
        <v>2691</v>
      </c>
      <c r="W1412" s="9">
        <v>-80</v>
      </c>
      <c r="X1412" s="7" t="s">
        <v>129</v>
      </c>
      <c r="Y1412" s="4"/>
      <c r="Z1412" s="7" t="s">
        <v>14</v>
      </c>
      <c r="AA1412" s="36" t="s">
        <v>15</v>
      </c>
      <c r="AB1412" s="4" t="str">
        <f t="shared" si="49"/>
        <v>RM SHED</v>
      </c>
      <c r="AC1412" s="22">
        <f t="shared" si="48"/>
        <v>296.94534901960787</v>
      </c>
      <c r="AD1412" s="23">
        <v>0</v>
      </c>
    </row>
    <row r="1413" spans="1:30" x14ac:dyDescent="0.35">
      <c r="A1413" s="7">
        <v>1354</v>
      </c>
      <c r="B1413" s="24">
        <v>45966.615173611113</v>
      </c>
      <c r="C1413" s="24">
        <v>45966</v>
      </c>
      <c r="D1413" s="7" t="s">
        <v>3214</v>
      </c>
      <c r="E1413" s="7" t="s">
        <v>61</v>
      </c>
      <c r="F1413" s="7" t="s">
        <v>3215</v>
      </c>
      <c r="G1413" s="7" t="s">
        <v>3215</v>
      </c>
      <c r="H1413" s="7"/>
      <c r="I1413" s="7"/>
      <c r="J1413" s="7" t="s">
        <v>59</v>
      </c>
      <c r="K1413" s="7" t="s">
        <v>58</v>
      </c>
      <c r="L1413" s="7" t="s">
        <v>57</v>
      </c>
      <c r="M1413" s="7" t="s">
        <v>32</v>
      </c>
      <c r="N1413" s="7" t="s">
        <v>106</v>
      </c>
      <c r="O1413" s="7" t="s">
        <v>105</v>
      </c>
      <c r="P1413" s="7" t="s">
        <v>54</v>
      </c>
      <c r="Q1413" s="9">
        <v>750000</v>
      </c>
      <c r="R1413" s="9">
        <v>0</v>
      </c>
      <c r="S1413" s="9">
        <f t="shared" si="50"/>
        <v>750000</v>
      </c>
      <c r="T1413" s="7" t="s">
        <v>53</v>
      </c>
      <c r="U1413" s="7" t="s">
        <v>145</v>
      </c>
      <c r="V1413" s="7" t="s">
        <v>2691</v>
      </c>
      <c r="W1413" s="9">
        <v>-150</v>
      </c>
      <c r="X1413" s="7" t="s">
        <v>94</v>
      </c>
      <c r="Y1413" s="4"/>
      <c r="Z1413" s="7" t="s">
        <v>14</v>
      </c>
      <c r="AA1413" s="36" t="s">
        <v>15</v>
      </c>
      <c r="AB1413" s="4" t="str">
        <f t="shared" si="49"/>
        <v>RM SHED</v>
      </c>
      <c r="AC1413" s="22">
        <f t="shared" si="48"/>
        <v>294.11764705882354</v>
      </c>
      <c r="AD1413" s="23">
        <v>0</v>
      </c>
    </row>
    <row r="1414" spans="1:30" x14ac:dyDescent="0.35">
      <c r="A1414" s="7">
        <v>1357</v>
      </c>
      <c r="B1414" s="24">
        <v>45966.615173611113</v>
      </c>
      <c r="C1414" s="24">
        <v>45966</v>
      </c>
      <c r="D1414" s="7" t="s">
        <v>3216</v>
      </c>
      <c r="E1414" s="7" t="s">
        <v>61</v>
      </c>
      <c r="F1414" s="7" t="s">
        <v>3217</v>
      </c>
      <c r="G1414" s="7" t="s">
        <v>3217</v>
      </c>
      <c r="H1414" s="7"/>
      <c r="I1414" s="7"/>
      <c r="J1414" s="7" t="s">
        <v>59</v>
      </c>
      <c r="K1414" s="7" t="s">
        <v>58</v>
      </c>
      <c r="L1414" s="7" t="s">
        <v>57</v>
      </c>
      <c r="M1414" s="7" t="s">
        <v>32</v>
      </c>
      <c r="N1414" s="7" t="s">
        <v>106</v>
      </c>
      <c r="O1414" s="7" t="s">
        <v>105</v>
      </c>
      <c r="P1414" s="7" t="s">
        <v>54</v>
      </c>
      <c r="Q1414" s="9">
        <v>879237.25</v>
      </c>
      <c r="R1414" s="9">
        <v>0</v>
      </c>
      <c r="S1414" s="9">
        <f t="shared" si="50"/>
        <v>879237.25</v>
      </c>
      <c r="T1414" s="7" t="s">
        <v>53</v>
      </c>
      <c r="U1414" s="7" t="s">
        <v>165</v>
      </c>
      <c r="V1414" s="7" t="s">
        <v>2691</v>
      </c>
      <c r="W1414" s="9">
        <v>-25</v>
      </c>
      <c r="X1414" s="7" t="s">
        <v>94</v>
      </c>
      <c r="Y1414" s="4"/>
      <c r="Z1414" s="7" t="s">
        <v>14</v>
      </c>
      <c r="AA1414" s="36" t="s">
        <v>15</v>
      </c>
      <c r="AB1414" s="4" t="str">
        <f t="shared" si="49"/>
        <v>RM SHED</v>
      </c>
      <c r="AC1414" s="22">
        <f t="shared" si="48"/>
        <v>344.79892156862746</v>
      </c>
      <c r="AD1414" s="23">
        <v>0</v>
      </c>
    </row>
    <row r="1415" spans="1:30" x14ac:dyDescent="0.35">
      <c r="A1415" s="7">
        <v>1358</v>
      </c>
      <c r="B1415" s="24">
        <v>45966.615173611113</v>
      </c>
      <c r="C1415" s="24">
        <v>45966</v>
      </c>
      <c r="D1415" s="7" t="s">
        <v>3218</v>
      </c>
      <c r="E1415" s="7" t="s">
        <v>61</v>
      </c>
      <c r="F1415" s="7" t="s">
        <v>3219</v>
      </c>
      <c r="G1415" s="7" t="s">
        <v>3219</v>
      </c>
      <c r="H1415" s="7"/>
      <c r="I1415" s="7"/>
      <c r="J1415" s="7" t="s">
        <v>59</v>
      </c>
      <c r="K1415" s="7" t="s">
        <v>58</v>
      </c>
      <c r="L1415" s="7" t="s">
        <v>57</v>
      </c>
      <c r="M1415" s="7" t="s">
        <v>32</v>
      </c>
      <c r="N1415" s="7" t="s">
        <v>106</v>
      </c>
      <c r="O1415" s="7" t="s">
        <v>105</v>
      </c>
      <c r="P1415" s="7" t="s">
        <v>54</v>
      </c>
      <c r="Q1415" s="9">
        <v>245000</v>
      </c>
      <c r="R1415" s="9">
        <v>0</v>
      </c>
      <c r="S1415" s="9">
        <f t="shared" si="50"/>
        <v>245000</v>
      </c>
      <c r="T1415" s="7" t="s">
        <v>53</v>
      </c>
      <c r="U1415" s="7" t="s">
        <v>148</v>
      </c>
      <c r="V1415" s="7" t="s">
        <v>2691</v>
      </c>
      <c r="W1415" s="9">
        <v>-35</v>
      </c>
      <c r="X1415" s="7" t="s">
        <v>94</v>
      </c>
      <c r="Y1415" s="4"/>
      <c r="Z1415" s="7" t="s">
        <v>14</v>
      </c>
      <c r="AA1415" s="36" t="s">
        <v>15</v>
      </c>
      <c r="AB1415" s="4" t="str">
        <f t="shared" si="49"/>
        <v>RM SHED</v>
      </c>
      <c r="AC1415" s="22">
        <f t="shared" si="48"/>
        <v>96.078431372549019</v>
      </c>
      <c r="AD1415" s="23">
        <v>0</v>
      </c>
    </row>
    <row r="1416" spans="1:30" x14ac:dyDescent="0.35">
      <c r="A1416" s="7">
        <v>1361</v>
      </c>
      <c r="B1416" s="24">
        <v>45966.615173611113</v>
      </c>
      <c r="C1416" s="24">
        <v>45966</v>
      </c>
      <c r="D1416" s="7" t="s">
        <v>3220</v>
      </c>
      <c r="E1416" s="7" t="s">
        <v>61</v>
      </c>
      <c r="F1416" s="7" t="s">
        <v>3221</v>
      </c>
      <c r="G1416" s="7" t="s">
        <v>3221</v>
      </c>
      <c r="H1416" s="7"/>
      <c r="I1416" s="7"/>
      <c r="J1416" s="7" t="s">
        <v>59</v>
      </c>
      <c r="K1416" s="7" t="s">
        <v>58</v>
      </c>
      <c r="L1416" s="7" t="s">
        <v>57</v>
      </c>
      <c r="M1416" s="7" t="s">
        <v>32</v>
      </c>
      <c r="N1416" s="7" t="s">
        <v>106</v>
      </c>
      <c r="O1416" s="7" t="s">
        <v>105</v>
      </c>
      <c r="P1416" s="7" t="s">
        <v>54</v>
      </c>
      <c r="Q1416" s="9">
        <v>114000</v>
      </c>
      <c r="R1416" s="9">
        <v>0</v>
      </c>
      <c r="S1416" s="9">
        <f t="shared" si="50"/>
        <v>114000</v>
      </c>
      <c r="T1416" s="7" t="s">
        <v>53</v>
      </c>
      <c r="U1416" s="7" t="s">
        <v>151</v>
      </c>
      <c r="V1416" s="7" t="s">
        <v>2691</v>
      </c>
      <c r="W1416" s="9">
        <v>-20</v>
      </c>
      <c r="X1416" s="7" t="s">
        <v>124</v>
      </c>
      <c r="Y1416" s="4"/>
      <c r="Z1416" s="7" t="s">
        <v>14</v>
      </c>
      <c r="AA1416" s="36" t="s">
        <v>15</v>
      </c>
      <c r="AB1416" s="4" t="str">
        <f t="shared" si="49"/>
        <v>RM SHED</v>
      </c>
      <c r="AC1416" s="22">
        <f t="shared" si="48"/>
        <v>44.705882352941174</v>
      </c>
      <c r="AD1416" s="23">
        <v>0</v>
      </c>
    </row>
    <row r="1417" spans="1:30" x14ac:dyDescent="0.35">
      <c r="A1417" s="7">
        <v>1363</v>
      </c>
      <c r="B1417" s="24">
        <v>45966.615173611113</v>
      </c>
      <c r="C1417" s="24">
        <v>45966</v>
      </c>
      <c r="D1417" s="7" t="s">
        <v>3222</v>
      </c>
      <c r="E1417" s="7" t="s">
        <v>61</v>
      </c>
      <c r="F1417" s="7" t="s">
        <v>3223</v>
      </c>
      <c r="G1417" s="7" t="s">
        <v>3223</v>
      </c>
      <c r="H1417" s="7"/>
      <c r="I1417" s="7"/>
      <c r="J1417" s="7" t="s">
        <v>59</v>
      </c>
      <c r="K1417" s="7" t="s">
        <v>58</v>
      </c>
      <c r="L1417" s="7" t="s">
        <v>57</v>
      </c>
      <c r="M1417" s="7" t="s">
        <v>32</v>
      </c>
      <c r="N1417" s="7" t="s">
        <v>106</v>
      </c>
      <c r="O1417" s="7" t="s">
        <v>105</v>
      </c>
      <c r="P1417" s="7" t="s">
        <v>54</v>
      </c>
      <c r="Q1417" s="9">
        <v>118522.17</v>
      </c>
      <c r="R1417" s="9">
        <v>0</v>
      </c>
      <c r="S1417" s="9">
        <f t="shared" si="50"/>
        <v>118522.17</v>
      </c>
      <c r="T1417" s="7" t="s">
        <v>53</v>
      </c>
      <c r="U1417" s="7" t="s">
        <v>2704</v>
      </c>
      <c r="V1417" s="7" t="s">
        <v>2691</v>
      </c>
      <c r="W1417" s="9">
        <v>-20</v>
      </c>
      <c r="X1417" s="7" t="s">
        <v>124</v>
      </c>
      <c r="Y1417" s="4"/>
      <c r="Z1417" s="7" t="s">
        <v>14</v>
      </c>
      <c r="AA1417" s="36" t="s">
        <v>15</v>
      </c>
      <c r="AB1417" s="4" t="str">
        <f t="shared" si="49"/>
        <v>RM SHED</v>
      </c>
      <c r="AC1417" s="22">
        <f t="shared" si="48"/>
        <v>46.479282352941176</v>
      </c>
      <c r="AD1417" s="23">
        <v>0</v>
      </c>
    </row>
    <row r="1418" spans="1:30" x14ac:dyDescent="0.35">
      <c r="A1418" s="7">
        <v>1509</v>
      </c>
      <c r="B1418" s="24">
        <v>45966.601261574076</v>
      </c>
      <c r="C1418" s="24">
        <v>45966</v>
      </c>
      <c r="D1418" s="7" t="s">
        <v>3224</v>
      </c>
      <c r="E1418" s="7" t="s">
        <v>61</v>
      </c>
      <c r="F1418" s="7" t="s">
        <v>3225</v>
      </c>
      <c r="G1418" s="7" t="s">
        <v>3225</v>
      </c>
      <c r="H1418" s="7"/>
      <c r="I1418" s="7"/>
      <c r="J1418" s="7" t="s">
        <v>59</v>
      </c>
      <c r="K1418" s="7" t="s">
        <v>58</v>
      </c>
      <c r="L1418" s="7" t="s">
        <v>57</v>
      </c>
      <c r="M1418" s="7" t="s">
        <v>32</v>
      </c>
      <c r="N1418" s="7" t="s">
        <v>197</v>
      </c>
      <c r="O1418" s="7" t="s">
        <v>68</v>
      </c>
      <c r="P1418" s="7" t="s">
        <v>54</v>
      </c>
      <c r="Q1418" s="9">
        <v>16102.05</v>
      </c>
      <c r="R1418" s="9">
        <v>0</v>
      </c>
      <c r="S1418" s="9">
        <f t="shared" si="50"/>
        <v>16102.05</v>
      </c>
      <c r="T1418" s="7" t="s">
        <v>53</v>
      </c>
      <c r="U1418" s="7" t="s">
        <v>117</v>
      </c>
      <c r="V1418" s="7" t="s">
        <v>2688</v>
      </c>
      <c r="W1418" s="9">
        <v>-5</v>
      </c>
      <c r="X1418" s="7" t="s">
        <v>94</v>
      </c>
      <c r="Y1418" s="4"/>
      <c r="Z1418" s="7" t="s">
        <v>14</v>
      </c>
      <c r="AA1418" s="36" t="s">
        <v>29</v>
      </c>
      <c r="AB1418" s="4" t="s">
        <v>2607</v>
      </c>
      <c r="AC1418" s="22">
        <f t="shared" si="48"/>
        <v>6.3145294117647053</v>
      </c>
      <c r="AD1418" s="23">
        <v>0</v>
      </c>
    </row>
    <row r="1419" spans="1:30" x14ac:dyDescent="0.35">
      <c r="A1419" s="7">
        <v>1595</v>
      </c>
      <c r="B1419" s="24">
        <v>45966.590312499997</v>
      </c>
      <c r="C1419" s="24">
        <v>45966</v>
      </c>
      <c r="D1419" s="7" t="s">
        <v>3226</v>
      </c>
      <c r="E1419" s="7" t="s">
        <v>61</v>
      </c>
      <c r="F1419" s="7" t="s">
        <v>3227</v>
      </c>
      <c r="G1419" s="7" t="s">
        <v>3227</v>
      </c>
      <c r="H1419" s="7"/>
      <c r="I1419" s="7"/>
      <c r="J1419" s="7" t="s">
        <v>59</v>
      </c>
      <c r="K1419" s="7" t="s">
        <v>58</v>
      </c>
      <c r="L1419" s="7" t="s">
        <v>57</v>
      </c>
      <c r="M1419" s="7" t="s">
        <v>32</v>
      </c>
      <c r="N1419" s="7" t="s">
        <v>197</v>
      </c>
      <c r="O1419" s="7" t="s">
        <v>68</v>
      </c>
      <c r="P1419" s="7" t="s">
        <v>54</v>
      </c>
      <c r="Q1419" s="9">
        <v>71251.5</v>
      </c>
      <c r="R1419" s="9">
        <v>0</v>
      </c>
      <c r="S1419" s="9">
        <f t="shared" si="50"/>
        <v>71251.5</v>
      </c>
      <c r="T1419" s="7" t="s">
        <v>53</v>
      </c>
      <c r="U1419" s="7" t="s">
        <v>728</v>
      </c>
      <c r="V1419" s="7" t="s">
        <v>2687</v>
      </c>
      <c r="W1419" s="9">
        <v>-16</v>
      </c>
      <c r="X1419" s="7" t="s">
        <v>51</v>
      </c>
      <c r="Y1419" s="4"/>
      <c r="Z1419" s="7" t="s">
        <v>14</v>
      </c>
      <c r="AA1419" s="36" t="s">
        <v>29</v>
      </c>
      <c r="AB1419" s="4" t="s">
        <v>2607</v>
      </c>
      <c r="AC1419" s="22">
        <f t="shared" si="48"/>
        <v>27.941764705882353</v>
      </c>
      <c r="AD1419" s="23">
        <v>0</v>
      </c>
    </row>
    <row r="1420" spans="1:30" x14ac:dyDescent="0.35">
      <c r="A1420" s="7">
        <v>4837</v>
      </c>
      <c r="B1420" s="24">
        <v>45966.283136574071</v>
      </c>
      <c r="C1420" s="24">
        <v>45966</v>
      </c>
      <c r="D1420" s="7" t="s">
        <v>3228</v>
      </c>
      <c r="E1420" s="7" t="s">
        <v>61</v>
      </c>
      <c r="F1420" s="7" t="s">
        <v>3229</v>
      </c>
      <c r="G1420" s="7" t="s">
        <v>3229</v>
      </c>
      <c r="H1420" s="7"/>
      <c r="I1420" s="7"/>
      <c r="J1420" s="7" t="s">
        <v>59</v>
      </c>
      <c r="K1420" s="7" t="s">
        <v>58</v>
      </c>
      <c r="L1420" s="7" t="s">
        <v>57</v>
      </c>
      <c r="M1420" s="7" t="s">
        <v>32</v>
      </c>
      <c r="N1420" s="7" t="s">
        <v>114</v>
      </c>
      <c r="O1420" s="7" t="s">
        <v>68</v>
      </c>
      <c r="P1420" s="7" t="s">
        <v>54</v>
      </c>
      <c r="Q1420" s="9">
        <v>34200</v>
      </c>
      <c r="R1420" s="9">
        <v>0</v>
      </c>
      <c r="S1420" s="9">
        <f t="shared" si="50"/>
        <v>34200</v>
      </c>
      <c r="T1420" s="7" t="s">
        <v>53</v>
      </c>
      <c r="U1420" s="7" t="s">
        <v>151</v>
      </c>
      <c r="V1420" s="7" t="s">
        <v>2691</v>
      </c>
      <c r="W1420" s="9">
        <v>-6</v>
      </c>
      <c r="X1420" s="7" t="s">
        <v>124</v>
      </c>
      <c r="Y1420" s="4"/>
      <c r="Z1420" s="7" t="s">
        <v>14</v>
      </c>
      <c r="AA1420" s="36" t="s">
        <v>31</v>
      </c>
      <c r="AB1420" s="4" t="str">
        <f t="shared" si="49"/>
        <v>WALL</v>
      </c>
      <c r="AC1420" s="22">
        <f t="shared" si="48"/>
        <v>13.411764705882353</v>
      </c>
      <c r="AD1420" s="23">
        <v>0</v>
      </c>
    </row>
    <row r="1421" spans="1:30" x14ac:dyDescent="0.35">
      <c r="A1421" s="7">
        <v>6371</v>
      </c>
      <c r="B1421" s="24">
        <v>45967.618541666663</v>
      </c>
      <c r="C1421" s="24">
        <v>45967</v>
      </c>
      <c r="D1421" s="7" t="s">
        <v>3230</v>
      </c>
      <c r="E1421" s="7" t="s">
        <v>61</v>
      </c>
      <c r="F1421" s="7" t="s">
        <v>3231</v>
      </c>
      <c r="G1421" s="7" t="s">
        <v>3231</v>
      </c>
      <c r="H1421" s="7"/>
      <c r="I1421" s="7"/>
      <c r="J1421" s="7" t="s">
        <v>59</v>
      </c>
      <c r="K1421" s="7" t="s">
        <v>58</v>
      </c>
      <c r="L1421" s="7" t="s">
        <v>57</v>
      </c>
      <c r="M1421" s="7" t="s">
        <v>32</v>
      </c>
      <c r="N1421" s="7" t="s">
        <v>106</v>
      </c>
      <c r="O1421" s="7" t="s">
        <v>105</v>
      </c>
      <c r="P1421" s="7" t="s">
        <v>54</v>
      </c>
      <c r="Q1421" s="9">
        <v>840000</v>
      </c>
      <c r="R1421" s="9">
        <v>0</v>
      </c>
      <c r="S1421" s="9">
        <f t="shared" si="50"/>
        <v>840000</v>
      </c>
      <c r="T1421" s="7" t="s">
        <v>53</v>
      </c>
      <c r="U1421" s="7" t="s">
        <v>148</v>
      </c>
      <c r="V1421" s="7" t="s">
        <v>2691</v>
      </c>
      <c r="W1421" s="9">
        <v>-120</v>
      </c>
      <c r="X1421" s="7" t="s">
        <v>94</v>
      </c>
      <c r="Y1421" s="4"/>
      <c r="Z1421" s="7" t="s">
        <v>14</v>
      </c>
      <c r="AA1421" s="36" t="s">
        <v>15</v>
      </c>
      <c r="AB1421" s="4" t="str">
        <f t="shared" si="49"/>
        <v>RM SHED</v>
      </c>
      <c r="AC1421" s="22">
        <f t="shared" si="48"/>
        <v>329.41176470588238</v>
      </c>
      <c r="AD1421" s="23">
        <v>0</v>
      </c>
    </row>
    <row r="1422" spans="1:30" x14ac:dyDescent="0.35">
      <c r="A1422" s="7">
        <v>6373</v>
      </c>
      <c r="B1422" s="24">
        <v>45967.618541666663</v>
      </c>
      <c r="C1422" s="24">
        <v>45967</v>
      </c>
      <c r="D1422" s="7" t="s">
        <v>3232</v>
      </c>
      <c r="E1422" s="7" t="s">
        <v>61</v>
      </c>
      <c r="F1422" s="7" t="s">
        <v>3233</v>
      </c>
      <c r="G1422" s="7" t="s">
        <v>3233</v>
      </c>
      <c r="H1422" s="7"/>
      <c r="I1422" s="7"/>
      <c r="J1422" s="7" t="s">
        <v>59</v>
      </c>
      <c r="K1422" s="7" t="s">
        <v>58</v>
      </c>
      <c r="L1422" s="7" t="s">
        <v>57</v>
      </c>
      <c r="M1422" s="7" t="s">
        <v>32</v>
      </c>
      <c r="N1422" s="7" t="s">
        <v>106</v>
      </c>
      <c r="O1422" s="7" t="s">
        <v>105</v>
      </c>
      <c r="P1422" s="7" t="s">
        <v>54</v>
      </c>
      <c r="Q1422" s="9">
        <v>116750</v>
      </c>
      <c r="R1422" s="9">
        <v>0</v>
      </c>
      <c r="S1422" s="9">
        <f t="shared" si="50"/>
        <v>116750</v>
      </c>
      <c r="T1422" s="7" t="s">
        <v>53</v>
      </c>
      <c r="U1422" s="7" t="s">
        <v>133</v>
      </c>
      <c r="V1422" s="7" t="s">
        <v>2691</v>
      </c>
      <c r="W1422" s="9">
        <v>-23.35</v>
      </c>
      <c r="X1422" s="7" t="s">
        <v>124</v>
      </c>
      <c r="Y1422" s="4"/>
      <c r="Z1422" s="7" t="s">
        <v>14</v>
      </c>
      <c r="AA1422" s="36" t="s">
        <v>15</v>
      </c>
      <c r="AB1422" s="4" t="str">
        <f t="shared" si="49"/>
        <v>RM SHED</v>
      </c>
      <c r="AC1422" s="22">
        <f t="shared" si="48"/>
        <v>45.784313725490193</v>
      </c>
      <c r="AD1422" s="23">
        <v>0</v>
      </c>
    </row>
    <row r="1423" spans="1:30" x14ac:dyDescent="0.35">
      <c r="A1423" s="7">
        <v>6375</v>
      </c>
      <c r="B1423" s="24">
        <v>45967.618541666663</v>
      </c>
      <c r="C1423" s="24">
        <v>45967</v>
      </c>
      <c r="D1423" s="7" t="s">
        <v>3234</v>
      </c>
      <c r="E1423" s="7" t="s">
        <v>61</v>
      </c>
      <c r="F1423" s="7" t="s">
        <v>3235</v>
      </c>
      <c r="G1423" s="7" t="s">
        <v>3235</v>
      </c>
      <c r="H1423" s="7"/>
      <c r="I1423" s="7"/>
      <c r="J1423" s="7" t="s">
        <v>59</v>
      </c>
      <c r="K1423" s="7" t="s">
        <v>58</v>
      </c>
      <c r="L1423" s="7" t="s">
        <v>57</v>
      </c>
      <c r="M1423" s="7" t="s">
        <v>32</v>
      </c>
      <c r="N1423" s="7" t="s">
        <v>106</v>
      </c>
      <c r="O1423" s="7" t="s">
        <v>105</v>
      </c>
      <c r="P1423" s="7" t="s">
        <v>54</v>
      </c>
      <c r="Q1423" s="9">
        <v>57000</v>
      </c>
      <c r="R1423" s="9">
        <v>0</v>
      </c>
      <c r="S1423" s="9">
        <f t="shared" si="50"/>
        <v>57000</v>
      </c>
      <c r="T1423" s="7" t="s">
        <v>53</v>
      </c>
      <c r="U1423" s="7" t="s">
        <v>151</v>
      </c>
      <c r="V1423" s="7" t="s">
        <v>2691</v>
      </c>
      <c r="W1423" s="9">
        <v>-10</v>
      </c>
      <c r="X1423" s="7" t="s">
        <v>124</v>
      </c>
      <c r="Y1423" s="4"/>
      <c r="Z1423" s="7" t="s">
        <v>14</v>
      </c>
      <c r="AA1423" s="36" t="s">
        <v>15</v>
      </c>
      <c r="AB1423" s="4" t="str">
        <f t="shared" si="49"/>
        <v>RM SHED</v>
      </c>
      <c r="AC1423" s="22">
        <f t="shared" si="48"/>
        <v>22.352941176470587</v>
      </c>
      <c r="AD1423" s="23">
        <v>0</v>
      </c>
    </row>
    <row r="1424" spans="1:30" x14ac:dyDescent="0.35">
      <c r="A1424" s="7">
        <v>6467</v>
      </c>
      <c r="B1424" s="24">
        <v>45967.595555555556</v>
      </c>
      <c r="C1424" s="24">
        <v>45967</v>
      </c>
      <c r="D1424" s="7" t="s">
        <v>3236</v>
      </c>
      <c r="E1424" s="7" t="s">
        <v>61</v>
      </c>
      <c r="F1424" s="7" t="s">
        <v>3237</v>
      </c>
      <c r="G1424" s="7" t="s">
        <v>3237</v>
      </c>
      <c r="H1424" s="7"/>
      <c r="I1424" s="7"/>
      <c r="J1424" s="7" t="s">
        <v>59</v>
      </c>
      <c r="K1424" s="7" t="s">
        <v>58</v>
      </c>
      <c r="L1424" s="7" t="s">
        <v>57</v>
      </c>
      <c r="M1424" s="7" t="s">
        <v>32</v>
      </c>
      <c r="N1424" s="7" t="s">
        <v>197</v>
      </c>
      <c r="O1424" s="7" t="s">
        <v>105</v>
      </c>
      <c r="P1424" s="7" t="s">
        <v>54</v>
      </c>
      <c r="Q1424" s="9">
        <v>75000</v>
      </c>
      <c r="R1424" s="9">
        <v>0</v>
      </c>
      <c r="S1424" s="9">
        <f t="shared" si="50"/>
        <v>75000</v>
      </c>
      <c r="T1424" s="7" t="s">
        <v>53</v>
      </c>
      <c r="U1424" s="7" t="s">
        <v>121</v>
      </c>
      <c r="V1424" s="7" t="s">
        <v>2685</v>
      </c>
      <c r="W1424" s="9">
        <v>-5</v>
      </c>
      <c r="X1424" s="7" t="s">
        <v>94</v>
      </c>
      <c r="Y1424" s="4"/>
      <c r="Z1424" s="7" t="s">
        <v>14</v>
      </c>
      <c r="AA1424" s="36" t="s">
        <v>29</v>
      </c>
      <c r="AB1424" s="4" t="s">
        <v>2607</v>
      </c>
      <c r="AC1424" s="22">
        <f t="shared" si="48"/>
        <v>29.411764705882351</v>
      </c>
      <c r="AD1424" s="23">
        <v>0</v>
      </c>
    </row>
    <row r="1425" spans="1:30" x14ac:dyDescent="0.35">
      <c r="A1425" s="7">
        <v>9942</v>
      </c>
      <c r="B1425" s="24">
        <v>45969.502141203702</v>
      </c>
      <c r="C1425" s="24">
        <v>45969</v>
      </c>
      <c r="D1425" s="7" t="s">
        <v>3238</v>
      </c>
      <c r="E1425" s="7" t="s">
        <v>61</v>
      </c>
      <c r="F1425" s="7" t="s">
        <v>3239</v>
      </c>
      <c r="G1425" s="7" t="s">
        <v>3239</v>
      </c>
      <c r="H1425" s="7"/>
      <c r="I1425" s="7"/>
      <c r="J1425" s="7" t="s">
        <v>59</v>
      </c>
      <c r="K1425" s="7" t="s">
        <v>58</v>
      </c>
      <c r="L1425" s="7" t="s">
        <v>57</v>
      </c>
      <c r="M1425" s="7" t="s">
        <v>32</v>
      </c>
      <c r="N1425" s="7" t="s">
        <v>197</v>
      </c>
      <c r="O1425" s="7" t="s">
        <v>105</v>
      </c>
      <c r="P1425" s="7" t="s">
        <v>54</v>
      </c>
      <c r="Q1425" s="9">
        <v>41691.81</v>
      </c>
      <c r="R1425" s="9">
        <v>0</v>
      </c>
      <c r="S1425" s="9">
        <f t="shared" si="50"/>
        <v>41691.81</v>
      </c>
      <c r="T1425" s="7" t="s">
        <v>53</v>
      </c>
      <c r="U1425" s="7" t="s">
        <v>828</v>
      </c>
      <c r="V1425" s="7" t="s">
        <v>2775</v>
      </c>
      <c r="W1425" s="9">
        <v>-50</v>
      </c>
      <c r="X1425" s="7" t="s">
        <v>94</v>
      </c>
      <c r="Y1425" s="4"/>
      <c r="Z1425" s="7" t="s">
        <v>14</v>
      </c>
      <c r="AA1425" s="36" t="s">
        <v>29</v>
      </c>
      <c r="AB1425" s="4" t="s">
        <v>2607</v>
      </c>
      <c r="AC1425" s="22">
        <f t="shared" si="48"/>
        <v>16.349729411764706</v>
      </c>
      <c r="AD1425" s="23">
        <v>0</v>
      </c>
    </row>
    <row r="1426" spans="1:30" x14ac:dyDescent="0.35">
      <c r="A1426" s="7">
        <v>9944</v>
      </c>
      <c r="B1426" s="24">
        <v>45969.502141203702</v>
      </c>
      <c r="C1426" s="24">
        <v>45969</v>
      </c>
      <c r="D1426" s="7" t="s">
        <v>3240</v>
      </c>
      <c r="E1426" s="7" t="s">
        <v>61</v>
      </c>
      <c r="F1426" s="7" t="s">
        <v>3241</v>
      </c>
      <c r="G1426" s="7" t="s">
        <v>3241</v>
      </c>
      <c r="H1426" s="7"/>
      <c r="I1426" s="7"/>
      <c r="J1426" s="7" t="s">
        <v>59</v>
      </c>
      <c r="K1426" s="7" t="s">
        <v>58</v>
      </c>
      <c r="L1426" s="7" t="s">
        <v>57</v>
      </c>
      <c r="M1426" s="7" t="s">
        <v>32</v>
      </c>
      <c r="N1426" s="7" t="s">
        <v>197</v>
      </c>
      <c r="O1426" s="7" t="s">
        <v>105</v>
      </c>
      <c r="P1426" s="7" t="s">
        <v>54</v>
      </c>
      <c r="Q1426" s="9">
        <v>81266.13</v>
      </c>
      <c r="R1426" s="9">
        <v>0</v>
      </c>
      <c r="S1426" s="9">
        <f t="shared" si="50"/>
        <v>81266.13</v>
      </c>
      <c r="T1426" s="7" t="s">
        <v>53</v>
      </c>
      <c r="U1426" s="7" t="s">
        <v>409</v>
      </c>
      <c r="V1426" s="7" t="s">
        <v>2775</v>
      </c>
      <c r="W1426" s="9">
        <v>-50</v>
      </c>
      <c r="X1426" s="7" t="s">
        <v>94</v>
      </c>
      <c r="Y1426" s="4"/>
      <c r="Z1426" s="7" t="s">
        <v>14</v>
      </c>
      <c r="AA1426" s="36" t="s">
        <v>29</v>
      </c>
      <c r="AB1426" s="4" t="s">
        <v>2607</v>
      </c>
      <c r="AC1426" s="22">
        <f t="shared" si="48"/>
        <v>31.869070588235296</v>
      </c>
      <c r="AD1426" s="23">
        <v>0</v>
      </c>
    </row>
    <row r="1427" spans="1:30" x14ac:dyDescent="0.35">
      <c r="A1427" s="7">
        <v>9961</v>
      </c>
      <c r="B1427" s="24">
        <v>45969.500671296293</v>
      </c>
      <c r="C1427" s="24">
        <v>45969</v>
      </c>
      <c r="D1427" s="7" t="s">
        <v>3242</v>
      </c>
      <c r="E1427" s="7" t="s">
        <v>61</v>
      </c>
      <c r="F1427" s="7" t="s">
        <v>3243</v>
      </c>
      <c r="G1427" s="7" t="s">
        <v>3243</v>
      </c>
      <c r="H1427" s="7"/>
      <c r="I1427" s="7"/>
      <c r="J1427" s="7" t="s">
        <v>59</v>
      </c>
      <c r="K1427" s="7" t="s">
        <v>58</v>
      </c>
      <c r="L1427" s="7" t="s">
        <v>57</v>
      </c>
      <c r="M1427" s="7" t="s">
        <v>32</v>
      </c>
      <c r="N1427" s="7" t="s">
        <v>106</v>
      </c>
      <c r="O1427" s="7" t="s">
        <v>105</v>
      </c>
      <c r="P1427" s="7" t="s">
        <v>54</v>
      </c>
      <c r="Q1427" s="9">
        <v>32204.11</v>
      </c>
      <c r="R1427" s="9">
        <v>0</v>
      </c>
      <c r="S1427" s="9">
        <f t="shared" si="50"/>
        <v>32204.11</v>
      </c>
      <c r="T1427" s="7" t="s">
        <v>53</v>
      </c>
      <c r="U1427" s="7" t="s">
        <v>117</v>
      </c>
      <c r="V1427" s="7" t="s">
        <v>2688</v>
      </c>
      <c r="W1427" s="9">
        <v>-10</v>
      </c>
      <c r="X1427" s="7" t="s">
        <v>94</v>
      </c>
      <c r="Y1427" s="4"/>
      <c r="Z1427" s="7" t="s">
        <v>14</v>
      </c>
      <c r="AA1427" s="36" t="s">
        <v>15</v>
      </c>
      <c r="AB1427" s="4" t="str">
        <f t="shared" si="49"/>
        <v>RM SHED</v>
      </c>
      <c r="AC1427" s="22">
        <f t="shared" si="48"/>
        <v>12.629062745098039</v>
      </c>
      <c r="AD1427" s="23">
        <v>0</v>
      </c>
    </row>
    <row r="1428" spans="1:30" x14ac:dyDescent="0.35">
      <c r="A1428" s="7">
        <v>12878</v>
      </c>
      <c r="B1428" s="24">
        <v>45971.602870370371</v>
      </c>
      <c r="C1428" s="24">
        <v>45971</v>
      </c>
      <c r="D1428" s="7" t="s">
        <v>3244</v>
      </c>
      <c r="E1428" s="7" t="s">
        <v>61</v>
      </c>
      <c r="F1428" s="7" t="s">
        <v>3245</v>
      </c>
      <c r="G1428" s="7" t="s">
        <v>3245</v>
      </c>
      <c r="H1428" s="7"/>
      <c r="I1428" s="7"/>
      <c r="J1428" s="7" t="s">
        <v>59</v>
      </c>
      <c r="K1428" s="7" t="s">
        <v>58</v>
      </c>
      <c r="L1428" s="7" t="s">
        <v>57</v>
      </c>
      <c r="M1428" s="7" t="s">
        <v>32</v>
      </c>
      <c r="N1428" s="7" t="s">
        <v>197</v>
      </c>
      <c r="O1428" s="7" t="s">
        <v>105</v>
      </c>
      <c r="P1428" s="7" t="s">
        <v>196</v>
      </c>
      <c r="Q1428" s="9">
        <v>534143.65</v>
      </c>
      <c r="R1428" s="9">
        <v>0</v>
      </c>
      <c r="S1428" s="9">
        <f t="shared" si="50"/>
        <v>534143.65</v>
      </c>
      <c r="T1428" s="7" t="s">
        <v>53</v>
      </c>
      <c r="U1428" s="7" t="s">
        <v>465</v>
      </c>
      <c r="V1428" s="7" t="s">
        <v>3246</v>
      </c>
      <c r="W1428" s="9">
        <v>-1</v>
      </c>
      <c r="X1428" s="7" t="s">
        <v>94</v>
      </c>
      <c r="Y1428" s="4"/>
      <c r="Z1428" s="7" t="s">
        <v>14</v>
      </c>
      <c r="AA1428" s="36" t="s">
        <v>29</v>
      </c>
      <c r="AB1428" s="4" t="s">
        <v>2607</v>
      </c>
      <c r="AC1428" s="22">
        <f t="shared" si="48"/>
        <v>209.4680980392157</v>
      </c>
      <c r="AD1428" s="23">
        <v>0</v>
      </c>
    </row>
    <row r="1429" spans="1:30" x14ac:dyDescent="0.35">
      <c r="A1429" s="7">
        <v>12881</v>
      </c>
      <c r="B1429" s="24">
        <v>45971.602870370371</v>
      </c>
      <c r="C1429" s="24">
        <v>45971</v>
      </c>
      <c r="D1429" s="7" t="s">
        <v>3247</v>
      </c>
      <c r="E1429" s="7" t="s">
        <v>61</v>
      </c>
      <c r="F1429" s="7" t="s">
        <v>3248</v>
      </c>
      <c r="G1429" s="7" t="s">
        <v>3248</v>
      </c>
      <c r="H1429" s="7"/>
      <c r="I1429" s="7"/>
      <c r="J1429" s="7" t="s">
        <v>59</v>
      </c>
      <c r="K1429" s="7" t="s">
        <v>58</v>
      </c>
      <c r="L1429" s="7" t="s">
        <v>57</v>
      </c>
      <c r="M1429" s="7" t="s">
        <v>32</v>
      </c>
      <c r="N1429" s="7" t="s">
        <v>197</v>
      </c>
      <c r="O1429" s="7" t="s">
        <v>105</v>
      </c>
      <c r="P1429" s="7" t="s">
        <v>196</v>
      </c>
      <c r="Q1429" s="9">
        <v>130059.26</v>
      </c>
      <c r="R1429" s="9">
        <v>0</v>
      </c>
      <c r="S1429" s="9">
        <f t="shared" si="50"/>
        <v>130059.26</v>
      </c>
      <c r="T1429" s="7" t="s">
        <v>53</v>
      </c>
      <c r="U1429" s="7" t="s">
        <v>428</v>
      </c>
      <c r="V1429" s="7" t="s">
        <v>2747</v>
      </c>
      <c r="W1429" s="9">
        <v>-1</v>
      </c>
      <c r="X1429" s="7" t="s">
        <v>94</v>
      </c>
      <c r="Y1429" s="4"/>
      <c r="Z1429" s="7" t="s">
        <v>14</v>
      </c>
      <c r="AA1429" s="36" t="s">
        <v>29</v>
      </c>
      <c r="AB1429" s="4" t="s">
        <v>2607</v>
      </c>
      <c r="AC1429" s="22">
        <f t="shared" si="48"/>
        <v>51.003631372549016</v>
      </c>
      <c r="AD1429" s="23">
        <v>0</v>
      </c>
    </row>
    <row r="1430" spans="1:30" x14ac:dyDescent="0.35">
      <c r="A1430" s="7">
        <v>12883</v>
      </c>
      <c r="B1430" s="24">
        <v>45971.602870370371</v>
      </c>
      <c r="C1430" s="24">
        <v>45971</v>
      </c>
      <c r="D1430" s="7" t="s">
        <v>3249</v>
      </c>
      <c r="E1430" s="7" t="s">
        <v>61</v>
      </c>
      <c r="F1430" s="7" t="s">
        <v>3250</v>
      </c>
      <c r="G1430" s="7" t="s">
        <v>3250</v>
      </c>
      <c r="H1430" s="7"/>
      <c r="I1430" s="7"/>
      <c r="J1430" s="7" t="s">
        <v>59</v>
      </c>
      <c r="K1430" s="7" t="s">
        <v>58</v>
      </c>
      <c r="L1430" s="7" t="s">
        <v>57</v>
      </c>
      <c r="M1430" s="7" t="s">
        <v>32</v>
      </c>
      <c r="N1430" s="7" t="s">
        <v>197</v>
      </c>
      <c r="O1430" s="7" t="s">
        <v>105</v>
      </c>
      <c r="P1430" s="7" t="s">
        <v>196</v>
      </c>
      <c r="Q1430" s="9">
        <v>137000</v>
      </c>
      <c r="R1430" s="9">
        <v>0</v>
      </c>
      <c r="S1430" s="9">
        <f t="shared" si="50"/>
        <v>137000</v>
      </c>
      <c r="T1430" s="7" t="s">
        <v>53</v>
      </c>
      <c r="U1430" s="7" t="s">
        <v>453</v>
      </c>
      <c r="V1430" s="7" t="s">
        <v>3251</v>
      </c>
      <c r="W1430" s="9">
        <v>-1</v>
      </c>
      <c r="X1430" s="7" t="s">
        <v>94</v>
      </c>
      <c r="Y1430" s="4"/>
      <c r="Z1430" s="7" t="s">
        <v>14</v>
      </c>
      <c r="AA1430" s="36" t="s">
        <v>29</v>
      </c>
      <c r="AB1430" s="4" t="s">
        <v>2607</v>
      </c>
      <c r="AC1430" s="22">
        <f t="shared" si="48"/>
        <v>53.725490196078432</v>
      </c>
      <c r="AD1430" s="23">
        <v>0</v>
      </c>
    </row>
    <row r="1431" spans="1:30" x14ac:dyDescent="0.35">
      <c r="A1431" s="7">
        <v>12885</v>
      </c>
      <c r="B1431" s="24">
        <v>45971.602870370371</v>
      </c>
      <c r="C1431" s="24">
        <v>45971</v>
      </c>
      <c r="D1431" s="7" t="s">
        <v>3252</v>
      </c>
      <c r="E1431" s="7" t="s">
        <v>61</v>
      </c>
      <c r="F1431" s="7" t="s">
        <v>3253</v>
      </c>
      <c r="G1431" s="7" t="s">
        <v>3253</v>
      </c>
      <c r="H1431" s="7"/>
      <c r="I1431" s="7"/>
      <c r="J1431" s="7" t="s">
        <v>59</v>
      </c>
      <c r="K1431" s="7" t="s">
        <v>58</v>
      </c>
      <c r="L1431" s="7" t="s">
        <v>57</v>
      </c>
      <c r="M1431" s="7" t="s">
        <v>32</v>
      </c>
      <c r="N1431" s="7" t="s">
        <v>197</v>
      </c>
      <c r="O1431" s="7" t="s">
        <v>105</v>
      </c>
      <c r="P1431" s="7" t="s">
        <v>196</v>
      </c>
      <c r="Q1431" s="9">
        <v>1949833.85</v>
      </c>
      <c r="R1431" s="9">
        <v>0</v>
      </c>
      <c r="S1431" s="9">
        <f t="shared" si="50"/>
        <v>1949833.85</v>
      </c>
      <c r="T1431" s="7" t="s">
        <v>53</v>
      </c>
      <c r="U1431" s="7" t="s">
        <v>431</v>
      </c>
      <c r="V1431" s="7" t="s">
        <v>3254</v>
      </c>
      <c r="W1431" s="9">
        <v>-1</v>
      </c>
      <c r="X1431" s="7" t="s">
        <v>94</v>
      </c>
      <c r="Y1431" s="4"/>
      <c r="Z1431" s="7" t="s">
        <v>14</v>
      </c>
      <c r="AA1431" s="36" t="s">
        <v>29</v>
      </c>
      <c r="AB1431" s="4" t="s">
        <v>2607</v>
      </c>
      <c r="AC1431" s="22">
        <f t="shared" si="48"/>
        <v>764.64072549019613</v>
      </c>
      <c r="AD1431" s="23">
        <v>0</v>
      </c>
    </row>
    <row r="1432" spans="1:30" x14ac:dyDescent="0.35">
      <c r="A1432" s="7">
        <v>12887</v>
      </c>
      <c r="B1432" s="24">
        <v>45971.601909722223</v>
      </c>
      <c r="C1432" s="24">
        <v>45971</v>
      </c>
      <c r="D1432" s="7" t="s">
        <v>3255</v>
      </c>
      <c r="E1432" s="7" t="s">
        <v>61</v>
      </c>
      <c r="F1432" s="7" t="s">
        <v>3256</v>
      </c>
      <c r="G1432" s="7" t="s">
        <v>3256</v>
      </c>
      <c r="H1432" s="7"/>
      <c r="I1432" s="7"/>
      <c r="J1432" s="7" t="s">
        <v>59</v>
      </c>
      <c r="K1432" s="7" t="s">
        <v>58</v>
      </c>
      <c r="L1432" s="7" t="s">
        <v>57</v>
      </c>
      <c r="M1432" s="7" t="s">
        <v>32</v>
      </c>
      <c r="N1432" s="7" t="s">
        <v>197</v>
      </c>
      <c r="O1432" s="7" t="s">
        <v>105</v>
      </c>
      <c r="P1432" s="7" t="s">
        <v>54</v>
      </c>
      <c r="Q1432" s="9">
        <v>61462.63</v>
      </c>
      <c r="R1432" s="9">
        <v>0</v>
      </c>
      <c r="S1432" s="9">
        <f t="shared" si="50"/>
        <v>61462.63</v>
      </c>
      <c r="T1432" s="7" t="s">
        <v>53</v>
      </c>
      <c r="U1432" s="7" t="s">
        <v>271</v>
      </c>
      <c r="V1432" s="7" t="s">
        <v>2686</v>
      </c>
      <c r="W1432" s="9">
        <v>-15</v>
      </c>
      <c r="X1432" s="7" t="s">
        <v>124</v>
      </c>
      <c r="Y1432" s="4"/>
      <c r="Z1432" s="7" t="s">
        <v>14</v>
      </c>
      <c r="AA1432" s="36" t="s">
        <v>29</v>
      </c>
      <c r="AB1432" s="4" t="s">
        <v>2607</v>
      </c>
      <c r="AC1432" s="22">
        <f t="shared" si="48"/>
        <v>24.102992156862744</v>
      </c>
      <c r="AD1432" s="23">
        <v>0</v>
      </c>
    </row>
    <row r="1433" spans="1:30" x14ac:dyDescent="0.35">
      <c r="A1433" s="7">
        <v>12889</v>
      </c>
      <c r="B1433" s="24">
        <v>45971.601909722223</v>
      </c>
      <c r="C1433" s="24">
        <v>45971</v>
      </c>
      <c r="D1433" s="7" t="s">
        <v>3257</v>
      </c>
      <c r="E1433" s="7" t="s">
        <v>61</v>
      </c>
      <c r="F1433" s="7" t="s">
        <v>3258</v>
      </c>
      <c r="G1433" s="7" t="s">
        <v>3258</v>
      </c>
      <c r="H1433" s="7"/>
      <c r="I1433" s="7"/>
      <c r="J1433" s="7" t="s">
        <v>59</v>
      </c>
      <c r="K1433" s="7" t="s">
        <v>58</v>
      </c>
      <c r="L1433" s="7" t="s">
        <v>57</v>
      </c>
      <c r="M1433" s="7" t="s">
        <v>32</v>
      </c>
      <c r="N1433" s="7" t="s">
        <v>197</v>
      </c>
      <c r="O1433" s="7" t="s">
        <v>105</v>
      </c>
      <c r="P1433" s="7" t="s">
        <v>54</v>
      </c>
      <c r="Q1433" s="9">
        <v>16102.06</v>
      </c>
      <c r="R1433" s="9">
        <v>0</v>
      </c>
      <c r="S1433" s="9">
        <f t="shared" si="50"/>
        <v>16102.06</v>
      </c>
      <c r="T1433" s="7" t="s">
        <v>53</v>
      </c>
      <c r="U1433" s="7" t="s">
        <v>117</v>
      </c>
      <c r="V1433" s="7" t="s">
        <v>2688</v>
      </c>
      <c r="W1433" s="9">
        <v>-5</v>
      </c>
      <c r="X1433" s="7" t="s">
        <v>94</v>
      </c>
      <c r="Y1433" s="4"/>
      <c r="Z1433" s="7" t="s">
        <v>14</v>
      </c>
      <c r="AA1433" s="36" t="s">
        <v>29</v>
      </c>
      <c r="AB1433" s="4" t="s">
        <v>2607</v>
      </c>
      <c r="AC1433" s="22">
        <f t="shared" si="48"/>
        <v>6.3145333333333333</v>
      </c>
      <c r="AD1433" s="23">
        <v>0</v>
      </c>
    </row>
    <row r="1434" spans="1:30" x14ac:dyDescent="0.35">
      <c r="A1434" s="7">
        <v>12890</v>
      </c>
      <c r="B1434" s="24">
        <v>45971.601909722223</v>
      </c>
      <c r="C1434" s="24">
        <v>45971</v>
      </c>
      <c r="D1434" s="7" t="s">
        <v>3259</v>
      </c>
      <c r="E1434" s="7" t="s">
        <v>61</v>
      </c>
      <c r="F1434" s="7" t="s">
        <v>3260</v>
      </c>
      <c r="G1434" s="7" t="s">
        <v>3260</v>
      </c>
      <c r="H1434" s="7"/>
      <c r="I1434" s="7"/>
      <c r="J1434" s="7" t="s">
        <v>59</v>
      </c>
      <c r="K1434" s="7" t="s">
        <v>58</v>
      </c>
      <c r="L1434" s="7" t="s">
        <v>57</v>
      </c>
      <c r="M1434" s="7" t="s">
        <v>32</v>
      </c>
      <c r="N1434" s="7" t="s">
        <v>197</v>
      </c>
      <c r="O1434" s="7" t="s">
        <v>105</v>
      </c>
      <c r="P1434" s="7" t="s">
        <v>54</v>
      </c>
      <c r="Q1434" s="9">
        <v>75000</v>
      </c>
      <c r="R1434" s="9">
        <v>0</v>
      </c>
      <c r="S1434" s="9">
        <f t="shared" si="50"/>
        <v>75000</v>
      </c>
      <c r="T1434" s="7" t="s">
        <v>53</v>
      </c>
      <c r="U1434" s="7" t="s">
        <v>121</v>
      </c>
      <c r="V1434" s="7" t="s">
        <v>2685</v>
      </c>
      <c r="W1434" s="9">
        <v>-5</v>
      </c>
      <c r="X1434" s="7" t="s">
        <v>94</v>
      </c>
      <c r="Y1434" s="4"/>
      <c r="Z1434" s="7" t="s">
        <v>14</v>
      </c>
      <c r="AA1434" s="36" t="s">
        <v>29</v>
      </c>
      <c r="AB1434" s="4" t="s">
        <v>2607</v>
      </c>
      <c r="AC1434" s="22">
        <f t="shared" si="48"/>
        <v>29.411764705882351</v>
      </c>
      <c r="AD1434" s="23">
        <v>0</v>
      </c>
    </row>
    <row r="1435" spans="1:30" x14ac:dyDescent="0.35">
      <c r="A1435" s="7">
        <v>12901</v>
      </c>
      <c r="B1435" s="24">
        <v>45971.600706018522</v>
      </c>
      <c r="C1435" s="24">
        <v>45971</v>
      </c>
      <c r="D1435" s="7" t="s">
        <v>3261</v>
      </c>
      <c r="E1435" s="7" t="s">
        <v>61</v>
      </c>
      <c r="F1435" s="7" t="s">
        <v>3262</v>
      </c>
      <c r="G1435" s="7" t="s">
        <v>3262</v>
      </c>
      <c r="H1435" s="7"/>
      <c r="I1435" s="7"/>
      <c r="J1435" s="7" t="s">
        <v>59</v>
      </c>
      <c r="K1435" s="7" t="s">
        <v>58</v>
      </c>
      <c r="L1435" s="7" t="s">
        <v>57</v>
      </c>
      <c r="M1435" s="7" t="s">
        <v>32</v>
      </c>
      <c r="N1435" s="7" t="s">
        <v>106</v>
      </c>
      <c r="O1435" s="7" t="s">
        <v>105</v>
      </c>
      <c r="P1435" s="7" t="s">
        <v>54</v>
      </c>
      <c r="Q1435" s="9">
        <v>946513.3</v>
      </c>
      <c r="R1435" s="9">
        <v>0</v>
      </c>
      <c r="S1435" s="9">
        <f t="shared" si="50"/>
        <v>946513.3</v>
      </c>
      <c r="T1435" s="7" t="s">
        <v>53</v>
      </c>
      <c r="U1435" s="7" t="s">
        <v>257</v>
      </c>
      <c r="V1435" s="7" t="s">
        <v>2691</v>
      </c>
      <c r="W1435" s="9">
        <v>-100</v>
      </c>
      <c r="X1435" s="7" t="s">
        <v>129</v>
      </c>
      <c r="Y1435" s="4"/>
      <c r="Z1435" s="7" t="s">
        <v>14</v>
      </c>
      <c r="AA1435" s="36" t="s">
        <v>15</v>
      </c>
      <c r="AB1435" s="4" t="str">
        <f t="shared" si="49"/>
        <v>RM SHED</v>
      </c>
      <c r="AC1435" s="22">
        <f t="shared" si="48"/>
        <v>371.18168627450984</v>
      </c>
      <c r="AD1435" s="23">
        <v>0</v>
      </c>
    </row>
    <row r="1436" spans="1:30" x14ac:dyDescent="0.35">
      <c r="A1436" s="7">
        <v>12919</v>
      </c>
      <c r="B1436" s="24">
        <v>45971.59642361111</v>
      </c>
      <c r="C1436" s="24">
        <v>45971</v>
      </c>
      <c r="D1436" s="7" t="s">
        <v>3263</v>
      </c>
      <c r="E1436" s="7" t="s">
        <v>61</v>
      </c>
      <c r="F1436" s="7" t="s">
        <v>3264</v>
      </c>
      <c r="G1436" s="7" t="s">
        <v>3264</v>
      </c>
      <c r="H1436" s="7"/>
      <c r="I1436" s="7"/>
      <c r="J1436" s="7" t="s">
        <v>59</v>
      </c>
      <c r="K1436" s="7" t="s">
        <v>58</v>
      </c>
      <c r="L1436" s="7" t="s">
        <v>57</v>
      </c>
      <c r="M1436" s="7" t="s">
        <v>32</v>
      </c>
      <c r="N1436" s="7" t="s">
        <v>106</v>
      </c>
      <c r="O1436" s="7" t="s">
        <v>105</v>
      </c>
      <c r="P1436" s="7" t="s">
        <v>54</v>
      </c>
      <c r="Q1436" s="9">
        <v>114000</v>
      </c>
      <c r="R1436" s="9">
        <v>0</v>
      </c>
      <c r="S1436" s="9">
        <f t="shared" si="50"/>
        <v>114000</v>
      </c>
      <c r="T1436" s="7" t="s">
        <v>53</v>
      </c>
      <c r="U1436" s="7" t="s">
        <v>151</v>
      </c>
      <c r="V1436" s="7" t="s">
        <v>2691</v>
      </c>
      <c r="W1436" s="9">
        <v>-20</v>
      </c>
      <c r="X1436" s="7" t="s">
        <v>124</v>
      </c>
      <c r="Y1436" s="4"/>
      <c r="Z1436" s="7" t="s">
        <v>14</v>
      </c>
      <c r="AA1436" s="36" t="s">
        <v>15</v>
      </c>
      <c r="AB1436" s="4" t="str">
        <f t="shared" si="49"/>
        <v>RM SHED</v>
      </c>
      <c r="AC1436" s="22">
        <f t="shared" si="48"/>
        <v>44.705882352941174</v>
      </c>
      <c r="AD1436" s="23">
        <v>0</v>
      </c>
    </row>
    <row r="1437" spans="1:30" x14ac:dyDescent="0.35">
      <c r="A1437" s="7">
        <v>12932</v>
      </c>
      <c r="B1437" s="24">
        <v>45971.592094907406</v>
      </c>
      <c r="C1437" s="24">
        <v>45971</v>
      </c>
      <c r="D1437" s="7" t="s">
        <v>3265</v>
      </c>
      <c r="E1437" s="7" t="s">
        <v>61</v>
      </c>
      <c r="F1437" s="7" t="s">
        <v>3266</v>
      </c>
      <c r="G1437" s="7" t="s">
        <v>3266</v>
      </c>
      <c r="H1437" s="7"/>
      <c r="I1437" s="7"/>
      <c r="J1437" s="7" t="s">
        <v>3155</v>
      </c>
      <c r="K1437" s="7" t="s">
        <v>3156</v>
      </c>
      <c r="L1437" s="7" t="s">
        <v>3157</v>
      </c>
      <c r="M1437" s="7" t="s">
        <v>3158</v>
      </c>
      <c r="N1437" s="7" t="s">
        <v>114</v>
      </c>
      <c r="O1437" s="7" t="s">
        <v>68</v>
      </c>
      <c r="P1437" s="7" t="s">
        <v>54</v>
      </c>
      <c r="Q1437" s="9">
        <v>883627.83</v>
      </c>
      <c r="R1437" s="9">
        <v>0</v>
      </c>
      <c r="S1437" s="9">
        <f t="shared" si="50"/>
        <v>883627.83</v>
      </c>
      <c r="T1437" s="7" t="s">
        <v>53</v>
      </c>
      <c r="U1437" s="7" t="s">
        <v>3159</v>
      </c>
      <c r="V1437" s="7" t="s">
        <v>3160</v>
      </c>
      <c r="W1437" s="9">
        <v>-6</v>
      </c>
      <c r="X1437" s="7" t="s">
        <v>1501</v>
      </c>
      <c r="Y1437" s="4"/>
      <c r="Z1437" s="7" t="s">
        <v>14</v>
      </c>
      <c r="AA1437" s="36" t="s">
        <v>31</v>
      </c>
      <c r="AB1437" s="4" t="str">
        <f t="shared" si="49"/>
        <v>WALL</v>
      </c>
      <c r="AC1437" s="22">
        <f t="shared" si="48"/>
        <v>346.5207176470588</v>
      </c>
      <c r="AD1437" s="23">
        <v>0</v>
      </c>
    </row>
    <row r="1438" spans="1:30" ht="120" x14ac:dyDescent="0.35">
      <c r="A1438" s="7">
        <v>12935</v>
      </c>
      <c r="B1438" s="24">
        <v>45971.592094907406</v>
      </c>
      <c r="C1438" s="24">
        <v>45971</v>
      </c>
      <c r="D1438" s="7" t="s">
        <v>3267</v>
      </c>
      <c r="E1438" s="7" t="s">
        <v>61</v>
      </c>
      <c r="F1438" s="7" t="s">
        <v>3268</v>
      </c>
      <c r="G1438" s="27" t="s">
        <v>3268</v>
      </c>
      <c r="H1438" s="7"/>
      <c r="I1438" s="7"/>
      <c r="J1438" s="7" t="s">
        <v>59</v>
      </c>
      <c r="K1438" s="7" t="s">
        <v>58</v>
      </c>
      <c r="L1438" s="7" t="s">
        <v>97</v>
      </c>
      <c r="M1438" s="7" t="s">
        <v>34</v>
      </c>
      <c r="N1438" s="7" t="s">
        <v>114</v>
      </c>
      <c r="O1438" s="7" t="s">
        <v>68</v>
      </c>
      <c r="P1438" s="7" t="s">
        <v>54</v>
      </c>
      <c r="Q1438" s="9">
        <v>50400.01</v>
      </c>
      <c r="R1438" s="9">
        <v>0</v>
      </c>
      <c r="S1438" s="9">
        <f t="shared" si="50"/>
        <v>50400.01</v>
      </c>
      <c r="T1438" s="7" t="s">
        <v>53</v>
      </c>
      <c r="U1438" s="7" t="s">
        <v>111</v>
      </c>
      <c r="V1438" s="7" t="s">
        <v>2830</v>
      </c>
      <c r="W1438" s="9">
        <v>-120</v>
      </c>
      <c r="X1438" s="7" t="s">
        <v>94</v>
      </c>
      <c r="Y1438" s="4"/>
      <c r="Z1438" s="7" t="s">
        <v>14</v>
      </c>
      <c r="AA1438" s="36" t="s">
        <v>31</v>
      </c>
      <c r="AB1438" s="4" t="str">
        <f t="shared" si="49"/>
        <v>WALL</v>
      </c>
      <c r="AC1438" s="22">
        <f t="shared" si="48"/>
        <v>19.764709803921569</v>
      </c>
      <c r="AD1438" s="23">
        <v>0</v>
      </c>
    </row>
    <row r="1439" spans="1:30" x14ac:dyDescent="0.35">
      <c r="A1439" s="7">
        <v>14916</v>
      </c>
      <c r="B1439" s="24">
        <v>45972.594282407408</v>
      </c>
      <c r="C1439" s="24">
        <v>45972</v>
      </c>
      <c r="D1439" s="7" t="s">
        <v>3269</v>
      </c>
      <c r="E1439" s="7" t="s">
        <v>61</v>
      </c>
      <c r="F1439" s="7" t="s">
        <v>3270</v>
      </c>
      <c r="G1439" s="7" t="s">
        <v>3270</v>
      </c>
      <c r="H1439" s="7"/>
      <c r="I1439" s="7"/>
      <c r="J1439" s="7" t="s">
        <v>59</v>
      </c>
      <c r="K1439" s="7" t="s">
        <v>58</v>
      </c>
      <c r="L1439" s="7" t="s">
        <v>57</v>
      </c>
      <c r="M1439" s="7" t="s">
        <v>32</v>
      </c>
      <c r="N1439" s="7" t="s">
        <v>114</v>
      </c>
      <c r="O1439" s="7" t="s">
        <v>68</v>
      </c>
      <c r="P1439" s="7" t="s">
        <v>54</v>
      </c>
      <c r="Q1439" s="9">
        <v>1590000</v>
      </c>
      <c r="R1439" s="9">
        <v>0</v>
      </c>
      <c r="S1439" s="9">
        <f t="shared" si="50"/>
        <v>1590000</v>
      </c>
      <c r="T1439" s="7" t="s">
        <v>53</v>
      </c>
      <c r="U1439" s="7" t="s">
        <v>3271</v>
      </c>
      <c r="V1439" s="7" t="s">
        <v>3272</v>
      </c>
      <c r="W1439" s="9">
        <v>-20</v>
      </c>
      <c r="X1439" s="7" t="s">
        <v>94</v>
      </c>
      <c r="Y1439" s="4"/>
      <c r="Z1439" s="7" t="s">
        <v>14</v>
      </c>
      <c r="AA1439" s="36" t="s">
        <v>31</v>
      </c>
      <c r="AB1439" s="4" t="str">
        <f t="shared" si="49"/>
        <v>WALL</v>
      </c>
      <c r="AC1439" s="22">
        <f t="shared" si="48"/>
        <v>623.52941176470586</v>
      </c>
      <c r="AD1439" s="23">
        <v>0</v>
      </c>
    </row>
    <row r="1440" spans="1:30" x14ac:dyDescent="0.35">
      <c r="A1440" s="7">
        <v>14917</v>
      </c>
      <c r="B1440" s="24">
        <v>45972.594282407408</v>
      </c>
      <c r="C1440" s="24">
        <v>45972</v>
      </c>
      <c r="D1440" s="7" t="s">
        <v>3273</v>
      </c>
      <c r="E1440" s="7" t="s">
        <v>61</v>
      </c>
      <c r="F1440" s="7" t="s">
        <v>3274</v>
      </c>
      <c r="G1440" s="7" t="s">
        <v>3274</v>
      </c>
      <c r="H1440" s="7"/>
      <c r="I1440" s="7"/>
      <c r="J1440" s="7" t="s">
        <v>59</v>
      </c>
      <c r="K1440" s="7" t="s">
        <v>58</v>
      </c>
      <c r="L1440" s="7" t="s">
        <v>57</v>
      </c>
      <c r="M1440" s="7" t="s">
        <v>32</v>
      </c>
      <c r="N1440" s="7" t="s">
        <v>114</v>
      </c>
      <c r="O1440" s="7" t="s">
        <v>68</v>
      </c>
      <c r="P1440" s="7" t="s">
        <v>54</v>
      </c>
      <c r="Q1440" s="9">
        <v>815575.68</v>
      </c>
      <c r="R1440" s="9">
        <v>0</v>
      </c>
      <c r="S1440" s="9">
        <f t="shared" si="50"/>
        <v>815575.68</v>
      </c>
      <c r="T1440" s="7" t="s">
        <v>53</v>
      </c>
      <c r="U1440" s="7" t="s">
        <v>175</v>
      </c>
      <c r="V1440" s="7" t="s">
        <v>2691</v>
      </c>
      <c r="W1440" s="9">
        <v>-40</v>
      </c>
      <c r="X1440" s="7" t="s">
        <v>129</v>
      </c>
      <c r="Y1440" s="4"/>
      <c r="Z1440" s="7" t="s">
        <v>14</v>
      </c>
      <c r="AA1440" s="36" t="s">
        <v>31</v>
      </c>
      <c r="AB1440" s="4" t="str">
        <f t="shared" si="49"/>
        <v>WALL</v>
      </c>
      <c r="AC1440" s="22">
        <f t="shared" si="48"/>
        <v>319.83360000000005</v>
      </c>
      <c r="AD1440" s="23">
        <v>0</v>
      </c>
    </row>
    <row r="1441" spans="1:30" x14ac:dyDescent="0.35">
      <c r="A1441" s="7">
        <v>14946</v>
      </c>
      <c r="B1441" s="24">
        <v>45972.592581018522</v>
      </c>
      <c r="C1441" s="24">
        <v>45972</v>
      </c>
      <c r="D1441" s="7" t="s">
        <v>3275</v>
      </c>
      <c r="E1441" s="7" t="s">
        <v>61</v>
      </c>
      <c r="F1441" s="7" t="s">
        <v>3276</v>
      </c>
      <c r="G1441" s="7" t="s">
        <v>3276</v>
      </c>
      <c r="H1441" s="7"/>
      <c r="I1441" s="7"/>
      <c r="J1441" s="7" t="s">
        <v>59</v>
      </c>
      <c r="K1441" s="7" t="s">
        <v>58</v>
      </c>
      <c r="L1441" s="7" t="s">
        <v>57</v>
      </c>
      <c r="M1441" s="7" t="s">
        <v>32</v>
      </c>
      <c r="N1441" s="7" t="s">
        <v>106</v>
      </c>
      <c r="O1441" s="7" t="s">
        <v>105</v>
      </c>
      <c r="P1441" s="7" t="s">
        <v>54</v>
      </c>
      <c r="Q1441" s="9">
        <v>681954.12</v>
      </c>
      <c r="R1441" s="9">
        <v>0</v>
      </c>
      <c r="S1441" s="9">
        <f t="shared" si="50"/>
        <v>681954.12</v>
      </c>
      <c r="T1441" s="7" t="s">
        <v>53</v>
      </c>
      <c r="U1441" s="7" t="s">
        <v>350</v>
      </c>
      <c r="V1441" s="7" t="s">
        <v>2691</v>
      </c>
      <c r="W1441" s="9">
        <v>-12</v>
      </c>
      <c r="X1441" s="7" t="s">
        <v>129</v>
      </c>
      <c r="Y1441" s="4"/>
      <c r="Z1441" s="7" t="s">
        <v>14</v>
      </c>
      <c r="AA1441" s="36" t="s">
        <v>15</v>
      </c>
      <c r="AB1441" s="4" t="str">
        <f t="shared" si="49"/>
        <v>RM SHED</v>
      </c>
      <c r="AC1441" s="22">
        <f t="shared" si="48"/>
        <v>267.43298823529409</v>
      </c>
      <c r="AD1441" s="23">
        <v>0</v>
      </c>
    </row>
    <row r="1442" spans="1:30" x14ac:dyDescent="0.35">
      <c r="A1442" s="7">
        <v>14948</v>
      </c>
      <c r="B1442" s="24">
        <v>45972.592581018522</v>
      </c>
      <c r="C1442" s="24">
        <v>45972</v>
      </c>
      <c r="D1442" s="7" t="s">
        <v>3277</v>
      </c>
      <c r="E1442" s="7" t="s">
        <v>61</v>
      </c>
      <c r="F1442" s="7" t="s">
        <v>3278</v>
      </c>
      <c r="G1442" s="7" t="s">
        <v>3278</v>
      </c>
      <c r="H1442" s="7"/>
      <c r="I1442" s="7"/>
      <c r="J1442" s="7" t="s">
        <v>59</v>
      </c>
      <c r="K1442" s="7" t="s">
        <v>58</v>
      </c>
      <c r="L1442" s="7" t="s">
        <v>57</v>
      </c>
      <c r="M1442" s="7" t="s">
        <v>32</v>
      </c>
      <c r="N1442" s="7" t="s">
        <v>106</v>
      </c>
      <c r="O1442" s="7" t="s">
        <v>105</v>
      </c>
      <c r="P1442" s="7" t="s">
        <v>54</v>
      </c>
      <c r="Q1442" s="9">
        <v>1822302.66</v>
      </c>
      <c r="R1442" s="9">
        <v>0</v>
      </c>
      <c r="S1442" s="9">
        <f t="shared" si="50"/>
        <v>1822302.66</v>
      </c>
      <c r="T1442" s="7" t="s">
        <v>53</v>
      </c>
      <c r="U1442" s="7" t="s">
        <v>172</v>
      </c>
      <c r="V1442" s="7" t="s">
        <v>2691</v>
      </c>
      <c r="W1442" s="9">
        <v>-50</v>
      </c>
      <c r="X1442" s="7" t="s">
        <v>129</v>
      </c>
      <c r="Y1442" s="4"/>
      <c r="Z1442" s="7" t="s">
        <v>14</v>
      </c>
      <c r="AA1442" s="36" t="s">
        <v>15</v>
      </c>
      <c r="AB1442" s="4" t="str">
        <f t="shared" si="49"/>
        <v>RM SHED</v>
      </c>
      <c r="AC1442" s="22">
        <f t="shared" si="48"/>
        <v>714.62849411764705</v>
      </c>
      <c r="AD1442" s="23">
        <v>0</v>
      </c>
    </row>
    <row r="1443" spans="1:30" x14ac:dyDescent="0.35">
      <c r="A1443" s="7">
        <v>17926</v>
      </c>
      <c r="B1443" s="24">
        <v>45973.601736111108</v>
      </c>
      <c r="C1443" s="24">
        <v>45973</v>
      </c>
      <c r="D1443" s="7" t="s">
        <v>3279</v>
      </c>
      <c r="E1443" s="7" t="s">
        <v>61</v>
      </c>
      <c r="F1443" s="7" t="s">
        <v>3280</v>
      </c>
      <c r="G1443" s="7" t="s">
        <v>3280</v>
      </c>
      <c r="H1443" s="7"/>
      <c r="I1443" s="7"/>
      <c r="J1443" s="7" t="s">
        <v>59</v>
      </c>
      <c r="K1443" s="7" t="s">
        <v>58</v>
      </c>
      <c r="L1443" s="7" t="s">
        <v>57</v>
      </c>
      <c r="M1443" s="7" t="s">
        <v>32</v>
      </c>
      <c r="N1443" s="7" t="s">
        <v>106</v>
      </c>
      <c r="O1443" s="7" t="s">
        <v>105</v>
      </c>
      <c r="P1443" s="7" t="s">
        <v>54</v>
      </c>
      <c r="Q1443" s="9">
        <v>280000</v>
      </c>
      <c r="R1443" s="9">
        <v>0</v>
      </c>
      <c r="S1443" s="9">
        <f t="shared" si="50"/>
        <v>280000</v>
      </c>
      <c r="T1443" s="7" t="s">
        <v>53</v>
      </c>
      <c r="U1443" s="7" t="s">
        <v>148</v>
      </c>
      <c r="V1443" s="7" t="s">
        <v>2691</v>
      </c>
      <c r="W1443" s="9">
        <v>-40</v>
      </c>
      <c r="X1443" s="7" t="s">
        <v>94</v>
      </c>
      <c r="Y1443" s="4"/>
      <c r="Z1443" s="7" t="s">
        <v>14</v>
      </c>
      <c r="AA1443" s="36" t="s">
        <v>15</v>
      </c>
      <c r="AB1443" s="4" t="str">
        <f t="shared" si="49"/>
        <v>RM SHED</v>
      </c>
      <c r="AC1443" s="22">
        <f t="shared" si="48"/>
        <v>109.80392156862744</v>
      </c>
      <c r="AD1443" s="23">
        <v>0</v>
      </c>
    </row>
    <row r="1444" spans="1:30" x14ac:dyDescent="0.35">
      <c r="A1444" s="7">
        <v>17929</v>
      </c>
      <c r="B1444" s="24">
        <v>45973.601736111108</v>
      </c>
      <c r="C1444" s="24">
        <v>45973</v>
      </c>
      <c r="D1444" s="7" t="s">
        <v>3281</v>
      </c>
      <c r="E1444" s="7" t="s">
        <v>61</v>
      </c>
      <c r="F1444" s="7" t="s">
        <v>3282</v>
      </c>
      <c r="G1444" s="7" t="s">
        <v>3282</v>
      </c>
      <c r="H1444" s="7"/>
      <c r="I1444" s="7"/>
      <c r="J1444" s="7" t="s">
        <v>59</v>
      </c>
      <c r="K1444" s="7" t="s">
        <v>58</v>
      </c>
      <c r="L1444" s="7" t="s">
        <v>57</v>
      </c>
      <c r="M1444" s="7" t="s">
        <v>32</v>
      </c>
      <c r="N1444" s="7" t="s">
        <v>106</v>
      </c>
      <c r="O1444" s="7" t="s">
        <v>105</v>
      </c>
      <c r="P1444" s="7" t="s">
        <v>54</v>
      </c>
      <c r="Q1444" s="9">
        <v>75000</v>
      </c>
      <c r="R1444" s="9">
        <v>0</v>
      </c>
      <c r="S1444" s="9">
        <f t="shared" si="50"/>
        <v>75000</v>
      </c>
      <c r="T1444" s="7" t="s">
        <v>53</v>
      </c>
      <c r="U1444" s="7" t="s">
        <v>133</v>
      </c>
      <c r="V1444" s="7" t="s">
        <v>2691</v>
      </c>
      <c r="W1444" s="9">
        <v>-15</v>
      </c>
      <c r="X1444" s="7" t="s">
        <v>124</v>
      </c>
      <c r="Y1444" s="4"/>
      <c r="Z1444" s="7" t="s">
        <v>14</v>
      </c>
      <c r="AA1444" s="36" t="s">
        <v>15</v>
      </c>
      <c r="AB1444" s="4" t="str">
        <f t="shared" si="49"/>
        <v>RM SHED</v>
      </c>
      <c r="AC1444" s="22">
        <f t="shared" si="48"/>
        <v>29.411764705882351</v>
      </c>
      <c r="AD1444" s="23">
        <v>0</v>
      </c>
    </row>
    <row r="1445" spans="1:30" x14ac:dyDescent="0.35">
      <c r="A1445" s="7">
        <v>17990</v>
      </c>
      <c r="B1445" s="24">
        <v>45973.578252314815</v>
      </c>
      <c r="C1445" s="24">
        <v>45973</v>
      </c>
      <c r="D1445" s="7" t="s">
        <v>3283</v>
      </c>
      <c r="E1445" s="7" t="s">
        <v>61</v>
      </c>
      <c r="F1445" s="7" t="s">
        <v>3284</v>
      </c>
      <c r="G1445" s="7" t="s">
        <v>3284</v>
      </c>
      <c r="H1445" s="7"/>
      <c r="I1445" s="7"/>
      <c r="J1445" s="7" t="s">
        <v>59</v>
      </c>
      <c r="K1445" s="7" t="s">
        <v>58</v>
      </c>
      <c r="L1445" s="7" t="s">
        <v>57</v>
      </c>
      <c r="M1445" s="7" t="s">
        <v>32</v>
      </c>
      <c r="N1445" s="7" t="s">
        <v>197</v>
      </c>
      <c r="O1445" s="7" t="s">
        <v>105</v>
      </c>
      <c r="P1445" s="7" t="s">
        <v>126</v>
      </c>
      <c r="Q1445" s="9">
        <v>641741.99</v>
      </c>
      <c r="R1445" s="9">
        <v>0</v>
      </c>
      <c r="S1445" s="9">
        <f t="shared" si="50"/>
        <v>641741.99</v>
      </c>
      <c r="T1445" s="7" t="s">
        <v>53</v>
      </c>
      <c r="U1445" s="7" t="s">
        <v>3285</v>
      </c>
      <c r="V1445" s="7" t="s">
        <v>3254</v>
      </c>
      <c r="W1445" s="9">
        <v>-1</v>
      </c>
      <c r="X1445" s="7" t="s">
        <v>94</v>
      </c>
      <c r="Y1445" s="4"/>
      <c r="Z1445" s="7" t="s">
        <v>14</v>
      </c>
      <c r="AA1445" s="36" t="s">
        <v>29</v>
      </c>
      <c r="AB1445" s="4" t="s">
        <v>2607</v>
      </c>
      <c r="AC1445" s="22">
        <f t="shared" si="48"/>
        <v>251.66352549019606</v>
      </c>
      <c r="AD1445" s="23">
        <v>0</v>
      </c>
    </row>
    <row r="1446" spans="1:30" x14ac:dyDescent="0.35">
      <c r="A1446" s="7">
        <v>18004</v>
      </c>
      <c r="B1446" s="24">
        <v>45973.573449074072</v>
      </c>
      <c r="C1446" s="24">
        <v>45973</v>
      </c>
      <c r="D1446" s="7" t="s">
        <v>3286</v>
      </c>
      <c r="E1446" s="7" t="s">
        <v>61</v>
      </c>
      <c r="F1446" s="7" t="s">
        <v>3287</v>
      </c>
      <c r="G1446" s="7" t="s">
        <v>3287</v>
      </c>
      <c r="H1446" s="7"/>
      <c r="I1446" s="7"/>
      <c r="J1446" s="7" t="s">
        <v>59</v>
      </c>
      <c r="K1446" s="7" t="s">
        <v>58</v>
      </c>
      <c r="L1446" s="7" t="s">
        <v>57</v>
      </c>
      <c r="M1446" s="7" t="s">
        <v>32</v>
      </c>
      <c r="N1446" s="7" t="s">
        <v>106</v>
      </c>
      <c r="O1446" s="7" t="s">
        <v>105</v>
      </c>
      <c r="P1446" s="7" t="s">
        <v>54</v>
      </c>
      <c r="Q1446" s="9">
        <v>32204.11</v>
      </c>
      <c r="R1446" s="9">
        <v>0</v>
      </c>
      <c r="S1446" s="9">
        <f t="shared" si="50"/>
        <v>32204.11</v>
      </c>
      <c r="T1446" s="7" t="s">
        <v>53</v>
      </c>
      <c r="U1446" s="7" t="s">
        <v>117</v>
      </c>
      <c r="V1446" s="7" t="s">
        <v>2688</v>
      </c>
      <c r="W1446" s="9">
        <v>-10</v>
      </c>
      <c r="X1446" s="7" t="s">
        <v>94</v>
      </c>
      <c r="Y1446" s="4"/>
      <c r="Z1446" s="7" t="s">
        <v>14</v>
      </c>
      <c r="AA1446" s="36" t="s">
        <v>15</v>
      </c>
      <c r="AB1446" s="4" t="str">
        <f t="shared" si="49"/>
        <v>RM SHED</v>
      </c>
      <c r="AC1446" s="22">
        <f t="shared" si="48"/>
        <v>12.629062745098039</v>
      </c>
      <c r="AD1446" s="23">
        <v>0</v>
      </c>
    </row>
    <row r="1447" spans="1:30" x14ac:dyDescent="0.35">
      <c r="A1447" s="7">
        <v>18938</v>
      </c>
      <c r="B1447" s="24">
        <v>45973.284571759257</v>
      </c>
      <c r="C1447" s="24">
        <v>45973</v>
      </c>
      <c r="D1447" s="7" t="s">
        <v>3288</v>
      </c>
      <c r="E1447" s="7" t="s">
        <v>1331</v>
      </c>
      <c r="F1447" s="7" t="s">
        <v>1499</v>
      </c>
      <c r="G1447" s="7" t="s">
        <v>3289</v>
      </c>
      <c r="H1447" s="7" t="s">
        <v>1497</v>
      </c>
      <c r="I1447" s="7" t="s">
        <v>1496</v>
      </c>
      <c r="J1447" s="7" t="s">
        <v>3290</v>
      </c>
      <c r="K1447" s="7" t="s">
        <v>58</v>
      </c>
      <c r="L1447" s="7" t="s">
        <v>3291</v>
      </c>
      <c r="M1447" s="7" t="s">
        <v>3292</v>
      </c>
      <c r="N1447" s="7" t="s">
        <v>1324</v>
      </c>
      <c r="O1447" s="7" t="s">
        <v>68</v>
      </c>
      <c r="P1447" s="7" t="s">
        <v>68</v>
      </c>
      <c r="Q1447" s="9">
        <v>2159117.5</v>
      </c>
      <c r="R1447" s="9">
        <v>0</v>
      </c>
      <c r="S1447" s="9">
        <f t="shared" si="50"/>
        <v>2159117.5</v>
      </c>
      <c r="T1447" s="7" t="s">
        <v>2635</v>
      </c>
      <c r="U1447" s="7"/>
      <c r="V1447" s="7"/>
      <c r="W1447" s="9">
        <v>1</v>
      </c>
      <c r="X1447" s="7"/>
      <c r="Y1447" s="4"/>
      <c r="Z1447" s="7" t="s">
        <v>14</v>
      </c>
      <c r="AA1447" s="36" t="s">
        <v>20</v>
      </c>
      <c r="AB1447" s="4" t="str">
        <f t="shared" si="49"/>
        <v>2200 TPD Commissioning</v>
      </c>
      <c r="AC1447" s="22">
        <f t="shared" si="48"/>
        <v>846.71274509803925</v>
      </c>
      <c r="AD1447" s="23">
        <v>0</v>
      </c>
    </row>
    <row r="1448" spans="1:30" x14ac:dyDescent="0.35">
      <c r="A1448" s="7">
        <v>19734</v>
      </c>
      <c r="B1448" s="24">
        <v>45974.609456018516</v>
      </c>
      <c r="C1448" s="24">
        <v>45974</v>
      </c>
      <c r="D1448" s="7" t="s">
        <v>3293</v>
      </c>
      <c r="E1448" s="7" t="s">
        <v>61</v>
      </c>
      <c r="F1448" s="7" t="s">
        <v>3294</v>
      </c>
      <c r="G1448" s="7" t="s">
        <v>3294</v>
      </c>
      <c r="H1448" s="7"/>
      <c r="I1448" s="7"/>
      <c r="J1448" s="7" t="s">
        <v>3155</v>
      </c>
      <c r="K1448" s="7" t="s">
        <v>3156</v>
      </c>
      <c r="L1448" s="7" t="s">
        <v>3157</v>
      </c>
      <c r="M1448" s="7" t="s">
        <v>3158</v>
      </c>
      <c r="N1448" s="7" t="s">
        <v>106</v>
      </c>
      <c r="O1448" s="7" t="s">
        <v>105</v>
      </c>
      <c r="P1448" s="7" t="s">
        <v>54</v>
      </c>
      <c r="Q1448" s="9">
        <v>801124.42</v>
      </c>
      <c r="R1448" s="9">
        <v>0</v>
      </c>
      <c r="S1448" s="9">
        <f t="shared" si="50"/>
        <v>801124.42</v>
      </c>
      <c r="T1448" s="7" t="s">
        <v>53</v>
      </c>
      <c r="U1448" s="7" t="s">
        <v>3159</v>
      </c>
      <c r="V1448" s="7" t="s">
        <v>3160</v>
      </c>
      <c r="W1448" s="9">
        <v>-13</v>
      </c>
      <c r="X1448" s="7" t="s">
        <v>1501</v>
      </c>
      <c r="Y1448" s="4"/>
      <c r="Z1448" s="7" t="s">
        <v>14</v>
      </c>
      <c r="AA1448" s="36" t="s">
        <v>15</v>
      </c>
      <c r="AB1448" s="4" t="str">
        <f t="shared" si="49"/>
        <v>RM SHED</v>
      </c>
      <c r="AC1448" s="22">
        <f t="shared" si="48"/>
        <v>314.1664392156863</v>
      </c>
      <c r="AD1448" s="23">
        <v>0</v>
      </c>
    </row>
    <row r="1449" spans="1:30" x14ac:dyDescent="0.35">
      <c r="A1449" s="7">
        <v>19737</v>
      </c>
      <c r="B1449" s="24">
        <v>45974.609456018516</v>
      </c>
      <c r="C1449" s="24">
        <v>45974</v>
      </c>
      <c r="D1449" s="7" t="s">
        <v>3295</v>
      </c>
      <c r="E1449" s="7" t="s">
        <v>61</v>
      </c>
      <c r="F1449" s="7" t="s">
        <v>3296</v>
      </c>
      <c r="G1449" s="7" t="s">
        <v>3296</v>
      </c>
      <c r="H1449" s="7"/>
      <c r="I1449" s="7"/>
      <c r="J1449" s="7" t="s">
        <v>59</v>
      </c>
      <c r="K1449" s="7" t="s">
        <v>58</v>
      </c>
      <c r="L1449" s="7" t="s">
        <v>97</v>
      </c>
      <c r="M1449" s="7" t="s">
        <v>34</v>
      </c>
      <c r="N1449" s="7" t="s">
        <v>106</v>
      </c>
      <c r="O1449" s="7" t="s">
        <v>105</v>
      </c>
      <c r="P1449" s="7" t="s">
        <v>54</v>
      </c>
      <c r="Q1449" s="9">
        <v>109200</v>
      </c>
      <c r="R1449" s="9">
        <v>0</v>
      </c>
      <c r="S1449" s="9">
        <f t="shared" si="50"/>
        <v>109200</v>
      </c>
      <c r="T1449" s="7" t="s">
        <v>53</v>
      </c>
      <c r="U1449" s="7" t="s">
        <v>111</v>
      </c>
      <c r="V1449" s="7" t="s">
        <v>2830</v>
      </c>
      <c r="W1449" s="9">
        <v>-260</v>
      </c>
      <c r="X1449" s="7" t="s">
        <v>94</v>
      </c>
      <c r="Y1449" s="4"/>
      <c r="Z1449" s="7" t="s">
        <v>14</v>
      </c>
      <c r="AA1449" s="36" t="s">
        <v>15</v>
      </c>
      <c r="AB1449" s="4" t="str">
        <f t="shared" si="49"/>
        <v>RM SHED</v>
      </c>
      <c r="AC1449" s="22">
        <f t="shared" si="48"/>
        <v>42.823529411764703</v>
      </c>
      <c r="AD1449" s="23">
        <v>0</v>
      </c>
    </row>
    <row r="1450" spans="1:30" x14ac:dyDescent="0.35">
      <c r="A1450" s="7">
        <v>19780</v>
      </c>
      <c r="B1450" s="24">
        <v>45974.599212962959</v>
      </c>
      <c r="C1450" s="24">
        <v>45974</v>
      </c>
      <c r="D1450" s="7" t="s">
        <v>3297</v>
      </c>
      <c r="E1450" s="7" t="s">
        <v>61</v>
      </c>
      <c r="F1450" s="7" t="s">
        <v>3298</v>
      </c>
      <c r="G1450" s="7" t="s">
        <v>3298</v>
      </c>
      <c r="H1450" s="7"/>
      <c r="I1450" s="7"/>
      <c r="J1450" s="7" t="s">
        <v>59</v>
      </c>
      <c r="K1450" s="7" t="s">
        <v>58</v>
      </c>
      <c r="L1450" s="7" t="s">
        <v>57</v>
      </c>
      <c r="M1450" s="7" t="s">
        <v>32</v>
      </c>
      <c r="N1450" s="7" t="s">
        <v>106</v>
      </c>
      <c r="O1450" s="7" t="s">
        <v>105</v>
      </c>
      <c r="P1450" s="7" t="s">
        <v>54</v>
      </c>
      <c r="Q1450" s="9">
        <v>946513.3</v>
      </c>
      <c r="R1450" s="9">
        <v>0</v>
      </c>
      <c r="S1450" s="9">
        <f t="shared" si="50"/>
        <v>946513.3</v>
      </c>
      <c r="T1450" s="7" t="s">
        <v>53</v>
      </c>
      <c r="U1450" s="7" t="s">
        <v>257</v>
      </c>
      <c r="V1450" s="7" t="s">
        <v>2691</v>
      </c>
      <c r="W1450" s="9">
        <v>-100</v>
      </c>
      <c r="X1450" s="7" t="s">
        <v>129</v>
      </c>
      <c r="Y1450" s="4"/>
      <c r="Z1450" s="7" t="s">
        <v>14</v>
      </c>
      <c r="AA1450" s="36" t="s">
        <v>15</v>
      </c>
      <c r="AB1450" s="4" t="str">
        <f t="shared" si="49"/>
        <v>RM SHED</v>
      </c>
      <c r="AC1450" s="22">
        <f t="shared" si="48"/>
        <v>371.18168627450984</v>
      </c>
      <c r="AD1450" s="23">
        <v>0</v>
      </c>
    </row>
    <row r="1451" spans="1:30" x14ac:dyDescent="0.35">
      <c r="A1451" s="7">
        <v>19783</v>
      </c>
      <c r="B1451" s="24">
        <v>45974.599212962959</v>
      </c>
      <c r="C1451" s="24">
        <v>45974</v>
      </c>
      <c r="D1451" s="7" t="s">
        <v>3299</v>
      </c>
      <c r="E1451" s="7" t="s">
        <v>61</v>
      </c>
      <c r="F1451" s="7" t="s">
        <v>3300</v>
      </c>
      <c r="G1451" s="7" t="s">
        <v>3300</v>
      </c>
      <c r="H1451" s="7"/>
      <c r="I1451" s="7"/>
      <c r="J1451" s="7" t="s">
        <v>59</v>
      </c>
      <c r="K1451" s="7" t="s">
        <v>58</v>
      </c>
      <c r="L1451" s="7" t="s">
        <v>57</v>
      </c>
      <c r="M1451" s="7" t="s">
        <v>32</v>
      </c>
      <c r="N1451" s="7" t="s">
        <v>106</v>
      </c>
      <c r="O1451" s="7" t="s">
        <v>105</v>
      </c>
      <c r="P1451" s="7" t="s">
        <v>54</v>
      </c>
      <c r="Q1451" s="9">
        <v>71250</v>
      </c>
      <c r="R1451" s="9">
        <v>0</v>
      </c>
      <c r="S1451" s="9">
        <f t="shared" si="50"/>
        <v>71250</v>
      </c>
      <c r="T1451" s="7" t="s">
        <v>53</v>
      </c>
      <c r="U1451" s="7" t="s">
        <v>133</v>
      </c>
      <c r="V1451" s="7" t="s">
        <v>2691</v>
      </c>
      <c r="W1451" s="9">
        <v>-14.25</v>
      </c>
      <c r="X1451" s="7" t="s">
        <v>124</v>
      </c>
      <c r="Y1451" s="4"/>
      <c r="Z1451" s="7" t="s">
        <v>14</v>
      </c>
      <c r="AA1451" s="36" t="s">
        <v>15</v>
      </c>
      <c r="AB1451" s="4" t="str">
        <f t="shared" si="49"/>
        <v>RM SHED</v>
      </c>
      <c r="AC1451" s="22">
        <f t="shared" si="48"/>
        <v>27.941176470588236</v>
      </c>
      <c r="AD1451" s="23">
        <v>0</v>
      </c>
    </row>
    <row r="1452" spans="1:30" x14ac:dyDescent="0.35">
      <c r="A1452" s="7">
        <v>19784</v>
      </c>
      <c r="B1452" s="24">
        <v>45974.598171296297</v>
      </c>
      <c r="C1452" s="24">
        <v>45974</v>
      </c>
      <c r="D1452" s="7" t="s">
        <v>3301</v>
      </c>
      <c r="E1452" s="7" t="s">
        <v>61</v>
      </c>
      <c r="F1452" s="7" t="s">
        <v>3302</v>
      </c>
      <c r="G1452" s="7" t="s">
        <v>3302</v>
      </c>
      <c r="H1452" s="7"/>
      <c r="I1452" s="7"/>
      <c r="J1452" s="7" t="s">
        <v>59</v>
      </c>
      <c r="K1452" s="7" t="s">
        <v>58</v>
      </c>
      <c r="L1452" s="7" t="s">
        <v>57</v>
      </c>
      <c r="M1452" s="7" t="s">
        <v>32</v>
      </c>
      <c r="N1452" s="7" t="s">
        <v>114</v>
      </c>
      <c r="O1452" s="7" t="s">
        <v>68</v>
      </c>
      <c r="P1452" s="7" t="s">
        <v>54</v>
      </c>
      <c r="Q1452" s="9">
        <v>12578436</v>
      </c>
      <c r="R1452" s="9">
        <v>0</v>
      </c>
      <c r="S1452" s="9">
        <f t="shared" si="50"/>
        <v>12578436</v>
      </c>
      <c r="T1452" s="7" t="s">
        <v>53</v>
      </c>
      <c r="U1452" s="7" t="s">
        <v>339</v>
      </c>
      <c r="V1452" s="7" t="s">
        <v>2691</v>
      </c>
      <c r="W1452" s="9">
        <v>-116.467</v>
      </c>
      <c r="X1452" s="7" t="s">
        <v>338</v>
      </c>
      <c r="Y1452" s="4"/>
      <c r="Z1452" s="7" t="s">
        <v>14</v>
      </c>
      <c r="AA1452" s="36" t="s">
        <v>31</v>
      </c>
      <c r="AB1452" s="4" t="str">
        <f t="shared" si="49"/>
        <v>WALL</v>
      </c>
      <c r="AC1452" s="22">
        <f t="shared" si="48"/>
        <v>4932.72</v>
      </c>
      <c r="AD1452" s="23">
        <v>0</v>
      </c>
    </row>
    <row r="1453" spans="1:30" x14ac:dyDescent="0.35">
      <c r="A1453" s="7">
        <v>21746</v>
      </c>
      <c r="B1453" s="24">
        <v>45975.602650462963</v>
      </c>
      <c r="C1453" s="24">
        <v>45975</v>
      </c>
      <c r="D1453" s="7" t="s">
        <v>3303</v>
      </c>
      <c r="E1453" s="7" t="s">
        <v>61</v>
      </c>
      <c r="F1453" s="7" t="s">
        <v>3304</v>
      </c>
      <c r="G1453" s="7" t="s">
        <v>3304</v>
      </c>
      <c r="H1453" s="7"/>
      <c r="I1453" s="7"/>
      <c r="J1453" s="7" t="s">
        <v>59</v>
      </c>
      <c r="K1453" s="7" t="s">
        <v>58</v>
      </c>
      <c r="L1453" s="7" t="s">
        <v>57</v>
      </c>
      <c r="M1453" s="7" t="s">
        <v>32</v>
      </c>
      <c r="N1453" s="7" t="s">
        <v>106</v>
      </c>
      <c r="O1453" s="7" t="s">
        <v>105</v>
      </c>
      <c r="P1453" s="7" t="s">
        <v>54</v>
      </c>
      <c r="Q1453" s="9">
        <v>1822302.65</v>
      </c>
      <c r="R1453" s="9">
        <v>0</v>
      </c>
      <c r="S1453" s="9">
        <f t="shared" si="50"/>
        <v>1822302.65</v>
      </c>
      <c r="T1453" s="7" t="s">
        <v>53</v>
      </c>
      <c r="U1453" s="7" t="s">
        <v>172</v>
      </c>
      <c r="V1453" s="7" t="s">
        <v>2691</v>
      </c>
      <c r="W1453" s="9">
        <v>-50</v>
      </c>
      <c r="X1453" s="7" t="s">
        <v>129</v>
      </c>
      <c r="Y1453" s="4"/>
      <c r="Z1453" s="7" t="s">
        <v>14</v>
      </c>
      <c r="AA1453" s="36" t="s">
        <v>15</v>
      </c>
      <c r="AB1453" s="4" t="str">
        <f t="shared" si="49"/>
        <v>RM SHED</v>
      </c>
      <c r="AC1453" s="22">
        <f t="shared" si="48"/>
        <v>714.62849019607836</v>
      </c>
      <c r="AD1453" s="23">
        <v>0</v>
      </c>
    </row>
    <row r="1454" spans="1:30" x14ac:dyDescent="0.35">
      <c r="A1454" s="7">
        <v>21749</v>
      </c>
      <c r="B1454" s="24">
        <v>45975.602650462963</v>
      </c>
      <c r="C1454" s="24">
        <v>45975</v>
      </c>
      <c r="D1454" s="7" t="s">
        <v>3305</v>
      </c>
      <c r="E1454" s="7" t="s">
        <v>61</v>
      </c>
      <c r="F1454" s="7" t="s">
        <v>3306</v>
      </c>
      <c r="G1454" s="7" t="s">
        <v>3306</v>
      </c>
      <c r="H1454" s="7"/>
      <c r="I1454" s="7"/>
      <c r="J1454" s="7" t="s">
        <v>59</v>
      </c>
      <c r="K1454" s="7" t="s">
        <v>58</v>
      </c>
      <c r="L1454" s="7" t="s">
        <v>57</v>
      </c>
      <c r="M1454" s="7" t="s">
        <v>32</v>
      </c>
      <c r="N1454" s="7" t="s">
        <v>106</v>
      </c>
      <c r="O1454" s="7" t="s">
        <v>105</v>
      </c>
      <c r="P1454" s="7" t="s">
        <v>54</v>
      </c>
      <c r="Q1454" s="9">
        <v>74000</v>
      </c>
      <c r="R1454" s="9">
        <v>0</v>
      </c>
      <c r="S1454" s="9">
        <f t="shared" si="50"/>
        <v>74000</v>
      </c>
      <c r="T1454" s="7" t="s">
        <v>53</v>
      </c>
      <c r="U1454" s="7" t="s">
        <v>133</v>
      </c>
      <c r="V1454" s="7" t="s">
        <v>2691</v>
      </c>
      <c r="W1454" s="9">
        <v>-14.8</v>
      </c>
      <c r="X1454" s="7" t="s">
        <v>124</v>
      </c>
      <c r="Y1454" s="4"/>
      <c r="Z1454" s="7" t="s">
        <v>14</v>
      </c>
      <c r="AA1454" s="36" t="s">
        <v>15</v>
      </c>
      <c r="AB1454" s="4" t="str">
        <f t="shared" si="49"/>
        <v>RM SHED</v>
      </c>
      <c r="AC1454" s="22">
        <f t="shared" si="48"/>
        <v>29.019607843137255</v>
      </c>
      <c r="AD1454" s="23">
        <v>0</v>
      </c>
    </row>
    <row r="1455" spans="1:30" x14ac:dyDescent="0.35">
      <c r="A1455" s="7">
        <v>21751</v>
      </c>
      <c r="B1455" s="24">
        <v>45975.602650462963</v>
      </c>
      <c r="C1455" s="24">
        <v>45975</v>
      </c>
      <c r="D1455" s="7" t="s">
        <v>3307</v>
      </c>
      <c r="E1455" s="7" t="s">
        <v>61</v>
      </c>
      <c r="F1455" s="7" t="s">
        <v>3308</v>
      </c>
      <c r="G1455" s="7" t="s">
        <v>3308</v>
      </c>
      <c r="H1455" s="7"/>
      <c r="I1455" s="7"/>
      <c r="J1455" s="7" t="s">
        <v>59</v>
      </c>
      <c r="K1455" s="7" t="s">
        <v>58</v>
      </c>
      <c r="L1455" s="7" t="s">
        <v>57</v>
      </c>
      <c r="M1455" s="7" t="s">
        <v>32</v>
      </c>
      <c r="N1455" s="7" t="s">
        <v>106</v>
      </c>
      <c r="O1455" s="7" t="s">
        <v>105</v>
      </c>
      <c r="P1455" s="7" t="s">
        <v>54</v>
      </c>
      <c r="Q1455" s="9">
        <v>39805.089999999997</v>
      </c>
      <c r="R1455" s="9">
        <v>0</v>
      </c>
      <c r="S1455" s="9">
        <f t="shared" si="50"/>
        <v>39805.089999999997</v>
      </c>
      <c r="T1455" s="7" t="s">
        <v>53</v>
      </c>
      <c r="U1455" s="7" t="s">
        <v>739</v>
      </c>
      <c r="V1455" s="7" t="s">
        <v>2691</v>
      </c>
      <c r="W1455" s="9">
        <v>-4</v>
      </c>
      <c r="X1455" s="7" t="s">
        <v>124</v>
      </c>
      <c r="Y1455" s="4"/>
      <c r="Z1455" s="7" t="s">
        <v>14</v>
      </c>
      <c r="AA1455" s="36" t="s">
        <v>15</v>
      </c>
      <c r="AB1455" s="4" t="str">
        <f t="shared" si="49"/>
        <v>RM SHED</v>
      </c>
      <c r="AC1455" s="22">
        <f t="shared" si="48"/>
        <v>15.609839215686273</v>
      </c>
      <c r="AD1455" s="23">
        <v>0</v>
      </c>
    </row>
    <row r="1456" spans="1:30" x14ac:dyDescent="0.35">
      <c r="A1456" s="7">
        <v>21753</v>
      </c>
      <c r="B1456" s="24">
        <v>45975.602650462963</v>
      </c>
      <c r="C1456" s="24">
        <v>45975</v>
      </c>
      <c r="D1456" s="7" t="s">
        <v>3309</v>
      </c>
      <c r="E1456" s="7" t="s">
        <v>61</v>
      </c>
      <c r="F1456" s="7" t="s">
        <v>3310</v>
      </c>
      <c r="G1456" s="7" t="s">
        <v>3310</v>
      </c>
      <c r="H1456" s="7"/>
      <c r="I1456" s="7"/>
      <c r="J1456" s="7" t="s">
        <v>59</v>
      </c>
      <c r="K1456" s="7" t="s">
        <v>58</v>
      </c>
      <c r="L1456" s="7" t="s">
        <v>57</v>
      </c>
      <c r="M1456" s="7" t="s">
        <v>32</v>
      </c>
      <c r="N1456" s="7" t="s">
        <v>106</v>
      </c>
      <c r="O1456" s="7" t="s">
        <v>105</v>
      </c>
      <c r="P1456" s="7" t="s">
        <v>54</v>
      </c>
      <c r="Q1456" s="9">
        <v>114000</v>
      </c>
      <c r="R1456" s="9">
        <v>0</v>
      </c>
      <c r="S1456" s="9">
        <f t="shared" si="50"/>
        <v>114000</v>
      </c>
      <c r="T1456" s="7" t="s">
        <v>53</v>
      </c>
      <c r="U1456" s="7" t="s">
        <v>151</v>
      </c>
      <c r="V1456" s="7" t="s">
        <v>2691</v>
      </c>
      <c r="W1456" s="9">
        <v>-20</v>
      </c>
      <c r="X1456" s="7" t="s">
        <v>124</v>
      </c>
      <c r="Y1456" s="4"/>
      <c r="Z1456" s="7" t="s">
        <v>14</v>
      </c>
      <c r="AA1456" s="36" t="s">
        <v>15</v>
      </c>
      <c r="AB1456" s="4" t="str">
        <f t="shared" si="49"/>
        <v>RM SHED</v>
      </c>
      <c r="AC1456" s="22">
        <f t="shared" si="48"/>
        <v>44.705882352941174</v>
      </c>
      <c r="AD1456" s="23">
        <v>0</v>
      </c>
    </row>
    <row r="1457" spans="1:30" x14ac:dyDescent="0.35">
      <c r="A1457" s="7">
        <v>25791</v>
      </c>
      <c r="B1457" s="24">
        <v>45978.599560185183</v>
      </c>
      <c r="C1457" s="24">
        <v>45978</v>
      </c>
      <c r="D1457" s="7" t="s">
        <v>3311</v>
      </c>
      <c r="E1457" s="7" t="s">
        <v>61</v>
      </c>
      <c r="F1457" s="7" t="s">
        <v>3312</v>
      </c>
      <c r="G1457" s="7" t="s">
        <v>3312</v>
      </c>
      <c r="H1457" s="7"/>
      <c r="I1457" s="7"/>
      <c r="J1457" s="7" t="s">
        <v>59</v>
      </c>
      <c r="K1457" s="7" t="s">
        <v>58</v>
      </c>
      <c r="L1457" s="7" t="s">
        <v>57</v>
      </c>
      <c r="M1457" s="7" t="s">
        <v>32</v>
      </c>
      <c r="N1457" s="7" t="s">
        <v>114</v>
      </c>
      <c r="O1457" s="7" t="s">
        <v>68</v>
      </c>
      <c r="P1457" s="7" t="s">
        <v>54</v>
      </c>
      <c r="Q1457" s="9">
        <v>25763.27</v>
      </c>
      <c r="R1457" s="9">
        <v>0</v>
      </c>
      <c r="S1457" s="9">
        <f t="shared" si="50"/>
        <v>25763.27</v>
      </c>
      <c r="T1457" s="7" t="s">
        <v>53</v>
      </c>
      <c r="U1457" s="7" t="s">
        <v>117</v>
      </c>
      <c r="V1457" s="7" t="s">
        <v>2688</v>
      </c>
      <c r="W1457" s="9">
        <v>-8</v>
      </c>
      <c r="X1457" s="7" t="s">
        <v>94</v>
      </c>
      <c r="Y1457" s="4"/>
      <c r="Z1457" s="7" t="s">
        <v>14</v>
      </c>
      <c r="AA1457" s="36" t="s">
        <v>31</v>
      </c>
      <c r="AB1457" s="4" t="str">
        <f t="shared" si="49"/>
        <v>WALL</v>
      </c>
      <c r="AC1457" s="22">
        <f t="shared" si="48"/>
        <v>10.103243137254902</v>
      </c>
      <c r="AD1457" s="23">
        <v>0</v>
      </c>
    </row>
    <row r="1458" spans="1:30" x14ac:dyDescent="0.35">
      <c r="A1458" s="7">
        <v>25793</v>
      </c>
      <c r="B1458" s="24">
        <v>45978.599560185183</v>
      </c>
      <c r="C1458" s="24">
        <v>45978</v>
      </c>
      <c r="D1458" s="7" t="s">
        <v>3313</v>
      </c>
      <c r="E1458" s="7" t="s">
        <v>61</v>
      </c>
      <c r="F1458" s="7" t="s">
        <v>3314</v>
      </c>
      <c r="G1458" s="7" t="s">
        <v>3314</v>
      </c>
      <c r="H1458" s="7"/>
      <c r="I1458" s="7"/>
      <c r="J1458" s="7" t="s">
        <v>59</v>
      </c>
      <c r="K1458" s="7" t="s">
        <v>58</v>
      </c>
      <c r="L1458" s="7" t="s">
        <v>57</v>
      </c>
      <c r="M1458" s="7" t="s">
        <v>32</v>
      </c>
      <c r="N1458" s="7" t="s">
        <v>114</v>
      </c>
      <c r="O1458" s="7" t="s">
        <v>68</v>
      </c>
      <c r="P1458" s="7" t="s">
        <v>54</v>
      </c>
      <c r="Q1458" s="9">
        <v>509734.8</v>
      </c>
      <c r="R1458" s="9">
        <v>0</v>
      </c>
      <c r="S1458" s="9">
        <f t="shared" si="50"/>
        <v>509734.8</v>
      </c>
      <c r="T1458" s="7" t="s">
        <v>53</v>
      </c>
      <c r="U1458" s="7" t="s">
        <v>175</v>
      </c>
      <c r="V1458" s="7" t="s">
        <v>2691</v>
      </c>
      <c r="W1458" s="9">
        <v>-25</v>
      </c>
      <c r="X1458" s="7" t="s">
        <v>129</v>
      </c>
      <c r="Y1458" s="4"/>
      <c r="Z1458" s="7" t="s">
        <v>14</v>
      </c>
      <c r="AA1458" s="36" t="s">
        <v>31</v>
      </c>
      <c r="AB1458" s="4" t="str">
        <f t="shared" si="49"/>
        <v>WALL</v>
      </c>
      <c r="AC1458" s="22">
        <f t="shared" si="48"/>
        <v>199.89599999999999</v>
      </c>
      <c r="AD1458" s="23">
        <v>0</v>
      </c>
    </row>
    <row r="1459" spans="1:30" x14ac:dyDescent="0.35">
      <c r="A1459" s="7">
        <v>25796</v>
      </c>
      <c r="B1459" s="24">
        <v>45978.599560185183</v>
      </c>
      <c r="C1459" s="24">
        <v>45978</v>
      </c>
      <c r="D1459" s="7" t="s">
        <v>3315</v>
      </c>
      <c r="E1459" s="7" t="s">
        <v>61</v>
      </c>
      <c r="F1459" s="7" t="s">
        <v>3316</v>
      </c>
      <c r="G1459" s="7" t="s">
        <v>3316</v>
      </c>
      <c r="H1459" s="7"/>
      <c r="I1459" s="7"/>
      <c r="J1459" s="7" t="s">
        <v>59</v>
      </c>
      <c r="K1459" s="7" t="s">
        <v>58</v>
      </c>
      <c r="L1459" s="7" t="s">
        <v>57</v>
      </c>
      <c r="M1459" s="7" t="s">
        <v>32</v>
      </c>
      <c r="N1459" s="7" t="s">
        <v>114</v>
      </c>
      <c r="O1459" s="7" t="s">
        <v>68</v>
      </c>
      <c r="P1459" s="7" t="s">
        <v>54</v>
      </c>
      <c r="Q1459" s="9">
        <v>357014.7</v>
      </c>
      <c r="R1459" s="9">
        <v>0</v>
      </c>
      <c r="S1459" s="9">
        <f t="shared" si="50"/>
        <v>357014.7</v>
      </c>
      <c r="T1459" s="7" t="s">
        <v>53</v>
      </c>
      <c r="U1459" s="7" t="s">
        <v>130</v>
      </c>
      <c r="V1459" s="7" t="s">
        <v>2691</v>
      </c>
      <c r="W1459" s="9">
        <v>-25</v>
      </c>
      <c r="X1459" s="7" t="s">
        <v>129</v>
      </c>
      <c r="Y1459" s="4"/>
      <c r="Z1459" s="7" t="s">
        <v>14</v>
      </c>
      <c r="AA1459" s="36" t="s">
        <v>31</v>
      </c>
      <c r="AB1459" s="4" t="str">
        <f t="shared" si="49"/>
        <v>WALL</v>
      </c>
      <c r="AC1459" s="22">
        <f t="shared" si="48"/>
        <v>140.00576470588237</v>
      </c>
      <c r="AD1459" s="23">
        <v>0</v>
      </c>
    </row>
    <row r="1460" spans="1:30" x14ac:dyDescent="0.35">
      <c r="A1460" s="7">
        <v>25798</v>
      </c>
      <c r="B1460" s="24">
        <v>45978.599560185183</v>
      </c>
      <c r="C1460" s="24">
        <v>45978</v>
      </c>
      <c r="D1460" s="7" t="s">
        <v>3317</v>
      </c>
      <c r="E1460" s="7" t="s">
        <v>61</v>
      </c>
      <c r="F1460" s="7" t="s">
        <v>3318</v>
      </c>
      <c r="G1460" s="7" t="s">
        <v>3318</v>
      </c>
      <c r="H1460" s="7"/>
      <c r="I1460" s="7"/>
      <c r="J1460" s="7" t="s">
        <v>59</v>
      </c>
      <c r="K1460" s="7" t="s">
        <v>58</v>
      </c>
      <c r="L1460" s="7" t="s">
        <v>57</v>
      </c>
      <c r="M1460" s="7" t="s">
        <v>32</v>
      </c>
      <c r="N1460" s="7" t="s">
        <v>114</v>
      </c>
      <c r="O1460" s="7" t="s">
        <v>68</v>
      </c>
      <c r="P1460" s="7" t="s">
        <v>54</v>
      </c>
      <c r="Q1460" s="9">
        <v>946513.29</v>
      </c>
      <c r="R1460" s="9">
        <v>0</v>
      </c>
      <c r="S1460" s="9">
        <f t="shared" si="50"/>
        <v>946513.29</v>
      </c>
      <c r="T1460" s="7" t="s">
        <v>53</v>
      </c>
      <c r="U1460" s="7" t="s">
        <v>257</v>
      </c>
      <c r="V1460" s="7" t="s">
        <v>2691</v>
      </c>
      <c r="W1460" s="9">
        <v>-100</v>
      </c>
      <c r="X1460" s="7" t="s">
        <v>129</v>
      </c>
      <c r="Y1460" s="4"/>
      <c r="Z1460" s="7" t="s">
        <v>14</v>
      </c>
      <c r="AA1460" s="36" t="s">
        <v>31</v>
      </c>
      <c r="AB1460" s="4" t="str">
        <f t="shared" si="49"/>
        <v>WALL</v>
      </c>
      <c r="AC1460" s="22">
        <f t="shared" si="48"/>
        <v>371.18168235294121</v>
      </c>
      <c r="AD1460" s="23">
        <v>0</v>
      </c>
    </row>
    <row r="1461" spans="1:30" x14ac:dyDescent="0.35">
      <c r="A1461" s="7">
        <v>25800</v>
      </c>
      <c r="B1461" s="24">
        <v>45978.599560185183</v>
      </c>
      <c r="C1461" s="24">
        <v>45978</v>
      </c>
      <c r="D1461" s="7" t="s">
        <v>3319</v>
      </c>
      <c r="E1461" s="7" t="s">
        <v>61</v>
      </c>
      <c r="F1461" s="7" t="s">
        <v>3320</v>
      </c>
      <c r="G1461" s="7" t="s">
        <v>3320</v>
      </c>
      <c r="H1461" s="7"/>
      <c r="I1461" s="7"/>
      <c r="J1461" s="7" t="s">
        <v>59</v>
      </c>
      <c r="K1461" s="7" t="s">
        <v>58</v>
      </c>
      <c r="L1461" s="7" t="s">
        <v>57</v>
      </c>
      <c r="M1461" s="7" t="s">
        <v>32</v>
      </c>
      <c r="N1461" s="7" t="s">
        <v>114</v>
      </c>
      <c r="O1461" s="7" t="s">
        <v>68</v>
      </c>
      <c r="P1461" s="7" t="s">
        <v>54</v>
      </c>
      <c r="Q1461" s="9">
        <v>75000</v>
      </c>
      <c r="R1461" s="9">
        <v>0</v>
      </c>
      <c r="S1461" s="9">
        <f t="shared" si="50"/>
        <v>75000</v>
      </c>
      <c r="T1461" s="7" t="s">
        <v>53</v>
      </c>
      <c r="U1461" s="7" t="s">
        <v>133</v>
      </c>
      <c r="V1461" s="7" t="s">
        <v>2691</v>
      </c>
      <c r="W1461" s="9">
        <v>-15</v>
      </c>
      <c r="X1461" s="7" t="s">
        <v>124</v>
      </c>
      <c r="Y1461" s="4"/>
      <c r="Z1461" s="7" t="s">
        <v>14</v>
      </c>
      <c r="AA1461" s="36" t="s">
        <v>31</v>
      </c>
      <c r="AB1461" s="4" t="str">
        <f t="shared" si="49"/>
        <v>WALL</v>
      </c>
      <c r="AC1461" s="22">
        <f t="shared" si="48"/>
        <v>29.411764705882351</v>
      </c>
      <c r="AD1461" s="23">
        <v>0</v>
      </c>
    </row>
    <row r="1462" spans="1:30" x14ac:dyDescent="0.35">
      <c r="A1462" s="7">
        <v>27848</v>
      </c>
      <c r="B1462" s="24">
        <v>45979.592106481483</v>
      </c>
      <c r="C1462" s="24">
        <v>45979</v>
      </c>
      <c r="D1462" s="7" t="s">
        <v>3321</v>
      </c>
      <c r="E1462" s="7" t="s">
        <v>61</v>
      </c>
      <c r="F1462" s="7" t="s">
        <v>3322</v>
      </c>
      <c r="G1462" s="7" t="s">
        <v>3322</v>
      </c>
      <c r="H1462" s="7"/>
      <c r="I1462" s="7"/>
      <c r="J1462" s="7" t="s">
        <v>3155</v>
      </c>
      <c r="K1462" s="7" t="s">
        <v>3156</v>
      </c>
      <c r="L1462" s="7" t="s">
        <v>3157</v>
      </c>
      <c r="M1462" s="7" t="s">
        <v>3158</v>
      </c>
      <c r="N1462" s="7" t="s">
        <v>114</v>
      </c>
      <c r="O1462" s="7" t="s">
        <v>68</v>
      </c>
      <c r="P1462" s="7" t="s">
        <v>54</v>
      </c>
      <c r="Q1462" s="9">
        <v>200205.47</v>
      </c>
      <c r="R1462" s="9">
        <v>0</v>
      </c>
      <c r="S1462" s="9">
        <f t="shared" si="50"/>
        <v>200205.47</v>
      </c>
      <c r="T1462" s="7" t="s">
        <v>53</v>
      </c>
      <c r="U1462" s="7" t="s">
        <v>3159</v>
      </c>
      <c r="V1462" s="7" t="s">
        <v>3160</v>
      </c>
      <c r="W1462" s="9">
        <v>-3</v>
      </c>
      <c r="X1462" s="7" t="s">
        <v>1501</v>
      </c>
      <c r="Y1462" s="4"/>
      <c r="Z1462" s="7" t="s">
        <v>14</v>
      </c>
      <c r="AA1462" s="36" t="s">
        <v>31</v>
      </c>
      <c r="AB1462" s="4" t="str">
        <f t="shared" si="49"/>
        <v>WALL</v>
      </c>
      <c r="AC1462" s="22">
        <f t="shared" si="48"/>
        <v>78.51194901960784</v>
      </c>
      <c r="AD1462" s="23">
        <v>0</v>
      </c>
    </row>
    <row r="1463" spans="1:30" x14ac:dyDescent="0.35">
      <c r="A1463" s="7">
        <v>27851</v>
      </c>
      <c r="B1463" s="24">
        <v>45979.592106481483</v>
      </c>
      <c r="C1463" s="24">
        <v>45979</v>
      </c>
      <c r="D1463" s="7" t="s">
        <v>3323</v>
      </c>
      <c r="E1463" s="7" t="s">
        <v>61</v>
      </c>
      <c r="F1463" s="7" t="s">
        <v>3324</v>
      </c>
      <c r="G1463" s="7" t="s">
        <v>3324</v>
      </c>
      <c r="H1463" s="7"/>
      <c r="I1463" s="7"/>
      <c r="J1463" s="7" t="s">
        <v>59</v>
      </c>
      <c r="K1463" s="7" t="s">
        <v>58</v>
      </c>
      <c r="L1463" s="7" t="s">
        <v>97</v>
      </c>
      <c r="M1463" s="7" t="s">
        <v>34</v>
      </c>
      <c r="N1463" s="7" t="s">
        <v>114</v>
      </c>
      <c r="O1463" s="7" t="s">
        <v>68</v>
      </c>
      <c r="P1463" s="7" t="s">
        <v>54</v>
      </c>
      <c r="Q1463" s="9">
        <v>25200</v>
      </c>
      <c r="R1463" s="9">
        <v>0</v>
      </c>
      <c r="S1463" s="9">
        <f t="shared" si="50"/>
        <v>25200</v>
      </c>
      <c r="T1463" s="7" t="s">
        <v>53</v>
      </c>
      <c r="U1463" s="7" t="s">
        <v>111</v>
      </c>
      <c r="V1463" s="7" t="s">
        <v>2830</v>
      </c>
      <c r="W1463" s="9">
        <v>-60</v>
      </c>
      <c r="X1463" s="7" t="s">
        <v>94</v>
      </c>
      <c r="Y1463" s="4"/>
      <c r="Z1463" s="7" t="s">
        <v>14</v>
      </c>
      <c r="AA1463" s="36" t="s">
        <v>31</v>
      </c>
      <c r="AB1463" s="4" t="str">
        <f t="shared" si="49"/>
        <v>WALL</v>
      </c>
      <c r="AC1463" s="22">
        <f t="shared" si="48"/>
        <v>9.882352941176471</v>
      </c>
      <c r="AD1463" s="23">
        <v>0</v>
      </c>
    </row>
    <row r="1464" spans="1:30" x14ac:dyDescent="0.35">
      <c r="A1464" s="7">
        <v>32704</v>
      </c>
      <c r="B1464" s="24">
        <v>45982.590428240743</v>
      </c>
      <c r="C1464" s="24">
        <v>45982</v>
      </c>
      <c r="D1464" s="7" t="s">
        <v>3325</v>
      </c>
      <c r="E1464" s="7" t="s">
        <v>61</v>
      </c>
      <c r="F1464" s="7" t="s">
        <v>3326</v>
      </c>
      <c r="G1464" s="7" t="s">
        <v>3326</v>
      </c>
      <c r="H1464" s="7"/>
      <c r="I1464" s="7"/>
      <c r="J1464" s="7" t="s">
        <v>59</v>
      </c>
      <c r="K1464" s="7" t="s">
        <v>58</v>
      </c>
      <c r="L1464" s="7" t="s">
        <v>57</v>
      </c>
      <c r="M1464" s="7" t="s">
        <v>32</v>
      </c>
      <c r="N1464" s="7" t="s">
        <v>106</v>
      </c>
      <c r="O1464" s="7" t="s">
        <v>105</v>
      </c>
      <c r="P1464" s="7" t="s">
        <v>1064</v>
      </c>
      <c r="Q1464" s="9">
        <v>25763.29</v>
      </c>
      <c r="R1464" s="9">
        <v>0</v>
      </c>
      <c r="S1464" s="9">
        <f t="shared" si="50"/>
        <v>25763.29</v>
      </c>
      <c r="T1464" s="7" t="s">
        <v>53</v>
      </c>
      <c r="U1464" s="7" t="s">
        <v>117</v>
      </c>
      <c r="V1464" s="7" t="s">
        <v>2688</v>
      </c>
      <c r="W1464" s="9">
        <v>-8</v>
      </c>
      <c r="X1464" s="7" t="s">
        <v>94</v>
      </c>
      <c r="Y1464" s="4"/>
      <c r="Z1464" s="7" t="s">
        <v>14</v>
      </c>
      <c r="AA1464" s="36" t="s">
        <v>15</v>
      </c>
      <c r="AB1464" s="4" t="str">
        <f t="shared" si="49"/>
        <v>RM SHED</v>
      </c>
      <c r="AC1464" s="22">
        <f t="shared" si="48"/>
        <v>10.103250980392158</v>
      </c>
      <c r="AD1464" s="23">
        <v>0</v>
      </c>
    </row>
    <row r="1465" spans="1:30" x14ac:dyDescent="0.35">
      <c r="A1465" s="7">
        <v>32706</v>
      </c>
      <c r="B1465" s="24">
        <v>45982.590428240743</v>
      </c>
      <c r="C1465" s="24">
        <v>45982</v>
      </c>
      <c r="D1465" s="7" t="s">
        <v>3327</v>
      </c>
      <c r="E1465" s="7" t="s">
        <v>61</v>
      </c>
      <c r="F1465" s="7" t="s">
        <v>3328</v>
      </c>
      <c r="G1465" s="7" t="s">
        <v>3328</v>
      </c>
      <c r="H1465" s="7"/>
      <c r="I1465" s="7"/>
      <c r="J1465" s="7" t="s">
        <v>59</v>
      </c>
      <c r="K1465" s="7" t="s">
        <v>58</v>
      </c>
      <c r="L1465" s="7" t="s">
        <v>57</v>
      </c>
      <c r="M1465" s="7" t="s">
        <v>32</v>
      </c>
      <c r="N1465" s="7" t="s">
        <v>106</v>
      </c>
      <c r="O1465" s="7" t="s">
        <v>105</v>
      </c>
      <c r="P1465" s="7" t="s">
        <v>1064</v>
      </c>
      <c r="Q1465" s="9">
        <v>1822302.65</v>
      </c>
      <c r="R1465" s="9">
        <v>0</v>
      </c>
      <c r="S1465" s="9">
        <f t="shared" si="50"/>
        <v>1822302.65</v>
      </c>
      <c r="T1465" s="7" t="s">
        <v>53</v>
      </c>
      <c r="U1465" s="7" t="s">
        <v>172</v>
      </c>
      <c r="V1465" s="7" t="s">
        <v>2691</v>
      </c>
      <c r="W1465" s="9">
        <v>-50</v>
      </c>
      <c r="X1465" s="7" t="s">
        <v>129</v>
      </c>
      <c r="Y1465" s="4"/>
      <c r="Z1465" s="7" t="s">
        <v>14</v>
      </c>
      <c r="AA1465" s="36" t="s">
        <v>15</v>
      </c>
      <c r="AB1465" s="4" t="str">
        <f t="shared" si="49"/>
        <v>RM SHED</v>
      </c>
      <c r="AC1465" s="22">
        <f t="shared" ref="AC1465:AC1527" si="51">+S1465/$AC$1</f>
        <v>714.62849019607836</v>
      </c>
      <c r="AD1465" s="23">
        <v>0</v>
      </c>
    </row>
    <row r="1466" spans="1:30" x14ac:dyDescent="0.35">
      <c r="A1466" s="7">
        <v>32708</v>
      </c>
      <c r="B1466" s="24">
        <v>45982.590428240743</v>
      </c>
      <c r="C1466" s="24">
        <v>45982</v>
      </c>
      <c r="D1466" s="7" t="s">
        <v>3329</v>
      </c>
      <c r="E1466" s="7" t="s">
        <v>61</v>
      </c>
      <c r="F1466" s="7" t="s">
        <v>3330</v>
      </c>
      <c r="G1466" s="7" t="s">
        <v>3330</v>
      </c>
      <c r="H1466" s="7"/>
      <c r="I1466" s="7"/>
      <c r="J1466" s="7" t="s">
        <v>59</v>
      </c>
      <c r="K1466" s="7" t="s">
        <v>58</v>
      </c>
      <c r="L1466" s="7" t="s">
        <v>57</v>
      </c>
      <c r="M1466" s="7" t="s">
        <v>32</v>
      </c>
      <c r="N1466" s="7" t="s">
        <v>106</v>
      </c>
      <c r="O1466" s="7" t="s">
        <v>105</v>
      </c>
      <c r="P1466" s="7" t="s">
        <v>1064</v>
      </c>
      <c r="Q1466" s="9">
        <v>150000</v>
      </c>
      <c r="R1466" s="9">
        <v>0</v>
      </c>
      <c r="S1466" s="9">
        <f t="shared" si="50"/>
        <v>150000</v>
      </c>
      <c r="T1466" s="7" t="s">
        <v>53</v>
      </c>
      <c r="U1466" s="7" t="s">
        <v>133</v>
      </c>
      <c r="V1466" s="7" t="s">
        <v>2691</v>
      </c>
      <c r="W1466" s="9">
        <v>-30</v>
      </c>
      <c r="X1466" s="7" t="s">
        <v>124</v>
      </c>
      <c r="Y1466" s="4"/>
      <c r="Z1466" s="7" t="s">
        <v>14</v>
      </c>
      <c r="AA1466" s="36" t="s">
        <v>15</v>
      </c>
      <c r="AB1466" s="4" t="str">
        <f t="shared" ref="AB1466:AB1492" si="52">_xlfn.SINGLE(IFERROR(_xlfn.XLOOKUP(AA1466,AA$3:AA$1219,AB$3:AB$1219),0))</f>
        <v>RM SHED</v>
      </c>
      <c r="AC1466" s="22">
        <f t="shared" si="51"/>
        <v>58.823529411764703</v>
      </c>
      <c r="AD1466" s="23">
        <v>0</v>
      </c>
    </row>
    <row r="1467" spans="1:30" x14ac:dyDescent="0.35">
      <c r="A1467" s="7">
        <v>32711</v>
      </c>
      <c r="B1467" s="24">
        <v>45982.590428240743</v>
      </c>
      <c r="C1467" s="24">
        <v>45982</v>
      </c>
      <c r="D1467" s="7" t="s">
        <v>3331</v>
      </c>
      <c r="E1467" s="7" t="s">
        <v>61</v>
      </c>
      <c r="F1467" s="7" t="s">
        <v>3332</v>
      </c>
      <c r="G1467" s="7" t="s">
        <v>3332</v>
      </c>
      <c r="H1467" s="7"/>
      <c r="I1467" s="7"/>
      <c r="J1467" s="7" t="s">
        <v>59</v>
      </c>
      <c r="K1467" s="7" t="s">
        <v>58</v>
      </c>
      <c r="L1467" s="7" t="s">
        <v>57</v>
      </c>
      <c r="M1467" s="7" t="s">
        <v>32</v>
      </c>
      <c r="N1467" s="7" t="s">
        <v>106</v>
      </c>
      <c r="O1467" s="7" t="s">
        <v>105</v>
      </c>
      <c r="P1467" s="7" t="s">
        <v>1064</v>
      </c>
      <c r="Q1467" s="9">
        <v>85500</v>
      </c>
      <c r="R1467" s="9">
        <v>0</v>
      </c>
      <c r="S1467" s="9">
        <f t="shared" si="50"/>
        <v>85500</v>
      </c>
      <c r="T1467" s="7" t="s">
        <v>53</v>
      </c>
      <c r="U1467" s="7" t="s">
        <v>151</v>
      </c>
      <c r="V1467" s="7" t="s">
        <v>2691</v>
      </c>
      <c r="W1467" s="9">
        <v>-15</v>
      </c>
      <c r="X1467" s="7" t="s">
        <v>124</v>
      </c>
      <c r="Y1467" s="4"/>
      <c r="Z1467" s="7" t="s">
        <v>14</v>
      </c>
      <c r="AA1467" s="36" t="s">
        <v>15</v>
      </c>
      <c r="AB1467" s="4" t="str">
        <f t="shared" si="52"/>
        <v>RM SHED</v>
      </c>
      <c r="AC1467" s="22">
        <f t="shared" si="51"/>
        <v>33.529411764705884</v>
      </c>
      <c r="AD1467" s="23">
        <v>0</v>
      </c>
    </row>
    <row r="1468" spans="1:30" x14ac:dyDescent="0.35">
      <c r="A1468" s="7">
        <v>32712</v>
      </c>
      <c r="B1468" s="24">
        <v>45982.590428240743</v>
      </c>
      <c r="C1468" s="24">
        <v>45982</v>
      </c>
      <c r="D1468" s="7" t="s">
        <v>3333</v>
      </c>
      <c r="E1468" s="7" t="s">
        <v>61</v>
      </c>
      <c r="F1468" s="7" t="s">
        <v>3334</v>
      </c>
      <c r="G1468" s="7" t="s">
        <v>3334</v>
      </c>
      <c r="H1468" s="7"/>
      <c r="I1468" s="7"/>
      <c r="J1468" s="7" t="s">
        <v>59</v>
      </c>
      <c r="K1468" s="7" t="s">
        <v>58</v>
      </c>
      <c r="L1468" s="7" t="s">
        <v>57</v>
      </c>
      <c r="M1468" s="7" t="s">
        <v>32</v>
      </c>
      <c r="N1468" s="7" t="s">
        <v>106</v>
      </c>
      <c r="O1468" s="7" t="s">
        <v>105</v>
      </c>
      <c r="P1468" s="7" t="s">
        <v>1064</v>
      </c>
      <c r="Q1468" s="9">
        <v>118522.17</v>
      </c>
      <c r="R1468" s="9">
        <v>0</v>
      </c>
      <c r="S1468" s="9">
        <f t="shared" si="50"/>
        <v>118522.17</v>
      </c>
      <c r="T1468" s="7" t="s">
        <v>53</v>
      </c>
      <c r="U1468" s="7" t="s">
        <v>2704</v>
      </c>
      <c r="V1468" s="7" t="s">
        <v>2691</v>
      </c>
      <c r="W1468" s="9">
        <v>-20</v>
      </c>
      <c r="X1468" s="7" t="s">
        <v>124</v>
      </c>
      <c r="Y1468" s="4"/>
      <c r="Z1468" s="7" t="s">
        <v>14</v>
      </c>
      <c r="AA1468" s="36" t="s">
        <v>15</v>
      </c>
      <c r="AB1468" s="4" t="str">
        <f t="shared" si="52"/>
        <v>RM SHED</v>
      </c>
      <c r="AC1468" s="22">
        <f t="shared" si="51"/>
        <v>46.479282352941176</v>
      </c>
      <c r="AD1468" s="23">
        <v>0</v>
      </c>
    </row>
    <row r="1469" spans="1:30" x14ac:dyDescent="0.35">
      <c r="A1469" s="7">
        <v>32715</v>
      </c>
      <c r="B1469" s="24">
        <v>45982.589722222219</v>
      </c>
      <c r="C1469" s="24">
        <v>45982</v>
      </c>
      <c r="D1469" s="7" t="s">
        <v>3335</v>
      </c>
      <c r="E1469" s="7" t="s">
        <v>61</v>
      </c>
      <c r="F1469" s="7" t="s">
        <v>3336</v>
      </c>
      <c r="G1469" s="7" t="s">
        <v>3336</v>
      </c>
      <c r="H1469" s="7"/>
      <c r="I1469" s="7"/>
      <c r="J1469" s="7" t="s">
        <v>59</v>
      </c>
      <c r="K1469" s="7" t="s">
        <v>58</v>
      </c>
      <c r="L1469" s="7" t="s">
        <v>57</v>
      </c>
      <c r="M1469" s="7" t="s">
        <v>32</v>
      </c>
      <c r="N1469" s="7" t="s">
        <v>114</v>
      </c>
      <c r="O1469" s="7" t="s">
        <v>68</v>
      </c>
      <c r="P1469" s="7" t="s">
        <v>1064</v>
      </c>
      <c r="Q1469" s="9">
        <v>728921.06</v>
      </c>
      <c r="R1469" s="9">
        <v>0</v>
      </c>
      <c r="S1469" s="9">
        <f t="shared" si="50"/>
        <v>728921.06</v>
      </c>
      <c r="T1469" s="7" t="s">
        <v>53</v>
      </c>
      <c r="U1469" s="7" t="s">
        <v>172</v>
      </c>
      <c r="V1469" s="7" t="s">
        <v>2691</v>
      </c>
      <c r="W1469" s="9">
        <v>-20</v>
      </c>
      <c r="X1469" s="7" t="s">
        <v>129</v>
      </c>
      <c r="Y1469" s="4"/>
      <c r="Z1469" s="7" t="s">
        <v>14</v>
      </c>
      <c r="AA1469" s="36" t="s">
        <v>31</v>
      </c>
      <c r="AB1469" s="4" t="str">
        <f t="shared" si="52"/>
        <v>WALL</v>
      </c>
      <c r="AC1469" s="22">
        <f t="shared" si="51"/>
        <v>285.85139607843138</v>
      </c>
      <c r="AD1469" s="23">
        <v>0</v>
      </c>
    </row>
    <row r="1470" spans="1:30" x14ac:dyDescent="0.35">
      <c r="A1470" s="7">
        <v>32717</v>
      </c>
      <c r="B1470" s="24">
        <v>45982.589722222219</v>
      </c>
      <c r="C1470" s="24">
        <v>45982</v>
      </c>
      <c r="D1470" s="7" t="s">
        <v>3337</v>
      </c>
      <c r="E1470" s="7" t="s">
        <v>61</v>
      </c>
      <c r="F1470" s="7" t="s">
        <v>3338</v>
      </c>
      <c r="G1470" s="7" t="s">
        <v>3338</v>
      </c>
      <c r="H1470" s="7"/>
      <c r="I1470" s="7"/>
      <c r="J1470" s="7" t="s">
        <v>59</v>
      </c>
      <c r="K1470" s="7" t="s">
        <v>58</v>
      </c>
      <c r="L1470" s="7" t="s">
        <v>57</v>
      </c>
      <c r="M1470" s="7" t="s">
        <v>32</v>
      </c>
      <c r="N1470" s="7" t="s">
        <v>114</v>
      </c>
      <c r="O1470" s="7" t="s">
        <v>68</v>
      </c>
      <c r="P1470" s="7" t="s">
        <v>1064</v>
      </c>
      <c r="Q1470" s="9">
        <v>946513.3</v>
      </c>
      <c r="R1470" s="9">
        <v>0</v>
      </c>
      <c r="S1470" s="9">
        <f t="shared" si="50"/>
        <v>946513.3</v>
      </c>
      <c r="T1470" s="7" t="s">
        <v>53</v>
      </c>
      <c r="U1470" s="7" t="s">
        <v>257</v>
      </c>
      <c r="V1470" s="7" t="s">
        <v>2691</v>
      </c>
      <c r="W1470" s="9">
        <v>-100</v>
      </c>
      <c r="X1470" s="7" t="s">
        <v>129</v>
      </c>
      <c r="Y1470" s="4"/>
      <c r="Z1470" s="7" t="s">
        <v>14</v>
      </c>
      <c r="AA1470" s="36" t="s">
        <v>31</v>
      </c>
      <c r="AB1470" s="4" t="str">
        <f t="shared" si="52"/>
        <v>WALL</v>
      </c>
      <c r="AC1470" s="22">
        <f t="shared" si="51"/>
        <v>371.18168627450984</v>
      </c>
      <c r="AD1470" s="23">
        <v>0</v>
      </c>
    </row>
    <row r="1471" spans="1:30" x14ac:dyDescent="0.35">
      <c r="A1471" s="7">
        <v>32719</v>
      </c>
      <c r="B1471" s="24">
        <v>45982.589722222219</v>
      </c>
      <c r="C1471" s="24">
        <v>45982</v>
      </c>
      <c r="D1471" s="7" t="s">
        <v>3339</v>
      </c>
      <c r="E1471" s="7" t="s">
        <v>61</v>
      </c>
      <c r="F1471" s="7" t="s">
        <v>3340</v>
      </c>
      <c r="G1471" s="7" t="s">
        <v>3340</v>
      </c>
      <c r="H1471" s="7"/>
      <c r="I1471" s="7"/>
      <c r="J1471" s="7" t="s">
        <v>59</v>
      </c>
      <c r="K1471" s="7" t="s">
        <v>58</v>
      </c>
      <c r="L1471" s="7" t="s">
        <v>57</v>
      </c>
      <c r="M1471" s="7" t="s">
        <v>32</v>
      </c>
      <c r="N1471" s="7" t="s">
        <v>114</v>
      </c>
      <c r="O1471" s="7" t="s">
        <v>68</v>
      </c>
      <c r="P1471" s="7" t="s">
        <v>1064</v>
      </c>
      <c r="Q1471" s="9">
        <v>39805.08</v>
      </c>
      <c r="R1471" s="9">
        <v>0</v>
      </c>
      <c r="S1471" s="9">
        <f t="shared" si="50"/>
        <v>39805.08</v>
      </c>
      <c r="T1471" s="7" t="s">
        <v>53</v>
      </c>
      <c r="U1471" s="7" t="s">
        <v>739</v>
      </c>
      <c r="V1471" s="7" t="s">
        <v>2691</v>
      </c>
      <c r="W1471" s="9">
        <v>-4</v>
      </c>
      <c r="X1471" s="7" t="s">
        <v>124</v>
      </c>
      <c r="Y1471" s="4"/>
      <c r="Z1471" s="7" t="s">
        <v>14</v>
      </c>
      <c r="AA1471" s="36" t="s">
        <v>31</v>
      </c>
      <c r="AB1471" s="4" t="str">
        <f t="shared" si="52"/>
        <v>WALL</v>
      </c>
      <c r="AC1471" s="22">
        <f t="shared" si="51"/>
        <v>15.609835294117648</v>
      </c>
      <c r="AD1471" s="23">
        <v>0</v>
      </c>
    </row>
    <row r="1472" spans="1:30" x14ac:dyDescent="0.35">
      <c r="A1472" s="7">
        <v>32720</v>
      </c>
      <c r="B1472" s="24">
        <v>45982.588842592595</v>
      </c>
      <c r="C1472" s="24">
        <v>45982</v>
      </c>
      <c r="D1472" s="7" t="s">
        <v>3341</v>
      </c>
      <c r="E1472" s="7" t="s">
        <v>61</v>
      </c>
      <c r="F1472" s="7" t="s">
        <v>3342</v>
      </c>
      <c r="G1472" s="7" t="s">
        <v>3342</v>
      </c>
      <c r="H1472" s="7"/>
      <c r="I1472" s="7"/>
      <c r="J1472" s="7" t="s">
        <v>59</v>
      </c>
      <c r="K1472" s="7" t="s">
        <v>58</v>
      </c>
      <c r="L1472" s="7" t="s">
        <v>57</v>
      </c>
      <c r="M1472" s="7" t="s">
        <v>32</v>
      </c>
      <c r="N1472" s="7" t="s">
        <v>96</v>
      </c>
      <c r="O1472" s="7" t="s">
        <v>68</v>
      </c>
      <c r="P1472" s="7" t="s">
        <v>1064</v>
      </c>
      <c r="Q1472" s="9">
        <v>428417.62</v>
      </c>
      <c r="R1472" s="9">
        <v>0</v>
      </c>
      <c r="S1472" s="9">
        <f t="shared" si="50"/>
        <v>428417.62</v>
      </c>
      <c r="T1472" s="7" t="s">
        <v>53</v>
      </c>
      <c r="U1472" s="7" t="s">
        <v>130</v>
      </c>
      <c r="V1472" s="7" t="s">
        <v>2691</v>
      </c>
      <c r="W1472" s="9">
        <v>-30</v>
      </c>
      <c r="X1472" s="7" t="s">
        <v>129</v>
      </c>
      <c r="Y1472" s="4"/>
      <c r="Z1472" s="7" t="s">
        <v>14</v>
      </c>
      <c r="AA1472" s="36" t="s">
        <v>27</v>
      </c>
      <c r="AB1472" s="4" t="str">
        <f t="shared" si="52"/>
        <v>ROADS</v>
      </c>
      <c r="AC1472" s="22">
        <f t="shared" si="51"/>
        <v>168.00690980392156</v>
      </c>
      <c r="AD1472" s="23">
        <v>0</v>
      </c>
    </row>
    <row r="1473" spans="1:30" x14ac:dyDescent="0.35">
      <c r="A1473" s="7">
        <v>36671</v>
      </c>
      <c r="B1473" s="24">
        <v>45985.575659722221</v>
      </c>
      <c r="C1473" s="24">
        <v>45985</v>
      </c>
      <c r="D1473" s="7" t="s">
        <v>3343</v>
      </c>
      <c r="E1473" s="7" t="s">
        <v>61</v>
      </c>
      <c r="F1473" s="7" t="s">
        <v>3344</v>
      </c>
      <c r="G1473" s="7" t="s">
        <v>3344</v>
      </c>
      <c r="H1473" s="7"/>
      <c r="I1473" s="7"/>
      <c r="J1473" s="7" t="s">
        <v>3155</v>
      </c>
      <c r="K1473" s="7" t="s">
        <v>3156</v>
      </c>
      <c r="L1473" s="7" t="s">
        <v>3157</v>
      </c>
      <c r="M1473" s="7" t="s">
        <v>3158</v>
      </c>
      <c r="N1473" s="7" t="s">
        <v>106</v>
      </c>
      <c r="O1473" s="7" t="s">
        <v>105</v>
      </c>
      <c r="P1473" s="7" t="s">
        <v>54</v>
      </c>
      <c r="Q1473" s="9">
        <v>222958.12</v>
      </c>
      <c r="R1473" s="9">
        <v>0</v>
      </c>
      <c r="S1473" s="9">
        <f t="shared" si="50"/>
        <v>222958.12</v>
      </c>
      <c r="T1473" s="7" t="s">
        <v>53</v>
      </c>
      <c r="U1473" s="7" t="s">
        <v>3159</v>
      </c>
      <c r="V1473" s="7" t="s">
        <v>3160</v>
      </c>
      <c r="W1473" s="9">
        <v>-3.5</v>
      </c>
      <c r="X1473" s="7" t="s">
        <v>1501</v>
      </c>
      <c r="Y1473" s="4"/>
      <c r="Z1473" s="7" t="s">
        <v>14</v>
      </c>
      <c r="AA1473" s="36" t="s">
        <v>15</v>
      </c>
      <c r="AB1473" s="4" t="str">
        <f t="shared" si="52"/>
        <v>RM SHED</v>
      </c>
      <c r="AC1473" s="22">
        <f t="shared" si="51"/>
        <v>87.434556862745097</v>
      </c>
      <c r="AD1473" s="23">
        <v>0</v>
      </c>
    </row>
    <row r="1474" spans="1:30" x14ac:dyDescent="0.35">
      <c r="A1474" s="7">
        <v>36673</v>
      </c>
      <c r="B1474" s="24">
        <v>45985.575659722221</v>
      </c>
      <c r="C1474" s="24">
        <v>45985</v>
      </c>
      <c r="D1474" s="7" t="s">
        <v>3345</v>
      </c>
      <c r="E1474" s="7" t="s">
        <v>61</v>
      </c>
      <c r="F1474" s="7" t="s">
        <v>3346</v>
      </c>
      <c r="G1474" s="7" t="s">
        <v>3346</v>
      </c>
      <c r="H1474" s="7"/>
      <c r="I1474" s="7"/>
      <c r="J1474" s="7" t="s">
        <v>59</v>
      </c>
      <c r="K1474" s="7" t="s">
        <v>58</v>
      </c>
      <c r="L1474" s="7" t="s">
        <v>97</v>
      </c>
      <c r="M1474" s="7" t="s">
        <v>34</v>
      </c>
      <c r="N1474" s="7" t="s">
        <v>106</v>
      </c>
      <c r="O1474" s="7" t="s">
        <v>105</v>
      </c>
      <c r="P1474" s="7" t="s">
        <v>54</v>
      </c>
      <c r="Q1474" s="9">
        <v>29400</v>
      </c>
      <c r="R1474" s="9">
        <v>0</v>
      </c>
      <c r="S1474" s="9">
        <f t="shared" si="50"/>
        <v>29400</v>
      </c>
      <c r="T1474" s="7" t="s">
        <v>53</v>
      </c>
      <c r="U1474" s="7" t="s">
        <v>111</v>
      </c>
      <c r="V1474" s="7" t="s">
        <v>2830</v>
      </c>
      <c r="W1474" s="9">
        <v>-70</v>
      </c>
      <c r="X1474" s="7" t="s">
        <v>94</v>
      </c>
      <c r="Y1474" s="4"/>
      <c r="Z1474" s="7" t="s">
        <v>14</v>
      </c>
      <c r="AA1474" s="36" t="s">
        <v>15</v>
      </c>
      <c r="AB1474" s="4" t="str">
        <f t="shared" si="52"/>
        <v>RM SHED</v>
      </c>
      <c r="AC1474" s="22">
        <f t="shared" si="51"/>
        <v>11.529411764705882</v>
      </c>
      <c r="AD1474" s="23">
        <v>0</v>
      </c>
    </row>
    <row r="1475" spans="1:30" x14ac:dyDescent="0.35">
      <c r="A1475" s="7">
        <v>36675</v>
      </c>
      <c r="B1475" s="24">
        <v>45985.574594907404</v>
      </c>
      <c r="C1475" s="24">
        <v>45985</v>
      </c>
      <c r="D1475" s="7" t="s">
        <v>3347</v>
      </c>
      <c r="E1475" s="7" t="s">
        <v>61</v>
      </c>
      <c r="F1475" s="7" t="s">
        <v>3348</v>
      </c>
      <c r="G1475" s="7" t="s">
        <v>3348</v>
      </c>
      <c r="H1475" s="7"/>
      <c r="I1475" s="7"/>
      <c r="J1475" s="7" t="s">
        <v>3155</v>
      </c>
      <c r="K1475" s="7" t="s">
        <v>3156</v>
      </c>
      <c r="L1475" s="7" t="s">
        <v>3157</v>
      </c>
      <c r="M1475" s="7" t="s">
        <v>3158</v>
      </c>
      <c r="N1475" s="7" t="s">
        <v>106</v>
      </c>
      <c r="O1475" s="7" t="s">
        <v>105</v>
      </c>
      <c r="P1475" s="7" t="s">
        <v>1064</v>
      </c>
      <c r="Q1475" s="9">
        <v>318511.59999999998</v>
      </c>
      <c r="R1475" s="9">
        <v>0</v>
      </c>
      <c r="S1475" s="9">
        <f t="shared" ref="S1475:S1538" si="53">+Q1475-R1475</f>
        <v>318511.59999999998</v>
      </c>
      <c r="T1475" s="7" t="s">
        <v>53</v>
      </c>
      <c r="U1475" s="7" t="s">
        <v>3159</v>
      </c>
      <c r="V1475" s="7" t="s">
        <v>3160</v>
      </c>
      <c r="W1475" s="9">
        <v>-5</v>
      </c>
      <c r="X1475" s="7" t="s">
        <v>1501</v>
      </c>
      <c r="Y1475" s="4"/>
      <c r="Z1475" s="7" t="s">
        <v>14</v>
      </c>
      <c r="AA1475" s="36" t="s">
        <v>15</v>
      </c>
      <c r="AB1475" s="4" t="str">
        <f t="shared" si="52"/>
        <v>RM SHED</v>
      </c>
      <c r="AC1475" s="22">
        <f t="shared" si="51"/>
        <v>124.90650980392157</v>
      </c>
      <c r="AD1475" s="23">
        <v>0</v>
      </c>
    </row>
    <row r="1476" spans="1:30" x14ac:dyDescent="0.35">
      <c r="A1476" s="7">
        <v>36677</v>
      </c>
      <c r="B1476" s="24">
        <v>45985.574594907404</v>
      </c>
      <c r="C1476" s="24">
        <v>45985</v>
      </c>
      <c r="D1476" s="7" t="s">
        <v>3349</v>
      </c>
      <c r="E1476" s="7" t="s">
        <v>61</v>
      </c>
      <c r="F1476" s="7" t="s">
        <v>3350</v>
      </c>
      <c r="G1476" s="7" t="s">
        <v>3350</v>
      </c>
      <c r="H1476" s="7"/>
      <c r="I1476" s="7"/>
      <c r="J1476" s="7" t="s">
        <v>59</v>
      </c>
      <c r="K1476" s="7" t="s">
        <v>58</v>
      </c>
      <c r="L1476" s="7" t="s">
        <v>97</v>
      </c>
      <c r="M1476" s="7" t="s">
        <v>34</v>
      </c>
      <c r="N1476" s="7" t="s">
        <v>106</v>
      </c>
      <c r="O1476" s="7" t="s">
        <v>105</v>
      </c>
      <c r="P1476" s="7" t="s">
        <v>1064</v>
      </c>
      <c r="Q1476" s="9">
        <v>42000</v>
      </c>
      <c r="R1476" s="9">
        <v>0</v>
      </c>
      <c r="S1476" s="9">
        <f t="shared" si="53"/>
        <v>42000</v>
      </c>
      <c r="T1476" s="7" t="s">
        <v>53</v>
      </c>
      <c r="U1476" s="7" t="s">
        <v>111</v>
      </c>
      <c r="V1476" s="7" t="s">
        <v>2830</v>
      </c>
      <c r="W1476" s="9">
        <v>-100</v>
      </c>
      <c r="X1476" s="7" t="s">
        <v>94</v>
      </c>
      <c r="Y1476" s="4"/>
      <c r="Z1476" s="7" t="s">
        <v>14</v>
      </c>
      <c r="AA1476" s="36" t="s">
        <v>15</v>
      </c>
      <c r="AB1476" s="4" t="str">
        <f t="shared" si="52"/>
        <v>RM SHED</v>
      </c>
      <c r="AC1476" s="22">
        <f t="shared" si="51"/>
        <v>16.470588235294116</v>
      </c>
      <c r="AD1476" s="23">
        <v>0</v>
      </c>
    </row>
    <row r="1477" spans="1:30" x14ac:dyDescent="0.35">
      <c r="A1477" s="7">
        <v>38736</v>
      </c>
      <c r="B1477" s="24">
        <v>45986.607939814814</v>
      </c>
      <c r="C1477" s="24">
        <v>45986</v>
      </c>
      <c r="D1477" s="7" t="s">
        <v>3351</v>
      </c>
      <c r="E1477" s="7" t="s">
        <v>61</v>
      </c>
      <c r="F1477" s="7" t="s">
        <v>3352</v>
      </c>
      <c r="G1477" s="7" t="s">
        <v>3352</v>
      </c>
      <c r="H1477" s="7"/>
      <c r="I1477" s="7"/>
      <c r="J1477" s="7" t="s">
        <v>59</v>
      </c>
      <c r="K1477" s="7" t="s">
        <v>58</v>
      </c>
      <c r="L1477" s="7" t="s">
        <v>57</v>
      </c>
      <c r="M1477" s="7" t="s">
        <v>32</v>
      </c>
      <c r="N1477" s="7" t="s">
        <v>114</v>
      </c>
      <c r="O1477" s="7" t="s">
        <v>68</v>
      </c>
      <c r="P1477" s="7" t="s">
        <v>1064</v>
      </c>
      <c r="Q1477" s="9">
        <v>946513.3</v>
      </c>
      <c r="R1477" s="9">
        <v>0</v>
      </c>
      <c r="S1477" s="9">
        <f t="shared" si="53"/>
        <v>946513.3</v>
      </c>
      <c r="T1477" s="7" t="s">
        <v>53</v>
      </c>
      <c r="U1477" s="7" t="s">
        <v>257</v>
      </c>
      <c r="V1477" s="7" t="s">
        <v>2691</v>
      </c>
      <c r="W1477" s="9">
        <v>-100</v>
      </c>
      <c r="X1477" s="7" t="s">
        <v>129</v>
      </c>
      <c r="Y1477" s="4"/>
      <c r="Z1477" s="7" t="s">
        <v>14</v>
      </c>
      <c r="AA1477" s="36" t="s">
        <v>31</v>
      </c>
      <c r="AB1477" s="4" t="str">
        <f t="shared" si="52"/>
        <v>WALL</v>
      </c>
      <c r="AC1477" s="22">
        <f t="shared" si="51"/>
        <v>371.18168627450984</v>
      </c>
      <c r="AD1477" s="23">
        <v>0</v>
      </c>
    </row>
    <row r="1478" spans="1:30" x14ac:dyDescent="0.35">
      <c r="A1478" s="7">
        <v>38744</v>
      </c>
      <c r="B1478" s="24">
        <v>45986.606516203705</v>
      </c>
      <c r="C1478" s="24">
        <v>45986</v>
      </c>
      <c r="D1478" s="7" t="s">
        <v>3353</v>
      </c>
      <c r="E1478" s="7" t="s">
        <v>61</v>
      </c>
      <c r="F1478" s="7" t="s">
        <v>3354</v>
      </c>
      <c r="G1478" s="7" t="s">
        <v>3354</v>
      </c>
      <c r="H1478" s="7"/>
      <c r="I1478" s="7"/>
      <c r="J1478" s="7" t="s">
        <v>59</v>
      </c>
      <c r="K1478" s="7" t="s">
        <v>58</v>
      </c>
      <c r="L1478" s="7" t="s">
        <v>57</v>
      </c>
      <c r="M1478" s="7" t="s">
        <v>32</v>
      </c>
      <c r="N1478" s="7" t="s">
        <v>197</v>
      </c>
      <c r="O1478" s="7" t="s">
        <v>105</v>
      </c>
      <c r="P1478" s="7" t="s">
        <v>196</v>
      </c>
      <c r="Q1478" s="9">
        <v>932203</v>
      </c>
      <c r="R1478" s="9">
        <v>0</v>
      </c>
      <c r="S1478" s="9">
        <f t="shared" si="53"/>
        <v>932203</v>
      </c>
      <c r="T1478" s="7" t="s">
        <v>53</v>
      </c>
      <c r="U1478" s="7" t="s">
        <v>3355</v>
      </c>
      <c r="V1478" s="7" t="s">
        <v>3246</v>
      </c>
      <c r="W1478" s="9">
        <v>-1</v>
      </c>
      <c r="X1478" s="7" t="s">
        <v>94</v>
      </c>
      <c r="Y1478" s="4"/>
      <c r="Z1478" s="7" t="s">
        <v>14</v>
      </c>
      <c r="AA1478" s="36" t="s">
        <v>29</v>
      </c>
      <c r="AB1478" s="4" t="s">
        <v>2607</v>
      </c>
      <c r="AC1478" s="22">
        <f t="shared" si="51"/>
        <v>365.56980392156862</v>
      </c>
      <c r="AD1478" s="23">
        <v>0</v>
      </c>
    </row>
    <row r="1479" spans="1:30" x14ac:dyDescent="0.35">
      <c r="A1479" s="7">
        <v>40814</v>
      </c>
      <c r="B1479" s="24">
        <v>45987.614201388889</v>
      </c>
      <c r="C1479" s="24">
        <v>45987</v>
      </c>
      <c r="D1479" s="7" t="s">
        <v>3356</v>
      </c>
      <c r="E1479" s="7" t="s">
        <v>61</v>
      </c>
      <c r="F1479" s="7" t="s">
        <v>3357</v>
      </c>
      <c r="G1479" s="7" t="s">
        <v>3357</v>
      </c>
      <c r="H1479" s="7"/>
      <c r="I1479" s="7"/>
      <c r="J1479" s="7" t="s">
        <v>59</v>
      </c>
      <c r="K1479" s="7" t="s">
        <v>58</v>
      </c>
      <c r="L1479" s="7" t="s">
        <v>57</v>
      </c>
      <c r="M1479" s="7" t="s">
        <v>32</v>
      </c>
      <c r="N1479" s="7" t="s">
        <v>106</v>
      </c>
      <c r="O1479" s="7" t="s">
        <v>105</v>
      </c>
      <c r="P1479" s="7" t="s">
        <v>1064</v>
      </c>
      <c r="Q1479" s="9">
        <v>25763.279999999999</v>
      </c>
      <c r="R1479" s="9">
        <v>0</v>
      </c>
      <c r="S1479" s="9">
        <f t="shared" si="53"/>
        <v>25763.279999999999</v>
      </c>
      <c r="T1479" s="7" t="s">
        <v>53</v>
      </c>
      <c r="U1479" s="7" t="s">
        <v>117</v>
      </c>
      <c r="V1479" s="7" t="s">
        <v>2688</v>
      </c>
      <c r="W1479" s="9">
        <v>-8</v>
      </c>
      <c r="X1479" s="7" t="s">
        <v>94</v>
      </c>
      <c r="Y1479" s="4"/>
      <c r="Z1479" s="7" t="s">
        <v>14</v>
      </c>
      <c r="AA1479" s="36" t="s">
        <v>15</v>
      </c>
      <c r="AB1479" s="4" t="str">
        <f t="shared" si="52"/>
        <v>RM SHED</v>
      </c>
      <c r="AC1479" s="22">
        <f t="shared" si="51"/>
        <v>10.103247058823529</v>
      </c>
      <c r="AD1479" s="23">
        <v>0</v>
      </c>
    </row>
    <row r="1480" spans="1:30" x14ac:dyDescent="0.35">
      <c r="A1480" s="7">
        <v>40816</v>
      </c>
      <c r="B1480" s="24">
        <v>45987.614201388889</v>
      </c>
      <c r="C1480" s="24">
        <v>45987</v>
      </c>
      <c r="D1480" s="7" t="s">
        <v>3358</v>
      </c>
      <c r="E1480" s="7" t="s">
        <v>61</v>
      </c>
      <c r="F1480" s="7" t="s">
        <v>3359</v>
      </c>
      <c r="G1480" s="7" t="s">
        <v>3359</v>
      </c>
      <c r="H1480" s="7"/>
      <c r="I1480" s="7"/>
      <c r="J1480" s="7" t="s">
        <v>59</v>
      </c>
      <c r="K1480" s="7" t="s">
        <v>58</v>
      </c>
      <c r="L1480" s="7" t="s">
        <v>57</v>
      </c>
      <c r="M1480" s="7" t="s">
        <v>32</v>
      </c>
      <c r="N1480" s="7" t="s">
        <v>106</v>
      </c>
      <c r="O1480" s="7" t="s">
        <v>105</v>
      </c>
      <c r="P1480" s="7" t="s">
        <v>1064</v>
      </c>
      <c r="Q1480" s="9">
        <v>2186763.1800000002</v>
      </c>
      <c r="R1480" s="9">
        <v>0</v>
      </c>
      <c r="S1480" s="9">
        <f t="shared" si="53"/>
        <v>2186763.1800000002</v>
      </c>
      <c r="T1480" s="7" t="s">
        <v>53</v>
      </c>
      <c r="U1480" s="7" t="s">
        <v>172</v>
      </c>
      <c r="V1480" s="7" t="s">
        <v>2691</v>
      </c>
      <c r="W1480" s="9">
        <v>-60</v>
      </c>
      <c r="X1480" s="7" t="s">
        <v>129</v>
      </c>
      <c r="Y1480" s="4"/>
      <c r="Z1480" s="7" t="s">
        <v>14</v>
      </c>
      <c r="AA1480" s="36" t="s">
        <v>15</v>
      </c>
      <c r="AB1480" s="4" t="str">
        <f t="shared" si="52"/>
        <v>RM SHED</v>
      </c>
      <c r="AC1480" s="22">
        <f t="shared" si="51"/>
        <v>857.55418823529419</v>
      </c>
      <c r="AD1480" s="23">
        <v>0</v>
      </c>
    </row>
    <row r="1481" spans="1:30" x14ac:dyDescent="0.35">
      <c r="A1481" s="7">
        <v>40818</v>
      </c>
      <c r="B1481" s="24">
        <v>45987.614201388889</v>
      </c>
      <c r="C1481" s="24">
        <v>45987</v>
      </c>
      <c r="D1481" s="7" t="s">
        <v>3360</v>
      </c>
      <c r="E1481" s="7" t="s">
        <v>61</v>
      </c>
      <c r="F1481" s="7" t="s">
        <v>3361</v>
      </c>
      <c r="G1481" s="7" t="s">
        <v>3361</v>
      </c>
      <c r="H1481" s="7"/>
      <c r="I1481" s="7"/>
      <c r="J1481" s="7" t="s">
        <v>59</v>
      </c>
      <c r="K1481" s="7" t="s">
        <v>58</v>
      </c>
      <c r="L1481" s="7" t="s">
        <v>57</v>
      </c>
      <c r="M1481" s="7" t="s">
        <v>32</v>
      </c>
      <c r="N1481" s="7" t="s">
        <v>106</v>
      </c>
      <c r="O1481" s="7" t="s">
        <v>105</v>
      </c>
      <c r="P1481" s="7" t="s">
        <v>1064</v>
      </c>
      <c r="Q1481" s="9">
        <v>144000</v>
      </c>
      <c r="R1481" s="9">
        <v>0</v>
      </c>
      <c r="S1481" s="9">
        <f t="shared" si="53"/>
        <v>144000</v>
      </c>
      <c r="T1481" s="7" t="s">
        <v>53</v>
      </c>
      <c r="U1481" s="7" t="s">
        <v>133</v>
      </c>
      <c r="V1481" s="7" t="s">
        <v>2691</v>
      </c>
      <c r="W1481" s="9">
        <v>-28.8</v>
      </c>
      <c r="X1481" s="7" t="s">
        <v>124</v>
      </c>
      <c r="Y1481" s="4"/>
      <c r="Z1481" s="7" t="s">
        <v>14</v>
      </c>
      <c r="AA1481" s="36" t="s">
        <v>15</v>
      </c>
      <c r="AB1481" s="4" t="str">
        <f t="shared" si="52"/>
        <v>RM SHED</v>
      </c>
      <c r="AC1481" s="22">
        <f t="shared" si="51"/>
        <v>56.470588235294116</v>
      </c>
      <c r="AD1481" s="23">
        <v>0</v>
      </c>
    </row>
    <row r="1482" spans="1:30" x14ac:dyDescent="0.35">
      <c r="A1482" s="7">
        <v>43154</v>
      </c>
      <c r="B1482" s="24">
        <v>45988.599212962959</v>
      </c>
      <c r="C1482" s="24">
        <v>45988</v>
      </c>
      <c r="D1482" s="7" t="s">
        <v>3362</v>
      </c>
      <c r="E1482" s="7" t="s">
        <v>61</v>
      </c>
      <c r="F1482" s="7" t="s">
        <v>3363</v>
      </c>
      <c r="G1482" s="7" t="s">
        <v>3363</v>
      </c>
      <c r="H1482" s="7"/>
      <c r="I1482" s="7"/>
      <c r="J1482" s="7" t="s">
        <v>59</v>
      </c>
      <c r="K1482" s="7" t="s">
        <v>58</v>
      </c>
      <c r="L1482" s="7" t="s">
        <v>57</v>
      </c>
      <c r="M1482" s="7" t="s">
        <v>32</v>
      </c>
      <c r="N1482" s="7" t="s">
        <v>106</v>
      </c>
      <c r="O1482" s="7" t="s">
        <v>105</v>
      </c>
      <c r="P1482" s="7" t="s">
        <v>1064</v>
      </c>
      <c r="Q1482" s="9">
        <v>79610.17</v>
      </c>
      <c r="R1482" s="9">
        <v>0</v>
      </c>
      <c r="S1482" s="9">
        <f t="shared" si="53"/>
        <v>79610.17</v>
      </c>
      <c r="T1482" s="7" t="s">
        <v>53</v>
      </c>
      <c r="U1482" s="7" t="s">
        <v>739</v>
      </c>
      <c r="V1482" s="7" t="s">
        <v>2691</v>
      </c>
      <c r="W1482" s="9">
        <v>-8</v>
      </c>
      <c r="X1482" s="7" t="s">
        <v>124</v>
      </c>
      <c r="Y1482" s="4"/>
      <c r="Z1482" s="7" t="s">
        <v>14</v>
      </c>
      <c r="AA1482" s="36" t="s">
        <v>15</v>
      </c>
      <c r="AB1482" s="4" t="str">
        <f t="shared" si="52"/>
        <v>RM SHED</v>
      </c>
      <c r="AC1482" s="22">
        <f t="shared" si="51"/>
        <v>31.219674509803919</v>
      </c>
      <c r="AD1482" s="23">
        <v>0</v>
      </c>
    </row>
    <row r="1483" spans="1:30" x14ac:dyDescent="0.35">
      <c r="A1483" s="7">
        <v>43157</v>
      </c>
      <c r="B1483" s="24">
        <v>45988.599212962959</v>
      </c>
      <c r="C1483" s="24">
        <v>45988</v>
      </c>
      <c r="D1483" s="7" t="s">
        <v>3364</v>
      </c>
      <c r="E1483" s="7" t="s">
        <v>61</v>
      </c>
      <c r="F1483" s="7" t="s">
        <v>3365</v>
      </c>
      <c r="G1483" s="7" t="s">
        <v>3365</v>
      </c>
      <c r="H1483" s="7"/>
      <c r="I1483" s="7"/>
      <c r="J1483" s="7" t="s">
        <v>59</v>
      </c>
      <c r="K1483" s="7" t="s">
        <v>58</v>
      </c>
      <c r="L1483" s="7" t="s">
        <v>57</v>
      </c>
      <c r="M1483" s="7" t="s">
        <v>32</v>
      </c>
      <c r="N1483" s="7" t="s">
        <v>106</v>
      </c>
      <c r="O1483" s="7" t="s">
        <v>105</v>
      </c>
      <c r="P1483" s="7" t="s">
        <v>1064</v>
      </c>
      <c r="Q1483" s="9">
        <v>45600</v>
      </c>
      <c r="R1483" s="9">
        <v>0</v>
      </c>
      <c r="S1483" s="9">
        <f t="shared" si="53"/>
        <v>45600</v>
      </c>
      <c r="T1483" s="7" t="s">
        <v>53</v>
      </c>
      <c r="U1483" s="7" t="s">
        <v>151</v>
      </c>
      <c r="V1483" s="7" t="s">
        <v>2691</v>
      </c>
      <c r="W1483" s="9">
        <v>-8</v>
      </c>
      <c r="X1483" s="7" t="s">
        <v>124</v>
      </c>
      <c r="Y1483" s="4"/>
      <c r="Z1483" s="7" t="s">
        <v>14</v>
      </c>
      <c r="AA1483" s="36" t="s">
        <v>15</v>
      </c>
      <c r="AB1483" s="4" t="str">
        <f t="shared" si="52"/>
        <v>RM SHED</v>
      </c>
      <c r="AC1483" s="22">
        <f t="shared" si="51"/>
        <v>17.882352941176471</v>
      </c>
      <c r="AD1483" s="23">
        <v>0</v>
      </c>
    </row>
    <row r="1484" spans="1:30" x14ac:dyDescent="0.35">
      <c r="A1484" s="7">
        <v>45747</v>
      </c>
      <c r="B1484" s="24">
        <v>45989.560428240744</v>
      </c>
      <c r="C1484" s="24">
        <v>45989</v>
      </c>
      <c r="D1484" s="7" t="s">
        <v>3366</v>
      </c>
      <c r="E1484" s="7" t="s">
        <v>61</v>
      </c>
      <c r="F1484" s="7" t="s">
        <v>3367</v>
      </c>
      <c r="G1484" s="7" t="s">
        <v>3367</v>
      </c>
      <c r="H1484" s="7"/>
      <c r="I1484" s="7"/>
      <c r="J1484" s="7" t="s">
        <v>59</v>
      </c>
      <c r="K1484" s="7" t="s">
        <v>58</v>
      </c>
      <c r="L1484" s="7" t="s">
        <v>57</v>
      </c>
      <c r="M1484" s="7" t="s">
        <v>32</v>
      </c>
      <c r="N1484" s="7" t="s">
        <v>106</v>
      </c>
      <c r="O1484" s="7" t="s">
        <v>105</v>
      </c>
      <c r="P1484" s="7" t="s">
        <v>1064</v>
      </c>
      <c r="Q1484" s="9">
        <v>8507484</v>
      </c>
      <c r="R1484" s="9">
        <v>0</v>
      </c>
      <c r="S1484" s="9">
        <f t="shared" si="53"/>
        <v>8507484</v>
      </c>
      <c r="T1484" s="7" t="s">
        <v>53</v>
      </c>
      <c r="U1484" s="7" t="s">
        <v>339</v>
      </c>
      <c r="V1484" s="7" t="s">
        <v>2691</v>
      </c>
      <c r="W1484" s="9">
        <v>-78.772999999999996</v>
      </c>
      <c r="X1484" s="7" t="s">
        <v>338</v>
      </c>
      <c r="Y1484" s="4"/>
      <c r="Z1484" s="7" t="s">
        <v>14</v>
      </c>
      <c r="AA1484" s="36" t="s">
        <v>15</v>
      </c>
      <c r="AB1484" s="4" t="str">
        <f t="shared" si="52"/>
        <v>RM SHED</v>
      </c>
      <c r="AC1484" s="22">
        <f t="shared" si="51"/>
        <v>3336.2682352941179</v>
      </c>
      <c r="AD1484" s="23">
        <v>0</v>
      </c>
    </row>
    <row r="1485" spans="1:30" x14ac:dyDescent="0.35">
      <c r="A1485" s="7">
        <v>48633</v>
      </c>
      <c r="B1485" s="24">
        <v>45990.422013888892</v>
      </c>
      <c r="C1485" s="24">
        <v>45990</v>
      </c>
      <c r="D1485" s="7" t="s">
        <v>3368</v>
      </c>
      <c r="E1485" s="7" t="s">
        <v>61</v>
      </c>
      <c r="F1485" s="7" t="s">
        <v>3369</v>
      </c>
      <c r="G1485" s="7" t="s">
        <v>3369</v>
      </c>
      <c r="H1485" s="7"/>
      <c r="I1485" s="7"/>
      <c r="J1485" s="7" t="s">
        <v>59</v>
      </c>
      <c r="K1485" s="7" t="s">
        <v>58</v>
      </c>
      <c r="L1485" s="7" t="s">
        <v>57</v>
      </c>
      <c r="M1485" s="7" t="s">
        <v>32</v>
      </c>
      <c r="N1485" s="7" t="s">
        <v>106</v>
      </c>
      <c r="O1485" s="7" t="s">
        <v>105</v>
      </c>
      <c r="P1485" s="7" t="s">
        <v>1064</v>
      </c>
      <c r="Q1485" s="9">
        <v>25762.82</v>
      </c>
      <c r="R1485" s="9">
        <v>0</v>
      </c>
      <c r="S1485" s="9">
        <f t="shared" si="53"/>
        <v>25762.82</v>
      </c>
      <c r="T1485" s="7" t="s">
        <v>53</v>
      </c>
      <c r="U1485" s="7" t="s">
        <v>117</v>
      </c>
      <c r="V1485" s="7" t="s">
        <v>2688</v>
      </c>
      <c r="W1485" s="9">
        <v>-8</v>
      </c>
      <c r="X1485" s="7" t="s">
        <v>94</v>
      </c>
      <c r="Y1485" s="4"/>
      <c r="Z1485" s="7" t="s">
        <v>14</v>
      </c>
      <c r="AA1485" s="36" t="s">
        <v>15</v>
      </c>
      <c r="AB1485" s="4" t="str">
        <f t="shared" si="52"/>
        <v>RM SHED</v>
      </c>
      <c r="AC1485" s="22">
        <f t="shared" si="51"/>
        <v>10.103066666666667</v>
      </c>
      <c r="AD1485" s="23">
        <v>0</v>
      </c>
    </row>
    <row r="1486" spans="1:30" x14ac:dyDescent="0.35">
      <c r="A1486" s="7">
        <v>48634</v>
      </c>
      <c r="B1486" s="24">
        <v>45990.422013888892</v>
      </c>
      <c r="C1486" s="24">
        <v>45990</v>
      </c>
      <c r="D1486" s="7" t="s">
        <v>3370</v>
      </c>
      <c r="E1486" s="7" t="s">
        <v>61</v>
      </c>
      <c r="F1486" s="7" t="s">
        <v>3371</v>
      </c>
      <c r="G1486" s="7" t="s">
        <v>3371</v>
      </c>
      <c r="H1486" s="7"/>
      <c r="I1486" s="7"/>
      <c r="J1486" s="7" t="s">
        <v>59</v>
      </c>
      <c r="K1486" s="7" t="s">
        <v>58</v>
      </c>
      <c r="L1486" s="7" t="s">
        <v>57</v>
      </c>
      <c r="M1486" s="7" t="s">
        <v>32</v>
      </c>
      <c r="N1486" s="7" t="s">
        <v>106</v>
      </c>
      <c r="O1486" s="7" t="s">
        <v>105</v>
      </c>
      <c r="P1486" s="7" t="s">
        <v>1064</v>
      </c>
      <c r="Q1486" s="9">
        <v>473256.64</v>
      </c>
      <c r="R1486" s="9">
        <v>0</v>
      </c>
      <c r="S1486" s="9">
        <f t="shared" si="53"/>
        <v>473256.64</v>
      </c>
      <c r="T1486" s="7" t="s">
        <v>53</v>
      </c>
      <c r="U1486" s="7" t="s">
        <v>257</v>
      </c>
      <c r="V1486" s="7" t="s">
        <v>2691</v>
      </c>
      <c r="W1486" s="9">
        <v>-50</v>
      </c>
      <c r="X1486" s="7" t="s">
        <v>129</v>
      </c>
      <c r="Y1486" s="4"/>
      <c r="Z1486" s="7" t="s">
        <v>14</v>
      </c>
      <c r="AA1486" s="36" t="s">
        <v>15</v>
      </c>
      <c r="AB1486" s="4" t="str">
        <f t="shared" si="52"/>
        <v>RM SHED</v>
      </c>
      <c r="AC1486" s="22">
        <f t="shared" si="51"/>
        <v>185.59083921568629</v>
      </c>
      <c r="AD1486" s="23">
        <v>0</v>
      </c>
    </row>
    <row r="1487" spans="1:30" x14ac:dyDescent="0.35">
      <c r="A1487" s="7">
        <v>48636</v>
      </c>
      <c r="B1487" s="24">
        <v>45990.422013888892</v>
      </c>
      <c r="C1487" s="24">
        <v>45990</v>
      </c>
      <c r="D1487" s="7" t="s">
        <v>3372</v>
      </c>
      <c r="E1487" s="7" t="s">
        <v>61</v>
      </c>
      <c r="F1487" s="7" t="s">
        <v>3373</v>
      </c>
      <c r="G1487" s="7" t="s">
        <v>3373</v>
      </c>
      <c r="H1487" s="7"/>
      <c r="I1487" s="7"/>
      <c r="J1487" s="7" t="s">
        <v>59</v>
      </c>
      <c r="K1487" s="7" t="s">
        <v>58</v>
      </c>
      <c r="L1487" s="7" t="s">
        <v>57</v>
      </c>
      <c r="M1487" s="7" t="s">
        <v>32</v>
      </c>
      <c r="N1487" s="7" t="s">
        <v>106</v>
      </c>
      <c r="O1487" s="7" t="s">
        <v>105</v>
      </c>
      <c r="P1487" s="7" t="s">
        <v>1064</v>
      </c>
      <c r="Q1487" s="9">
        <v>492372.86</v>
      </c>
      <c r="R1487" s="9">
        <v>0</v>
      </c>
      <c r="S1487" s="9">
        <f t="shared" si="53"/>
        <v>492372.86</v>
      </c>
      <c r="T1487" s="7" t="s">
        <v>53</v>
      </c>
      <c r="U1487" s="7" t="s">
        <v>165</v>
      </c>
      <c r="V1487" s="7" t="s">
        <v>2691</v>
      </c>
      <c r="W1487" s="9">
        <v>-14</v>
      </c>
      <c r="X1487" s="7" t="s">
        <v>94</v>
      </c>
      <c r="Y1487" s="4"/>
      <c r="Z1487" s="7" t="s">
        <v>14</v>
      </c>
      <c r="AA1487" s="36" t="s">
        <v>15</v>
      </c>
      <c r="AB1487" s="4" t="str">
        <f t="shared" si="52"/>
        <v>RM SHED</v>
      </c>
      <c r="AC1487" s="22">
        <f t="shared" si="51"/>
        <v>193.08739607843137</v>
      </c>
      <c r="AD1487" s="23">
        <v>0</v>
      </c>
    </row>
    <row r="1488" spans="1:30" x14ac:dyDescent="0.35">
      <c r="A1488" s="7">
        <v>48639</v>
      </c>
      <c r="B1488" s="24">
        <v>45990.422013888892</v>
      </c>
      <c r="C1488" s="24">
        <v>45990</v>
      </c>
      <c r="D1488" s="7" t="s">
        <v>3374</v>
      </c>
      <c r="E1488" s="7" t="s">
        <v>61</v>
      </c>
      <c r="F1488" s="7" t="s">
        <v>3375</v>
      </c>
      <c r="G1488" s="7" t="s">
        <v>3375</v>
      </c>
      <c r="H1488" s="7"/>
      <c r="I1488" s="7"/>
      <c r="J1488" s="7" t="s">
        <v>59</v>
      </c>
      <c r="K1488" s="7" t="s">
        <v>58</v>
      </c>
      <c r="L1488" s="7" t="s">
        <v>57</v>
      </c>
      <c r="M1488" s="7" t="s">
        <v>32</v>
      </c>
      <c r="N1488" s="7" t="s">
        <v>106</v>
      </c>
      <c r="O1488" s="7" t="s">
        <v>105</v>
      </c>
      <c r="P1488" s="7" t="s">
        <v>1064</v>
      </c>
      <c r="Q1488" s="9">
        <v>150000</v>
      </c>
      <c r="R1488" s="9">
        <v>0</v>
      </c>
      <c r="S1488" s="9">
        <f t="shared" si="53"/>
        <v>150000</v>
      </c>
      <c r="T1488" s="7" t="s">
        <v>53</v>
      </c>
      <c r="U1488" s="7" t="s">
        <v>133</v>
      </c>
      <c r="V1488" s="7" t="s">
        <v>2691</v>
      </c>
      <c r="W1488" s="9">
        <v>-30</v>
      </c>
      <c r="X1488" s="7" t="s">
        <v>124</v>
      </c>
      <c r="Y1488" s="4"/>
      <c r="Z1488" s="7" t="s">
        <v>14</v>
      </c>
      <c r="AA1488" s="36" t="s">
        <v>15</v>
      </c>
      <c r="AB1488" s="4" t="str">
        <f t="shared" si="52"/>
        <v>RM SHED</v>
      </c>
      <c r="AC1488" s="22">
        <f t="shared" si="51"/>
        <v>58.823529411764703</v>
      </c>
      <c r="AD1488" s="23">
        <v>0</v>
      </c>
    </row>
    <row r="1489" spans="1:30" x14ac:dyDescent="0.35">
      <c r="A1489" s="7">
        <v>48641</v>
      </c>
      <c r="B1489" s="24">
        <v>45990.422013888892</v>
      </c>
      <c r="C1489" s="24">
        <v>45990</v>
      </c>
      <c r="D1489" s="7" t="s">
        <v>3376</v>
      </c>
      <c r="E1489" s="7" t="s">
        <v>61</v>
      </c>
      <c r="F1489" s="7" t="s">
        <v>3377</v>
      </c>
      <c r="G1489" s="7" t="s">
        <v>3377</v>
      </c>
      <c r="H1489" s="7"/>
      <c r="I1489" s="7"/>
      <c r="J1489" s="7" t="s">
        <v>59</v>
      </c>
      <c r="K1489" s="7" t="s">
        <v>58</v>
      </c>
      <c r="L1489" s="7" t="s">
        <v>57</v>
      </c>
      <c r="M1489" s="7" t="s">
        <v>32</v>
      </c>
      <c r="N1489" s="7" t="s">
        <v>106</v>
      </c>
      <c r="O1489" s="7" t="s">
        <v>105</v>
      </c>
      <c r="P1489" s="7" t="s">
        <v>1064</v>
      </c>
      <c r="Q1489" s="9">
        <v>79610.17</v>
      </c>
      <c r="R1489" s="9">
        <v>0</v>
      </c>
      <c r="S1489" s="9">
        <f t="shared" si="53"/>
        <v>79610.17</v>
      </c>
      <c r="T1489" s="7" t="s">
        <v>53</v>
      </c>
      <c r="U1489" s="7" t="s">
        <v>739</v>
      </c>
      <c r="V1489" s="7" t="s">
        <v>2691</v>
      </c>
      <c r="W1489" s="9">
        <v>-8</v>
      </c>
      <c r="X1489" s="7" t="s">
        <v>124</v>
      </c>
      <c r="Y1489" s="4"/>
      <c r="Z1489" s="7" t="s">
        <v>14</v>
      </c>
      <c r="AA1489" s="36" t="s">
        <v>15</v>
      </c>
      <c r="AB1489" s="4" t="str">
        <f t="shared" si="52"/>
        <v>RM SHED</v>
      </c>
      <c r="AC1489" s="22">
        <f t="shared" si="51"/>
        <v>31.219674509803919</v>
      </c>
      <c r="AD1489" s="23">
        <v>0</v>
      </c>
    </row>
    <row r="1490" spans="1:30" x14ac:dyDescent="0.35">
      <c r="A1490" s="7">
        <v>48643</v>
      </c>
      <c r="B1490" s="24">
        <v>45990.422013888892</v>
      </c>
      <c r="C1490" s="24">
        <v>45990</v>
      </c>
      <c r="D1490" s="7" t="s">
        <v>3378</v>
      </c>
      <c r="E1490" s="7" t="s">
        <v>61</v>
      </c>
      <c r="F1490" s="7" t="s">
        <v>3379</v>
      </c>
      <c r="G1490" s="7" t="s">
        <v>3379</v>
      </c>
      <c r="H1490" s="7"/>
      <c r="I1490" s="7"/>
      <c r="J1490" s="7" t="s">
        <v>59</v>
      </c>
      <c r="K1490" s="7" t="s">
        <v>58</v>
      </c>
      <c r="L1490" s="7" t="s">
        <v>57</v>
      </c>
      <c r="M1490" s="7" t="s">
        <v>32</v>
      </c>
      <c r="N1490" s="7" t="s">
        <v>106</v>
      </c>
      <c r="O1490" s="7" t="s">
        <v>105</v>
      </c>
      <c r="P1490" s="7" t="s">
        <v>1064</v>
      </c>
      <c r="Q1490" s="9">
        <v>22800</v>
      </c>
      <c r="R1490" s="9">
        <v>0</v>
      </c>
      <c r="S1490" s="9">
        <f t="shared" si="53"/>
        <v>22800</v>
      </c>
      <c r="T1490" s="7" t="s">
        <v>53</v>
      </c>
      <c r="U1490" s="7" t="s">
        <v>151</v>
      </c>
      <c r="V1490" s="7" t="s">
        <v>2691</v>
      </c>
      <c r="W1490" s="9">
        <v>-4</v>
      </c>
      <c r="X1490" s="7" t="s">
        <v>124</v>
      </c>
      <c r="Y1490" s="4"/>
      <c r="Z1490" s="7" t="s">
        <v>14</v>
      </c>
      <c r="AA1490" s="36" t="s">
        <v>15</v>
      </c>
      <c r="AB1490" s="4" t="str">
        <f t="shared" si="52"/>
        <v>RM SHED</v>
      </c>
      <c r="AC1490" s="22">
        <f t="shared" si="51"/>
        <v>8.9411764705882355</v>
      </c>
      <c r="AD1490" s="23">
        <v>0</v>
      </c>
    </row>
    <row r="1491" spans="1:30" x14ac:dyDescent="0.35">
      <c r="A1491" s="7">
        <v>48698</v>
      </c>
      <c r="B1491" s="24">
        <v>45990.323009259257</v>
      </c>
      <c r="C1491" s="24">
        <v>45990</v>
      </c>
      <c r="D1491" s="7" t="s">
        <v>3380</v>
      </c>
      <c r="E1491" s="7" t="s">
        <v>61</v>
      </c>
      <c r="F1491" s="7" t="s">
        <v>3381</v>
      </c>
      <c r="G1491" s="7" t="s">
        <v>3381</v>
      </c>
      <c r="H1491" s="7"/>
      <c r="I1491" s="7"/>
      <c r="J1491" s="7" t="s">
        <v>3155</v>
      </c>
      <c r="K1491" s="7" t="s">
        <v>3156</v>
      </c>
      <c r="L1491" s="7" t="s">
        <v>3157</v>
      </c>
      <c r="M1491" s="7" t="s">
        <v>3158</v>
      </c>
      <c r="N1491" s="7" t="s">
        <v>114</v>
      </c>
      <c r="O1491" s="7" t="s">
        <v>68</v>
      </c>
      <c r="P1491" s="7" t="s">
        <v>1064</v>
      </c>
      <c r="Q1491" s="9">
        <v>168779.76</v>
      </c>
      <c r="R1491" s="9">
        <v>0</v>
      </c>
      <c r="S1491" s="9">
        <f t="shared" si="53"/>
        <v>168779.76</v>
      </c>
      <c r="T1491" s="7" t="s">
        <v>53</v>
      </c>
      <c r="U1491" s="7" t="s">
        <v>3159</v>
      </c>
      <c r="V1491" s="7" t="s">
        <v>3160</v>
      </c>
      <c r="W1491" s="9">
        <v>-2.5</v>
      </c>
      <c r="X1491" s="7" t="s">
        <v>1501</v>
      </c>
      <c r="Y1491" s="4"/>
      <c r="Z1491" s="7" t="s">
        <v>14</v>
      </c>
      <c r="AA1491" s="36" t="s">
        <v>31</v>
      </c>
      <c r="AB1491" s="4" t="str">
        <f t="shared" si="52"/>
        <v>WALL</v>
      </c>
      <c r="AC1491" s="22">
        <f t="shared" si="51"/>
        <v>66.188141176470594</v>
      </c>
      <c r="AD1491" s="23">
        <v>0</v>
      </c>
    </row>
    <row r="1492" spans="1:30" x14ac:dyDescent="0.35">
      <c r="A1492" s="7">
        <v>48700</v>
      </c>
      <c r="B1492" s="24">
        <v>45990.323009259257</v>
      </c>
      <c r="C1492" s="24">
        <v>45990</v>
      </c>
      <c r="D1492" s="7" t="s">
        <v>3382</v>
      </c>
      <c r="E1492" s="7" t="s">
        <v>61</v>
      </c>
      <c r="F1492" s="7" t="s">
        <v>3383</v>
      </c>
      <c r="G1492" s="7" t="s">
        <v>3383</v>
      </c>
      <c r="H1492" s="7"/>
      <c r="I1492" s="7"/>
      <c r="J1492" s="7" t="s">
        <v>59</v>
      </c>
      <c r="K1492" s="7" t="s">
        <v>58</v>
      </c>
      <c r="L1492" s="7" t="s">
        <v>97</v>
      </c>
      <c r="M1492" s="7" t="s">
        <v>34</v>
      </c>
      <c r="N1492" s="7" t="s">
        <v>114</v>
      </c>
      <c r="O1492" s="7" t="s">
        <v>68</v>
      </c>
      <c r="P1492" s="7" t="s">
        <v>1064</v>
      </c>
      <c r="Q1492" s="9">
        <v>21000</v>
      </c>
      <c r="R1492" s="9">
        <v>0</v>
      </c>
      <c r="S1492" s="9">
        <f t="shared" si="53"/>
        <v>21000</v>
      </c>
      <c r="T1492" s="7" t="s">
        <v>53</v>
      </c>
      <c r="U1492" s="7" t="s">
        <v>111</v>
      </c>
      <c r="V1492" s="7" t="s">
        <v>2830</v>
      </c>
      <c r="W1492" s="9">
        <v>-50</v>
      </c>
      <c r="X1492" s="7" t="s">
        <v>94</v>
      </c>
      <c r="Y1492" s="4"/>
      <c r="Z1492" s="7" t="s">
        <v>14</v>
      </c>
      <c r="AA1492" s="36" t="s">
        <v>31</v>
      </c>
      <c r="AB1492" s="4" t="str">
        <f t="shared" si="52"/>
        <v>WALL</v>
      </c>
      <c r="AC1492" s="22">
        <f t="shared" si="51"/>
        <v>8.235294117647058</v>
      </c>
      <c r="AD1492" s="23">
        <v>0</v>
      </c>
    </row>
    <row r="1493" spans="1:30" hidden="1" x14ac:dyDescent="0.35">
      <c r="A1493" s="7">
        <v>2549</v>
      </c>
      <c r="B1493" s="24">
        <v>45993.55228009259</v>
      </c>
      <c r="C1493" s="24">
        <v>45993</v>
      </c>
      <c r="D1493" s="7" t="s">
        <v>3419</v>
      </c>
      <c r="E1493" s="7" t="s">
        <v>1981</v>
      </c>
      <c r="F1493" s="7" t="s">
        <v>2662</v>
      </c>
      <c r="G1493" s="7" t="s">
        <v>3420</v>
      </c>
      <c r="H1493" s="7"/>
      <c r="I1493" s="7"/>
      <c r="J1493" s="7" t="s">
        <v>1816</v>
      </c>
      <c r="K1493" s="7" t="s">
        <v>1815</v>
      </c>
      <c r="L1493" s="7" t="s">
        <v>1814</v>
      </c>
      <c r="M1493" s="7" t="s">
        <v>28</v>
      </c>
      <c r="N1493" s="7" t="s">
        <v>1825</v>
      </c>
      <c r="O1493" s="7" t="s">
        <v>105</v>
      </c>
      <c r="P1493" s="7" t="s">
        <v>1775</v>
      </c>
      <c r="Q1493" s="9">
        <v>3150000</v>
      </c>
      <c r="R1493" s="9">
        <v>0</v>
      </c>
      <c r="S1493" s="9">
        <f t="shared" si="53"/>
        <v>3150000</v>
      </c>
      <c r="T1493" s="7" t="s">
        <v>53</v>
      </c>
      <c r="U1493" s="7"/>
      <c r="V1493" s="7"/>
      <c r="W1493" s="9">
        <v>1</v>
      </c>
      <c r="X1493" s="7"/>
      <c r="Y1493" s="4"/>
      <c r="Z1493" s="4" t="str">
        <f>_xlfn.XLOOKUP(J1493,$J$3:$J$1492,$Z$3:$Z$1492)</f>
        <v>371000-371500 CAPITAL WORK IN PROGRESS</v>
      </c>
      <c r="AA1493" t="str">
        <f>_xlfn.XLOOKUP(N1493,$N$3:$N$1492,$AA$3:$AA$1492)</f>
        <v>371056 MINERAL EXPLORATION &amp; DEVELOPMENT-TARAWANDA</v>
      </c>
      <c r="AB1493" s="4"/>
      <c r="AC1493" s="28">
        <f t="shared" si="51"/>
        <v>1235.2941176470588</v>
      </c>
    </row>
    <row r="1494" spans="1:30" hidden="1" x14ac:dyDescent="0.35">
      <c r="A1494" s="7">
        <v>2550</v>
      </c>
      <c r="B1494" s="24">
        <v>45993.55228009259</v>
      </c>
      <c r="C1494" s="24">
        <v>45993</v>
      </c>
      <c r="D1494" s="7" t="s">
        <v>3419</v>
      </c>
      <c r="E1494" s="7" t="s">
        <v>1981</v>
      </c>
      <c r="F1494" s="7" t="s">
        <v>3421</v>
      </c>
      <c r="G1494" s="7" t="s">
        <v>3420</v>
      </c>
      <c r="H1494" s="7"/>
      <c r="I1494" s="7"/>
      <c r="J1494" s="7" t="s">
        <v>1816</v>
      </c>
      <c r="K1494" s="7" t="s">
        <v>1815</v>
      </c>
      <c r="L1494" s="7" t="s">
        <v>1814</v>
      </c>
      <c r="M1494" s="7" t="s">
        <v>28</v>
      </c>
      <c r="N1494" s="7" t="s">
        <v>1825</v>
      </c>
      <c r="O1494" s="7" t="s">
        <v>105</v>
      </c>
      <c r="P1494" s="7" t="s">
        <v>1775</v>
      </c>
      <c r="Q1494" s="9">
        <v>259000</v>
      </c>
      <c r="R1494" s="9">
        <v>0</v>
      </c>
      <c r="S1494" s="9">
        <f t="shared" si="53"/>
        <v>259000</v>
      </c>
      <c r="T1494" s="7" t="s">
        <v>53</v>
      </c>
      <c r="U1494" s="7"/>
      <c r="V1494" s="7"/>
      <c r="W1494" s="9">
        <v>1</v>
      </c>
      <c r="X1494" s="7"/>
      <c r="Y1494" s="4"/>
      <c r="Z1494" s="4" t="str">
        <f t="shared" ref="Z1494:Z1557" si="54">_xlfn.XLOOKUP(J1494,$J$3:$J$1492,$Z$3:$Z$1492)</f>
        <v>371000-371500 CAPITAL WORK IN PROGRESS</v>
      </c>
      <c r="AA1494" s="36" t="str">
        <f t="shared" ref="AA1494:AA1557" si="55">_xlfn.XLOOKUP(N1494,$N$3:$N$1492,$AA$3:$AA$1492)</f>
        <v>371056 MINERAL EXPLORATION &amp; DEVELOPMENT-TARAWANDA</v>
      </c>
      <c r="AB1494" s="4"/>
      <c r="AC1494" s="22">
        <f t="shared" si="51"/>
        <v>101.56862745098039</v>
      </c>
    </row>
    <row r="1495" spans="1:30" hidden="1" x14ac:dyDescent="0.35">
      <c r="A1495" s="7">
        <v>2551</v>
      </c>
      <c r="B1495" s="24">
        <v>45993.55228009259</v>
      </c>
      <c r="C1495" s="24">
        <v>45993</v>
      </c>
      <c r="D1495" s="7" t="s">
        <v>3419</v>
      </c>
      <c r="E1495" s="7" t="s">
        <v>1981</v>
      </c>
      <c r="F1495" s="7" t="s">
        <v>3422</v>
      </c>
      <c r="G1495" s="7" t="s">
        <v>3420</v>
      </c>
      <c r="H1495" s="7"/>
      <c r="I1495" s="7"/>
      <c r="J1495" s="7" t="s">
        <v>1816</v>
      </c>
      <c r="K1495" s="7" t="s">
        <v>1815</v>
      </c>
      <c r="L1495" s="7" t="s">
        <v>1814</v>
      </c>
      <c r="M1495" s="7" t="s">
        <v>28</v>
      </c>
      <c r="N1495" s="7" t="s">
        <v>1825</v>
      </c>
      <c r="O1495" s="7" t="s">
        <v>105</v>
      </c>
      <c r="P1495" s="7" t="s">
        <v>1775</v>
      </c>
      <c r="Q1495" s="9">
        <v>116000</v>
      </c>
      <c r="R1495" s="9">
        <v>0</v>
      </c>
      <c r="S1495" s="9">
        <f t="shared" si="53"/>
        <v>116000</v>
      </c>
      <c r="T1495" s="7" t="s">
        <v>53</v>
      </c>
      <c r="U1495" s="7"/>
      <c r="V1495" s="7"/>
      <c r="W1495" s="9">
        <v>1</v>
      </c>
      <c r="X1495" s="7"/>
      <c r="Y1495" s="4"/>
      <c r="Z1495" s="4" t="str">
        <f t="shared" si="54"/>
        <v>371000-371500 CAPITAL WORK IN PROGRESS</v>
      </c>
      <c r="AA1495" s="36" t="str">
        <f t="shared" si="55"/>
        <v>371056 MINERAL EXPLORATION &amp; DEVELOPMENT-TARAWANDA</v>
      </c>
      <c r="AB1495" s="4"/>
      <c r="AC1495" s="22">
        <f t="shared" si="51"/>
        <v>45.490196078431374</v>
      </c>
    </row>
    <row r="1496" spans="1:30" hidden="1" x14ac:dyDescent="0.35">
      <c r="A1496" s="7">
        <v>2560</v>
      </c>
      <c r="B1496" s="24">
        <v>45993.39472222222</v>
      </c>
      <c r="C1496" s="24">
        <v>45993</v>
      </c>
      <c r="D1496" s="7" t="s">
        <v>3423</v>
      </c>
      <c r="E1496" s="7" t="s">
        <v>1981</v>
      </c>
      <c r="F1496" s="7" t="s">
        <v>2236</v>
      </c>
      <c r="G1496" s="7" t="s">
        <v>3424</v>
      </c>
      <c r="H1496" s="7"/>
      <c r="I1496" s="7"/>
      <c r="J1496" s="7" t="s">
        <v>2148</v>
      </c>
      <c r="K1496" s="7" t="s">
        <v>1815</v>
      </c>
      <c r="L1496" s="7" t="s">
        <v>2472</v>
      </c>
      <c r="M1496" s="7" t="s">
        <v>3</v>
      </c>
      <c r="N1496" s="7" t="s">
        <v>1825</v>
      </c>
      <c r="O1496" s="7" t="s">
        <v>1704</v>
      </c>
      <c r="P1496" s="7" t="s">
        <v>1703</v>
      </c>
      <c r="Q1496" s="9">
        <v>8400100</v>
      </c>
      <c r="R1496" s="9">
        <v>0</v>
      </c>
      <c r="S1496" s="9">
        <f t="shared" si="53"/>
        <v>8400100</v>
      </c>
      <c r="T1496" s="7" t="s">
        <v>53</v>
      </c>
      <c r="U1496" s="7"/>
      <c r="V1496" s="7"/>
      <c r="W1496" s="9">
        <v>1</v>
      </c>
      <c r="X1496" s="7"/>
      <c r="Y1496" s="4"/>
      <c r="Z1496" s="4" t="str">
        <f t="shared" si="54"/>
        <v>301000-301050 LAND &amp; SITE DEVELOPMENT</v>
      </c>
      <c r="AA1496" s="36" t="str">
        <f t="shared" si="55"/>
        <v>371056 MINERAL EXPLORATION &amp; DEVELOPMENT-TARAWANDA</v>
      </c>
      <c r="AB1496" s="4"/>
      <c r="AC1496" s="22">
        <f t="shared" si="51"/>
        <v>3294.1568627450979</v>
      </c>
    </row>
    <row r="1497" spans="1:30" hidden="1" x14ac:dyDescent="0.35">
      <c r="A1497" s="7">
        <v>2561</v>
      </c>
      <c r="B1497" s="24">
        <v>45993.392337962963</v>
      </c>
      <c r="C1497" s="24">
        <v>45993</v>
      </c>
      <c r="D1497" s="7" t="s">
        <v>3425</v>
      </c>
      <c r="E1497" s="7" t="s">
        <v>1981</v>
      </c>
      <c r="F1497" s="7" t="s">
        <v>2219</v>
      </c>
      <c r="G1497" s="7" t="s">
        <v>3426</v>
      </c>
      <c r="H1497" s="7"/>
      <c r="I1497" s="7"/>
      <c r="J1497" s="7" t="s">
        <v>2148</v>
      </c>
      <c r="K1497" s="7" t="s">
        <v>1815</v>
      </c>
      <c r="L1497" s="7" t="s">
        <v>2472</v>
      </c>
      <c r="M1497" s="7" t="s">
        <v>3</v>
      </c>
      <c r="N1497" s="7" t="s">
        <v>1825</v>
      </c>
      <c r="O1497" s="7" t="s">
        <v>1704</v>
      </c>
      <c r="P1497" s="7" t="s">
        <v>1703</v>
      </c>
      <c r="Q1497" s="9">
        <v>5367883</v>
      </c>
      <c r="R1497" s="9">
        <v>0</v>
      </c>
      <c r="S1497" s="9">
        <f t="shared" si="53"/>
        <v>5367883</v>
      </c>
      <c r="T1497" s="7" t="s">
        <v>53</v>
      </c>
      <c r="U1497" s="7"/>
      <c r="V1497" s="7"/>
      <c r="W1497" s="9">
        <v>1</v>
      </c>
      <c r="X1497" s="7"/>
      <c r="Y1497" s="4"/>
      <c r="Z1497" s="4" t="str">
        <f t="shared" si="54"/>
        <v>301000-301050 LAND &amp; SITE DEVELOPMENT</v>
      </c>
      <c r="AA1497" s="36" t="str">
        <f t="shared" si="55"/>
        <v>371056 MINERAL EXPLORATION &amp; DEVELOPMENT-TARAWANDA</v>
      </c>
      <c r="AB1497" s="4"/>
      <c r="AC1497" s="22">
        <f t="shared" si="51"/>
        <v>2105.0521568627451</v>
      </c>
    </row>
    <row r="1498" spans="1:30" hidden="1" x14ac:dyDescent="0.35">
      <c r="A1498" s="7">
        <v>4140</v>
      </c>
      <c r="B1498" s="24">
        <v>45994.399710648147</v>
      </c>
      <c r="C1498" s="24">
        <v>45994</v>
      </c>
      <c r="D1498" s="7" t="s">
        <v>3427</v>
      </c>
      <c r="E1498" s="7" t="s">
        <v>1819</v>
      </c>
      <c r="F1498" s="7" t="s">
        <v>2236</v>
      </c>
      <c r="G1498" s="7" t="s">
        <v>3428</v>
      </c>
      <c r="H1498" s="7"/>
      <c r="I1498" s="7"/>
      <c r="J1498" s="7" t="s">
        <v>2148</v>
      </c>
      <c r="K1498" s="7" t="s">
        <v>1815</v>
      </c>
      <c r="L1498" s="7" t="s">
        <v>2472</v>
      </c>
      <c r="M1498" s="7" t="s">
        <v>3</v>
      </c>
      <c r="N1498" s="7" t="s">
        <v>1825</v>
      </c>
      <c r="O1498" s="7" t="s">
        <v>1703</v>
      </c>
      <c r="P1498" s="7" t="s">
        <v>1703</v>
      </c>
      <c r="Q1498" s="9">
        <v>747000</v>
      </c>
      <c r="R1498" s="9">
        <v>0</v>
      </c>
      <c r="S1498" s="9">
        <f t="shared" si="53"/>
        <v>747000</v>
      </c>
      <c r="T1498" s="7" t="s">
        <v>53</v>
      </c>
      <c r="U1498" s="7"/>
      <c r="V1498" s="7"/>
      <c r="W1498" s="9">
        <v>1</v>
      </c>
      <c r="X1498" s="7"/>
      <c r="Y1498" s="4"/>
      <c r="Z1498" s="4" t="str">
        <f t="shared" si="54"/>
        <v>301000-301050 LAND &amp; SITE DEVELOPMENT</v>
      </c>
      <c r="AA1498" s="36" t="str">
        <f t="shared" si="55"/>
        <v>371056 MINERAL EXPLORATION &amp; DEVELOPMENT-TARAWANDA</v>
      </c>
      <c r="AB1498" s="4"/>
      <c r="AC1498" s="22">
        <f t="shared" si="51"/>
        <v>292.94117647058823</v>
      </c>
    </row>
    <row r="1499" spans="1:30" hidden="1" x14ac:dyDescent="0.35">
      <c r="A1499" s="7">
        <v>4143</v>
      </c>
      <c r="B1499" s="24">
        <v>45994.397939814815</v>
      </c>
      <c r="C1499" s="24">
        <v>45994</v>
      </c>
      <c r="D1499" s="7" t="s">
        <v>3429</v>
      </c>
      <c r="E1499" s="7" t="s">
        <v>1819</v>
      </c>
      <c r="F1499" s="7" t="s">
        <v>2236</v>
      </c>
      <c r="G1499" s="7" t="s">
        <v>3430</v>
      </c>
      <c r="H1499" s="7"/>
      <c r="I1499" s="7"/>
      <c r="J1499" s="7" t="s">
        <v>2148</v>
      </c>
      <c r="K1499" s="7" t="s">
        <v>1815</v>
      </c>
      <c r="L1499" s="7" t="s">
        <v>2472</v>
      </c>
      <c r="M1499" s="7" t="s">
        <v>3</v>
      </c>
      <c r="N1499" s="7" t="s">
        <v>1825</v>
      </c>
      <c r="O1499" s="7" t="s">
        <v>1703</v>
      </c>
      <c r="P1499" s="7" t="s">
        <v>1703</v>
      </c>
      <c r="Q1499" s="9">
        <v>759000</v>
      </c>
      <c r="R1499" s="9">
        <v>0</v>
      </c>
      <c r="S1499" s="9">
        <f t="shared" si="53"/>
        <v>759000</v>
      </c>
      <c r="T1499" s="7" t="s">
        <v>53</v>
      </c>
      <c r="U1499" s="7"/>
      <c r="V1499" s="7"/>
      <c r="W1499" s="9">
        <v>1</v>
      </c>
      <c r="X1499" s="7"/>
      <c r="Y1499" s="4"/>
      <c r="Z1499" s="4" t="str">
        <f t="shared" si="54"/>
        <v>301000-301050 LAND &amp; SITE DEVELOPMENT</v>
      </c>
      <c r="AA1499" s="36" t="str">
        <f t="shared" si="55"/>
        <v>371056 MINERAL EXPLORATION &amp; DEVELOPMENT-TARAWANDA</v>
      </c>
      <c r="AB1499" s="4"/>
      <c r="AC1499" s="22">
        <f t="shared" si="51"/>
        <v>297.64705882352939</v>
      </c>
    </row>
    <row r="1500" spans="1:30" hidden="1" x14ac:dyDescent="0.35">
      <c r="A1500" s="7">
        <v>4145</v>
      </c>
      <c r="B1500" s="24">
        <v>45994.395567129628</v>
      </c>
      <c r="C1500" s="24">
        <v>45994</v>
      </c>
      <c r="D1500" s="7" t="s">
        <v>3431</v>
      </c>
      <c r="E1500" s="7" t="s">
        <v>1819</v>
      </c>
      <c r="F1500" s="7" t="s">
        <v>2236</v>
      </c>
      <c r="G1500" s="7" t="s">
        <v>3432</v>
      </c>
      <c r="H1500" s="7"/>
      <c r="I1500" s="7"/>
      <c r="J1500" s="7" t="s">
        <v>2148</v>
      </c>
      <c r="K1500" s="7" t="s">
        <v>1815</v>
      </c>
      <c r="L1500" s="7" t="s">
        <v>2472</v>
      </c>
      <c r="M1500" s="7" t="s">
        <v>3</v>
      </c>
      <c r="N1500" s="7" t="s">
        <v>1825</v>
      </c>
      <c r="O1500" s="7" t="s">
        <v>1703</v>
      </c>
      <c r="P1500" s="7" t="s">
        <v>1703</v>
      </c>
      <c r="Q1500" s="9">
        <v>187000</v>
      </c>
      <c r="R1500" s="9">
        <v>0</v>
      </c>
      <c r="S1500" s="9">
        <f t="shared" si="53"/>
        <v>187000</v>
      </c>
      <c r="T1500" s="7" t="s">
        <v>53</v>
      </c>
      <c r="U1500" s="7"/>
      <c r="V1500" s="7"/>
      <c r="W1500" s="9">
        <v>1</v>
      </c>
      <c r="X1500" s="7"/>
      <c r="Y1500" s="4"/>
      <c r="Z1500" s="4" t="str">
        <f t="shared" si="54"/>
        <v>301000-301050 LAND &amp; SITE DEVELOPMENT</v>
      </c>
      <c r="AA1500" s="36" t="str">
        <f t="shared" si="55"/>
        <v>371056 MINERAL EXPLORATION &amp; DEVELOPMENT-TARAWANDA</v>
      </c>
      <c r="AB1500" s="4"/>
      <c r="AC1500" s="22">
        <f t="shared" si="51"/>
        <v>73.333333333333329</v>
      </c>
    </row>
    <row r="1501" spans="1:30" hidden="1" x14ac:dyDescent="0.35">
      <c r="A1501" s="7">
        <v>4147</v>
      </c>
      <c r="B1501" s="24">
        <v>45994.394178240742</v>
      </c>
      <c r="C1501" s="24">
        <v>45994</v>
      </c>
      <c r="D1501" s="7" t="s">
        <v>3433</v>
      </c>
      <c r="E1501" s="7" t="s">
        <v>1819</v>
      </c>
      <c r="F1501" s="7" t="s">
        <v>2236</v>
      </c>
      <c r="G1501" s="7" t="s">
        <v>3434</v>
      </c>
      <c r="H1501" s="7"/>
      <c r="I1501" s="7"/>
      <c r="J1501" s="7" t="s">
        <v>2148</v>
      </c>
      <c r="K1501" s="7" t="s">
        <v>1815</v>
      </c>
      <c r="L1501" s="7" t="s">
        <v>2472</v>
      </c>
      <c r="M1501" s="7" t="s">
        <v>3</v>
      </c>
      <c r="N1501" s="7" t="s">
        <v>1825</v>
      </c>
      <c r="O1501" s="7" t="s">
        <v>1703</v>
      </c>
      <c r="P1501" s="7" t="s">
        <v>1703</v>
      </c>
      <c r="Q1501" s="9">
        <v>494000</v>
      </c>
      <c r="R1501" s="9">
        <v>0</v>
      </c>
      <c r="S1501" s="9">
        <f t="shared" si="53"/>
        <v>494000</v>
      </c>
      <c r="T1501" s="7" t="s">
        <v>53</v>
      </c>
      <c r="U1501" s="7"/>
      <c r="V1501" s="7"/>
      <c r="W1501" s="9">
        <v>1</v>
      </c>
      <c r="X1501" s="7"/>
      <c r="Y1501" s="4"/>
      <c r="Z1501" s="4" t="str">
        <f t="shared" si="54"/>
        <v>301000-301050 LAND &amp; SITE DEVELOPMENT</v>
      </c>
      <c r="AA1501" s="36" t="str">
        <f t="shared" si="55"/>
        <v>371056 MINERAL EXPLORATION &amp; DEVELOPMENT-TARAWANDA</v>
      </c>
      <c r="AB1501" s="4"/>
      <c r="AC1501" s="22">
        <f t="shared" si="51"/>
        <v>193.72549019607843</v>
      </c>
    </row>
    <row r="1502" spans="1:30" hidden="1" x14ac:dyDescent="0.35">
      <c r="A1502" s="7">
        <v>4148</v>
      </c>
      <c r="B1502" s="24">
        <v>45994.392858796295</v>
      </c>
      <c r="C1502" s="24">
        <v>45994</v>
      </c>
      <c r="D1502" s="7" t="s">
        <v>3435</v>
      </c>
      <c r="E1502" s="7" t="s">
        <v>1819</v>
      </c>
      <c r="F1502" s="7" t="s">
        <v>2236</v>
      </c>
      <c r="G1502" s="7" t="s">
        <v>3436</v>
      </c>
      <c r="H1502" s="7"/>
      <c r="I1502" s="7"/>
      <c r="J1502" s="7" t="s">
        <v>2148</v>
      </c>
      <c r="K1502" s="7" t="s">
        <v>1815</v>
      </c>
      <c r="L1502" s="7" t="s">
        <v>2472</v>
      </c>
      <c r="M1502" s="7" t="s">
        <v>3</v>
      </c>
      <c r="N1502" s="7" t="s">
        <v>1825</v>
      </c>
      <c r="O1502" s="7" t="s">
        <v>1703</v>
      </c>
      <c r="P1502" s="7" t="s">
        <v>1703</v>
      </c>
      <c r="Q1502" s="9">
        <v>2648690</v>
      </c>
      <c r="R1502" s="9">
        <v>0</v>
      </c>
      <c r="S1502" s="9">
        <f t="shared" si="53"/>
        <v>2648690</v>
      </c>
      <c r="T1502" s="7" t="s">
        <v>53</v>
      </c>
      <c r="U1502" s="7"/>
      <c r="V1502" s="7"/>
      <c r="W1502" s="9">
        <v>1</v>
      </c>
      <c r="X1502" s="7"/>
      <c r="Y1502" s="4"/>
      <c r="Z1502" s="4" t="str">
        <f t="shared" si="54"/>
        <v>301000-301050 LAND &amp; SITE DEVELOPMENT</v>
      </c>
      <c r="AA1502" s="36" t="str">
        <f t="shared" si="55"/>
        <v>371056 MINERAL EXPLORATION &amp; DEVELOPMENT-TARAWANDA</v>
      </c>
      <c r="AB1502" s="4"/>
      <c r="AC1502" s="22">
        <f t="shared" si="51"/>
        <v>1038.7019607843138</v>
      </c>
    </row>
    <row r="1503" spans="1:30" hidden="1" x14ac:dyDescent="0.35">
      <c r="A1503" s="7">
        <v>4151</v>
      </c>
      <c r="B1503" s="24">
        <v>45994.391701388886</v>
      </c>
      <c r="C1503" s="24">
        <v>45994</v>
      </c>
      <c r="D1503" s="7" t="s">
        <v>3437</v>
      </c>
      <c r="E1503" s="7" t="s">
        <v>1819</v>
      </c>
      <c r="F1503" s="7" t="s">
        <v>2236</v>
      </c>
      <c r="G1503" s="7" t="s">
        <v>3436</v>
      </c>
      <c r="H1503" s="7"/>
      <c r="I1503" s="7"/>
      <c r="J1503" s="7" t="s">
        <v>2148</v>
      </c>
      <c r="K1503" s="7" t="s">
        <v>1815</v>
      </c>
      <c r="L1503" s="7" t="s">
        <v>2472</v>
      </c>
      <c r="M1503" s="7" t="s">
        <v>3</v>
      </c>
      <c r="N1503" s="7" t="s">
        <v>1825</v>
      </c>
      <c r="O1503" s="7" t="s">
        <v>1703</v>
      </c>
      <c r="P1503" s="7" t="s">
        <v>1703</v>
      </c>
      <c r="Q1503" s="9">
        <v>229000</v>
      </c>
      <c r="R1503" s="9">
        <v>0</v>
      </c>
      <c r="S1503" s="9">
        <f t="shared" si="53"/>
        <v>229000</v>
      </c>
      <c r="T1503" s="7" t="s">
        <v>53</v>
      </c>
      <c r="U1503" s="7"/>
      <c r="V1503" s="7"/>
      <c r="W1503" s="9">
        <v>1</v>
      </c>
      <c r="X1503" s="7"/>
      <c r="Y1503" s="4"/>
      <c r="Z1503" s="4" t="str">
        <f t="shared" si="54"/>
        <v>301000-301050 LAND &amp; SITE DEVELOPMENT</v>
      </c>
      <c r="AA1503" s="36" t="str">
        <f t="shared" si="55"/>
        <v>371056 MINERAL EXPLORATION &amp; DEVELOPMENT-TARAWANDA</v>
      </c>
      <c r="AB1503" s="4"/>
      <c r="AC1503" s="22">
        <f t="shared" si="51"/>
        <v>89.803921568627445</v>
      </c>
    </row>
    <row r="1504" spans="1:30" hidden="1" x14ac:dyDescent="0.35">
      <c r="A1504" s="7">
        <v>4153</v>
      </c>
      <c r="B1504" s="24">
        <v>45994.375092592592</v>
      </c>
      <c r="C1504" s="24">
        <v>45994</v>
      </c>
      <c r="D1504" s="7" t="s">
        <v>3438</v>
      </c>
      <c r="E1504" s="7" t="s">
        <v>1819</v>
      </c>
      <c r="F1504" s="7" t="s">
        <v>2236</v>
      </c>
      <c r="G1504" s="7" t="s">
        <v>3439</v>
      </c>
      <c r="H1504" s="7"/>
      <c r="I1504" s="7"/>
      <c r="J1504" s="7" t="s">
        <v>2148</v>
      </c>
      <c r="K1504" s="7" t="s">
        <v>1815</v>
      </c>
      <c r="L1504" s="7" t="s">
        <v>2472</v>
      </c>
      <c r="M1504" s="7" t="s">
        <v>3</v>
      </c>
      <c r="N1504" s="7" t="s">
        <v>1825</v>
      </c>
      <c r="O1504" s="7" t="s">
        <v>1703</v>
      </c>
      <c r="P1504" s="7" t="s">
        <v>1703</v>
      </c>
      <c r="Q1504" s="9">
        <v>450000</v>
      </c>
      <c r="R1504" s="9">
        <v>0</v>
      </c>
      <c r="S1504" s="9">
        <f t="shared" si="53"/>
        <v>450000</v>
      </c>
      <c r="T1504" s="7" t="s">
        <v>53</v>
      </c>
      <c r="U1504" s="7"/>
      <c r="V1504" s="7"/>
      <c r="W1504" s="9">
        <v>1</v>
      </c>
      <c r="X1504" s="7"/>
      <c r="Y1504" s="4"/>
      <c r="Z1504" s="4" t="str">
        <f t="shared" si="54"/>
        <v>301000-301050 LAND &amp; SITE DEVELOPMENT</v>
      </c>
      <c r="AA1504" s="36" t="str">
        <f t="shared" si="55"/>
        <v>371056 MINERAL EXPLORATION &amp; DEVELOPMENT-TARAWANDA</v>
      </c>
      <c r="AB1504" s="4"/>
      <c r="AC1504" s="22">
        <f t="shared" si="51"/>
        <v>176.47058823529412</v>
      </c>
    </row>
    <row r="1505" spans="1:29" hidden="1" x14ac:dyDescent="0.35">
      <c r="A1505" s="7">
        <v>4154</v>
      </c>
      <c r="B1505" s="24">
        <v>45994.373472222222</v>
      </c>
      <c r="C1505" s="24">
        <v>45994</v>
      </c>
      <c r="D1505" s="7" t="s">
        <v>3440</v>
      </c>
      <c r="E1505" s="7" t="s">
        <v>1819</v>
      </c>
      <c r="F1505" s="7" t="s">
        <v>2219</v>
      </c>
      <c r="G1505" s="7" t="s">
        <v>3441</v>
      </c>
      <c r="H1505" s="7"/>
      <c r="I1505" s="7"/>
      <c r="J1505" s="7" t="s">
        <v>2148</v>
      </c>
      <c r="K1505" s="7" t="s">
        <v>1815</v>
      </c>
      <c r="L1505" s="7" t="s">
        <v>2472</v>
      </c>
      <c r="M1505" s="7" t="s">
        <v>3</v>
      </c>
      <c r="N1505" s="7" t="s">
        <v>1825</v>
      </c>
      <c r="O1505" s="7" t="s">
        <v>1703</v>
      </c>
      <c r="P1505" s="7" t="s">
        <v>1703</v>
      </c>
      <c r="Q1505" s="9">
        <v>4304526</v>
      </c>
      <c r="R1505" s="9">
        <v>0</v>
      </c>
      <c r="S1505" s="9">
        <f t="shared" si="53"/>
        <v>4304526</v>
      </c>
      <c r="T1505" s="7" t="s">
        <v>53</v>
      </c>
      <c r="U1505" s="7"/>
      <c r="V1505" s="7"/>
      <c r="W1505" s="9">
        <v>1</v>
      </c>
      <c r="X1505" s="7"/>
      <c r="Y1505" s="4"/>
      <c r="Z1505" s="4" t="str">
        <f t="shared" si="54"/>
        <v>301000-301050 LAND &amp; SITE DEVELOPMENT</v>
      </c>
      <c r="AA1505" s="36" t="str">
        <f t="shared" si="55"/>
        <v>371056 MINERAL EXPLORATION &amp; DEVELOPMENT-TARAWANDA</v>
      </c>
      <c r="AB1505" s="4"/>
      <c r="AC1505" s="22">
        <f t="shared" si="51"/>
        <v>1688.0494117647058</v>
      </c>
    </row>
    <row r="1506" spans="1:29" hidden="1" x14ac:dyDescent="0.35">
      <c r="A1506" s="7">
        <v>4157</v>
      </c>
      <c r="B1506" s="24">
        <v>45994.372453703705</v>
      </c>
      <c r="C1506" s="24">
        <v>45994</v>
      </c>
      <c r="D1506" s="7" t="s">
        <v>3442</v>
      </c>
      <c r="E1506" s="7" t="s">
        <v>1819</v>
      </c>
      <c r="F1506" s="7" t="s">
        <v>2236</v>
      </c>
      <c r="G1506" s="7" t="s">
        <v>3441</v>
      </c>
      <c r="H1506" s="7"/>
      <c r="I1506" s="7"/>
      <c r="J1506" s="7" t="s">
        <v>2148</v>
      </c>
      <c r="K1506" s="7" t="s">
        <v>1815</v>
      </c>
      <c r="L1506" s="7" t="s">
        <v>2472</v>
      </c>
      <c r="M1506" s="7" t="s">
        <v>3</v>
      </c>
      <c r="N1506" s="7" t="s">
        <v>1825</v>
      </c>
      <c r="O1506" s="7" t="s">
        <v>1703</v>
      </c>
      <c r="P1506" s="7" t="s">
        <v>1703</v>
      </c>
      <c r="Q1506" s="9">
        <v>347000</v>
      </c>
      <c r="R1506" s="9">
        <v>0</v>
      </c>
      <c r="S1506" s="9">
        <f t="shared" si="53"/>
        <v>347000</v>
      </c>
      <c r="T1506" s="7" t="s">
        <v>53</v>
      </c>
      <c r="U1506" s="7"/>
      <c r="V1506" s="7"/>
      <c r="W1506" s="9">
        <v>1</v>
      </c>
      <c r="X1506" s="7"/>
      <c r="Y1506" s="4"/>
      <c r="Z1506" s="4" t="str">
        <f t="shared" si="54"/>
        <v>301000-301050 LAND &amp; SITE DEVELOPMENT</v>
      </c>
      <c r="AA1506" s="36" t="str">
        <f t="shared" si="55"/>
        <v>371056 MINERAL EXPLORATION &amp; DEVELOPMENT-TARAWANDA</v>
      </c>
      <c r="AB1506" s="4"/>
      <c r="AC1506" s="22">
        <f t="shared" si="51"/>
        <v>136.07843137254903</v>
      </c>
    </row>
    <row r="1507" spans="1:29" hidden="1" x14ac:dyDescent="0.35">
      <c r="A1507" s="7">
        <v>4158</v>
      </c>
      <c r="B1507" s="24">
        <v>45994.370983796296</v>
      </c>
      <c r="C1507" s="24">
        <v>45994</v>
      </c>
      <c r="D1507" s="7" t="s">
        <v>3443</v>
      </c>
      <c r="E1507" s="7" t="s">
        <v>1819</v>
      </c>
      <c r="F1507" s="7" t="s">
        <v>2236</v>
      </c>
      <c r="G1507" s="7" t="s">
        <v>3444</v>
      </c>
      <c r="H1507" s="7"/>
      <c r="I1507" s="7"/>
      <c r="J1507" s="7" t="s">
        <v>2148</v>
      </c>
      <c r="K1507" s="7" t="s">
        <v>1815</v>
      </c>
      <c r="L1507" s="7" t="s">
        <v>2472</v>
      </c>
      <c r="M1507" s="7" t="s">
        <v>3</v>
      </c>
      <c r="N1507" s="7" t="s">
        <v>1825</v>
      </c>
      <c r="O1507" s="7" t="s">
        <v>1703</v>
      </c>
      <c r="P1507" s="7" t="s">
        <v>1703</v>
      </c>
      <c r="Q1507" s="9">
        <v>450000</v>
      </c>
      <c r="R1507" s="9">
        <v>0</v>
      </c>
      <c r="S1507" s="9">
        <f t="shared" si="53"/>
        <v>450000</v>
      </c>
      <c r="T1507" s="7" t="s">
        <v>53</v>
      </c>
      <c r="U1507" s="7"/>
      <c r="V1507" s="7"/>
      <c r="W1507" s="9">
        <v>1</v>
      </c>
      <c r="X1507" s="7"/>
      <c r="Y1507" s="4"/>
      <c r="Z1507" s="4" t="str">
        <f t="shared" si="54"/>
        <v>301000-301050 LAND &amp; SITE DEVELOPMENT</v>
      </c>
      <c r="AA1507" s="36" t="str">
        <f t="shared" si="55"/>
        <v>371056 MINERAL EXPLORATION &amp; DEVELOPMENT-TARAWANDA</v>
      </c>
      <c r="AB1507" s="4"/>
      <c r="AC1507" s="22">
        <f t="shared" si="51"/>
        <v>176.47058823529412</v>
      </c>
    </row>
    <row r="1508" spans="1:29" hidden="1" x14ac:dyDescent="0.35">
      <c r="A1508" s="7">
        <v>4160</v>
      </c>
      <c r="B1508" s="24">
        <v>45994.369837962964</v>
      </c>
      <c r="C1508" s="24">
        <v>45994</v>
      </c>
      <c r="D1508" s="7" t="s">
        <v>3445</v>
      </c>
      <c r="E1508" s="7" t="s">
        <v>1819</v>
      </c>
      <c r="F1508" s="7" t="s">
        <v>2236</v>
      </c>
      <c r="G1508" s="7" t="s">
        <v>3446</v>
      </c>
      <c r="H1508" s="7"/>
      <c r="I1508" s="7"/>
      <c r="J1508" s="7" t="s">
        <v>2148</v>
      </c>
      <c r="K1508" s="7" t="s">
        <v>1815</v>
      </c>
      <c r="L1508" s="7" t="s">
        <v>2472</v>
      </c>
      <c r="M1508" s="7" t="s">
        <v>3</v>
      </c>
      <c r="N1508" s="7" t="s">
        <v>1825</v>
      </c>
      <c r="O1508" s="7" t="s">
        <v>1703</v>
      </c>
      <c r="P1508" s="7" t="s">
        <v>1703</v>
      </c>
      <c r="Q1508" s="9">
        <v>567988</v>
      </c>
      <c r="R1508" s="9">
        <v>0</v>
      </c>
      <c r="S1508" s="9">
        <f t="shared" si="53"/>
        <v>567988</v>
      </c>
      <c r="T1508" s="7" t="s">
        <v>53</v>
      </c>
      <c r="U1508" s="7"/>
      <c r="V1508" s="7"/>
      <c r="W1508" s="9">
        <v>1</v>
      </c>
      <c r="X1508" s="7"/>
      <c r="Y1508" s="4"/>
      <c r="Z1508" s="4" t="str">
        <f t="shared" si="54"/>
        <v>301000-301050 LAND &amp; SITE DEVELOPMENT</v>
      </c>
      <c r="AA1508" s="36" t="str">
        <f t="shared" si="55"/>
        <v>371056 MINERAL EXPLORATION &amp; DEVELOPMENT-TARAWANDA</v>
      </c>
      <c r="AB1508" s="4"/>
      <c r="AC1508" s="22">
        <f t="shared" si="51"/>
        <v>222.74039215686275</v>
      </c>
    </row>
    <row r="1509" spans="1:29" hidden="1" x14ac:dyDescent="0.35">
      <c r="A1509" s="7">
        <v>4163</v>
      </c>
      <c r="B1509" s="24">
        <v>45994.367604166669</v>
      </c>
      <c r="C1509" s="24">
        <v>45994</v>
      </c>
      <c r="D1509" s="7" t="s">
        <v>3447</v>
      </c>
      <c r="E1509" s="7" t="s">
        <v>1819</v>
      </c>
      <c r="F1509" s="7" t="s">
        <v>2236</v>
      </c>
      <c r="G1509" s="7" t="s">
        <v>3448</v>
      </c>
      <c r="H1509" s="7"/>
      <c r="I1509" s="7"/>
      <c r="J1509" s="7" t="s">
        <v>2148</v>
      </c>
      <c r="K1509" s="7" t="s">
        <v>1815</v>
      </c>
      <c r="L1509" s="7" t="s">
        <v>2472</v>
      </c>
      <c r="M1509" s="7" t="s">
        <v>3</v>
      </c>
      <c r="N1509" s="7" t="s">
        <v>1825</v>
      </c>
      <c r="O1509" s="7" t="s">
        <v>1703</v>
      </c>
      <c r="P1509" s="7" t="s">
        <v>1703</v>
      </c>
      <c r="Q1509" s="9">
        <v>467698</v>
      </c>
      <c r="R1509" s="9">
        <v>0</v>
      </c>
      <c r="S1509" s="9">
        <f t="shared" si="53"/>
        <v>467698</v>
      </c>
      <c r="T1509" s="7" t="s">
        <v>53</v>
      </c>
      <c r="U1509" s="7"/>
      <c r="V1509" s="7"/>
      <c r="W1509" s="9">
        <v>1</v>
      </c>
      <c r="X1509" s="7"/>
      <c r="Y1509" s="4"/>
      <c r="Z1509" s="4" t="str">
        <f t="shared" si="54"/>
        <v>301000-301050 LAND &amp; SITE DEVELOPMENT</v>
      </c>
      <c r="AA1509" s="36" t="str">
        <f t="shared" si="55"/>
        <v>371056 MINERAL EXPLORATION &amp; DEVELOPMENT-TARAWANDA</v>
      </c>
      <c r="AB1509" s="4"/>
      <c r="AC1509" s="22">
        <f t="shared" si="51"/>
        <v>183.41098039215686</v>
      </c>
    </row>
    <row r="1510" spans="1:29" hidden="1" x14ac:dyDescent="0.35">
      <c r="A1510" s="7">
        <v>4165</v>
      </c>
      <c r="B1510" s="24">
        <v>45994.366215277776</v>
      </c>
      <c r="C1510" s="24">
        <v>45994</v>
      </c>
      <c r="D1510" s="7" t="s">
        <v>3449</v>
      </c>
      <c r="E1510" s="7" t="s">
        <v>1819</v>
      </c>
      <c r="F1510" s="7" t="s">
        <v>2236</v>
      </c>
      <c r="G1510" s="7" t="s">
        <v>3450</v>
      </c>
      <c r="H1510" s="7"/>
      <c r="I1510" s="7"/>
      <c r="J1510" s="7" t="s">
        <v>2148</v>
      </c>
      <c r="K1510" s="7" t="s">
        <v>1815</v>
      </c>
      <c r="L1510" s="7" t="s">
        <v>2472</v>
      </c>
      <c r="M1510" s="7" t="s">
        <v>3</v>
      </c>
      <c r="N1510" s="7" t="s">
        <v>1825</v>
      </c>
      <c r="O1510" s="7" t="s">
        <v>1703</v>
      </c>
      <c r="P1510" s="7" t="s">
        <v>1703</v>
      </c>
      <c r="Q1510" s="9">
        <v>450000</v>
      </c>
      <c r="R1510" s="9">
        <v>0</v>
      </c>
      <c r="S1510" s="9">
        <f t="shared" si="53"/>
        <v>450000</v>
      </c>
      <c r="T1510" s="7" t="s">
        <v>53</v>
      </c>
      <c r="U1510" s="7"/>
      <c r="V1510" s="7"/>
      <c r="W1510" s="9">
        <v>1</v>
      </c>
      <c r="X1510" s="7"/>
      <c r="Y1510" s="4"/>
      <c r="Z1510" s="4" t="str">
        <f t="shared" si="54"/>
        <v>301000-301050 LAND &amp; SITE DEVELOPMENT</v>
      </c>
      <c r="AA1510" s="36" t="str">
        <f t="shared" si="55"/>
        <v>371056 MINERAL EXPLORATION &amp; DEVELOPMENT-TARAWANDA</v>
      </c>
      <c r="AB1510" s="4"/>
      <c r="AC1510" s="22">
        <f t="shared" si="51"/>
        <v>176.47058823529412</v>
      </c>
    </row>
    <row r="1511" spans="1:29" hidden="1" x14ac:dyDescent="0.35">
      <c r="A1511" s="7">
        <v>4166</v>
      </c>
      <c r="B1511" s="24">
        <v>45994.364837962959</v>
      </c>
      <c r="C1511" s="24">
        <v>45994</v>
      </c>
      <c r="D1511" s="7" t="s">
        <v>3451</v>
      </c>
      <c r="E1511" s="7" t="s">
        <v>1819</v>
      </c>
      <c r="F1511" s="7" t="s">
        <v>2236</v>
      </c>
      <c r="G1511" s="7" t="s">
        <v>3452</v>
      </c>
      <c r="H1511" s="7"/>
      <c r="I1511" s="7"/>
      <c r="J1511" s="7" t="s">
        <v>2148</v>
      </c>
      <c r="K1511" s="7" t="s">
        <v>1815</v>
      </c>
      <c r="L1511" s="7" t="s">
        <v>2472</v>
      </c>
      <c r="M1511" s="7" t="s">
        <v>3</v>
      </c>
      <c r="N1511" s="7" t="s">
        <v>1825</v>
      </c>
      <c r="O1511" s="7" t="s">
        <v>1703</v>
      </c>
      <c r="P1511" s="7" t="s">
        <v>1703</v>
      </c>
      <c r="Q1511" s="9">
        <v>735000</v>
      </c>
      <c r="R1511" s="9">
        <v>0</v>
      </c>
      <c r="S1511" s="9">
        <f t="shared" si="53"/>
        <v>735000</v>
      </c>
      <c r="T1511" s="7" t="s">
        <v>53</v>
      </c>
      <c r="U1511" s="7"/>
      <c r="V1511" s="7"/>
      <c r="W1511" s="9">
        <v>1</v>
      </c>
      <c r="X1511" s="7"/>
      <c r="Y1511" s="4"/>
      <c r="Z1511" s="4" t="str">
        <f t="shared" si="54"/>
        <v>301000-301050 LAND &amp; SITE DEVELOPMENT</v>
      </c>
      <c r="AA1511" s="36" t="str">
        <f t="shared" si="55"/>
        <v>371056 MINERAL EXPLORATION &amp; DEVELOPMENT-TARAWANDA</v>
      </c>
      <c r="AB1511" s="4"/>
      <c r="AC1511" s="22">
        <f t="shared" si="51"/>
        <v>288.23529411764707</v>
      </c>
    </row>
    <row r="1512" spans="1:29" hidden="1" x14ac:dyDescent="0.35">
      <c r="A1512" s="7">
        <v>4169</v>
      </c>
      <c r="B1512" s="24">
        <v>45994.363819444443</v>
      </c>
      <c r="C1512" s="24">
        <v>45994</v>
      </c>
      <c r="D1512" s="7" t="s">
        <v>3453</v>
      </c>
      <c r="E1512" s="7" t="s">
        <v>1819</v>
      </c>
      <c r="F1512" s="7" t="s">
        <v>2236</v>
      </c>
      <c r="G1512" s="7" t="s">
        <v>3452</v>
      </c>
      <c r="H1512" s="7"/>
      <c r="I1512" s="7"/>
      <c r="J1512" s="7" t="s">
        <v>2148</v>
      </c>
      <c r="K1512" s="7" t="s">
        <v>1815</v>
      </c>
      <c r="L1512" s="7" t="s">
        <v>2472</v>
      </c>
      <c r="M1512" s="7" t="s">
        <v>3</v>
      </c>
      <c r="N1512" s="7" t="s">
        <v>1825</v>
      </c>
      <c r="O1512" s="7" t="s">
        <v>1703</v>
      </c>
      <c r="P1512" s="7" t="s">
        <v>1703</v>
      </c>
      <c r="Q1512" s="9">
        <v>69000</v>
      </c>
      <c r="R1512" s="9">
        <v>0</v>
      </c>
      <c r="S1512" s="9">
        <f t="shared" si="53"/>
        <v>69000</v>
      </c>
      <c r="T1512" s="7" t="s">
        <v>53</v>
      </c>
      <c r="U1512" s="7"/>
      <c r="V1512" s="7"/>
      <c r="W1512" s="9">
        <v>1</v>
      </c>
      <c r="X1512" s="7"/>
      <c r="Y1512" s="4"/>
      <c r="Z1512" s="4" t="str">
        <f t="shared" si="54"/>
        <v>301000-301050 LAND &amp; SITE DEVELOPMENT</v>
      </c>
      <c r="AA1512" s="36" t="str">
        <f t="shared" si="55"/>
        <v>371056 MINERAL EXPLORATION &amp; DEVELOPMENT-TARAWANDA</v>
      </c>
      <c r="AB1512" s="4"/>
      <c r="AC1512" s="22">
        <f t="shared" si="51"/>
        <v>27.058823529411764</v>
      </c>
    </row>
    <row r="1513" spans="1:29" hidden="1" x14ac:dyDescent="0.35">
      <c r="A1513" s="7">
        <v>4171</v>
      </c>
      <c r="B1513" s="24">
        <v>45994.362500000003</v>
      </c>
      <c r="C1513" s="24">
        <v>45994</v>
      </c>
      <c r="D1513" s="7" t="s">
        <v>3454</v>
      </c>
      <c r="E1513" s="7" t="s">
        <v>1819</v>
      </c>
      <c r="F1513" s="7" t="s">
        <v>2236</v>
      </c>
      <c r="G1513" s="7" t="s">
        <v>3455</v>
      </c>
      <c r="H1513" s="7"/>
      <c r="I1513" s="7"/>
      <c r="J1513" s="7" t="s">
        <v>2148</v>
      </c>
      <c r="K1513" s="7" t="s">
        <v>1815</v>
      </c>
      <c r="L1513" s="7" t="s">
        <v>2472</v>
      </c>
      <c r="M1513" s="7" t="s">
        <v>3</v>
      </c>
      <c r="N1513" s="7" t="s">
        <v>1825</v>
      </c>
      <c r="O1513" s="7" t="s">
        <v>1703</v>
      </c>
      <c r="P1513" s="7" t="s">
        <v>1703</v>
      </c>
      <c r="Q1513" s="9">
        <v>2190793</v>
      </c>
      <c r="R1513" s="9">
        <v>0</v>
      </c>
      <c r="S1513" s="9">
        <f t="shared" si="53"/>
        <v>2190793</v>
      </c>
      <c r="T1513" s="7" t="s">
        <v>53</v>
      </c>
      <c r="U1513" s="7"/>
      <c r="V1513" s="7"/>
      <c r="W1513" s="9">
        <v>1</v>
      </c>
      <c r="X1513" s="7"/>
      <c r="Y1513" s="4"/>
      <c r="Z1513" s="4" t="str">
        <f t="shared" si="54"/>
        <v>301000-301050 LAND &amp; SITE DEVELOPMENT</v>
      </c>
      <c r="AA1513" s="36" t="str">
        <f t="shared" si="55"/>
        <v>371056 MINERAL EXPLORATION &amp; DEVELOPMENT-TARAWANDA</v>
      </c>
      <c r="AB1513" s="4"/>
      <c r="AC1513" s="22">
        <f t="shared" si="51"/>
        <v>859.13450980392156</v>
      </c>
    </row>
    <row r="1514" spans="1:29" hidden="1" x14ac:dyDescent="0.35">
      <c r="A1514" s="7">
        <v>4173</v>
      </c>
      <c r="B1514" s="24">
        <v>45994.361006944448</v>
      </c>
      <c r="C1514" s="24">
        <v>45994</v>
      </c>
      <c r="D1514" s="7" t="s">
        <v>3456</v>
      </c>
      <c r="E1514" s="7" t="s">
        <v>1819</v>
      </c>
      <c r="F1514" s="7" t="s">
        <v>2236</v>
      </c>
      <c r="G1514" s="7" t="s">
        <v>3457</v>
      </c>
      <c r="H1514" s="7"/>
      <c r="I1514" s="7"/>
      <c r="J1514" s="7" t="s">
        <v>2148</v>
      </c>
      <c r="K1514" s="7" t="s">
        <v>1815</v>
      </c>
      <c r="L1514" s="7" t="s">
        <v>2472</v>
      </c>
      <c r="M1514" s="7" t="s">
        <v>3</v>
      </c>
      <c r="N1514" s="7" t="s">
        <v>1825</v>
      </c>
      <c r="O1514" s="7" t="s">
        <v>1703</v>
      </c>
      <c r="P1514" s="7" t="s">
        <v>1703</v>
      </c>
      <c r="Q1514" s="9">
        <v>1949884</v>
      </c>
      <c r="R1514" s="9">
        <v>0</v>
      </c>
      <c r="S1514" s="9">
        <f t="shared" si="53"/>
        <v>1949884</v>
      </c>
      <c r="T1514" s="7" t="s">
        <v>53</v>
      </c>
      <c r="U1514" s="7"/>
      <c r="V1514" s="7"/>
      <c r="W1514" s="9">
        <v>1</v>
      </c>
      <c r="X1514" s="7"/>
      <c r="Y1514" s="4"/>
      <c r="Z1514" s="4" t="str">
        <f t="shared" si="54"/>
        <v>301000-301050 LAND &amp; SITE DEVELOPMENT</v>
      </c>
      <c r="AA1514" s="36" t="str">
        <f t="shared" si="55"/>
        <v>371056 MINERAL EXPLORATION &amp; DEVELOPMENT-TARAWANDA</v>
      </c>
      <c r="AB1514" s="4"/>
      <c r="AC1514" s="22">
        <f t="shared" si="51"/>
        <v>764.66039215686271</v>
      </c>
    </row>
    <row r="1515" spans="1:29" hidden="1" x14ac:dyDescent="0.35">
      <c r="A1515" s="7">
        <v>4174</v>
      </c>
      <c r="B1515" s="24">
        <v>45994.359375</v>
      </c>
      <c r="C1515" s="24">
        <v>45994</v>
      </c>
      <c r="D1515" s="7" t="s">
        <v>3458</v>
      </c>
      <c r="E1515" s="7" t="s">
        <v>1819</v>
      </c>
      <c r="F1515" s="7" t="s">
        <v>2236</v>
      </c>
      <c r="G1515" s="7" t="s">
        <v>3459</v>
      </c>
      <c r="H1515" s="7"/>
      <c r="I1515" s="7"/>
      <c r="J1515" s="7" t="s">
        <v>2148</v>
      </c>
      <c r="K1515" s="7" t="s">
        <v>1815</v>
      </c>
      <c r="L1515" s="7" t="s">
        <v>2472</v>
      </c>
      <c r="M1515" s="7" t="s">
        <v>3</v>
      </c>
      <c r="N1515" s="7" t="s">
        <v>1825</v>
      </c>
      <c r="O1515" s="7" t="s">
        <v>1703</v>
      </c>
      <c r="P1515" s="7" t="s">
        <v>1703</v>
      </c>
      <c r="Q1515" s="9">
        <v>450000</v>
      </c>
      <c r="R1515" s="9">
        <v>0</v>
      </c>
      <c r="S1515" s="9">
        <f t="shared" si="53"/>
        <v>450000</v>
      </c>
      <c r="T1515" s="7" t="s">
        <v>53</v>
      </c>
      <c r="U1515" s="7"/>
      <c r="V1515" s="7"/>
      <c r="W1515" s="9">
        <v>1</v>
      </c>
      <c r="X1515" s="7"/>
      <c r="Y1515" s="4"/>
      <c r="Z1515" s="4" t="str">
        <f t="shared" si="54"/>
        <v>301000-301050 LAND &amp; SITE DEVELOPMENT</v>
      </c>
      <c r="AA1515" s="36" t="str">
        <f t="shared" si="55"/>
        <v>371056 MINERAL EXPLORATION &amp; DEVELOPMENT-TARAWANDA</v>
      </c>
      <c r="AB1515" s="4"/>
      <c r="AC1515" s="22">
        <f t="shared" si="51"/>
        <v>176.47058823529412</v>
      </c>
    </row>
    <row r="1516" spans="1:29" hidden="1" x14ac:dyDescent="0.35">
      <c r="A1516" s="7">
        <v>4177</v>
      </c>
      <c r="B1516" s="24">
        <v>45994.318124999998</v>
      </c>
      <c r="C1516" s="24">
        <v>45994</v>
      </c>
      <c r="D1516" s="7" t="s">
        <v>3460</v>
      </c>
      <c r="E1516" s="7" t="s">
        <v>1819</v>
      </c>
      <c r="F1516" s="7" t="s">
        <v>2236</v>
      </c>
      <c r="G1516" s="7" t="s">
        <v>3461</v>
      </c>
      <c r="H1516" s="7"/>
      <c r="I1516" s="7"/>
      <c r="J1516" s="7" t="s">
        <v>2148</v>
      </c>
      <c r="K1516" s="7" t="s">
        <v>1815</v>
      </c>
      <c r="L1516" s="7" t="s">
        <v>2472</v>
      </c>
      <c r="M1516" s="7" t="s">
        <v>3</v>
      </c>
      <c r="N1516" s="7" t="s">
        <v>1825</v>
      </c>
      <c r="O1516" s="7" t="s">
        <v>1703</v>
      </c>
      <c r="P1516" s="7" t="s">
        <v>1703</v>
      </c>
      <c r="Q1516" s="9">
        <v>4203608</v>
      </c>
      <c r="R1516" s="9">
        <v>0</v>
      </c>
      <c r="S1516" s="9">
        <f t="shared" si="53"/>
        <v>4203608</v>
      </c>
      <c r="T1516" s="7" t="s">
        <v>53</v>
      </c>
      <c r="U1516" s="7"/>
      <c r="V1516" s="7"/>
      <c r="W1516" s="9">
        <v>1</v>
      </c>
      <c r="X1516" s="7"/>
      <c r="Y1516" s="4"/>
      <c r="Z1516" s="4" t="str">
        <f t="shared" si="54"/>
        <v>301000-301050 LAND &amp; SITE DEVELOPMENT</v>
      </c>
      <c r="AA1516" s="36" t="str">
        <f t="shared" si="55"/>
        <v>371056 MINERAL EXPLORATION &amp; DEVELOPMENT-TARAWANDA</v>
      </c>
      <c r="AB1516" s="4"/>
      <c r="AC1516" s="22">
        <f t="shared" si="51"/>
        <v>1648.4737254901961</v>
      </c>
    </row>
    <row r="1517" spans="1:29" hidden="1" x14ac:dyDescent="0.35">
      <c r="A1517" s="7">
        <v>4178</v>
      </c>
      <c r="B1517" s="24">
        <v>45994.31690972222</v>
      </c>
      <c r="C1517" s="24">
        <v>45994</v>
      </c>
      <c r="D1517" s="7" t="s">
        <v>3462</v>
      </c>
      <c r="E1517" s="7" t="s">
        <v>1819</v>
      </c>
      <c r="F1517" s="7" t="s">
        <v>2236</v>
      </c>
      <c r="G1517" s="7" t="s">
        <v>3461</v>
      </c>
      <c r="H1517" s="7"/>
      <c r="I1517" s="7"/>
      <c r="J1517" s="7" t="s">
        <v>2148</v>
      </c>
      <c r="K1517" s="7" t="s">
        <v>1815</v>
      </c>
      <c r="L1517" s="7" t="s">
        <v>2472</v>
      </c>
      <c r="M1517" s="7" t="s">
        <v>3</v>
      </c>
      <c r="N1517" s="7" t="s">
        <v>1825</v>
      </c>
      <c r="O1517" s="7" t="s">
        <v>1703</v>
      </c>
      <c r="P1517" s="7" t="s">
        <v>1703</v>
      </c>
      <c r="Q1517" s="9">
        <v>329000</v>
      </c>
      <c r="R1517" s="9">
        <v>0</v>
      </c>
      <c r="S1517" s="9">
        <f t="shared" si="53"/>
        <v>329000</v>
      </c>
      <c r="T1517" s="7" t="s">
        <v>53</v>
      </c>
      <c r="U1517" s="7"/>
      <c r="V1517" s="7"/>
      <c r="W1517" s="9">
        <v>1</v>
      </c>
      <c r="X1517" s="7"/>
      <c r="Y1517" s="4"/>
      <c r="Z1517" s="4" t="str">
        <f t="shared" si="54"/>
        <v>301000-301050 LAND &amp; SITE DEVELOPMENT</v>
      </c>
      <c r="AA1517" s="36" t="str">
        <f t="shared" si="55"/>
        <v>371056 MINERAL EXPLORATION &amp; DEVELOPMENT-TARAWANDA</v>
      </c>
      <c r="AB1517" s="4"/>
      <c r="AC1517" s="22">
        <f t="shared" si="51"/>
        <v>129.01960784313727</v>
      </c>
    </row>
    <row r="1518" spans="1:29" hidden="1" x14ac:dyDescent="0.35">
      <c r="A1518" s="7">
        <v>4180</v>
      </c>
      <c r="B1518" s="24">
        <v>45994.300671296296</v>
      </c>
      <c r="C1518" s="24">
        <v>45994</v>
      </c>
      <c r="D1518" s="7" t="s">
        <v>3463</v>
      </c>
      <c r="E1518" s="7" t="s">
        <v>1819</v>
      </c>
      <c r="F1518" s="7" t="s">
        <v>2236</v>
      </c>
      <c r="G1518" s="7" t="s">
        <v>3464</v>
      </c>
      <c r="H1518" s="7"/>
      <c r="I1518" s="7"/>
      <c r="J1518" s="7" t="s">
        <v>2148</v>
      </c>
      <c r="K1518" s="7" t="s">
        <v>1815</v>
      </c>
      <c r="L1518" s="7" t="s">
        <v>2472</v>
      </c>
      <c r="M1518" s="7" t="s">
        <v>3</v>
      </c>
      <c r="N1518" s="7" t="s">
        <v>1825</v>
      </c>
      <c r="O1518" s="7" t="s">
        <v>1703</v>
      </c>
      <c r="P1518" s="7" t="s">
        <v>1703</v>
      </c>
      <c r="Q1518" s="9">
        <v>506000</v>
      </c>
      <c r="R1518" s="9">
        <v>0</v>
      </c>
      <c r="S1518" s="9">
        <f t="shared" si="53"/>
        <v>506000</v>
      </c>
      <c r="T1518" s="7" t="s">
        <v>53</v>
      </c>
      <c r="U1518" s="7"/>
      <c r="V1518" s="7"/>
      <c r="W1518" s="9">
        <v>1</v>
      </c>
      <c r="X1518" s="7"/>
      <c r="Y1518" s="4"/>
      <c r="Z1518" s="4" t="str">
        <f t="shared" si="54"/>
        <v>301000-301050 LAND &amp; SITE DEVELOPMENT</v>
      </c>
      <c r="AA1518" s="36" t="str">
        <f t="shared" si="55"/>
        <v>371056 MINERAL EXPLORATION &amp; DEVELOPMENT-TARAWANDA</v>
      </c>
      <c r="AB1518" s="4"/>
      <c r="AC1518" s="22">
        <f t="shared" si="51"/>
        <v>198.43137254901961</v>
      </c>
    </row>
    <row r="1519" spans="1:29" hidden="1" x14ac:dyDescent="0.35">
      <c r="A1519" s="7">
        <v>4183</v>
      </c>
      <c r="B1519" s="24">
        <v>45994.298750000002</v>
      </c>
      <c r="C1519" s="24">
        <v>45994</v>
      </c>
      <c r="D1519" s="7" t="s">
        <v>3465</v>
      </c>
      <c r="E1519" s="7" t="s">
        <v>1819</v>
      </c>
      <c r="F1519" s="7" t="s">
        <v>2236</v>
      </c>
      <c r="G1519" s="7" t="s">
        <v>3466</v>
      </c>
      <c r="H1519" s="7"/>
      <c r="I1519" s="7"/>
      <c r="J1519" s="7" t="s">
        <v>2148</v>
      </c>
      <c r="K1519" s="7" t="s">
        <v>1815</v>
      </c>
      <c r="L1519" s="7" t="s">
        <v>2472</v>
      </c>
      <c r="M1519" s="7" t="s">
        <v>3</v>
      </c>
      <c r="N1519" s="7" t="s">
        <v>1825</v>
      </c>
      <c r="O1519" s="7" t="s">
        <v>1703</v>
      </c>
      <c r="P1519" s="7" t="s">
        <v>1703</v>
      </c>
      <c r="Q1519" s="9">
        <v>3707261</v>
      </c>
      <c r="R1519" s="9">
        <v>0</v>
      </c>
      <c r="S1519" s="9">
        <f t="shared" si="53"/>
        <v>3707261</v>
      </c>
      <c r="T1519" s="7" t="s">
        <v>53</v>
      </c>
      <c r="U1519" s="7"/>
      <c r="V1519" s="7"/>
      <c r="W1519" s="9">
        <v>1</v>
      </c>
      <c r="X1519" s="7"/>
      <c r="Y1519" s="4"/>
      <c r="Z1519" s="4" t="str">
        <f t="shared" si="54"/>
        <v>301000-301050 LAND &amp; SITE DEVELOPMENT</v>
      </c>
      <c r="AA1519" s="36" t="str">
        <f t="shared" si="55"/>
        <v>371056 MINERAL EXPLORATION &amp; DEVELOPMENT-TARAWANDA</v>
      </c>
      <c r="AB1519" s="4"/>
      <c r="AC1519" s="22">
        <f t="shared" si="51"/>
        <v>1453.8278431372548</v>
      </c>
    </row>
    <row r="1520" spans="1:29" hidden="1" x14ac:dyDescent="0.35">
      <c r="A1520" s="7">
        <v>4184</v>
      </c>
      <c r="B1520" s="24">
        <v>45994.297118055554</v>
      </c>
      <c r="C1520" s="24">
        <v>45994</v>
      </c>
      <c r="D1520" s="7" t="s">
        <v>3467</v>
      </c>
      <c r="E1520" s="7" t="s">
        <v>1819</v>
      </c>
      <c r="F1520" s="7" t="s">
        <v>2236</v>
      </c>
      <c r="G1520" s="7" t="s">
        <v>3468</v>
      </c>
      <c r="H1520" s="7"/>
      <c r="I1520" s="7"/>
      <c r="J1520" s="7" t="s">
        <v>2148</v>
      </c>
      <c r="K1520" s="7" t="s">
        <v>1815</v>
      </c>
      <c r="L1520" s="7" t="s">
        <v>2472</v>
      </c>
      <c r="M1520" s="7" t="s">
        <v>3</v>
      </c>
      <c r="N1520" s="7" t="s">
        <v>1825</v>
      </c>
      <c r="O1520" s="7" t="s">
        <v>1703</v>
      </c>
      <c r="P1520" s="7" t="s">
        <v>1703</v>
      </c>
      <c r="Q1520" s="9">
        <v>706763</v>
      </c>
      <c r="R1520" s="9">
        <v>0</v>
      </c>
      <c r="S1520" s="9">
        <f t="shared" si="53"/>
        <v>706763</v>
      </c>
      <c r="T1520" s="7" t="s">
        <v>53</v>
      </c>
      <c r="U1520" s="7"/>
      <c r="V1520" s="7"/>
      <c r="W1520" s="9">
        <v>1</v>
      </c>
      <c r="X1520" s="7"/>
      <c r="Y1520" s="4"/>
      <c r="Z1520" s="4" t="str">
        <f t="shared" si="54"/>
        <v>301000-301050 LAND &amp; SITE DEVELOPMENT</v>
      </c>
      <c r="AA1520" s="36" t="str">
        <f t="shared" si="55"/>
        <v>371056 MINERAL EXPLORATION &amp; DEVELOPMENT-TARAWANDA</v>
      </c>
      <c r="AB1520" s="4"/>
      <c r="AC1520" s="22">
        <f t="shared" si="51"/>
        <v>277.16196078431375</v>
      </c>
    </row>
    <row r="1521" spans="1:29" hidden="1" x14ac:dyDescent="0.35">
      <c r="A1521" s="7">
        <v>4186</v>
      </c>
      <c r="B1521" s="24">
        <v>45994.29210648148</v>
      </c>
      <c r="C1521" s="24">
        <v>45994</v>
      </c>
      <c r="D1521" s="7" t="s">
        <v>3469</v>
      </c>
      <c r="E1521" s="7" t="s">
        <v>1819</v>
      </c>
      <c r="F1521" s="7" t="s">
        <v>2236</v>
      </c>
      <c r="G1521" s="7" t="s">
        <v>3470</v>
      </c>
      <c r="H1521" s="7"/>
      <c r="I1521" s="7"/>
      <c r="J1521" s="7" t="s">
        <v>2148</v>
      </c>
      <c r="K1521" s="7" t="s">
        <v>1815</v>
      </c>
      <c r="L1521" s="7" t="s">
        <v>2472</v>
      </c>
      <c r="M1521" s="7" t="s">
        <v>3</v>
      </c>
      <c r="N1521" s="7" t="s">
        <v>1825</v>
      </c>
      <c r="O1521" s="7" t="s">
        <v>1703</v>
      </c>
      <c r="P1521" s="7" t="s">
        <v>1703</v>
      </c>
      <c r="Q1521" s="9">
        <v>583000</v>
      </c>
      <c r="R1521" s="9">
        <v>0</v>
      </c>
      <c r="S1521" s="9">
        <f t="shared" si="53"/>
        <v>583000</v>
      </c>
      <c r="T1521" s="7" t="s">
        <v>53</v>
      </c>
      <c r="U1521" s="7"/>
      <c r="V1521" s="7"/>
      <c r="W1521" s="9">
        <v>1</v>
      </c>
      <c r="X1521" s="7"/>
      <c r="Y1521" s="4"/>
      <c r="Z1521" s="4" t="str">
        <f t="shared" si="54"/>
        <v>301000-301050 LAND &amp; SITE DEVELOPMENT</v>
      </c>
      <c r="AA1521" s="36" t="str">
        <f t="shared" si="55"/>
        <v>371056 MINERAL EXPLORATION &amp; DEVELOPMENT-TARAWANDA</v>
      </c>
      <c r="AB1521" s="4"/>
      <c r="AC1521" s="22">
        <f t="shared" si="51"/>
        <v>228.62745098039215</v>
      </c>
    </row>
    <row r="1522" spans="1:29" hidden="1" x14ac:dyDescent="0.35">
      <c r="A1522" s="7">
        <v>4188</v>
      </c>
      <c r="B1522" s="24">
        <v>45994.289780092593</v>
      </c>
      <c r="C1522" s="24">
        <v>45994</v>
      </c>
      <c r="D1522" s="7" t="s">
        <v>3471</v>
      </c>
      <c r="E1522" s="7" t="s">
        <v>1819</v>
      </c>
      <c r="F1522" s="7" t="s">
        <v>2236</v>
      </c>
      <c r="G1522" s="7" t="s">
        <v>3472</v>
      </c>
      <c r="H1522" s="7"/>
      <c r="I1522" s="7"/>
      <c r="J1522" s="7" t="s">
        <v>2148</v>
      </c>
      <c r="K1522" s="7" t="s">
        <v>1815</v>
      </c>
      <c r="L1522" s="7" t="s">
        <v>2472</v>
      </c>
      <c r="M1522" s="7" t="s">
        <v>3</v>
      </c>
      <c r="N1522" s="7" t="s">
        <v>1825</v>
      </c>
      <c r="O1522" s="7" t="s">
        <v>1703</v>
      </c>
      <c r="P1522" s="7" t="s">
        <v>1703</v>
      </c>
      <c r="Q1522" s="9">
        <v>594000</v>
      </c>
      <c r="R1522" s="9">
        <v>0</v>
      </c>
      <c r="S1522" s="9">
        <f t="shared" si="53"/>
        <v>594000</v>
      </c>
      <c r="T1522" s="7" t="s">
        <v>53</v>
      </c>
      <c r="U1522" s="7"/>
      <c r="V1522" s="7"/>
      <c r="W1522" s="9">
        <v>1</v>
      </c>
      <c r="X1522" s="7"/>
      <c r="Y1522" s="4"/>
      <c r="Z1522" s="4" t="str">
        <f t="shared" si="54"/>
        <v>301000-301050 LAND &amp; SITE DEVELOPMENT</v>
      </c>
      <c r="AA1522" s="36" t="str">
        <f t="shared" si="55"/>
        <v>371056 MINERAL EXPLORATION &amp; DEVELOPMENT-TARAWANDA</v>
      </c>
      <c r="AB1522" s="4"/>
      <c r="AC1522" s="22">
        <f t="shared" si="51"/>
        <v>232.94117647058823</v>
      </c>
    </row>
    <row r="1523" spans="1:29" hidden="1" x14ac:dyDescent="0.35">
      <c r="A1523" s="7">
        <v>4191</v>
      </c>
      <c r="B1523" s="24">
        <v>45994.28765046296</v>
      </c>
      <c r="C1523" s="24">
        <v>45994</v>
      </c>
      <c r="D1523" s="7" t="s">
        <v>3473</v>
      </c>
      <c r="E1523" s="7" t="s">
        <v>1819</v>
      </c>
      <c r="F1523" s="7" t="s">
        <v>2236</v>
      </c>
      <c r="G1523" s="7" t="s">
        <v>3474</v>
      </c>
      <c r="H1523" s="7"/>
      <c r="I1523" s="7"/>
      <c r="J1523" s="7" t="s">
        <v>2148</v>
      </c>
      <c r="K1523" s="7" t="s">
        <v>1815</v>
      </c>
      <c r="L1523" s="7" t="s">
        <v>2472</v>
      </c>
      <c r="M1523" s="7" t="s">
        <v>3</v>
      </c>
      <c r="N1523" s="7" t="s">
        <v>1825</v>
      </c>
      <c r="O1523" s="7" t="s">
        <v>1703</v>
      </c>
      <c r="P1523" s="7" t="s">
        <v>1703</v>
      </c>
      <c r="Q1523" s="9">
        <v>94000</v>
      </c>
      <c r="R1523" s="9">
        <v>0</v>
      </c>
      <c r="S1523" s="9">
        <f t="shared" si="53"/>
        <v>94000</v>
      </c>
      <c r="T1523" s="7" t="s">
        <v>53</v>
      </c>
      <c r="U1523" s="7"/>
      <c r="V1523" s="7"/>
      <c r="W1523" s="9">
        <v>1</v>
      </c>
      <c r="X1523" s="7"/>
      <c r="Y1523" s="4"/>
      <c r="Z1523" s="4" t="str">
        <f t="shared" si="54"/>
        <v>301000-301050 LAND &amp; SITE DEVELOPMENT</v>
      </c>
      <c r="AA1523" s="36" t="str">
        <f t="shared" si="55"/>
        <v>371056 MINERAL EXPLORATION &amp; DEVELOPMENT-TARAWANDA</v>
      </c>
      <c r="AB1523" s="4"/>
      <c r="AC1523" s="22">
        <f t="shared" si="51"/>
        <v>36.862745098039213</v>
      </c>
    </row>
    <row r="1524" spans="1:29" hidden="1" x14ac:dyDescent="0.35">
      <c r="A1524" s="7">
        <v>4192</v>
      </c>
      <c r="B1524" s="24">
        <v>45994.286099537036</v>
      </c>
      <c r="C1524" s="24">
        <v>45994</v>
      </c>
      <c r="D1524" s="7" t="s">
        <v>3475</v>
      </c>
      <c r="E1524" s="7" t="s">
        <v>1819</v>
      </c>
      <c r="F1524" s="7" t="s">
        <v>2936</v>
      </c>
      <c r="G1524" s="7" t="s">
        <v>3474</v>
      </c>
      <c r="H1524" s="7"/>
      <c r="I1524" s="7"/>
      <c r="J1524" s="7" t="s">
        <v>2148</v>
      </c>
      <c r="K1524" s="7" t="s">
        <v>1815</v>
      </c>
      <c r="L1524" s="7" t="s">
        <v>2472</v>
      </c>
      <c r="M1524" s="7" t="s">
        <v>3</v>
      </c>
      <c r="N1524" s="7" t="s">
        <v>1825</v>
      </c>
      <c r="O1524" s="7" t="s">
        <v>1703</v>
      </c>
      <c r="P1524" s="7" t="s">
        <v>1703</v>
      </c>
      <c r="Q1524" s="9">
        <v>940000</v>
      </c>
      <c r="R1524" s="9">
        <v>0</v>
      </c>
      <c r="S1524" s="9">
        <f t="shared" si="53"/>
        <v>940000</v>
      </c>
      <c r="T1524" s="7" t="s">
        <v>53</v>
      </c>
      <c r="U1524" s="7"/>
      <c r="V1524" s="7"/>
      <c r="W1524" s="9">
        <v>1</v>
      </c>
      <c r="X1524" s="7"/>
      <c r="Y1524" s="4"/>
      <c r="Z1524" s="4" t="str">
        <f t="shared" si="54"/>
        <v>301000-301050 LAND &amp; SITE DEVELOPMENT</v>
      </c>
      <c r="AA1524" s="36" t="str">
        <f t="shared" si="55"/>
        <v>371056 MINERAL EXPLORATION &amp; DEVELOPMENT-TARAWANDA</v>
      </c>
      <c r="AB1524" s="4"/>
      <c r="AC1524" s="22">
        <f t="shared" si="51"/>
        <v>368.62745098039215</v>
      </c>
    </row>
    <row r="1525" spans="1:29" hidden="1" x14ac:dyDescent="0.35">
      <c r="A1525" s="7">
        <v>4194</v>
      </c>
      <c r="B1525" s="24">
        <v>45994.278402777774</v>
      </c>
      <c r="C1525" s="24">
        <v>45994</v>
      </c>
      <c r="D1525" s="7" t="s">
        <v>3476</v>
      </c>
      <c r="E1525" s="7" t="s">
        <v>1819</v>
      </c>
      <c r="F1525" s="7" t="s">
        <v>2936</v>
      </c>
      <c r="G1525" s="7" t="s">
        <v>3477</v>
      </c>
      <c r="H1525" s="7"/>
      <c r="I1525" s="7"/>
      <c r="J1525" s="7" t="s">
        <v>2148</v>
      </c>
      <c r="K1525" s="7" t="s">
        <v>1815</v>
      </c>
      <c r="L1525" s="7" t="s">
        <v>2472</v>
      </c>
      <c r="M1525" s="7" t="s">
        <v>3</v>
      </c>
      <c r="N1525" s="7" t="s">
        <v>1825</v>
      </c>
      <c r="O1525" s="7" t="s">
        <v>1703</v>
      </c>
      <c r="P1525" s="7" t="s">
        <v>1703</v>
      </c>
      <c r="Q1525" s="9">
        <v>450000</v>
      </c>
      <c r="R1525" s="9">
        <v>0</v>
      </c>
      <c r="S1525" s="9">
        <f t="shared" si="53"/>
        <v>450000</v>
      </c>
      <c r="T1525" s="7" t="s">
        <v>53</v>
      </c>
      <c r="U1525" s="7"/>
      <c r="V1525" s="7"/>
      <c r="W1525" s="9">
        <v>1</v>
      </c>
      <c r="X1525" s="7"/>
      <c r="Y1525" s="4"/>
      <c r="Z1525" s="4" t="str">
        <f t="shared" si="54"/>
        <v>301000-301050 LAND &amp; SITE DEVELOPMENT</v>
      </c>
      <c r="AA1525" s="36" t="str">
        <f t="shared" si="55"/>
        <v>371056 MINERAL EXPLORATION &amp; DEVELOPMENT-TARAWANDA</v>
      </c>
      <c r="AB1525" s="4"/>
      <c r="AC1525" s="22">
        <f t="shared" si="51"/>
        <v>176.47058823529412</v>
      </c>
    </row>
    <row r="1526" spans="1:29" hidden="1" x14ac:dyDescent="0.35">
      <c r="A1526" s="7">
        <v>4197</v>
      </c>
      <c r="B1526" s="24">
        <v>45994.277129629627</v>
      </c>
      <c r="C1526" s="24">
        <v>45994</v>
      </c>
      <c r="D1526" s="7" t="s">
        <v>3478</v>
      </c>
      <c r="E1526" s="7" t="s">
        <v>1819</v>
      </c>
      <c r="F1526" s="7" t="s">
        <v>2936</v>
      </c>
      <c r="G1526" s="7" t="s">
        <v>3479</v>
      </c>
      <c r="H1526" s="7"/>
      <c r="I1526" s="7"/>
      <c r="J1526" s="7" t="s">
        <v>2148</v>
      </c>
      <c r="K1526" s="7" t="s">
        <v>1815</v>
      </c>
      <c r="L1526" s="7" t="s">
        <v>2472</v>
      </c>
      <c r="M1526" s="7" t="s">
        <v>3</v>
      </c>
      <c r="N1526" s="7" t="s">
        <v>1825</v>
      </c>
      <c r="O1526" s="7" t="s">
        <v>1703</v>
      </c>
      <c r="P1526" s="7" t="s">
        <v>1703</v>
      </c>
      <c r="Q1526" s="9">
        <v>2441875</v>
      </c>
      <c r="R1526" s="9">
        <v>0</v>
      </c>
      <c r="S1526" s="9">
        <f t="shared" si="53"/>
        <v>2441875</v>
      </c>
      <c r="T1526" s="7" t="s">
        <v>53</v>
      </c>
      <c r="U1526" s="7"/>
      <c r="V1526" s="7"/>
      <c r="W1526" s="9">
        <v>1</v>
      </c>
      <c r="X1526" s="7"/>
      <c r="Y1526" s="4"/>
      <c r="Z1526" s="4" t="str">
        <f t="shared" si="54"/>
        <v>301000-301050 LAND &amp; SITE DEVELOPMENT</v>
      </c>
      <c r="AA1526" s="36" t="str">
        <f t="shared" si="55"/>
        <v>371056 MINERAL EXPLORATION &amp; DEVELOPMENT-TARAWANDA</v>
      </c>
      <c r="AB1526" s="4"/>
      <c r="AC1526" s="22">
        <f t="shared" si="51"/>
        <v>957.5980392156863</v>
      </c>
    </row>
    <row r="1527" spans="1:29" hidden="1" x14ac:dyDescent="0.35">
      <c r="A1527" s="7">
        <v>4198</v>
      </c>
      <c r="B1527" s="24">
        <v>45994.275578703702</v>
      </c>
      <c r="C1527" s="24">
        <v>45994</v>
      </c>
      <c r="D1527" s="7" t="s">
        <v>3480</v>
      </c>
      <c r="E1527" s="7" t="s">
        <v>1819</v>
      </c>
      <c r="F1527" s="7" t="s">
        <v>2936</v>
      </c>
      <c r="G1527" s="7" t="s">
        <v>3481</v>
      </c>
      <c r="H1527" s="7"/>
      <c r="I1527" s="7"/>
      <c r="J1527" s="7" t="s">
        <v>2148</v>
      </c>
      <c r="K1527" s="7" t="s">
        <v>1815</v>
      </c>
      <c r="L1527" s="7" t="s">
        <v>2472</v>
      </c>
      <c r="M1527" s="7" t="s">
        <v>3</v>
      </c>
      <c r="N1527" s="7" t="s">
        <v>1825</v>
      </c>
      <c r="O1527" s="7" t="s">
        <v>1703</v>
      </c>
      <c r="P1527" s="7" t="s">
        <v>1703</v>
      </c>
      <c r="Q1527" s="9">
        <v>450000</v>
      </c>
      <c r="R1527" s="9">
        <v>0</v>
      </c>
      <c r="S1527" s="9">
        <f t="shared" si="53"/>
        <v>450000</v>
      </c>
      <c r="T1527" s="7" t="s">
        <v>53</v>
      </c>
      <c r="U1527" s="7"/>
      <c r="V1527" s="7"/>
      <c r="W1527" s="9">
        <v>1</v>
      </c>
      <c r="X1527" s="7"/>
      <c r="Y1527" s="4"/>
      <c r="Z1527" s="4" t="str">
        <f t="shared" si="54"/>
        <v>301000-301050 LAND &amp; SITE DEVELOPMENT</v>
      </c>
      <c r="AA1527" s="36" t="str">
        <f t="shared" si="55"/>
        <v>371056 MINERAL EXPLORATION &amp; DEVELOPMENT-TARAWANDA</v>
      </c>
      <c r="AB1527" s="4"/>
      <c r="AC1527" s="22">
        <f t="shared" si="51"/>
        <v>176.47058823529412</v>
      </c>
    </row>
    <row r="1528" spans="1:29" hidden="1" x14ac:dyDescent="0.35">
      <c r="A1528" s="7">
        <v>4200</v>
      </c>
      <c r="B1528" s="24">
        <v>45994.273935185185</v>
      </c>
      <c r="C1528" s="24">
        <v>45994</v>
      </c>
      <c r="D1528" s="7" t="s">
        <v>3482</v>
      </c>
      <c r="E1528" s="7" t="s">
        <v>1819</v>
      </c>
      <c r="F1528" s="7" t="s">
        <v>2936</v>
      </c>
      <c r="G1528" s="7" t="s">
        <v>3483</v>
      </c>
      <c r="H1528" s="7"/>
      <c r="I1528" s="7"/>
      <c r="J1528" s="7" t="s">
        <v>2148</v>
      </c>
      <c r="K1528" s="7" t="s">
        <v>1815</v>
      </c>
      <c r="L1528" s="7" t="s">
        <v>2472</v>
      </c>
      <c r="M1528" s="7" t="s">
        <v>3</v>
      </c>
      <c r="N1528" s="7" t="s">
        <v>1825</v>
      </c>
      <c r="O1528" s="7" t="s">
        <v>1703</v>
      </c>
      <c r="P1528" s="7" t="s">
        <v>1703</v>
      </c>
      <c r="Q1528" s="9">
        <v>1182198</v>
      </c>
      <c r="R1528" s="9">
        <v>0</v>
      </c>
      <c r="S1528" s="9">
        <f t="shared" si="53"/>
        <v>1182198</v>
      </c>
      <c r="T1528" s="7" t="s">
        <v>53</v>
      </c>
      <c r="U1528" s="7"/>
      <c r="V1528" s="7"/>
      <c r="W1528" s="9">
        <v>1</v>
      </c>
      <c r="X1528" s="7"/>
      <c r="Y1528" s="4"/>
      <c r="Z1528" s="4" t="str">
        <f t="shared" si="54"/>
        <v>301000-301050 LAND &amp; SITE DEVELOPMENT</v>
      </c>
      <c r="AA1528" s="36" t="str">
        <f t="shared" si="55"/>
        <v>371056 MINERAL EXPLORATION &amp; DEVELOPMENT-TARAWANDA</v>
      </c>
      <c r="AB1528" s="4"/>
      <c r="AC1528" s="22">
        <f t="shared" ref="AC1528:AC1591" si="56">+S1528/$AC$1</f>
        <v>463.60705882352943</v>
      </c>
    </row>
    <row r="1529" spans="1:29" hidden="1" x14ac:dyDescent="0.35">
      <c r="A1529" s="7">
        <v>4203</v>
      </c>
      <c r="B1529" s="24">
        <v>45994.272569444445</v>
      </c>
      <c r="C1529" s="24">
        <v>45994</v>
      </c>
      <c r="D1529" s="7" t="s">
        <v>3484</v>
      </c>
      <c r="E1529" s="7" t="s">
        <v>1819</v>
      </c>
      <c r="F1529" s="7" t="s">
        <v>2936</v>
      </c>
      <c r="G1529" s="7" t="s">
        <v>3485</v>
      </c>
      <c r="H1529" s="7"/>
      <c r="I1529" s="7"/>
      <c r="J1529" s="7" t="s">
        <v>2148</v>
      </c>
      <c r="K1529" s="7" t="s">
        <v>1815</v>
      </c>
      <c r="L1529" s="7" t="s">
        <v>2472</v>
      </c>
      <c r="M1529" s="7" t="s">
        <v>3</v>
      </c>
      <c r="N1529" s="7" t="s">
        <v>1825</v>
      </c>
      <c r="O1529" s="7" t="s">
        <v>1703</v>
      </c>
      <c r="P1529" s="7" t="s">
        <v>1703</v>
      </c>
      <c r="Q1529" s="9">
        <v>1180206</v>
      </c>
      <c r="R1529" s="9">
        <v>0</v>
      </c>
      <c r="S1529" s="9">
        <f t="shared" si="53"/>
        <v>1180206</v>
      </c>
      <c r="T1529" s="7" t="s">
        <v>53</v>
      </c>
      <c r="U1529" s="7"/>
      <c r="V1529" s="7"/>
      <c r="W1529" s="9">
        <v>1</v>
      </c>
      <c r="X1529" s="7"/>
      <c r="Y1529" s="4"/>
      <c r="Z1529" s="4" t="str">
        <f t="shared" si="54"/>
        <v>301000-301050 LAND &amp; SITE DEVELOPMENT</v>
      </c>
      <c r="AA1529" s="36" t="str">
        <f t="shared" si="55"/>
        <v>371056 MINERAL EXPLORATION &amp; DEVELOPMENT-TARAWANDA</v>
      </c>
      <c r="AB1529" s="4"/>
      <c r="AC1529" s="22">
        <f t="shared" si="56"/>
        <v>462.82588235294116</v>
      </c>
    </row>
    <row r="1530" spans="1:29" hidden="1" x14ac:dyDescent="0.35">
      <c r="A1530" s="7">
        <v>4204</v>
      </c>
      <c r="B1530" s="24">
        <v>45994.271307870367</v>
      </c>
      <c r="C1530" s="24">
        <v>45994</v>
      </c>
      <c r="D1530" s="7" t="s">
        <v>3486</v>
      </c>
      <c r="E1530" s="7" t="s">
        <v>1819</v>
      </c>
      <c r="F1530" s="7" t="s">
        <v>2936</v>
      </c>
      <c r="G1530" s="7" t="s">
        <v>3487</v>
      </c>
      <c r="H1530" s="7"/>
      <c r="I1530" s="7"/>
      <c r="J1530" s="7" t="s">
        <v>2148</v>
      </c>
      <c r="K1530" s="7" t="s">
        <v>1815</v>
      </c>
      <c r="L1530" s="7" t="s">
        <v>2472</v>
      </c>
      <c r="M1530" s="7" t="s">
        <v>3</v>
      </c>
      <c r="N1530" s="7" t="s">
        <v>1825</v>
      </c>
      <c r="O1530" s="7" t="s">
        <v>1703</v>
      </c>
      <c r="P1530" s="7" t="s">
        <v>1703</v>
      </c>
      <c r="Q1530" s="9">
        <v>1742911</v>
      </c>
      <c r="R1530" s="9">
        <v>0</v>
      </c>
      <c r="S1530" s="9">
        <f t="shared" si="53"/>
        <v>1742911</v>
      </c>
      <c r="T1530" s="7" t="s">
        <v>53</v>
      </c>
      <c r="U1530" s="7"/>
      <c r="V1530" s="7"/>
      <c r="W1530" s="9">
        <v>1</v>
      </c>
      <c r="X1530" s="7"/>
      <c r="Y1530" s="4"/>
      <c r="Z1530" s="4" t="str">
        <f t="shared" si="54"/>
        <v>301000-301050 LAND &amp; SITE DEVELOPMENT</v>
      </c>
      <c r="AA1530" s="36" t="str">
        <f t="shared" si="55"/>
        <v>371056 MINERAL EXPLORATION &amp; DEVELOPMENT-TARAWANDA</v>
      </c>
      <c r="AB1530" s="4"/>
      <c r="AC1530" s="22">
        <f t="shared" si="56"/>
        <v>683.49450980392157</v>
      </c>
    </row>
    <row r="1531" spans="1:29" hidden="1" x14ac:dyDescent="0.35">
      <c r="A1531" s="7">
        <v>4207</v>
      </c>
      <c r="B1531" s="24">
        <v>45994.268506944441</v>
      </c>
      <c r="C1531" s="24">
        <v>45994</v>
      </c>
      <c r="D1531" s="7" t="s">
        <v>3488</v>
      </c>
      <c r="E1531" s="7" t="s">
        <v>1819</v>
      </c>
      <c r="F1531" s="7" t="s">
        <v>2936</v>
      </c>
      <c r="G1531" s="7" t="s">
        <v>3489</v>
      </c>
      <c r="H1531" s="7"/>
      <c r="I1531" s="7"/>
      <c r="J1531" s="7" t="s">
        <v>2148</v>
      </c>
      <c r="K1531" s="7" t="s">
        <v>1815</v>
      </c>
      <c r="L1531" s="7" t="s">
        <v>2472</v>
      </c>
      <c r="M1531" s="7" t="s">
        <v>3</v>
      </c>
      <c r="N1531" s="7" t="s">
        <v>1825</v>
      </c>
      <c r="O1531" s="7" t="s">
        <v>1703</v>
      </c>
      <c r="P1531" s="7" t="s">
        <v>1703</v>
      </c>
      <c r="Q1531" s="9">
        <v>839111</v>
      </c>
      <c r="R1531" s="9">
        <v>0</v>
      </c>
      <c r="S1531" s="9">
        <f t="shared" si="53"/>
        <v>839111</v>
      </c>
      <c r="T1531" s="7" t="s">
        <v>53</v>
      </c>
      <c r="U1531" s="7"/>
      <c r="V1531" s="7"/>
      <c r="W1531" s="9">
        <v>1</v>
      </c>
      <c r="X1531" s="7"/>
      <c r="Y1531" s="4"/>
      <c r="Z1531" s="4" t="str">
        <f t="shared" si="54"/>
        <v>301000-301050 LAND &amp; SITE DEVELOPMENT</v>
      </c>
      <c r="AA1531" s="36" t="str">
        <f t="shared" si="55"/>
        <v>371056 MINERAL EXPLORATION &amp; DEVELOPMENT-TARAWANDA</v>
      </c>
      <c r="AB1531" s="4"/>
      <c r="AC1531" s="22">
        <f t="shared" si="56"/>
        <v>329.06313725490196</v>
      </c>
    </row>
    <row r="1532" spans="1:29" hidden="1" x14ac:dyDescent="0.35">
      <c r="A1532" s="7">
        <v>4209</v>
      </c>
      <c r="B1532" s="24">
        <v>45994.26699074074</v>
      </c>
      <c r="C1532" s="24">
        <v>45994</v>
      </c>
      <c r="D1532" s="7" t="s">
        <v>3490</v>
      </c>
      <c r="E1532" s="7" t="s">
        <v>1819</v>
      </c>
      <c r="F1532" s="7" t="s">
        <v>2936</v>
      </c>
      <c r="G1532" s="7" t="s">
        <v>3491</v>
      </c>
      <c r="H1532" s="7"/>
      <c r="I1532" s="7"/>
      <c r="J1532" s="7" t="s">
        <v>2148</v>
      </c>
      <c r="K1532" s="7" t="s">
        <v>1815</v>
      </c>
      <c r="L1532" s="7" t="s">
        <v>2472</v>
      </c>
      <c r="M1532" s="7" t="s">
        <v>3</v>
      </c>
      <c r="N1532" s="7" t="s">
        <v>1825</v>
      </c>
      <c r="O1532" s="7" t="s">
        <v>1703</v>
      </c>
      <c r="P1532" s="7" t="s">
        <v>1703</v>
      </c>
      <c r="Q1532" s="9">
        <v>1584157</v>
      </c>
      <c r="R1532" s="9">
        <v>0</v>
      </c>
      <c r="S1532" s="9">
        <f t="shared" si="53"/>
        <v>1584157</v>
      </c>
      <c r="T1532" s="7" t="s">
        <v>53</v>
      </c>
      <c r="U1532" s="7"/>
      <c r="V1532" s="7"/>
      <c r="W1532" s="9">
        <v>1</v>
      </c>
      <c r="X1532" s="7"/>
      <c r="Y1532" s="4"/>
      <c r="Z1532" s="4" t="str">
        <f t="shared" si="54"/>
        <v>301000-301050 LAND &amp; SITE DEVELOPMENT</v>
      </c>
      <c r="AA1532" s="36" t="str">
        <f t="shared" si="55"/>
        <v>371056 MINERAL EXPLORATION &amp; DEVELOPMENT-TARAWANDA</v>
      </c>
      <c r="AB1532" s="4"/>
      <c r="AC1532" s="22">
        <f t="shared" si="56"/>
        <v>621.23803921568629</v>
      </c>
    </row>
    <row r="1533" spans="1:29" hidden="1" x14ac:dyDescent="0.35">
      <c r="A1533" s="7">
        <v>4210</v>
      </c>
      <c r="B1533" s="24">
        <v>45994.265798611108</v>
      </c>
      <c r="C1533" s="24">
        <v>45994</v>
      </c>
      <c r="D1533" s="7" t="s">
        <v>3492</v>
      </c>
      <c r="E1533" s="7" t="s">
        <v>1819</v>
      </c>
      <c r="F1533" s="7" t="s">
        <v>2537</v>
      </c>
      <c r="G1533" s="7" t="s">
        <v>3491</v>
      </c>
      <c r="H1533" s="7"/>
      <c r="I1533" s="7"/>
      <c r="J1533" s="7" t="s">
        <v>2148</v>
      </c>
      <c r="K1533" s="7" t="s">
        <v>1815</v>
      </c>
      <c r="L1533" s="7" t="s">
        <v>2472</v>
      </c>
      <c r="M1533" s="7" t="s">
        <v>3</v>
      </c>
      <c r="N1533" s="7" t="s">
        <v>1825</v>
      </c>
      <c r="O1533" s="7" t="s">
        <v>1703</v>
      </c>
      <c r="P1533" s="7" t="s">
        <v>1703</v>
      </c>
      <c r="Q1533" s="9">
        <v>2424912</v>
      </c>
      <c r="R1533" s="9">
        <v>0</v>
      </c>
      <c r="S1533" s="9">
        <f t="shared" si="53"/>
        <v>2424912</v>
      </c>
      <c r="T1533" s="7" t="s">
        <v>53</v>
      </c>
      <c r="U1533" s="7"/>
      <c r="V1533" s="7"/>
      <c r="W1533" s="9">
        <v>1</v>
      </c>
      <c r="X1533" s="7"/>
      <c r="Y1533" s="4"/>
      <c r="Z1533" s="4" t="str">
        <f t="shared" si="54"/>
        <v>301000-301050 LAND &amp; SITE DEVELOPMENT</v>
      </c>
      <c r="AA1533" s="36" t="str">
        <f t="shared" si="55"/>
        <v>371056 MINERAL EXPLORATION &amp; DEVELOPMENT-TARAWANDA</v>
      </c>
      <c r="AB1533" s="4"/>
      <c r="AC1533" s="22">
        <f t="shared" si="56"/>
        <v>950.94588235294123</v>
      </c>
    </row>
    <row r="1534" spans="1:29" hidden="1" x14ac:dyDescent="0.35">
      <c r="A1534" s="7">
        <v>4212</v>
      </c>
      <c r="B1534" s="24">
        <v>45994.263611111113</v>
      </c>
      <c r="C1534" s="24">
        <v>45994</v>
      </c>
      <c r="D1534" s="7" t="s">
        <v>3493</v>
      </c>
      <c r="E1534" s="7" t="s">
        <v>1819</v>
      </c>
      <c r="F1534" s="7" t="s">
        <v>2936</v>
      </c>
      <c r="G1534" s="7" t="s">
        <v>3494</v>
      </c>
      <c r="H1534" s="7"/>
      <c r="I1534" s="7"/>
      <c r="J1534" s="7" t="s">
        <v>2148</v>
      </c>
      <c r="K1534" s="7" t="s">
        <v>1815</v>
      </c>
      <c r="L1534" s="7" t="s">
        <v>2472</v>
      </c>
      <c r="M1534" s="7" t="s">
        <v>3</v>
      </c>
      <c r="N1534" s="7" t="s">
        <v>1825</v>
      </c>
      <c r="O1534" s="7" t="s">
        <v>1703</v>
      </c>
      <c r="P1534" s="7" t="s">
        <v>1703</v>
      </c>
      <c r="Q1534" s="9">
        <v>2529784</v>
      </c>
      <c r="R1534" s="9">
        <v>0</v>
      </c>
      <c r="S1534" s="9">
        <f t="shared" si="53"/>
        <v>2529784</v>
      </c>
      <c r="T1534" s="7" t="s">
        <v>53</v>
      </c>
      <c r="U1534" s="7"/>
      <c r="V1534" s="7"/>
      <c r="W1534" s="9">
        <v>1</v>
      </c>
      <c r="X1534" s="7"/>
      <c r="Y1534" s="4"/>
      <c r="Z1534" s="4" t="str">
        <f t="shared" si="54"/>
        <v>301000-301050 LAND &amp; SITE DEVELOPMENT</v>
      </c>
      <c r="AA1534" s="36" t="str">
        <f t="shared" si="55"/>
        <v>371056 MINERAL EXPLORATION &amp; DEVELOPMENT-TARAWANDA</v>
      </c>
      <c r="AB1534" s="4"/>
      <c r="AC1534" s="22">
        <f t="shared" si="56"/>
        <v>992.07215686274515</v>
      </c>
    </row>
    <row r="1535" spans="1:29" hidden="1" x14ac:dyDescent="0.35">
      <c r="A1535" s="7">
        <v>4214</v>
      </c>
      <c r="B1535" s="24">
        <v>45994.258171296293</v>
      </c>
      <c r="C1535" s="24">
        <v>45994</v>
      </c>
      <c r="D1535" s="7" t="s">
        <v>3495</v>
      </c>
      <c r="E1535" s="7" t="s">
        <v>1819</v>
      </c>
      <c r="F1535" s="7" t="s">
        <v>2936</v>
      </c>
      <c r="G1535" s="7" t="s">
        <v>3496</v>
      </c>
      <c r="H1535" s="7"/>
      <c r="I1535" s="7"/>
      <c r="J1535" s="7" t="s">
        <v>2148</v>
      </c>
      <c r="K1535" s="7" t="s">
        <v>1815</v>
      </c>
      <c r="L1535" s="7" t="s">
        <v>2472</v>
      </c>
      <c r="M1535" s="7" t="s">
        <v>3</v>
      </c>
      <c r="N1535" s="7" t="s">
        <v>1825</v>
      </c>
      <c r="O1535" s="7" t="s">
        <v>1703</v>
      </c>
      <c r="P1535" s="7" t="s">
        <v>1703</v>
      </c>
      <c r="Q1535" s="9">
        <v>3726387</v>
      </c>
      <c r="R1535" s="9">
        <v>0</v>
      </c>
      <c r="S1535" s="9">
        <f t="shared" si="53"/>
        <v>3726387</v>
      </c>
      <c r="T1535" s="7" t="s">
        <v>53</v>
      </c>
      <c r="U1535" s="7"/>
      <c r="V1535" s="7"/>
      <c r="W1535" s="9">
        <v>1</v>
      </c>
      <c r="X1535" s="7"/>
      <c r="Y1535" s="4"/>
      <c r="Z1535" s="4" t="str">
        <f t="shared" si="54"/>
        <v>301000-301050 LAND &amp; SITE DEVELOPMENT</v>
      </c>
      <c r="AA1535" s="36" t="str">
        <f t="shared" si="55"/>
        <v>371056 MINERAL EXPLORATION &amp; DEVELOPMENT-TARAWANDA</v>
      </c>
      <c r="AB1535" s="4"/>
      <c r="AC1535" s="22">
        <f t="shared" si="56"/>
        <v>1461.3282352941176</v>
      </c>
    </row>
    <row r="1536" spans="1:29" hidden="1" x14ac:dyDescent="0.35">
      <c r="A1536" s="7">
        <v>4216</v>
      </c>
      <c r="B1536" s="24">
        <v>45994.256261574075</v>
      </c>
      <c r="C1536" s="24">
        <v>45994</v>
      </c>
      <c r="D1536" s="7" t="s">
        <v>3497</v>
      </c>
      <c r="E1536" s="7" t="s">
        <v>1819</v>
      </c>
      <c r="F1536" s="7" t="s">
        <v>2936</v>
      </c>
      <c r="G1536" s="7" t="s">
        <v>3498</v>
      </c>
      <c r="H1536" s="7"/>
      <c r="I1536" s="7"/>
      <c r="J1536" s="7" t="s">
        <v>2148</v>
      </c>
      <c r="K1536" s="7" t="s">
        <v>1815</v>
      </c>
      <c r="L1536" s="7" t="s">
        <v>2472</v>
      </c>
      <c r="M1536" s="7" t="s">
        <v>3</v>
      </c>
      <c r="N1536" s="7" t="s">
        <v>1825</v>
      </c>
      <c r="O1536" s="7" t="s">
        <v>1703</v>
      </c>
      <c r="P1536" s="7" t="s">
        <v>1703</v>
      </c>
      <c r="Q1536" s="9">
        <v>4683209</v>
      </c>
      <c r="R1536" s="9">
        <v>0</v>
      </c>
      <c r="S1536" s="9">
        <f t="shared" si="53"/>
        <v>4683209</v>
      </c>
      <c r="T1536" s="7" t="s">
        <v>53</v>
      </c>
      <c r="U1536" s="7"/>
      <c r="V1536" s="7"/>
      <c r="W1536" s="9">
        <v>1</v>
      </c>
      <c r="X1536" s="7"/>
      <c r="Y1536" s="4"/>
      <c r="Z1536" s="4" t="str">
        <f t="shared" si="54"/>
        <v>301000-301050 LAND &amp; SITE DEVELOPMENT</v>
      </c>
      <c r="AA1536" s="36" t="str">
        <f t="shared" si="55"/>
        <v>371056 MINERAL EXPLORATION &amp; DEVELOPMENT-TARAWANDA</v>
      </c>
      <c r="AB1536" s="4"/>
      <c r="AC1536" s="22">
        <f t="shared" si="56"/>
        <v>1836.5525490196078</v>
      </c>
    </row>
    <row r="1537" spans="1:29" hidden="1" x14ac:dyDescent="0.35">
      <c r="A1537" s="7">
        <v>6273</v>
      </c>
      <c r="B1537" s="24">
        <v>45995.343287037038</v>
      </c>
      <c r="C1537" s="24">
        <v>45995</v>
      </c>
      <c r="D1537" s="7" t="s">
        <v>3499</v>
      </c>
      <c r="E1537" s="7" t="s">
        <v>1331</v>
      </c>
      <c r="F1537" s="7" t="s">
        <v>3101</v>
      </c>
      <c r="G1537" s="7" t="s">
        <v>3500</v>
      </c>
      <c r="H1537" s="7" t="s">
        <v>3103</v>
      </c>
      <c r="I1537" s="7" t="s">
        <v>3104</v>
      </c>
      <c r="J1537" s="7" t="s">
        <v>1816</v>
      </c>
      <c r="K1537" s="7" t="s">
        <v>1815</v>
      </c>
      <c r="L1537" s="7" t="s">
        <v>1814</v>
      </c>
      <c r="M1537" s="7" t="s">
        <v>28</v>
      </c>
      <c r="N1537" s="7" t="s">
        <v>1825</v>
      </c>
      <c r="O1537" s="7" t="s">
        <v>1703</v>
      </c>
      <c r="P1537" s="7" t="s">
        <v>1703</v>
      </c>
      <c r="Q1537" s="9">
        <v>300000</v>
      </c>
      <c r="R1537" s="9">
        <v>0</v>
      </c>
      <c r="S1537" s="9">
        <f t="shared" si="53"/>
        <v>300000</v>
      </c>
      <c r="T1537" s="7" t="s">
        <v>53</v>
      </c>
      <c r="U1537" s="7"/>
      <c r="V1537" s="7"/>
      <c r="W1537" s="9">
        <v>1</v>
      </c>
      <c r="X1537" s="7"/>
      <c r="Y1537" s="4"/>
      <c r="Z1537" s="4" t="str">
        <f t="shared" si="54"/>
        <v>371000-371500 CAPITAL WORK IN PROGRESS</v>
      </c>
      <c r="AA1537" s="36" t="str">
        <f t="shared" si="55"/>
        <v>371056 MINERAL EXPLORATION &amp; DEVELOPMENT-TARAWANDA</v>
      </c>
      <c r="AB1537" s="4"/>
      <c r="AC1537" s="22">
        <f t="shared" si="56"/>
        <v>117.64705882352941</v>
      </c>
    </row>
    <row r="1538" spans="1:29" x14ac:dyDescent="0.35">
      <c r="A1538" s="7">
        <v>13113</v>
      </c>
      <c r="B1538" s="24">
        <v>45999.468865740739</v>
      </c>
      <c r="C1538" s="24">
        <v>45999</v>
      </c>
      <c r="D1538" s="7" t="s">
        <v>3501</v>
      </c>
      <c r="E1538" s="7" t="s">
        <v>1331</v>
      </c>
      <c r="F1538" s="7" t="s">
        <v>1499</v>
      </c>
      <c r="G1538" s="7" t="s">
        <v>3502</v>
      </c>
      <c r="H1538" s="7" t="s">
        <v>1497</v>
      </c>
      <c r="I1538" s="7" t="s">
        <v>1496</v>
      </c>
      <c r="J1538" s="7" t="s">
        <v>1816</v>
      </c>
      <c r="K1538" s="7" t="s">
        <v>1815</v>
      </c>
      <c r="L1538" s="7" t="s">
        <v>1915</v>
      </c>
      <c r="M1538" s="7" t="s">
        <v>20</v>
      </c>
      <c r="N1538" s="7" t="s">
        <v>1324</v>
      </c>
      <c r="O1538" s="7" t="s">
        <v>68</v>
      </c>
      <c r="P1538" s="7" t="s">
        <v>68</v>
      </c>
      <c r="Q1538" s="9">
        <v>2560560</v>
      </c>
      <c r="R1538" s="9">
        <v>0</v>
      </c>
      <c r="S1538" s="9">
        <f t="shared" si="53"/>
        <v>2560560</v>
      </c>
      <c r="T1538" s="7" t="s">
        <v>2635</v>
      </c>
      <c r="U1538" s="7"/>
      <c r="V1538" s="7"/>
      <c r="W1538" s="9">
        <v>1</v>
      </c>
      <c r="X1538" s="7"/>
      <c r="Y1538" s="4"/>
      <c r="Z1538" s="4" t="str">
        <f t="shared" si="54"/>
        <v>371000-371500 CAPITAL WORK IN PROGRESS</v>
      </c>
      <c r="AA1538" s="36" t="str">
        <f t="shared" si="55"/>
        <v>371030 CWIP-PRE OPERATIVE EXPENSE</v>
      </c>
      <c r="AB1538" s="4" t="str">
        <f t="shared" ref="AB1538:AB1541" si="57">_xlfn.XLOOKUP(AA1538,$AA$3:$AA$1492,$AB$3:$AB$1492)</f>
        <v>2200 TPD Commissioning</v>
      </c>
      <c r="AC1538" s="22">
        <f t="shared" si="56"/>
        <v>1004.1411764705882</v>
      </c>
    </row>
    <row r="1539" spans="1:29" x14ac:dyDescent="0.35">
      <c r="A1539" s="7">
        <v>13115</v>
      </c>
      <c r="B1539" s="24">
        <v>45999.458518518521</v>
      </c>
      <c r="C1539" s="24">
        <v>45999</v>
      </c>
      <c r="D1539" s="7" t="s">
        <v>3503</v>
      </c>
      <c r="E1539" s="7" t="s">
        <v>1331</v>
      </c>
      <c r="F1539" s="7" t="s">
        <v>1499</v>
      </c>
      <c r="G1539" s="7" t="s">
        <v>3504</v>
      </c>
      <c r="H1539" s="7" t="s">
        <v>1497</v>
      </c>
      <c r="I1539" s="7" t="s">
        <v>1496</v>
      </c>
      <c r="J1539" s="7" t="s">
        <v>1816</v>
      </c>
      <c r="K1539" s="7" t="s">
        <v>1815</v>
      </c>
      <c r="L1539" s="7" t="s">
        <v>1915</v>
      </c>
      <c r="M1539" s="7" t="s">
        <v>20</v>
      </c>
      <c r="N1539" s="7" t="s">
        <v>1324</v>
      </c>
      <c r="O1539" s="7" t="s">
        <v>68</v>
      </c>
      <c r="P1539" s="7" t="s">
        <v>68</v>
      </c>
      <c r="Q1539" s="9">
        <v>5831430.2400000002</v>
      </c>
      <c r="R1539" s="9">
        <v>0</v>
      </c>
      <c r="S1539" s="9">
        <f t="shared" ref="S1539:S1541" si="58">+Q1539-R1539</f>
        <v>5831430.2400000002</v>
      </c>
      <c r="T1539" s="7" t="s">
        <v>2635</v>
      </c>
      <c r="U1539" s="7"/>
      <c r="V1539" s="7"/>
      <c r="W1539" s="9">
        <v>1</v>
      </c>
      <c r="X1539" s="7"/>
      <c r="Y1539" s="4"/>
      <c r="Z1539" s="4" t="str">
        <f t="shared" si="54"/>
        <v>371000-371500 CAPITAL WORK IN PROGRESS</v>
      </c>
      <c r="AA1539" s="36" t="str">
        <f t="shared" si="55"/>
        <v>371030 CWIP-PRE OPERATIVE EXPENSE</v>
      </c>
      <c r="AB1539" s="4" t="str">
        <f t="shared" si="57"/>
        <v>2200 TPD Commissioning</v>
      </c>
      <c r="AC1539" s="22">
        <f t="shared" si="56"/>
        <v>2286.8353882352944</v>
      </c>
    </row>
    <row r="1540" spans="1:29" x14ac:dyDescent="0.35">
      <c r="A1540" s="7">
        <v>13127</v>
      </c>
      <c r="B1540" s="24">
        <v>45999.384189814817</v>
      </c>
      <c r="C1540" s="24">
        <v>45999</v>
      </c>
      <c r="D1540" s="7" t="s">
        <v>3505</v>
      </c>
      <c r="E1540" s="7" t="s">
        <v>1331</v>
      </c>
      <c r="F1540" s="7" t="s">
        <v>1499</v>
      </c>
      <c r="G1540" s="7" t="s">
        <v>3506</v>
      </c>
      <c r="H1540" s="7" t="s">
        <v>1497</v>
      </c>
      <c r="I1540" s="7" t="s">
        <v>1496</v>
      </c>
      <c r="J1540" s="7" t="s">
        <v>1816</v>
      </c>
      <c r="K1540" s="7" t="s">
        <v>1815</v>
      </c>
      <c r="L1540" s="7" t="s">
        <v>1915</v>
      </c>
      <c r="M1540" s="7" t="s">
        <v>20</v>
      </c>
      <c r="N1540" s="7" t="s">
        <v>1324</v>
      </c>
      <c r="O1540" s="7" t="s">
        <v>68</v>
      </c>
      <c r="P1540" s="7" t="s">
        <v>68</v>
      </c>
      <c r="Q1540" s="9">
        <v>3954975.6</v>
      </c>
      <c r="R1540" s="9">
        <v>0</v>
      </c>
      <c r="S1540" s="9">
        <f t="shared" si="58"/>
        <v>3954975.6</v>
      </c>
      <c r="T1540" s="7" t="s">
        <v>2635</v>
      </c>
      <c r="U1540" s="7"/>
      <c r="V1540" s="7"/>
      <c r="W1540" s="9">
        <v>1</v>
      </c>
      <c r="X1540" s="7"/>
      <c r="Y1540" s="4"/>
      <c r="Z1540" s="4" t="str">
        <f t="shared" si="54"/>
        <v>371000-371500 CAPITAL WORK IN PROGRESS</v>
      </c>
      <c r="AA1540" s="36" t="str">
        <f t="shared" si="55"/>
        <v>371030 CWIP-PRE OPERATIVE EXPENSE</v>
      </c>
      <c r="AB1540" s="4" t="str">
        <f t="shared" si="57"/>
        <v>2200 TPD Commissioning</v>
      </c>
      <c r="AC1540" s="22">
        <f t="shared" si="56"/>
        <v>1550.9708235294117</v>
      </c>
    </row>
    <row r="1541" spans="1:29" x14ac:dyDescent="0.35">
      <c r="A1541" s="7">
        <v>13810</v>
      </c>
      <c r="B1541" s="24">
        <v>45999.461759259262</v>
      </c>
      <c r="C1541" s="24">
        <v>45999</v>
      </c>
      <c r="D1541" s="7" t="s">
        <v>3507</v>
      </c>
      <c r="E1541" s="7" t="s">
        <v>1331</v>
      </c>
      <c r="F1541" s="7" t="s">
        <v>3508</v>
      </c>
      <c r="G1541" s="7" t="s">
        <v>3509</v>
      </c>
      <c r="H1541" s="7" t="s">
        <v>1497</v>
      </c>
      <c r="I1541" s="7" t="s">
        <v>1496</v>
      </c>
      <c r="J1541" s="7" t="s">
        <v>1816</v>
      </c>
      <c r="K1541" s="7" t="s">
        <v>1815</v>
      </c>
      <c r="L1541" s="7" t="s">
        <v>1915</v>
      </c>
      <c r="M1541" s="7" t="s">
        <v>20</v>
      </c>
      <c r="N1541" s="7" t="s">
        <v>1324</v>
      </c>
      <c r="O1541" s="7" t="s">
        <v>68</v>
      </c>
      <c r="P1541" s="7" t="s">
        <v>68</v>
      </c>
      <c r="Q1541" s="9">
        <v>0</v>
      </c>
      <c r="R1541" s="9">
        <v>5722470.2400000002</v>
      </c>
      <c r="S1541" s="9">
        <f t="shared" si="58"/>
        <v>-5722470.2400000002</v>
      </c>
      <c r="T1541" s="7" t="s">
        <v>2635</v>
      </c>
      <c r="U1541" s="7"/>
      <c r="V1541" s="7"/>
      <c r="W1541" s="9">
        <v>1</v>
      </c>
      <c r="X1541" s="7"/>
      <c r="Y1541" s="4"/>
      <c r="Z1541" s="4" t="str">
        <f t="shared" si="54"/>
        <v>371000-371500 CAPITAL WORK IN PROGRESS</v>
      </c>
      <c r="AA1541" s="36" t="str">
        <f t="shared" si="55"/>
        <v>371030 CWIP-PRE OPERATIVE EXPENSE</v>
      </c>
      <c r="AB1541" s="4" t="str">
        <f t="shared" si="57"/>
        <v>2200 TPD Commissioning</v>
      </c>
      <c r="AC1541" s="22">
        <f t="shared" si="56"/>
        <v>-2244.1059764705883</v>
      </c>
    </row>
    <row r="1542" spans="1:29" hidden="1" x14ac:dyDescent="0.35">
      <c r="A1542" s="7">
        <v>15230</v>
      </c>
      <c r="B1542" s="24">
        <v>46001.263148148151</v>
      </c>
      <c r="C1542" s="24">
        <v>46001</v>
      </c>
      <c r="D1542" s="7" t="s">
        <v>3510</v>
      </c>
      <c r="E1542" s="7" t="s">
        <v>1331</v>
      </c>
      <c r="F1542" s="7" t="s">
        <v>3511</v>
      </c>
      <c r="G1542" s="7" t="s">
        <v>3512</v>
      </c>
      <c r="H1542" s="7" t="s">
        <v>3513</v>
      </c>
      <c r="I1542" s="7" t="s">
        <v>3514</v>
      </c>
      <c r="J1542" s="7" t="s">
        <v>1816</v>
      </c>
      <c r="K1542" s="7" t="s">
        <v>1815</v>
      </c>
      <c r="L1542" s="7" t="s">
        <v>1814</v>
      </c>
      <c r="M1542" s="7" t="s">
        <v>28</v>
      </c>
      <c r="N1542" s="7" t="s">
        <v>1825</v>
      </c>
      <c r="O1542" s="7" t="s">
        <v>1703</v>
      </c>
      <c r="P1542" s="7" t="s">
        <v>1703</v>
      </c>
      <c r="Q1542" s="9">
        <v>24500</v>
      </c>
      <c r="R1542" s="9">
        <v>0</v>
      </c>
      <c r="S1542" s="9">
        <f t="shared" ref="S1542:S1602" si="59">+Q1542-R1542</f>
        <v>24500</v>
      </c>
      <c r="T1542" s="7" t="s">
        <v>53</v>
      </c>
      <c r="U1542" s="7"/>
      <c r="V1542" s="7"/>
      <c r="W1542" s="9">
        <v>1</v>
      </c>
      <c r="X1542" s="7"/>
      <c r="Y1542" s="4"/>
      <c r="Z1542" s="4" t="str">
        <f t="shared" si="54"/>
        <v>371000-371500 CAPITAL WORK IN PROGRESS</v>
      </c>
      <c r="AA1542" s="36" t="str">
        <f t="shared" si="55"/>
        <v>371056 MINERAL EXPLORATION &amp; DEVELOPMENT-TARAWANDA</v>
      </c>
      <c r="AB1542" s="4"/>
      <c r="AC1542" s="22">
        <f t="shared" si="56"/>
        <v>9.6078431372549016</v>
      </c>
    </row>
    <row r="1543" spans="1:29" hidden="1" x14ac:dyDescent="0.35">
      <c r="A1543" s="7">
        <v>15234</v>
      </c>
      <c r="B1543" s="24">
        <v>46001.260625000003</v>
      </c>
      <c r="C1543" s="24">
        <v>46001</v>
      </c>
      <c r="D1543" s="7" t="s">
        <v>3515</v>
      </c>
      <c r="E1543" s="7" t="s">
        <v>1331</v>
      </c>
      <c r="F1543" s="7" t="s">
        <v>3516</v>
      </c>
      <c r="G1543" s="7" t="s">
        <v>3517</v>
      </c>
      <c r="H1543" s="7" t="s">
        <v>3518</v>
      </c>
      <c r="I1543" s="7" t="s">
        <v>3519</v>
      </c>
      <c r="J1543" s="7" t="s">
        <v>1816</v>
      </c>
      <c r="K1543" s="7" t="s">
        <v>1815</v>
      </c>
      <c r="L1543" s="7" t="s">
        <v>1814</v>
      </c>
      <c r="M1543" s="7" t="s">
        <v>28</v>
      </c>
      <c r="N1543" s="7" t="s">
        <v>1825</v>
      </c>
      <c r="O1543" s="7" t="s">
        <v>1703</v>
      </c>
      <c r="P1543" s="7" t="s">
        <v>1703</v>
      </c>
      <c r="Q1543" s="9">
        <v>300000</v>
      </c>
      <c r="R1543" s="9">
        <v>0</v>
      </c>
      <c r="S1543" s="9">
        <f t="shared" si="59"/>
        <v>300000</v>
      </c>
      <c r="T1543" s="7" t="s">
        <v>53</v>
      </c>
      <c r="U1543" s="7"/>
      <c r="V1543" s="7"/>
      <c r="W1543" s="9">
        <v>1</v>
      </c>
      <c r="X1543" s="7"/>
      <c r="Y1543" s="4"/>
      <c r="Z1543" s="4" t="str">
        <f t="shared" si="54"/>
        <v>371000-371500 CAPITAL WORK IN PROGRESS</v>
      </c>
      <c r="AA1543" s="36" t="str">
        <f t="shared" si="55"/>
        <v>371056 MINERAL EXPLORATION &amp; DEVELOPMENT-TARAWANDA</v>
      </c>
      <c r="AB1543" s="4"/>
      <c r="AC1543" s="22">
        <f t="shared" si="56"/>
        <v>117.64705882352941</v>
      </c>
    </row>
    <row r="1544" spans="1:29" hidden="1" x14ac:dyDescent="0.35">
      <c r="A1544" s="7">
        <v>34140</v>
      </c>
      <c r="B1544" s="24">
        <v>46010.579918981479</v>
      </c>
      <c r="C1544" s="24">
        <v>46010</v>
      </c>
      <c r="D1544" s="7" t="s">
        <v>3520</v>
      </c>
      <c r="E1544" s="7" t="s">
        <v>1819</v>
      </c>
      <c r="F1544" s="7" t="s">
        <v>3521</v>
      </c>
      <c r="G1544" s="7" t="s">
        <v>3522</v>
      </c>
      <c r="H1544" s="7"/>
      <c r="I1544" s="7"/>
      <c r="J1544" s="7" t="s">
        <v>1816</v>
      </c>
      <c r="K1544" s="7" t="s">
        <v>1815</v>
      </c>
      <c r="L1544" s="7" t="s">
        <v>1814</v>
      </c>
      <c r="M1544" s="7" t="s">
        <v>28</v>
      </c>
      <c r="N1544" s="7" t="s">
        <v>1825</v>
      </c>
      <c r="O1544" s="7" t="s">
        <v>1704</v>
      </c>
      <c r="P1544" s="7" t="s">
        <v>1703</v>
      </c>
      <c r="Q1544" s="9">
        <v>816644</v>
      </c>
      <c r="R1544" s="9">
        <v>0</v>
      </c>
      <c r="S1544" s="9">
        <f t="shared" si="59"/>
        <v>816644</v>
      </c>
      <c r="T1544" s="7" t="s">
        <v>710</v>
      </c>
      <c r="U1544" s="7"/>
      <c r="V1544" s="7"/>
      <c r="W1544" s="9">
        <v>1</v>
      </c>
      <c r="X1544" s="7"/>
      <c r="Y1544" s="4"/>
      <c r="Z1544" s="4" t="str">
        <f t="shared" si="54"/>
        <v>371000-371500 CAPITAL WORK IN PROGRESS</v>
      </c>
      <c r="AA1544" s="36" t="str">
        <f t="shared" si="55"/>
        <v>371056 MINERAL EXPLORATION &amp; DEVELOPMENT-TARAWANDA</v>
      </c>
      <c r="AB1544" s="4"/>
      <c r="AC1544" s="22">
        <f t="shared" si="56"/>
        <v>320.25254901960784</v>
      </c>
    </row>
    <row r="1545" spans="1:29" hidden="1" x14ac:dyDescent="0.35">
      <c r="A1545" s="7">
        <v>34148</v>
      </c>
      <c r="B1545" s="24">
        <v>46010.557222222225</v>
      </c>
      <c r="C1545" s="24">
        <v>46010</v>
      </c>
      <c r="D1545" s="7" t="s">
        <v>3523</v>
      </c>
      <c r="E1545" s="7" t="s">
        <v>1819</v>
      </c>
      <c r="F1545" s="7" t="s">
        <v>2236</v>
      </c>
      <c r="G1545" s="7" t="s">
        <v>3524</v>
      </c>
      <c r="H1545" s="7"/>
      <c r="I1545" s="7"/>
      <c r="J1545" s="7" t="s">
        <v>2148</v>
      </c>
      <c r="K1545" s="7" t="s">
        <v>1815</v>
      </c>
      <c r="L1545" s="7" t="s">
        <v>2472</v>
      </c>
      <c r="M1545" s="7" t="s">
        <v>3</v>
      </c>
      <c r="N1545" s="7" t="s">
        <v>1825</v>
      </c>
      <c r="O1545" s="7" t="s">
        <v>1704</v>
      </c>
      <c r="P1545" s="7" t="s">
        <v>1703</v>
      </c>
      <c r="Q1545" s="9">
        <v>1390162</v>
      </c>
      <c r="R1545" s="9">
        <v>0</v>
      </c>
      <c r="S1545" s="9">
        <f t="shared" si="59"/>
        <v>1390162</v>
      </c>
      <c r="T1545" s="7" t="s">
        <v>53</v>
      </c>
      <c r="U1545" s="7"/>
      <c r="V1545" s="7"/>
      <c r="W1545" s="9">
        <v>1</v>
      </c>
      <c r="X1545" s="7"/>
      <c r="Y1545" s="4"/>
      <c r="Z1545" s="4" t="str">
        <f t="shared" si="54"/>
        <v>301000-301050 LAND &amp; SITE DEVELOPMENT</v>
      </c>
      <c r="AA1545" s="36" t="str">
        <f t="shared" si="55"/>
        <v>371056 MINERAL EXPLORATION &amp; DEVELOPMENT-TARAWANDA</v>
      </c>
      <c r="AB1545" s="4"/>
      <c r="AC1545" s="22">
        <f t="shared" si="56"/>
        <v>545.16156862745095</v>
      </c>
    </row>
    <row r="1546" spans="1:29" hidden="1" x14ac:dyDescent="0.35">
      <c r="A1546" s="7">
        <v>34149</v>
      </c>
      <c r="B1546" s="24">
        <v>46010.546377314815</v>
      </c>
      <c r="C1546" s="24">
        <v>46010</v>
      </c>
      <c r="D1546" s="7" t="s">
        <v>3525</v>
      </c>
      <c r="E1546" s="7" t="s">
        <v>1819</v>
      </c>
      <c r="F1546" s="7" t="s">
        <v>2236</v>
      </c>
      <c r="G1546" s="7" t="s">
        <v>3526</v>
      </c>
      <c r="H1546" s="7"/>
      <c r="I1546" s="7"/>
      <c r="J1546" s="7" t="s">
        <v>2148</v>
      </c>
      <c r="K1546" s="7" t="s">
        <v>1815</v>
      </c>
      <c r="L1546" s="7" t="s">
        <v>2472</v>
      </c>
      <c r="M1546" s="7" t="s">
        <v>3</v>
      </c>
      <c r="N1546" s="7" t="s">
        <v>1825</v>
      </c>
      <c r="O1546" s="7" t="s">
        <v>1704</v>
      </c>
      <c r="P1546" s="7" t="s">
        <v>1703</v>
      </c>
      <c r="Q1546" s="9">
        <v>834970</v>
      </c>
      <c r="R1546" s="9">
        <v>0</v>
      </c>
      <c r="S1546" s="9">
        <f t="shared" si="59"/>
        <v>834970</v>
      </c>
      <c r="T1546" s="7" t="s">
        <v>53</v>
      </c>
      <c r="U1546" s="7"/>
      <c r="V1546" s="7"/>
      <c r="W1546" s="9">
        <v>1</v>
      </c>
      <c r="X1546" s="7"/>
      <c r="Y1546" s="4"/>
      <c r="Z1546" s="4" t="str">
        <f t="shared" si="54"/>
        <v>301000-301050 LAND &amp; SITE DEVELOPMENT</v>
      </c>
      <c r="AA1546" s="36" t="str">
        <f t="shared" si="55"/>
        <v>371056 MINERAL EXPLORATION &amp; DEVELOPMENT-TARAWANDA</v>
      </c>
      <c r="AB1546" s="4"/>
      <c r="AC1546" s="22">
        <f t="shared" si="56"/>
        <v>327.43921568627451</v>
      </c>
    </row>
    <row r="1547" spans="1:29" hidden="1" x14ac:dyDescent="0.35">
      <c r="A1547" s="7">
        <v>34152</v>
      </c>
      <c r="B1547" s="24">
        <v>46010.544803240744</v>
      </c>
      <c r="C1547" s="24">
        <v>46010</v>
      </c>
      <c r="D1547" s="7" t="s">
        <v>3527</v>
      </c>
      <c r="E1547" s="7" t="s">
        <v>1819</v>
      </c>
      <c r="F1547" s="7" t="s">
        <v>2236</v>
      </c>
      <c r="G1547" s="7" t="s">
        <v>3526</v>
      </c>
      <c r="H1547" s="7"/>
      <c r="I1547" s="7"/>
      <c r="J1547" s="7" t="s">
        <v>2148</v>
      </c>
      <c r="K1547" s="7" t="s">
        <v>1815</v>
      </c>
      <c r="L1547" s="7" t="s">
        <v>2472</v>
      </c>
      <c r="M1547" s="7" t="s">
        <v>3</v>
      </c>
      <c r="N1547" s="7" t="s">
        <v>1825</v>
      </c>
      <c r="O1547" s="7" t="s">
        <v>1704</v>
      </c>
      <c r="P1547" s="7" t="s">
        <v>1703</v>
      </c>
      <c r="Q1547" s="9">
        <v>54000</v>
      </c>
      <c r="R1547" s="9">
        <v>0</v>
      </c>
      <c r="S1547" s="9">
        <f t="shared" si="59"/>
        <v>54000</v>
      </c>
      <c r="T1547" s="7" t="s">
        <v>53</v>
      </c>
      <c r="U1547" s="7"/>
      <c r="V1547" s="7"/>
      <c r="W1547" s="9">
        <v>1</v>
      </c>
      <c r="X1547" s="7"/>
      <c r="Y1547" s="4"/>
      <c r="Z1547" s="4" t="str">
        <f t="shared" si="54"/>
        <v>301000-301050 LAND &amp; SITE DEVELOPMENT</v>
      </c>
      <c r="AA1547" s="36" t="str">
        <f t="shared" si="55"/>
        <v>371056 MINERAL EXPLORATION &amp; DEVELOPMENT-TARAWANDA</v>
      </c>
      <c r="AB1547" s="4"/>
      <c r="AC1547" s="22">
        <f t="shared" si="56"/>
        <v>21.176470588235293</v>
      </c>
    </row>
    <row r="1548" spans="1:29" hidden="1" x14ac:dyDescent="0.35">
      <c r="A1548" s="7">
        <v>34153</v>
      </c>
      <c r="B1548" s="24">
        <v>46010.542986111112</v>
      </c>
      <c r="C1548" s="24">
        <v>46010</v>
      </c>
      <c r="D1548" s="7" t="s">
        <v>3528</v>
      </c>
      <c r="E1548" s="7" t="s">
        <v>1819</v>
      </c>
      <c r="F1548" s="7" t="s">
        <v>2236</v>
      </c>
      <c r="G1548" s="7" t="s">
        <v>3529</v>
      </c>
      <c r="H1548" s="7"/>
      <c r="I1548" s="7"/>
      <c r="J1548" s="7" t="s">
        <v>2148</v>
      </c>
      <c r="K1548" s="7" t="s">
        <v>1815</v>
      </c>
      <c r="L1548" s="7" t="s">
        <v>2472</v>
      </c>
      <c r="M1548" s="7" t="s">
        <v>3</v>
      </c>
      <c r="N1548" s="7" t="s">
        <v>1825</v>
      </c>
      <c r="O1548" s="7" t="s">
        <v>1704</v>
      </c>
      <c r="P1548" s="7" t="s">
        <v>1703</v>
      </c>
      <c r="Q1548" s="9">
        <v>1220000</v>
      </c>
      <c r="R1548" s="9">
        <v>0</v>
      </c>
      <c r="S1548" s="9">
        <f t="shared" si="59"/>
        <v>1220000</v>
      </c>
      <c r="T1548" s="7" t="s">
        <v>53</v>
      </c>
      <c r="U1548" s="7"/>
      <c r="V1548" s="7"/>
      <c r="W1548" s="9">
        <v>1</v>
      </c>
      <c r="X1548" s="7"/>
      <c r="Y1548" s="4"/>
      <c r="Z1548" s="4" t="str">
        <f t="shared" si="54"/>
        <v>301000-301050 LAND &amp; SITE DEVELOPMENT</v>
      </c>
      <c r="AA1548" s="36" t="str">
        <f t="shared" si="55"/>
        <v>371056 MINERAL EXPLORATION &amp; DEVELOPMENT-TARAWANDA</v>
      </c>
      <c r="AB1548" s="4"/>
      <c r="AC1548" s="22">
        <f t="shared" si="56"/>
        <v>478.43137254901961</v>
      </c>
    </row>
    <row r="1549" spans="1:29" hidden="1" x14ac:dyDescent="0.35">
      <c r="A1549" s="7">
        <v>34155</v>
      </c>
      <c r="B1549" s="24">
        <v>46010.541215277779</v>
      </c>
      <c r="C1549" s="24">
        <v>46010</v>
      </c>
      <c r="D1549" s="7" t="s">
        <v>3530</v>
      </c>
      <c r="E1549" s="7" t="s">
        <v>1819</v>
      </c>
      <c r="F1549" s="7" t="s">
        <v>2236</v>
      </c>
      <c r="G1549" s="7" t="s">
        <v>3531</v>
      </c>
      <c r="H1549" s="7"/>
      <c r="I1549" s="7"/>
      <c r="J1549" s="7" t="s">
        <v>2148</v>
      </c>
      <c r="K1549" s="7" t="s">
        <v>1815</v>
      </c>
      <c r="L1549" s="7" t="s">
        <v>2472</v>
      </c>
      <c r="M1549" s="7" t="s">
        <v>3</v>
      </c>
      <c r="N1549" s="7" t="s">
        <v>1825</v>
      </c>
      <c r="O1549" s="7" t="s">
        <v>1704</v>
      </c>
      <c r="P1549" s="7" t="s">
        <v>1703</v>
      </c>
      <c r="Q1549" s="9">
        <v>600000</v>
      </c>
      <c r="R1549" s="9">
        <v>0</v>
      </c>
      <c r="S1549" s="9">
        <f t="shared" si="59"/>
        <v>600000</v>
      </c>
      <c r="T1549" s="7" t="s">
        <v>53</v>
      </c>
      <c r="U1549" s="7"/>
      <c r="V1549" s="7"/>
      <c r="W1549" s="9">
        <v>1</v>
      </c>
      <c r="X1549" s="7"/>
      <c r="Y1549" s="4"/>
      <c r="Z1549" s="4" t="str">
        <f t="shared" si="54"/>
        <v>301000-301050 LAND &amp; SITE DEVELOPMENT</v>
      </c>
      <c r="AA1549" s="36" t="str">
        <f t="shared" si="55"/>
        <v>371056 MINERAL EXPLORATION &amp; DEVELOPMENT-TARAWANDA</v>
      </c>
      <c r="AB1549" s="4"/>
      <c r="AC1549" s="22">
        <f t="shared" si="56"/>
        <v>235.29411764705881</v>
      </c>
    </row>
    <row r="1550" spans="1:29" hidden="1" x14ac:dyDescent="0.35">
      <c r="A1550" s="7">
        <v>34167</v>
      </c>
      <c r="B1550" s="24">
        <v>46010.522997685184</v>
      </c>
      <c r="C1550" s="24">
        <v>46010</v>
      </c>
      <c r="D1550" s="7" t="s">
        <v>3532</v>
      </c>
      <c r="E1550" s="7" t="s">
        <v>1819</v>
      </c>
      <c r="F1550" s="7" t="s">
        <v>3533</v>
      </c>
      <c r="G1550" s="7" t="s">
        <v>3534</v>
      </c>
      <c r="H1550" s="7"/>
      <c r="I1550" s="7"/>
      <c r="J1550" s="7" t="s">
        <v>1816</v>
      </c>
      <c r="K1550" s="7" t="s">
        <v>1815</v>
      </c>
      <c r="L1550" s="7" t="s">
        <v>1814</v>
      </c>
      <c r="M1550" s="7" t="s">
        <v>28</v>
      </c>
      <c r="N1550" s="7" t="s">
        <v>1825</v>
      </c>
      <c r="O1550" s="7" t="s">
        <v>1704</v>
      </c>
      <c r="P1550" s="7" t="s">
        <v>1703</v>
      </c>
      <c r="Q1550" s="9">
        <v>300000</v>
      </c>
      <c r="R1550" s="9">
        <v>0</v>
      </c>
      <c r="S1550" s="9">
        <f t="shared" si="59"/>
        <v>300000</v>
      </c>
      <c r="T1550" s="7" t="s">
        <v>53</v>
      </c>
      <c r="U1550" s="7"/>
      <c r="V1550" s="7"/>
      <c r="W1550" s="9">
        <v>1</v>
      </c>
      <c r="X1550" s="7"/>
      <c r="Y1550" s="4"/>
      <c r="Z1550" s="4" t="str">
        <f t="shared" si="54"/>
        <v>371000-371500 CAPITAL WORK IN PROGRESS</v>
      </c>
      <c r="AA1550" s="36" t="str">
        <f t="shared" si="55"/>
        <v>371056 MINERAL EXPLORATION &amp; DEVELOPMENT-TARAWANDA</v>
      </c>
      <c r="AB1550" s="4"/>
      <c r="AC1550" s="22">
        <f t="shared" si="56"/>
        <v>117.64705882352941</v>
      </c>
    </row>
    <row r="1551" spans="1:29" hidden="1" x14ac:dyDescent="0.35">
      <c r="A1551" s="7">
        <v>34169</v>
      </c>
      <c r="B1551" s="24">
        <v>46010.521122685182</v>
      </c>
      <c r="C1551" s="24">
        <v>46010</v>
      </c>
      <c r="D1551" s="7" t="s">
        <v>3535</v>
      </c>
      <c r="E1551" s="7" t="s">
        <v>1819</v>
      </c>
      <c r="F1551" s="7" t="s">
        <v>3533</v>
      </c>
      <c r="G1551" s="7" t="s">
        <v>3536</v>
      </c>
      <c r="H1551" s="7"/>
      <c r="I1551" s="7"/>
      <c r="J1551" s="7" t="s">
        <v>1816</v>
      </c>
      <c r="K1551" s="7" t="s">
        <v>1815</v>
      </c>
      <c r="L1551" s="7" t="s">
        <v>1814</v>
      </c>
      <c r="M1551" s="7" t="s">
        <v>28</v>
      </c>
      <c r="N1551" s="7" t="s">
        <v>1825</v>
      </c>
      <c r="O1551" s="7" t="s">
        <v>1704</v>
      </c>
      <c r="P1551" s="7" t="s">
        <v>1703</v>
      </c>
      <c r="Q1551" s="9">
        <v>200000</v>
      </c>
      <c r="R1551" s="9">
        <v>0</v>
      </c>
      <c r="S1551" s="9">
        <f t="shared" si="59"/>
        <v>200000</v>
      </c>
      <c r="T1551" s="7" t="s">
        <v>53</v>
      </c>
      <c r="U1551" s="7"/>
      <c r="V1551" s="7"/>
      <c r="W1551" s="9">
        <v>1</v>
      </c>
      <c r="X1551" s="7"/>
      <c r="Y1551" s="4"/>
      <c r="Z1551" s="4" t="str">
        <f t="shared" si="54"/>
        <v>371000-371500 CAPITAL WORK IN PROGRESS</v>
      </c>
      <c r="AA1551" s="36" t="str">
        <f t="shared" si="55"/>
        <v>371056 MINERAL EXPLORATION &amp; DEVELOPMENT-TARAWANDA</v>
      </c>
      <c r="AB1551" s="4"/>
      <c r="AC1551" s="22">
        <f t="shared" si="56"/>
        <v>78.431372549019613</v>
      </c>
    </row>
    <row r="1552" spans="1:29" hidden="1" x14ac:dyDescent="0.35">
      <c r="A1552" s="7">
        <v>34170</v>
      </c>
      <c r="B1552" s="24">
        <v>46010.519328703704</v>
      </c>
      <c r="C1552" s="24">
        <v>46010</v>
      </c>
      <c r="D1552" s="7" t="s">
        <v>3537</v>
      </c>
      <c r="E1552" s="7" t="s">
        <v>1819</v>
      </c>
      <c r="F1552" s="7" t="s">
        <v>3533</v>
      </c>
      <c r="G1552" s="7" t="s">
        <v>3538</v>
      </c>
      <c r="H1552" s="7"/>
      <c r="I1552" s="7"/>
      <c r="J1552" s="7" t="s">
        <v>1816</v>
      </c>
      <c r="K1552" s="7" t="s">
        <v>1815</v>
      </c>
      <c r="L1552" s="7" t="s">
        <v>1814</v>
      </c>
      <c r="M1552" s="7" t="s">
        <v>28</v>
      </c>
      <c r="N1552" s="7" t="s">
        <v>1825</v>
      </c>
      <c r="O1552" s="7" t="s">
        <v>1704</v>
      </c>
      <c r="P1552" s="7" t="s">
        <v>1703</v>
      </c>
      <c r="Q1552" s="9">
        <v>200000</v>
      </c>
      <c r="R1552" s="9">
        <v>0</v>
      </c>
      <c r="S1552" s="9">
        <f t="shared" si="59"/>
        <v>200000</v>
      </c>
      <c r="T1552" s="7" t="s">
        <v>53</v>
      </c>
      <c r="U1552" s="7"/>
      <c r="V1552" s="7"/>
      <c r="W1552" s="9">
        <v>1</v>
      </c>
      <c r="X1552" s="7"/>
      <c r="Y1552" s="4"/>
      <c r="Z1552" s="4" t="str">
        <f t="shared" si="54"/>
        <v>371000-371500 CAPITAL WORK IN PROGRESS</v>
      </c>
      <c r="AA1552" s="36" t="str">
        <f t="shared" si="55"/>
        <v>371056 MINERAL EXPLORATION &amp; DEVELOPMENT-TARAWANDA</v>
      </c>
      <c r="AB1552" s="4"/>
      <c r="AC1552" s="22">
        <f t="shared" si="56"/>
        <v>78.431372549019613</v>
      </c>
    </row>
    <row r="1553" spans="1:29" hidden="1" x14ac:dyDescent="0.35">
      <c r="A1553" s="7">
        <v>34173</v>
      </c>
      <c r="B1553" s="24">
        <v>46010.517592592594</v>
      </c>
      <c r="C1553" s="24">
        <v>46010</v>
      </c>
      <c r="D1553" s="7" t="s">
        <v>3539</v>
      </c>
      <c r="E1553" s="7" t="s">
        <v>1819</v>
      </c>
      <c r="F1553" s="7" t="s">
        <v>3533</v>
      </c>
      <c r="G1553" s="7" t="s">
        <v>3540</v>
      </c>
      <c r="H1553" s="7"/>
      <c r="I1553" s="7"/>
      <c r="J1553" s="7" t="s">
        <v>1816</v>
      </c>
      <c r="K1553" s="7" t="s">
        <v>1815</v>
      </c>
      <c r="L1553" s="7" t="s">
        <v>1814</v>
      </c>
      <c r="M1553" s="7" t="s">
        <v>28</v>
      </c>
      <c r="N1553" s="7" t="s">
        <v>1825</v>
      </c>
      <c r="O1553" s="7" t="s">
        <v>1703</v>
      </c>
      <c r="P1553" s="7" t="s">
        <v>1703</v>
      </c>
      <c r="Q1553" s="9">
        <v>130000</v>
      </c>
      <c r="R1553" s="9">
        <v>0</v>
      </c>
      <c r="S1553" s="9">
        <f t="shared" si="59"/>
        <v>130000</v>
      </c>
      <c r="T1553" s="7" t="s">
        <v>53</v>
      </c>
      <c r="U1553" s="7"/>
      <c r="V1553" s="7"/>
      <c r="W1553" s="9">
        <v>1</v>
      </c>
      <c r="X1553" s="7"/>
      <c r="Y1553" s="4"/>
      <c r="Z1553" s="4" t="str">
        <f t="shared" si="54"/>
        <v>371000-371500 CAPITAL WORK IN PROGRESS</v>
      </c>
      <c r="AA1553" s="36" t="str">
        <f t="shared" si="55"/>
        <v>371056 MINERAL EXPLORATION &amp; DEVELOPMENT-TARAWANDA</v>
      </c>
      <c r="AB1553" s="4"/>
      <c r="AC1553" s="22">
        <f t="shared" si="56"/>
        <v>50.980392156862742</v>
      </c>
    </row>
    <row r="1554" spans="1:29" hidden="1" x14ac:dyDescent="0.35">
      <c r="A1554" s="7">
        <v>37913</v>
      </c>
      <c r="B1554" s="24">
        <v>46013.393657407411</v>
      </c>
      <c r="C1554" s="24">
        <v>46013</v>
      </c>
      <c r="D1554" s="7" t="s">
        <v>3541</v>
      </c>
      <c r="E1554" s="7" t="s">
        <v>1331</v>
      </c>
      <c r="F1554" s="7" t="s">
        <v>3542</v>
      </c>
      <c r="G1554" s="7" t="s">
        <v>3543</v>
      </c>
      <c r="H1554" s="7" t="s">
        <v>3513</v>
      </c>
      <c r="I1554" s="7" t="s">
        <v>3514</v>
      </c>
      <c r="J1554" s="7" t="s">
        <v>1816</v>
      </c>
      <c r="K1554" s="7" t="s">
        <v>1815</v>
      </c>
      <c r="L1554" s="7" t="s">
        <v>1814</v>
      </c>
      <c r="M1554" s="7" t="s">
        <v>28</v>
      </c>
      <c r="N1554" s="7" t="s">
        <v>1825</v>
      </c>
      <c r="O1554" s="7" t="s">
        <v>1704</v>
      </c>
      <c r="P1554" s="7" t="s">
        <v>1703</v>
      </c>
      <c r="Q1554" s="9">
        <v>50000</v>
      </c>
      <c r="R1554" s="9">
        <v>0</v>
      </c>
      <c r="S1554" s="9">
        <f t="shared" si="59"/>
        <v>50000</v>
      </c>
      <c r="T1554" s="7" t="s">
        <v>53</v>
      </c>
      <c r="U1554" s="7"/>
      <c r="V1554" s="7"/>
      <c r="W1554" s="9">
        <v>1</v>
      </c>
      <c r="X1554" s="7"/>
      <c r="Y1554" s="4"/>
      <c r="Z1554" s="4" t="str">
        <f t="shared" si="54"/>
        <v>371000-371500 CAPITAL WORK IN PROGRESS</v>
      </c>
      <c r="AA1554" s="36" t="str">
        <f t="shared" si="55"/>
        <v>371056 MINERAL EXPLORATION &amp; DEVELOPMENT-TARAWANDA</v>
      </c>
      <c r="AB1554" s="4"/>
      <c r="AC1554" s="22">
        <f t="shared" si="56"/>
        <v>19.607843137254903</v>
      </c>
    </row>
    <row r="1555" spans="1:29" hidden="1" x14ac:dyDescent="0.35">
      <c r="A1555" s="7">
        <v>37914</v>
      </c>
      <c r="B1555" s="24">
        <v>46013.390150462961</v>
      </c>
      <c r="C1555" s="24">
        <v>46013</v>
      </c>
      <c r="D1555" s="7" t="s">
        <v>3544</v>
      </c>
      <c r="E1555" s="7" t="s">
        <v>1331</v>
      </c>
      <c r="F1555" s="7" t="s">
        <v>3542</v>
      </c>
      <c r="G1555" s="7" t="s">
        <v>3545</v>
      </c>
      <c r="H1555" s="7" t="s">
        <v>3513</v>
      </c>
      <c r="I1555" s="7" t="s">
        <v>3514</v>
      </c>
      <c r="J1555" s="7" t="s">
        <v>1816</v>
      </c>
      <c r="K1555" s="7" t="s">
        <v>1815</v>
      </c>
      <c r="L1555" s="7" t="s">
        <v>1814</v>
      </c>
      <c r="M1555" s="7" t="s">
        <v>28</v>
      </c>
      <c r="N1555" s="7" t="s">
        <v>1825</v>
      </c>
      <c r="O1555" s="7" t="s">
        <v>1704</v>
      </c>
      <c r="P1555" s="7" t="s">
        <v>1703</v>
      </c>
      <c r="Q1555" s="9">
        <v>24550</v>
      </c>
      <c r="R1555" s="9">
        <v>0</v>
      </c>
      <c r="S1555" s="9">
        <f t="shared" si="59"/>
        <v>24550</v>
      </c>
      <c r="T1555" s="7" t="s">
        <v>53</v>
      </c>
      <c r="U1555" s="7"/>
      <c r="V1555" s="7"/>
      <c r="W1555" s="9">
        <v>1</v>
      </c>
      <c r="X1555" s="7"/>
      <c r="Y1555" s="4"/>
      <c r="Z1555" s="4" t="str">
        <f t="shared" si="54"/>
        <v>371000-371500 CAPITAL WORK IN PROGRESS</v>
      </c>
      <c r="AA1555" s="36" t="str">
        <f t="shared" si="55"/>
        <v>371056 MINERAL EXPLORATION &amp; DEVELOPMENT-TARAWANDA</v>
      </c>
      <c r="AB1555" s="4"/>
      <c r="AC1555" s="22">
        <f t="shared" si="56"/>
        <v>9.6274509803921564</v>
      </c>
    </row>
    <row r="1556" spans="1:29" hidden="1" x14ac:dyDescent="0.35">
      <c r="A1556" s="7">
        <v>37916</v>
      </c>
      <c r="B1556" s="24">
        <v>46013.38449074074</v>
      </c>
      <c r="C1556" s="24">
        <v>46013</v>
      </c>
      <c r="D1556" s="7" t="s">
        <v>3546</v>
      </c>
      <c r="E1556" s="7" t="s">
        <v>1331</v>
      </c>
      <c r="F1556" s="7" t="s">
        <v>3511</v>
      </c>
      <c r="G1556" s="7" t="s">
        <v>3547</v>
      </c>
      <c r="H1556" s="7" t="s">
        <v>3513</v>
      </c>
      <c r="I1556" s="7" t="s">
        <v>3514</v>
      </c>
      <c r="J1556" s="7" t="s">
        <v>1816</v>
      </c>
      <c r="K1556" s="7" t="s">
        <v>1815</v>
      </c>
      <c r="L1556" s="7" t="s">
        <v>1814</v>
      </c>
      <c r="M1556" s="7" t="s">
        <v>28</v>
      </c>
      <c r="N1556" s="7" t="s">
        <v>1825</v>
      </c>
      <c r="O1556" s="7" t="s">
        <v>1704</v>
      </c>
      <c r="P1556" s="7" t="s">
        <v>1703</v>
      </c>
      <c r="Q1556" s="9">
        <v>320000</v>
      </c>
      <c r="R1556" s="9">
        <v>0</v>
      </c>
      <c r="S1556" s="9">
        <f t="shared" si="59"/>
        <v>320000</v>
      </c>
      <c r="T1556" s="7" t="s">
        <v>53</v>
      </c>
      <c r="U1556" s="7"/>
      <c r="V1556" s="7"/>
      <c r="W1556" s="9">
        <v>1</v>
      </c>
      <c r="X1556" s="7"/>
      <c r="Y1556" s="4"/>
      <c r="Z1556" s="4" t="str">
        <f t="shared" si="54"/>
        <v>371000-371500 CAPITAL WORK IN PROGRESS</v>
      </c>
      <c r="AA1556" s="36" t="str">
        <f t="shared" si="55"/>
        <v>371056 MINERAL EXPLORATION &amp; DEVELOPMENT-TARAWANDA</v>
      </c>
      <c r="AB1556" s="4"/>
      <c r="AC1556" s="22">
        <f t="shared" si="56"/>
        <v>125.49019607843137</v>
      </c>
    </row>
    <row r="1557" spans="1:29" hidden="1" x14ac:dyDescent="0.35">
      <c r="A1557" s="7">
        <v>40260</v>
      </c>
      <c r="B1557" s="24">
        <v>46014.542326388888</v>
      </c>
      <c r="C1557" s="24">
        <v>46014</v>
      </c>
      <c r="D1557" s="7" t="s">
        <v>3548</v>
      </c>
      <c r="E1557" s="7" t="s">
        <v>1819</v>
      </c>
      <c r="F1557" s="7" t="s">
        <v>3549</v>
      </c>
      <c r="G1557" s="7" t="s">
        <v>3550</v>
      </c>
      <c r="H1557" s="7" t="s">
        <v>1984</v>
      </c>
      <c r="I1557" s="7" t="s">
        <v>1983</v>
      </c>
      <c r="J1557" s="7" t="s">
        <v>1816</v>
      </c>
      <c r="K1557" s="7" t="s">
        <v>1815</v>
      </c>
      <c r="L1557" s="7" t="s">
        <v>1814</v>
      </c>
      <c r="M1557" s="7" t="s">
        <v>28</v>
      </c>
      <c r="N1557" s="7" t="s">
        <v>1825</v>
      </c>
      <c r="O1557" s="7" t="s">
        <v>1704</v>
      </c>
      <c r="P1557" s="7" t="s">
        <v>1703</v>
      </c>
      <c r="Q1557" s="9">
        <v>500000</v>
      </c>
      <c r="R1557" s="9">
        <v>0</v>
      </c>
      <c r="S1557" s="9">
        <f t="shared" si="59"/>
        <v>500000</v>
      </c>
      <c r="T1557" s="7" t="s">
        <v>53</v>
      </c>
      <c r="U1557" s="7"/>
      <c r="V1557" s="7"/>
      <c r="W1557" s="9">
        <v>1</v>
      </c>
      <c r="X1557" s="7"/>
      <c r="Y1557" s="4"/>
      <c r="Z1557" s="4" t="str">
        <f t="shared" si="54"/>
        <v>371000-371500 CAPITAL WORK IN PROGRESS</v>
      </c>
      <c r="AA1557" s="36" t="str">
        <f t="shared" si="55"/>
        <v>371056 MINERAL EXPLORATION &amp; DEVELOPMENT-TARAWANDA</v>
      </c>
      <c r="AB1557" s="4"/>
      <c r="AC1557" s="22">
        <f t="shared" si="56"/>
        <v>196.07843137254903</v>
      </c>
    </row>
    <row r="1558" spans="1:29" hidden="1" x14ac:dyDescent="0.35">
      <c r="A1558" s="7">
        <v>40262</v>
      </c>
      <c r="B1558" s="24">
        <v>46014.542326388888</v>
      </c>
      <c r="C1558" s="24">
        <v>46014</v>
      </c>
      <c r="D1558" s="7" t="s">
        <v>3548</v>
      </c>
      <c r="E1558" s="7" t="s">
        <v>1819</v>
      </c>
      <c r="F1558" s="7" t="s">
        <v>3549</v>
      </c>
      <c r="G1558" s="7" t="s">
        <v>3550</v>
      </c>
      <c r="H1558" s="7" t="s">
        <v>1984</v>
      </c>
      <c r="I1558" s="7" t="s">
        <v>1983</v>
      </c>
      <c r="J1558" s="7" t="s">
        <v>1816</v>
      </c>
      <c r="K1558" s="7" t="s">
        <v>1815</v>
      </c>
      <c r="L1558" s="7" t="s">
        <v>1814</v>
      </c>
      <c r="M1558" s="7" t="s">
        <v>28</v>
      </c>
      <c r="N1558" s="7" t="s">
        <v>1825</v>
      </c>
      <c r="O1558" s="7" t="s">
        <v>1704</v>
      </c>
      <c r="P1558" s="7" t="s">
        <v>1703</v>
      </c>
      <c r="Q1558" s="9">
        <v>500000</v>
      </c>
      <c r="R1558" s="9">
        <v>0</v>
      </c>
      <c r="S1558" s="9">
        <f t="shared" si="59"/>
        <v>500000</v>
      </c>
      <c r="T1558" s="7" t="s">
        <v>53</v>
      </c>
      <c r="U1558" s="7"/>
      <c r="V1558" s="7"/>
      <c r="W1558" s="9">
        <v>1</v>
      </c>
      <c r="X1558" s="7"/>
      <c r="Y1558" s="4"/>
      <c r="Z1558" s="4" t="str">
        <f t="shared" ref="Z1558:Z1621" si="60">_xlfn.XLOOKUP(J1558,$J$3:$J$1492,$Z$3:$Z$1492)</f>
        <v>371000-371500 CAPITAL WORK IN PROGRESS</v>
      </c>
      <c r="AA1558" s="36" t="str">
        <f t="shared" ref="AA1558:AA1621" si="61">_xlfn.XLOOKUP(N1558,$N$3:$N$1492,$AA$3:$AA$1492)</f>
        <v>371056 MINERAL EXPLORATION &amp; DEVELOPMENT-TARAWANDA</v>
      </c>
      <c r="AB1558" s="4"/>
      <c r="AC1558" s="22">
        <f t="shared" si="56"/>
        <v>196.07843137254903</v>
      </c>
    </row>
    <row r="1559" spans="1:29" hidden="1" x14ac:dyDescent="0.35">
      <c r="A1559" s="7">
        <v>40263</v>
      </c>
      <c r="B1559" s="24">
        <v>46014.542326388888</v>
      </c>
      <c r="C1559" s="24">
        <v>46014</v>
      </c>
      <c r="D1559" s="7" t="s">
        <v>3548</v>
      </c>
      <c r="E1559" s="7" t="s">
        <v>1819</v>
      </c>
      <c r="F1559" s="7" t="s">
        <v>3551</v>
      </c>
      <c r="G1559" s="7" t="s">
        <v>3550</v>
      </c>
      <c r="H1559" s="7"/>
      <c r="I1559" s="7"/>
      <c r="J1559" s="7" t="s">
        <v>1816</v>
      </c>
      <c r="K1559" s="7" t="s">
        <v>1815</v>
      </c>
      <c r="L1559" s="7" t="s">
        <v>1814</v>
      </c>
      <c r="M1559" s="7" t="s">
        <v>28</v>
      </c>
      <c r="N1559" s="7" t="s">
        <v>1825</v>
      </c>
      <c r="O1559" s="7" t="s">
        <v>1704</v>
      </c>
      <c r="P1559" s="7" t="s">
        <v>1703</v>
      </c>
      <c r="Q1559" s="9">
        <v>158870</v>
      </c>
      <c r="R1559" s="9">
        <v>0</v>
      </c>
      <c r="S1559" s="9">
        <f t="shared" si="59"/>
        <v>158870</v>
      </c>
      <c r="T1559" s="7" t="s">
        <v>53</v>
      </c>
      <c r="U1559" s="7"/>
      <c r="V1559" s="7"/>
      <c r="W1559" s="9">
        <v>1</v>
      </c>
      <c r="X1559" s="7"/>
      <c r="Y1559" s="4"/>
      <c r="Z1559" s="4" t="str">
        <f t="shared" si="60"/>
        <v>371000-371500 CAPITAL WORK IN PROGRESS</v>
      </c>
      <c r="AA1559" s="36" t="str">
        <f t="shared" si="61"/>
        <v>371056 MINERAL EXPLORATION &amp; DEVELOPMENT-TARAWANDA</v>
      </c>
      <c r="AB1559" s="4"/>
      <c r="AC1559" s="22">
        <f t="shared" si="56"/>
        <v>62.301960784313728</v>
      </c>
    </row>
    <row r="1560" spans="1:29" hidden="1" x14ac:dyDescent="0.35">
      <c r="A1560" s="7">
        <v>40264</v>
      </c>
      <c r="B1560" s="24">
        <v>46014.542326388888</v>
      </c>
      <c r="C1560" s="24">
        <v>46014</v>
      </c>
      <c r="D1560" s="7" t="s">
        <v>3548</v>
      </c>
      <c r="E1560" s="7" t="s">
        <v>1819</v>
      </c>
      <c r="F1560" s="7" t="s">
        <v>3552</v>
      </c>
      <c r="G1560" s="7" t="s">
        <v>3550</v>
      </c>
      <c r="H1560" s="7"/>
      <c r="I1560" s="7"/>
      <c r="J1560" s="7" t="s">
        <v>1816</v>
      </c>
      <c r="K1560" s="7" t="s">
        <v>1815</v>
      </c>
      <c r="L1560" s="7" t="s">
        <v>1814</v>
      </c>
      <c r="M1560" s="7" t="s">
        <v>28</v>
      </c>
      <c r="N1560" s="7" t="s">
        <v>1825</v>
      </c>
      <c r="O1560" s="7" t="s">
        <v>1704</v>
      </c>
      <c r="P1560" s="7" t="s">
        <v>1703</v>
      </c>
      <c r="Q1560" s="9">
        <v>35000</v>
      </c>
      <c r="R1560" s="9">
        <v>0</v>
      </c>
      <c r="S1560" s="9">
        <f t="shared" si="59"/>
        <v>35000</v>
      </c>
      <c r="T1560" s="7" t="s">
        <v>53</v>
      </c>
      <c r="U1560" s="7"/>
      <c r="V1560" s="7"/>
      <c r="W1560" s="9">
        <v>1</v>
      </c>
      <c r="X1560" s="7"/>
      <c r="Y1560" s="4"/>
      <c r="Z1560" s="4" t="str">
        <f t="shared" si="60"/>
        <v>371000-371500 CAPITAL WORK IN PROGRESS</v>
      </c>
      <c r="AA1560" s="36" t="str">
        <f t="shared" si="61"/>
        <v>371056 MINERAL EXPLORATION &amp; DEVELOPMENT-TARAWANDA</v>
      </c>
      <c r="AB1560" s="4"/>
      <c r="AC1560" s="22">
        <f t="shared" si="56"/>
        <v>13.725490196078431</v>
      </c>
    </row>
    <row r="1561" spans="1:29" hidden="1" x14ac:dyDescent="0.35">
      <c r="A1561" s="7">
        <v>40265</v>
      </c>
      <c r="B1561" s="24">
        <v>46014.542326388888</v>
      </c>
      <c r="C1561" s="24">
        <v>46014</v>
      </c>
      <c r="D1561" s="7" t="s">
        <v>3548</v>
      </c>
      <c r="E1561" s="7" t="s">
        <v>1819</v>
      </c>
      <c r="F1561" s="7" t="s">
        <v>3549</v>
      </c>
      <c r="G1561" s="7" t="s">
        <v>3550</v>
      </c>
      <c r="H1561" s="7" t="s">
        <v>1984</v>
      </c>
      <c r="I1561" s="7" t="s">
        <v>1983</v>
      </c>
      <c r="J1561" s="7" t="s">
        <v>1816</v>
      </c>
      <c r="K1561" s="7" t="s">
        <v>1815</v>
      </c>
      <c r="L1561" s="7" t="s">
        <v>1814</v>
      </c>
      <c r="M1561" s="7" t="s">
        <v>28</v>
      </c>
      <c r="N1561" s="7" t="s">
        <v>1825</v>
      </c>
      <c r="O1561" s="7" t="s">
        <v>1704</v>
      </c>
      <c r="P1561" s="7" t="s">
        <v>1703</v>
      </c>
      <c r="Q1561" s="9">
        <v>500000</v>
      </c>
      <c r="R1561" s="9">
        <v>0</v>
      </c>
      <c r="S1561" s="9">
        <f t="shared" si="59"/>
        <v>500000</v>
      </c>
      <c r="T1561" s="7" t="s">
        <v>53</v>
      </c>
      <c r="U1561" s="7"/>
      <c r="V1561" s="7"/>
      <c r="W1561" s="9">
        <v>1</v>
      </c>
      <c r="X1561" s="7"/>
      <c r="Y1561" s="4"/>
      <c r="Z1561" s="4" t="str">
        <f t="shared" si="60"/>
        <v>371000-371500 CAPITAL WORK IN PROGRESS</v>
      </c>
      <c r="AA1561" s="36" t="str">
        <f t="shared" si="61"/>
        <v>371056 MINERAL EXPLORATION &amp; DEVELOPMENT-TARAWANDA</v>
      </c>
      <c r="AB1561" s="4"/>
      <c r="AC1561" s="22">
        <f t="shared" si="56"/>
        <v>196.07843137254903</v>
      </c>
    </row>
    <row r="1562" spans="1:29" hidden="1" x14ac:dyDescent="0.35">
      <c r="A1562" s="7">
        <v>40266</v>
      </c>
      <c r="B1562" s="24">
        <v>46014.542326388888</v>
      </c>
      <c r="C1562" s="24">
        <v>46014</v>
      </c>
      <c r="D1562" s="7" t="s">
        <v>3548</v>
      </c>
      <c r="E1562" s="7" t="s">
        <v>1819</v>
      </c>
      <c r="F1562" s="7" t="s">
        <v>2236</v>
      </c>
      <c r="G1562" s="7" t="s">
        <v>3550</v>
      </c>
      <c r="H1562" s="7"/>
      <c r="I1562" s="7"/>
      <c r="J1562" s="7" t="s">
        <v>2148</v>
      </c>
      <c r="K1562" s="7" t="s">
        <v>1815</v>
      </c>
      <c r="L1562" s="7" t="s">
        <v>2472</v>
      </c>
      <c r="M1562" s="7" t="s">
        <v>3</v>
      </c>
      <c r="N1562" s="7" t="s">
        <v>1825</v>
      </c>
      <c r="O1562" s="7" t="s">
        <v>1704</v>
      </c>
      <c r="P1562" s="7" t="s">
        <v>1703</v>
      </c>
      <c r="Q1562" s="9">
        <v>192000</v>
      </c>
      <c r="R1562" s="9">
        <v>0</v>
      </c>
      <c r="S1562" s="9">
        <f t="shared" si="59"/>
        <v>192000</v>
      </c>
      <c r="T1562" s="7" t="s">
        <v>53</v>
      </c>
      <c r="U1562" s="7"/>
      <c r="V1562" s="7"/>
      <c r="W1562" s="9">
        <v>1</v>
      </c>
      <c r="X1562" s="7"/>
      <c r="Y1562" s="4"/>
      <c r="Z1562" s="4" t="str">
        <f t="shared" si="60"/>
        <v>301000-301050 LAND &amp; SITE DEVELOPMENT</v>
      </c>
      <c r="AA1562" s="36" t="str">
        <f t="shared" si="61"/>
        <v>371056 MINERAL EXPLORATION &amp; DEVELOPMENT-TARAWANDA</v>
      </c>
      <c r="AB1562" s="4"/>
      <c r="AC1562" s="22">
        <f t="shared" si="56"/>
        <v>75.294117647058826</v>
      </c>
    </row>
    <row r="1563" spans="1:29" hidden="1" x14ac:dyDescent="0.35">
      <c r="A1563" s="7">
        <v>40267</v>
      </c>
      <c r="B1563" s="24">
        <v>46014.542326388888</v>
      </c>
      <c r="C1563" s="24">
        <v>46014</v>
      </c>
      <c r="D1563" s="7" t="s">
        <v>3548</v>
      </c>
      <c r="E1563" s="7" t="s">
        <v>1819</v>
      </c>
      <c r="F1563" s="7" t="s">
        <v>3551</v>
      </c>
      <c r="G1563" s="7" t="s">
        <v>3550</v>
      </c>
      <c r="H1563" s="7"/>
      <c r="I1563" s="7"/>
      <c r="J1563" s="7" t="s">
        <v>1816</v>
      </c>
      <c r="K1563" s="7" t="s">
        <v>1815</v>
      </c>
      <c r="L1563" s="7" t="s">
        <v>1814</v>
      </c>
      <c r="M1563" s="7" t="s">
        <v>28</v>
      </c>
      <c r="N1563" s="7" t="s">
        <v>1825</v>
      </c>
      <c r="O1563" s="7" t="s">
        <v>1704</v>
      </c>
      <c r="P1563" s="7" t="s">
        <v>1703</v>
      </c>
      <c r="Q1563" s="9">
        <v>131000</v>
      </c>
      <c r="R1563" s="9">
        <v>0</v>
      </c>
      <c r="S1563" s="9">
        <f t="shared" si="59"/>
        <v>131000</v>
      </c>
      <c r="T1563" s="7" t="s">
        <v>53</v>
      </c>
      <c r="U1563" s="7"/>
      <c r="V1563" s="7"/>
      <c r="W1563" s="9">
        <v>1</v>
      </c>
      <c r="X1563" s="7"/>
      <c r="Y1563" s="4"/>
      <c r="Z1563" s="4" t="str">
        <f t="shared" si="60"/>
        <v>371000-371500 CAPITAL WORK IN PROGRESS</v>
      </c>
      <c r="AA1563" s="36" t="str">
        <f t="shared" si="61"/>
        <v>371056 MINERAL EXPLORATION &amp; DEVELOPMENT-TARAWANDA</v>
      </c>
      <c r="AB1563" s="4"/>
      <c r="AC1563" s="22">
        <f t="shared" si="56"/>
        <v>51.372549019607845</v>
      </c>
    </row>
    <row r="1564" spans="1:29" hidden="1" x14ac:dyDescent="0.35">
      <c r="A1564" s="7">
        <v>40268</v>
      </c>
      <c r="B1564" s="24">
        <v>46014.542326388888</v>
      </c>
      <c r="C1564" s="24">
        <v>46014</v>
      </c>
      <c r="D1564" s="7" t="s">
        <v>3548</v>
      </c>
      <c r="E1564" s="7" t="s">
        <v>1819</v>
      </c>
      <c r="F1564" s="7" t="s">
        <v>3422</v>
      </c>
      <c r="G1564" s="7" t="s">
        <v>3550</v>
      </c>
      <c r="H1564" s="7"/>
      <c r="I1564" s="7"/>
      <c r="J1564" s="7" t="s">
        <v>1816</v>
      </c>
      <c r="K1564" s="7" t="s">
        <v>1815</v>
      </c>
      <c r="L1564" s="7" t="s">
        <v>1814</v>
      </c>
      <c r="M1564" s="7" t="s">
        <v>28</v>
      </c>
      <c r="N1564" s="7" t="s">
        <v>1825</v>
      </c>
      <c r="O1564" s="7" t="s">
        <v>1704</v>
      </c>
      <c r="P1564" s="7" t="s">
        <v>1703</v>
      </c>
      <c r="Q1564" s="9">
        <v>21500</v>
      </c>
      <c r="R1564" s="9">
        <v>0</v>
      </c>
      <c r="S1564" s="9">
        <f t="shared" si="59"/>
        <v>21500</v>
      </c>
      <c r="T1564" s="7" t="s">
        <v>53</v>
      </c>
      <c r="U1564" s="7"/>
      <c r="V1564" s="7"/>
      <c r="W1564" s="9">
        <v>1</v>
      </c>
      <c r="X1564" s="7"/>
      <c r="Y1564" s="4"/>
      <c r="Z1564" s="4" t="str">
        <f t="shared" si="60"/>
        <v>371000-371500 CAPITAL WORK IN PROGRESS</v>
      </c>
      <c r="AA1564" s="36" t="str">
        <f t="shared" si="61"/>
        <v>371056 MINERAL EXPLORATION &amp; DEVELOPMENT-TARAWANDA</v>
      </c>
      <c r="AB1564" s="4"/>
      <c r="AC1564" s="22">
        <f t="shared" si="56"/>
        <v>8.4313725490196081</v>
      </c>
    </row>
    <row r="1565" spans="1:29" hidden="1" x14ac:dyDescent="0.35">
      <c r="A1565" s="7">
        <v>40269</v>
      </c>
      <c r="B1565" s="24">
        <v>46014.542326388888</v>
      </c>
      <c r="C1565" s="24">
        <v>46014</v>
      </c>
      <c r="D1565" s="7" t="s">
        <v>3548</v>
      </c>
      <c r="E1565" s="7" t="s">
        <v>1819</v>
      </c>
      <c r="F1565" s="7" t="s">
        <v>3551</v>
      </c>
      <c r="G1565" s="7" t="s">
        <v>3550</v>
      </c>
      <c r="H1565" s="7"/>
      <c r="I1565" s="7"/>
      <c r="J1565" s="7" t="s">
        <v>1816</v>
      </c>
      <c r="K1565" s="7" t="s">
        <v>1815</v>
      </c>
      <c r="L1565" s="7" t="s">
        <v>1814</v>
      </c>
      <c r="M1565" s="7" t="s">
        <v>28</v>
      </c>
      <c r="N1565" s="7" t="s">
        <v>1825</v>
      </c>
      <c r="O1565" s="7" t="s">
        <v>1704</v>
      </c>
      <c r="P1565" s="7" t="s">
        <v>1703</v>
      </c>
      <c r="Q1565" s="9">
        <v>133000</v>
      </c>
      <c r="R1565" s="9">
        <v>0</v>
      </c>
      <c r="S1565" s="9">
        <f t="shared" si="59"/>
        <v>133000</v>
      </c>
      <c r="T1565" s="7" t="s">
        <v>53</v>
      </c>
      <c r="U1565" s="7"/>
      <c r="V1565" s="7"/>
      <c r="W1565" s="9">
        <v>1</v>
      </c>
      <c r="X1565" s="7"/>
      <c r="Y1565" s="4"/>
      <c r="Z1565" s="4" t="str">
        <f t="shared" si="60"/>
        <v>371000-371500 CAPITAL WORK IN PROGRESS</v>
      </c>
      <c r="AA1565" s="36" t="str">
        <f t="shared" si="61"/>
        <v>371056 MINERAL EXPLORATION &amp; DEVELOPMENT-TARAWANDA</v>
      </c>
      <c r="AB1565" s="4"/>
      <c r="AC1565" s="22">
        <f t="shared" si="56"/>
        <v>52.156862745098039</v>
      </c>
    </row>
    <row r="1566" spans="1:29" hidden="1" x14ac:dyDescent="0.35">
      <c r="A1566" s="7">
        <v>40270</v>
      </c>
      <c r="B1566" s="24">
        <v>46014.542326388888</v>
      </c>
      <c r="C1566" s="24">
        <v>46014</v>
      </c>
      <c r="D1566" s="7" t="s">
        <v>3548</v>
      </c>
      <c r="E1566" s="7" t="s">
        <v>1819</v>
      </c>
      <c r="F1566" s="7" t="s">
        <v>3553</v>
      </c>
      <c r="G1566" s="7" t="s">
        <v>3550</v>
      </c>
      <c r="H1566" s="7" t="s">
        <v>1984</v>
      </c>
      <c r="I1566" s="7" t="s">
        <v>1983</v>
      </c>
      <c r="J1566" s="7" t="s">
        <v>1816</v>
      </c>
      <c r="K1566" s="7" t="s">
        <v>1815</v>
      </c>
      <c r="L1566" s="7" t="s">
        <v>1814</v>
      </c>
      <c r="M1566" s="7" t="s">
        <v>28</v>
      </c>
      <c r="N1566" s="7" t="s">
        <v>1825</v>
      </c>
      <c r="O1566" s="7" t="s">
        <v>105</v>
      </c>
      <c r="P1566" s="7" t="s">
        <v>1775</v>
      </c>
      <c r="Q1566" s="9">
        <v>900000</v>
      </c>
      <c r="R1566" s="9">
        <v>0</v>
      </c>
      <c r="S1566" s="9">
        <f t="shared" si="59"/>
        <v>900000</v>
      </c>
      <c r="T1566" s="7" t="s">
        <v>53</v>
      </c>
      <c r="U1566" s="7"/>
      <c r="V1566" s="7"/>
      <c r="W1566" s="9">
        <v>1</v>
      </c>
      <c r="X1566" s="7"/>
      <c r="Y1566" s="4"/>
      <c r="Z1566" s="4" t="str">
        <f t="shared" si="60"/>
        <v>371000-371500 CAPITAL WORK IN PROGRESS</v>
      </c>
      <c r="AA1566" s="36" t="str">
        <f t="shared" si="61"/>
        <v>371056 MINERAL EXPLORATION &amp; DEVELOPMENT-TARAWANDA</v>
      </c>
      <c r="AB1566" s="4"/>
      <c r="AC1566" s="22">
        <f t="shared" si="56"/>
        <v>352.94117647058823</v>
      </c>
    </row>
    <row r="1567" spans="1:29" hidden="1" x14ac:dyDescent="0.35">
      <c r="A1567" s="7">
        <v>40271</v>
      </c>
      <c r="B1567" s="24">
        <v>46014.542326388888</v>
      </c>
      <c r="C1567" s="24">
        <v>46014</v>
      </c>
      <c r="D1567" s="7" t="s">
        <v>3548</v>
      </c>
      <c r="E1567" s="7" t="s">
        <v>1819</v>
      </c>
      <c r="F1567" s="7" t="s">
        <v>3551</v>
      </c>
      <c r="G1567" s="7" t="s">
        <v>3550</v>
      </c>
      <c r="H1567" s="7"/>
      <c r="I1567" s="7"/>
      <c r="J1567" s="7" t="s">
        <v>1816</v>
      </c>
      <c r="K1567" s="7" t="s">
        <v>1815</v>
      </c>
      <c r="L1567" s="7" t="s">
        <v>1814</v>
      </c>
      <c r="M1567" s="7" t="s">
        <v>28</v>
      </c>
      <c r="N1567" s="7" t="s">
        <v>1825</v>
      </c>
      <c r="O1567" s="7" t="s">
        <v>1704</v>
      </c>
      <c r="P1567" s="7" t="s">
        <v>1703</v>
      </c>
      <c r="Q1567" s="9">
        <v>100000</v>
      </c>
      <c r="R1567" s="9">
        <v>0</v>
      </c>
      <c r="S1567" s="9">
        <f t="shared" si="59"/>
        <v>100000</v>
      </c>
      <c r="T1567" s="7" t="s">
        <v>53</v>
      </c>
      <c r="U1567" s="7"/>
      <c r="V1567" s="7"/>
      <c r="W1567" s="9">
        <v>1</v>
      </c>
      <c r="X1567" s="7"/>
      <c r="Y1567" s="4"/>
      <c r="Z1567" s="4" t="str">
        <f t="shared" si="60"/>
        <v>371000-371500 CAPITAL WORK IN PROGRESS</v>
      </c>
      <c r="AA1567" s="36" t="str">
        <f t="shared" si="61"/>
        <v>371056 MINERAL EXPLORATION &amp; DEVELOPMENT-TARAWANDA</v>
      </c>
      <c r="AB1567" s="4"/>
      <c r="AC1567" s="22">
        <f t="shared" si="56"/>
        <v>39.215686274509807</v>
      </c>
    </row>
    <row r="1568" spans="1:29" hidden="1" x14ac:dyDescent="0.35">
      <c r="A1568" s="7">
        <v>40360</v>
      </c>
      <c r="B1568" s="24">
        <v>46027.337754629632</v>
      </c>
      <c r="C1568" s="24">
        <v>46014</v>
      </c>
      <c r="D1568" s="7" t="s">
        <v>3554</v>
      </c>
      <c r="E1568" s="7" t="s">
        <v>1981</v>
      </c>
      <c r="F1568" s="7" t="s">
        <v>3555</v>
      </c>
      <c r="G1568" s="7" t="s">
        <v>3556</v>
      </c>
      <c r="H1568" s="7"/>
      <c r="I1568" s="7"/>
      <c r="J1568" s="7" t="s">
        <v>1816</v>
      </c>
      <c r="K1568" s="7" t="s">
        <v>1815</v>
      </c>
      <c r="L1568" s="7" t="s">
        <v>1814</v>
      </c>
      <c r="M1568" s="7" t="s">
        <v>28</v>
      </c>
      <c r="N1568" s="7" t="s">
        <v>1813</v>
      </c>
      <c r="O1568" s="7" t="s">
        <v>1704</v>
      </c>
      <c r="P1568" s="7" t="s">
        <v>1743</v>
      </c>
      <c r="Q1568" s="9">
        <v>85000000</v>
      </c>
      <c r="R1568" s="9">
        <v>0</v>
      </c>
      <c r="S1568" s="9">
        <f t="shared" si="59"/>
        <v>85000000</v>
      </c>
      <c r="T1568" s="7" t="s">
        <v>53</v>
      </c>
      <c r="U1568" s="7"/>
      <c r="V1568" s="7"/>
      <c r="W1568" s="9">
        <v>1</v>
      </c>
      <c r="X1568" s="7"/>
      <c r="Y1568" s="4"/>
      <c r="Z1568" s="4" t="str">
        <f t="shared" si="60"/>
        <v>371000-371500 CAPITAL WORK IN PROGRESS</v>
      </c>
      <c r="AA1568" s="36" t="str">
        <f t="shared" si="61"/>
        <v>371056 MINERAL EXPLORATION &amp; DEVELOPMENT-TARAWANDA</v>
      </c>
      <c r="AB1568" s="4"/>
      <c r="AC1568" s="22">
        <f t="shared" si="56"/>
        <v>33333.333333333336</v>
      </c>
    </row>
    <row r="1569" spans="1:29" hidden="1" x14ac:dyDescent="0.35">
      <c r="A1569" s="7">
        <v>40361</v>
      </c>
      <c r="B1569" s="24">
        <v>46027.33184027778</v>
      </c>
      <c r="C1569" s="24">
        <v>46014</v>
      </c>
      <c r="D1569" s="7" t="s">
        <v>3557</v>
      </c>
      <c r="E1569" s="7" t="s">
        <v>1981</v>
      </c>
      <c r="F1569" s="7" t="s">
        <v>3558</v>
      </c>
      <c r="G1569" s="7" t="s">
        <v>3559</v>
      </c>
      <c r="H1569" s="7"/>
      <c r="I1569" s="7"/>
      <c r="J1569" s="7" t="s">
        <v>1816</v>
      </c>
      <c r="K1569" s="7" t="s">
        <v>1815</v>
      </c>
      <c r="L1569" s="7" t="s">
        <v>1814</v>
      </c>
      <c r="M1569" s="7" t="s">
        <v>28</v>
      </c>
      <c r="N1569" s="7" t="s">
        <v>1813</v>
      </c>
      <c r="O1569" s="7" t="s">
        <v>1704</v>
      </c>
      <c r="P1569" s="7" t="s">
        <v>1743</v>
      </c>
      <c r="Q1569" s="9">
        <v>127000000</v>
      </c>
      <c r="R1569" s="9">
        <v>0</v>
      </c>
      <c r="S1569" s="9">
        <f t="shared" si="59"/>
        <v>127000000</v>
      </c>
      <c r="T1569" s="7" t="s">
        <v>53</v>
      </c>
      <c r="U1569" s="7"/>
      <c r="V1569" s="7"/>
      <c r="W1569" s="9">
        <v>1</v>
      </c>
      <c r="X1569" s="7"/>
      <c r="Y1569" s="4"/>
      <c r="Z1569" s="4" t="str">
        <f t="shared" si="60"/>
        <v>371000-371500 CAPITAL WORK IN PROGRESS</v>
      </c>
      <c r="AA1569" s="36" t="str">
        <f t="shared" si="61"/>
        <v>371056 MINERAL EXPLORATION &amp; DEVELOPMENT-TARAWANDA</v>
      </c>
      <c r="AB1569" s="4"/>
      <c r="AC1569" s="22">
        <f t="shared" si="56"/>
        <v>49803.921568627447</v>
      </c>
    </row>
    <row r="1570" spans="1:29" hidden="1" x14ac:dyDescent="0.35">
      <c r="A1570" s="7">
        <v>42343</v>
      </c>
      <c r="B1570" s="24">
        <v>46015.600231481483</v>
      </c>
      <c r="C1570" s="24">
        <v>46015</v>
      </c>
      <c r="D1570" s="7" t="s">
        <v>3560</v>
      </c>
      <c r="E1570" s="7" t="s">
        <v>1331</v>
      </c>
      <c r="F1570" s="7" t="s">
        <v>3561</v>
      </c>
      <c r="G1570" s="7" t="s">
        <v>3562</v>
      </c>
      <c r="H1570" s="7" t="s">
        <v>3563</v>
      </c>
      <c r="I1570" s="7" t="s">
        <v>3564</v>
      </c>
      <c r="J1570" s="7" t="s">
        <v>1816</v>
      </c>
      <c r="K1570" s="7" t="s">
        <v>1815</v>
      </c>
      <c r="L1570" s="7" t="s">
        <v>1814</v>
      </c>
      <c r="M1570" s="7" t="s">
        <v>28</v>
      </c>
      <c r="N1570" s="7" t="s">
        <v>1825</v>
      </c>
      <c r="O1570" s="7" t="s">
        <v>105</v>
      </c>
      <c r="P1570" s="7" t="s">
        <v>1775</v>
      </c>
      <c r="Q1570" s="9">
        <v>20171660</v>
      </c>
      <c r="R1570" s="9">
        <v>0</v>
      </c>
      <c r="S1570" s="9">
        <f t="shared" si="59"/>
        <v>20171660</v>
      </c>
      <c r="T1570" s="7" t="s">
        <v>53</v>
      </c>
      <c r="U1570" s="7"/>
      <c r="V1570" s="7"/>
      <c r="W1570" s="9">
        <v>1</v>
      </c>
      <c r="X1570" s="7"/>
      <c r="Y1570" s="4"/>
      <c r="Z1570" s="4" t="str">
        <f t="shared" si="60"/>
        <v>371000-371500 CAPITAL WORK IN PROGRESS</v>
      </c>
      <c r="AA1570" s="36" t="str">
        <f t="shared" si="61"/>
        <v>371056 MINERAL EXPLORATION &amp; DEVELOPMENT-TARAWANDA</v>
      </c>
      <c r="AB1570" s="4"/>
      <c r="AC1570" s="22">
        <f t="shared" si="56"/>
        <v>7910.4549019607839</v>
      </c>
    </row>
    <row r="1571" spans="1:29" x14ac:dyDescent="0.35">
      <c r="A1571" s="7">
        <v>42346</v>
      </c>
      <c r="B1571" s="24">
        <v>46015.349560185183</v>
      </c>
      <c r="C1571" s="24">
        <v>46015</v>
      </c>
      <c r="D1571" s="7" t="s">
        <v>3565</v>
      </c>
      <c r="E1571" s="7" t="s">
        <v>1331</v>
      </c>
      <c r="F1571" s="7" t="s">
        <v>1499</v>
      </c>
      <c r="G1571" s="7" t="s">
        <v>3566</v>
      </c>
      <c r="H1571" s="7" t="s">
        <v>1927</v>
      </c>
      <c r="I1571" s="7" t="s">
        <v>1926</v>
      </c>
      <c r="J1571" s="7" t="s">
        <v>1816</v>
      </c>
      <c r="K1571" s="7" t="s">
        <v>1815</v>
      </c>
      <c r="L1571" s="7" t="s">
        <v>1915</v>
      </c>
      <c r="M1571" s="7" t="s">
        <v>20</v>
      </c>
      <c r="N1571" s="7" t="s">
        <v>1324</v>
      </c>
      <c r="O1571" s="7" t="s">
        <v>68</v>
      </c>
      <c r="P1571" s="7" t="s">
        <v>68</v>
      </c>
      <c r="Q1571" s="9">
        <v>1229001.6000000001</v>
      </c>
      <c r="R1571" s="9">
        <v>0</v>
      </c>
      <c r="S1571" s="9">
        <f t="shared" si="59"/>
        <v>1229001.6000000001</v>
      </c>
      <c r="T1571" s="7" t="s">
        <v>53</v>
      </c>
      <c r="U1571" s="7"/>
      <c r="V1571" s="7"/>
      <c r="W1571" s="9">
        <v>1</v>
      </c>
      <c r="X1571" s="7"/>
      <c r="Y1571" s="4"/>
      <c r="Z1571" s="4" t="str">
        <f t="shared" si="60"/>
        <v>371000-371500 CAPITAL WORK IN PROGRESS</v>
      </c>
      <c r="AA1571" s="36" t="str">
        <f t="shared" si="61"/>
        <v>371030 CWIP-PRE OPERATIVE EXPENSE</v>
      </c>
      <c r="AB1571" s="4" t="str">
        <f t="shared" ref="AB1571:AB1621" si="62">_xlfn.XLOOKUP(AA1571,$AA$3:$AA$1492,$AB$3:$AB$1492)</f>
        <v>2200 TPD Commissioning</v>
      </c>
      <c r="AC1571" s="22">
        <f t="shared" si="56"/>
        <v>481.96141176470593</v>
      </c>
    </row>
    <row r="1572" spans="1:29" hidden="1" x14ac:dyDescent="0.35">
      <c r="A1572" s="7">
        <v>42473</v>
      </c>
      <c r="B1572" s="24">
        <v>46027.340543981481</v>
      </c>
      <c r="C1572" s="24">
        <v>46015</v>
      </c>
      <c r="D1572" s="7" t="s">
        <v>3567</v>
      </c>
      <c r="E1572" s="7" t="s">
        <v>1981</v>
      </c>
      <c r="F1572" s="7" t="s">
        <v>3558</v>
      </c>
      <c r="G1572" s="7" t="s">
        <v>3559</v>
      </c>
      <c r="H1572" s="7"/>
      <c r="I1572" s="7"/>
      <c r="J1572" s="7" t="s">
        <v>1816</v>
      </c>
      <c r="K1572" s="7" t="s">
        <v>1815</v>
      </c>
      <c r="L1572" s="7" t="s">
        <v>1814</v>
      </c>
      <c r="M1572" s="7" t="s">
        <v>28</v>
      </c>
      <c r="N1572" s="7" t="s">
        <v>1813</v>
      </c>
      <c r="O1572" s="7" t="s">
        <v>1704</v>
      </c>
      <c r="P1572" s="7" t="s">
        <v>1743</v>
      </c>
      <c r="Q1572" s="9">
        <v>120000000</v>
      </c>
      <c r="R1572" s="9">
        <v>0</v>
      </c>
      <c r="S1572" s="9">
        <f t="shared" si="59"/>
        <v>120000000</v>
      </c>
      <c r="T1572" s="7" t="s">
        <v>53</v>
      </c>
      <c r="U1572" s="7"/>
      <c r="V1572" s="7"/>
      <c r="W1572" s="9">
        <v>1</v>
      </c>
      <c r="X1572" s="7"/>
      <c r="Y1572" s="4"/>
      <c r="Z1572" s="4" t="str">
        <f t="shared" si="60"/>
        <v>371000-371500 CAPITAL WORK IN PROGRESS</v>
      </c>
      <c r="AA1572" s="36" t="str">
        <f t="shared" si="61"/>
        <v>371056 MINERAL EXPLORATION &amp; DEVELOPMENT-TARAWANDA</v>
      </c>
      <c r="AB1572" s="4"/>
      <c r="AC1572" s="22">
        <f t="shared" si="56"/>
        <v>47058.823529411762</v>
      </c>
    </row>
    <row r="1573" spans="1:29" hidden="1" x14ac:dyDescent="0.35">
      <c r="A1573" s="7">
        <v>42474</v>
      </c>
      <c r="B1573" s="24">
        <v>46027.339131944442</v>
      </c>
      <c r="C1573" s="24">
        <v>46015</v>
      </c>
      <c r="D1573" s="7" t="s">
        <v>3568</v>
      </c>
      <c r="E1573" s="7" t="s">
        <v>1981</v>
      </c>
      <c r="F1573" s="7" t="s">
        <v>3558</v>
      </c>
      <c r="G1573" s="7" t="s">
        <v>3556</v>
      </c>
      <c r="H1573" s="7"/>
      <c r="I1573" s="7"/>
      <c r="J1573" s="7" t="s">
        <v>1816</v>
      </c>
      <c r="K1573" s="7" t="s">
        <v>1815</v>
      </c>
      <c r="L1573" s="7" t="s">
        <v>1814</v>
      </c>
      <c r="M1573" s="7" t="s">
        <v>28</v>
      </c>
      <c r="N1573" s="7" t="s">
        <v>3569</v>
      </c>
      <c r="O1573" s="7" t="s">
        <v>1704</v>
      </c>
      <c r="P1573" s="7" t="s">
        <v>1743</v>
      </c>
      <c r="Q1573" s="9">
        <v>47000000</v>
      </c>
      <c r="R1573" s="9">
        <v>0</v>
      </c>
      <c r="S1573" s="9">
        <f t="shared" si="59"/>
        <v>47000000</v>
      </c>
      <c r="T1573" s="7" t="s">
        <v>53</v>
      </c>
      <c r="U1573" s="7"/>
      <c r="V1573" s="7"/>
      <c r="W1573" s="9">
        <v>1</v>
      </c>
      <c r="X1573" s="7"/>
      <c r="Y1573" s="4"/>
      <c r="Z1573" s="4" t="str">
        <f t="shared" si="60"/>
        <v>371000-371500 CAPITAL WORK IN PROGRESS</v>
      </c>
      <c r="AA1573" s="36" t="s">
        <v>28</v>
      </c>
      <c r="AB1573" s="4"/>
      <c r="AC1573" s="22">
        <f t="shared" si="56"/>
        <v>18431.372549019608</v>
      </c>
    </row>
    <row r="1574" spans="1:29" hidden="1" x14ac:dyDescent="0.35">
      <c r="A1574" s="7">
        <v>42477</v>
      </c>
      <c r="B1574" s="24">
        <v>46027.335578703707</v>
      </c>
      <c r="C1574" s="24">
        <v>46015</v>
      </c>
      <c r="D1574" s="7" t="s">
        <v>3570</v>
      </c>
      <c r="E1574" s="7" t="s">
        <v>1981</v>
      </c>
      <c r="F1574" s="7" t="s">
        <v>3558</v>
      </c>
      <c r="G1574" s="7" t="s">
        <v>3556</v>
      </c>
      <c r="H1574" s="7"/>
      <c r="I1574" s="7"/>
      <c r="J1574" s="7" t="s">
        <v>1816</v>
      </c>
      <c r="K1574" s="7" t="s">
        <v>1815</v>
      </c>
      <c r="L1574" s="7" t="s">
        <v>1814</v>
      </c>
      <c r="M1574" s="7" t="s">
        <v>28</v>
      </c>
      <c r="N1574" s="7" t="s">
        <v>1813</v>
      </c>
      <c r="O1574" s="7" t="s">
        <v>1704</v>
      </c>
      <c r="P1574" s="7" t="s">
        <v>1743</v>
      </c>
      <c r="Q1574" s="9">
        <v>168000000</v>
      </c>
      <c r="R1574" s="9">
        <v>0</v>
      </c>
      <c r="S1574" s="9">
        <f t="shared" si="59"/>
        <v>168000000</v>
      </c>
      <c r="T1574" s="7" t="s">
        <v>53</v>
      </c>
      <c r="U1574" s="7"/>
      <c r="V1574" s="7"/>
      <c r="W1574" s="9">
        <v>1</v>
      </c>
      <c r="X1574" s="7"/>
      <c r="Y1574" s="4"/>
      <c r="Z1574" s="4" t="str">
        <f t="shared" si="60"/>
        <v>371000-371500 CAPITAL WORK IN PROGRESS</v>
      </c>
      <c r="AA1574" s="36" t="str">
        <f t="shared" si="61"/>
        <v>371056 MINERAL EXPLORATION &amp; DEVELOPMENT-TARAWANDA</v>
      </c>
      <c r="AB1574" s="4"/>
      <c r="AC1574" s="22">
        <f t="shared" si="56"/>
        <v>65882.352941176476</v>
      </c>
    </row>
    <row r="1575" spans="1:29" hidden="1" x14ac:dyDescent="0.35">
      <c r="A1575" s="7">
        <v>42479</v>
      </c>
      <c r="B1575" s="24">
        <v>46027.333171296297</v>
      </c>
      <c r="C1575" s="24">
        <v>46015</v>
      </c>
      <c r="D1575" s="7" t="s">
        <v>3571</v>
      </c>
      <c r="E1575" s="7" t="s">
        <v>1981</v>
      </c>
      <c r="F1575" s="7" t="s">
        <v>3558</v>
      </c>
      <c r="G1575" s="7" t="s">
        <v>3559</v>
      </c>
      <c r="H1575" s="7"/>
      <c r="I1575" s="7"/>
      <c r="J1575" s="7" t="s">
        <v>1816</v>
      </c>
      <c r="K1575" s="7" t="s">
        <v>1815</v>
      </c>
      <c r="L1575" s="7" t="s">
        <v>1814</v>
      </c>
      <c r="M1575" s="7" t="s">
        <v>28</v>
      </c>
      <c r="N1575" s="7" t="s">
        <v>1813</v>
      </c>
      <c r="O1575" s="7" t="s">
        <v>1704</v>
      </c>
      <c r="P1575" s="7" t="s">
        <v>1743</v>
      </c>
      <c r="Q1575" s="9">
        <v>53000000</v>
      </c>
      <c r="R1575" s="9">
        <v>0</v>
      </c>
      <c r="S1575" s="9">
        <f t="shared" si="59"/>
        <v>53000000</v>
      </c>
      <c r="T1575" s="7" t="s">
        <v>53</v>
      </c>
      <c r="U1575" s="7"/>
      <c r="V1575" s="7"/>
      <c r="W1575" s="9">
        <v>1</v>
      </c>
      <c r="X1575" s="7"/>
      <c r="Y1575" s="4"/>
      <c r="Z1575" s="4" t="str">
        <f t="shared" si="60"/>
        <v>371000-371500 CAPITAL WORK IN PROGRESS</v>
      </c>
      <c r="AA1575" s="36" t="str">
        <f t="shared" si="61"/>
        <v>371056 MINERAL EXPLORATION &amp; DEVELOPMENT-TARAWANDA</v>
      </c>
      <c r="AB1575" s="4"/>
      <c r="AC1575" s="22">
        <f t="shared" si="56"/>
        <v>20784.313725490196</v>
      </c>
    </row>
    <row r="1576" spans="1:29" x14ac:dyDescent="0.35">
      <c r="A1576" s="7">
        <v>57673</v>
      </c>
      <c r="B1576" s="24">
        <v>46024.400370370371</v>
      </c>
      <c r="C1576" s="24">
        <v>46022</v>
      </c>
      <c r="D1576" s="7" t="s">
        <v>3572</v>
      </c>
      <c r="E1576" s="7" t="s">
        <v>1331</v>
      </c>
      <c r="F1576" s="7" t="s">
        <v>3573</v>
      </c>
      <c r="G1576" s="7" t="s">
        <v>3574</v>
      </c>
      <c r="H1576" s="7" t="s">
        <v>2023</v>
      </c>
      <c r="I1576" s="7" t="s">
        <v>2022</v>
      </c>
      <c r="J1576" s="7" t="s">
        <v>1816</v>
      </c>
      <c r="K1576" s="7" t="s">
        <v>1815</v>
      </c>
      <c r="L1576" s="7" t="s">
        <v>3575</v>
      </c>
      <c r="M1576" s="7" t="s">
        <v>27</v>
      </c>
      <c r="N1576" s="7" t="s">
        <v>96</v>
      </c>
      <c r="O1576" s="7" t="s">
        <v>3576</v>
      </c>
      <c r="P1576" s="7" t="s">
        <v>54</v>
      </c>
      <c r="Q1576" s="9">
        <v>4645512</v>
      </c>
      <c r="R1576" s="9">
        <v>0</v>
      </c>
      <c r="S1576" s="9">
        <f t="shared" si="59"/>
        <v>4645512</v>
      </c>
      <c r="T1576" s="7" t="s">
        <v>53</v>
      </c>
      <c r="U1576" s="7" t="s">
        <v>1882</v>
      </c>
      <c r="V1576" s="7" t="s">
        <v>1823</v>
      </c>
      <c r="W1576" s="9">
        <v>536</v>
      </c>
      <c r="X1576" s="7" t="s">
        <v>1881</v>
      </c>
      <c r="Y1576" s="4"/>
      <c r="Z1576" s="4" t="str">
        <f t="shared" si="60"/>
        <v>371000-371500 CAPITAL WORK IN PROGRESS</v>
      </c>
      <c r="AA1576" s="36" t="str">
        <f t="shared" si="61"/>
        <v>371052 CWIP-ROAD PHASE 07</v>
      </c>
      <c r="AB1576" s="4" t="str">
        <f t="shared" si="62"/>
        <v>ROADS</v>
      </c>
      <c r="AC1576" s="22">
        <f t="shared" si="56"/>
        <v>1821.7694117647059</v>
      </c>
    </row>
    <row r="1577" spans="1:29" x14ac:dyDescent="0.35">
      <c r="A1577" s="7">
        <v>57678</v>
      </c>
      <c r="B1577" s="24">
        <v>46024.399814814817</v>
      </c>
      <c r="C1577" s="24">
        <v>46022</v>
      </c>
      <c r="D1577" s="7" t="s">
        <v>3577</v>
      </c>
      <c r="E1577" s="7" t="s">
        <v>1331</v>
      </c>
      <c r="F1577" s="7" t="s">
        <v>3578</v>
      </c>
      <c r="G1577" s="7" t="s">
        <v>3579</v>
      </c>
      <c r="H1577" s="7" t="s">
        <v>2023</v>
      </c>
      <c r="I1577" s="7" t="s">
        <v>2022</v>
      </c>
      <c r="J1577" s="7" t="s">
        <v>1816</v>
      </c>
      <c r="K1577" s="7" t="s">
        <v>1815</v>
      </c>
      <c r="L1577" s="7" t="s">
        <v>1883</v>
      </c>
      <c r="M1577" s="7" t="s">
        <v>17</v>
      </c>
      <c r="N1577" s="7" t="s">
        <v>1504</v>
      </c>
      <c r="O1577" s="7" t="s">
        <v>68</v>
      </c>
      <c r="P1577" s="7" t="s">
        <v>68</v>
      </c>
      <c r="Q1577" s="9">
        <v>12000000</v>
      </c>
      <c r="R1577" s="9">
        <v>0</v>
      </c>
      <c r="S1577" s="9">
        <f t="shared" si="59"/>
        <v>12000000</v>
      </c>
      <c r="T1577" s="7" t="s">
        <v>53</v>
      </c>
      <c r="U1577" s="7" t="s">
        <v>1890</v>
      </c>
      <c r="V1577" s="7" t="s">
        <v>1823</v>
      </c>
      <c r="W1577" s="9">
        <v>1</v>
      </c>
      <c r="X1577" s="7" t="s">
        <v>1889</v>
      </c>
      <c r="Y1577" s="4"/>
      <c r="Z1577" s="4" t="str">
        <f t="shared" si="60"/>
        <v>371000-371500 CAPITAL WORK IN PROGRESS</v>
      </c>
      <c r="AA1577" s="36" t="str">
        <f t="shared" si="61"/>
        <v>371021 CWIP-PYRO UPGRADATION</v>
      </c>
      <c r="AB1577" s="4" t="str">
        <f t="shared" si="62"/>
        <v>2200 TPD Commissioning</v>
      </c>
      <c r="AC1577" s="22">
        <f t="shared" si="56"/>
        <v>4705.8823529411766</v>
      </c>
    </row>
    <row r="1578" spans="1:29" x14ac:dyDescent="0.35">
      <c r="A1578" s="4">
        <v>39079</v>
      </c>
      <c r="B1578" s="6">
        <v>46014.595694444448</v>
      </c>
      <c r="C1578" s="6">
        <v>46014</v>
      </c>
      <c r="D1578" s="4" t="s">
        <v>3580</v>
      </c>
      <c r="E1578" s="4" t="s">
        <v>61</v>
      </c>
      <c r="F1578" s="4" t="s">
        <v>3581</v>
      </c>
      <c r="G1578" s="4" t="s">
        <v>3581</v>
      </c>
      <c r="H1578" s="4"/>
      <c r="I1578" s="4"/>
      <c r="J1578" s="4" t="s">
        <v>3155</v>
      </c>
      <c r="K1578" s="4" t="s">
        <v>3156</v>
      </c>
      <c r="L1578" s="4" t="s">
        <v>3157</v>
      </c>
      <c r="M1578" s="4" t="s">
        <v>3158</v>
      </c>
      <c r="N1578" s="4" t="s">
        <v>114</v>
      </c>
      <c r="O1578" s="4" t="s">
        <v>68</v>
      </c>
      <c r="P1578" s="4" t="s">
        <v>1064</v>
      </c>
      <c r="Q1578" s="5">
        <v>489802.84</v>
      </c>
      <c r="R1578" s="4">
        <v>0</v>
      </c>
      <c r="S1578" s="9">
        <f t="shared" si="59"/>
        <v>489802.84</v>
      </c>
      <c r="T1578" s="4" t="s">
        <v>53</v>
      </c>
      <c r="U1578" s="4" t="s">
        <v>3159</v>
      </c>
      <c r="V1578" s="4"/>
      <c r="W1578" s="4">
        <v>-7.5</v>
      </c>
      <c r="X1578" s="4" t="s">
        <v>1501</v>
      </c>
      <c r="Y1578" s="4"/>
      <c r="Z1578" s="4" t="str">
        <f t="shared" si="60"/>
        <v>371000-371500 CAPITAL WORK IN PROGRESS</v>
      </c>
      <c r="AA1578" s="36" t="str">
        <f t="shared" si="61"/>
        <v>371059 CWIP-CONSTRUCTION OF PLANT BOUNDARY WALL</v>
      </c>
      <c r="AB1578" s="4" t="str">
        <f t="shared" si="62"/>
        <v>WALL</v>
      </c>
      <c r="AC1578" s="22">
        <f t="shared" si="56"/>
        <v>192.07954509803923</v>
      </c>
    </row>
    <row r="1579" spans="1:29" x14ac:dyDescent="0.35">
      <c r="A1579" s="4">
        <v>39074</v>
      </c>
      <c r="B1579" s="6">
        <v>46014.596261574072</v>
      </c>
      <c r="C1579" s="6">
        <v>46014</v>
      </c>
      <c r="D1579" s="4" t="s">
        <v>3582</v>
      </c>
      <c r="E1579" s="4" t="s">
        <v>61</v>
      </c>
      <c r="F1579" s="4" t="s">
        <v>3583</v>
      </c>
      <c r="G1579" s="4" t="s">
        <v>3583</v>
      </c>
      <c r="H1579" s="4"/>
      <c r="I1579" s="4"/>
      <c r="J1579" s="4" t="s">
        <v>3155</v>
      </c>
      <c r="K1579" s="4" t="s">
        <v>3156</v>
      </c>
      <c r="L1579" s="4" t="s">
        <v>3157</v>
      </c>
      <c r="M1579" s="4" t="s">
        <v>3158</v>
      </c>
      <c r="N1579" s="4" t="s">
        <v>106</v>
      </c>
      <c r="O1579" s="4" t="s">
        <v>105</v>
      </c>
      <c r="P1579" s="4" t="s">
        <v>1064</v>
      </c>
      <c r="Q1579" s="5">
        <v>326535.21999999997</v>
      </c>
      <c r="R1579" s="4">
        <v>0</v>
      </c>
      <c r="S1579" s="9">
        <f t="shared" si="59"/>
        <v>326535.21999999997</v>
      </c>
      <c r="T1579" s="4" t="s">
        <v>53</v>
      </c>
      <c r="U1579" s="4" t="s">
        <v>3159</v>
      </c>
      <c r="V1579" s="4"/>
      <c r="W1579" s="4">
        <v>-5</v>
      </c>
      <c r="X1579" s="4" t="s">
        <v>1501</v>
      </c>
      <c r="Y1579" s="4"/>
      <c r="Z1579" s="4" t="str">
        <f t="shared" si="60"/>
        <v>371000-371500 CAPITAL WORK IN PROGRESS</v>
      </c>
      <c r="AA1579" s="36" t="str">
        <f t="shared" si="61"/>
        <v>371012 CWIP-QUARRY RAW MATERIAL SHED EXTENSION</v>
      </c>
      <c r="AB1579" s="4" t="str">
        <f t="shared" si="62"/>
        <v>RM SHED</v>
      </c>
      <c r="AC1579" s="22">
        <f t="shared" si="56"/>
        <v>128.05302745098038</v>
      </c>
    </row>
    <row r="1580" spans="1:29" x14ac:dyDescent="0.35">
      <c r="A1580" s="4">
        <v>30927</v>
      </c>
      <c r="B1580" s="6">
        <v>46009.562002314815</v>
      </c>
      <c r="C1580" s="6">
        <v>46009</v>
      </c>
      <c r="D1580" s="4" t="s">
        <v>3584</v>
      </c>
      <c r="E1580" s="4" t="s">
        <v>61</v>
      </c>
      <c r="F1580" s="4" t="s">
        <v>3585</v>
      </c>
      <c r="G1580" s="4" t="s">
        <v>3585</v>
      </c>
      <c r="H1580" s="4"/>
      <c r="I1580" s="4"/>
      <c r="J1580" s="4" t="s">
        <v>3155</v>
      </c>
      <c r="K1580" s="4" t="s">
        <v>3156</v>
      </c>
      <c r="L1580" s="4" t="s">
        <v>3157</v>
      </c>
      <c r="M1580" s="4" t="s">
        <v>3158</v>
      </c>
      <c r="N1580" s="4" t="s">
        <v>106</v>
      </c>
      <c r="O1580" s="4" t="s">
        <v>105</v>
      </c>
      <c r="P1580" s="4" t="s">
        <v>1064</v>
      </c>
      <c r="Q1580" s="5">
        <v>743876.38</v>
      </c>
      <c r="R1580" s="4">
        <v>0</v>
      </c>
      <c r="S1580" s="9">
        <f t="shared" si="59"/>
        <v>743876.38</v>
      </c>
      <c r="T1580" s="4" t="s">
        <v>53</v>
      </c>
      <c r="U1580" s="4" t="s">
        <v>3159</v>
      </c>
      <c r="V1580" s="4"/>
      <c r="W1580" s="4">
        <v>-8</v>
      </c>
      <c r="X1580" s="4" t="s">
        <v>1501</v>
      </c>
      <c r="Y1580" s="4"/>
      <c r="Z1580" s="4" t="str">
        <f t="shared" si="60"/>
        <v>371000-371500 CAPITAL WORK IN PROGRESS</v>
      </c>
      <c r="AA1580" s="36" t="str">
        <f t="shared" si="61"/>
        <v>371012 CWIP-QUARRY RAW MATERIAL SHED EXTENSION</v>
      </c>
      <c r="AB1580" s="4" t="str">
        <f t="shared" si="62"/>
        <v>RM SHED</v>
      </c>
      <c r="AC1580" s="22">
        <f t="shared" si="56"/>
        <v>291.7162274509804</v>
      </c>
    </row>
    <row r="1581" spans="1:29" x14ac:dyDescent="0.35">
      <c r="A1581" s="4">
        <v>30907</v>
      </c>
      <c r="B1581" s="6">
        <v>46009.566400462965</v>
      </c>
      <c r="C1581" s="6">
        <v>46009</v>
      </c>
      <c r="D1581" s="4" t="s">
        <v>3586</v>
      </c>
      <c r="E1581" s="4" t="s">
        <v>61</v>
      </c>
      <c r="F1581" s="4" t="s">
        <v>3587</v>
      </c>
      <c r="G1581" s="4" t="s">
        <v>3587</v>
      </c>
      <c r="H1581" s="4"/>
      <c r="I1581" s="4"/>
      <c r="J1581" s="4" t="s">
        <v>3155</v>
      </c>
      <c r="K1581" s="4" t="s">
        <v>3156</v>
      </c>
      <c r="L1581" s="4" t="s">
        <v>3157</v>
      </c>
      <c r="M1581" s="4" t="s">
        <v>3158</v>
      </c>
      <c r="N1581" s="4" t="s">
        <v>106</v>
      </c>
      <c r="O1581" s="4" t="s">
        <v>105</v>
      </c>
      <c r="P1581" s="4" t="s">
        <v>1064</v>
      </c>
      <c r="Q1581" s="5">
        <v>464922.73</v>
      </c>
      <c r="R1581" s="4">
        <v>0</v>
      </c>
      <c r="S1581" s="9">
        <f t="shared" si="59"/>
        <v>464922.73</v>
      </c>
      <c r="T1581" s="4" t="s">
        <v>53</v>
      </c>
      <c r="U1581" s="4" t="s">
        <v>3159</v>
      </c>
      <c r="V1581" s="4"/>
      <c r="W1581" s="4">
        <v>-5</v>
      </c>
      <c r="X1581" s="4" t="s">
        <v>1501</v>
      </c>
      <c r="Y1581" s="4"/>
      <c r="Z1581" s="4" t="str">
        <f t="shared" si="60"/>
        <v>371000-371500 CAPITAL WORK IN PROGRESS</v>
      </c>
      <c r="AA1581" s="36" t="str">
        <f t="shared" si="61"/>
        <v>371012 CWIP-QUARRY RAW MATERIAL SHED EXTENSION</v>
      </c>
      <c r="AB1581" s="4" t="str">
        <f t="shared" si="62"/>
        <v>RM SHED</v>
      </c>
      <c r="AC1581" s="22">
        <f t="shared" si="56"/>
        <v>182.32263921568628</v>
      </c>
    </row>
    <row r="1582" spans="1:29" x14ac:dyDescent="0.35">
      <c r="A1582" s="4">
        <v>238</v>
      </c>
      <c r="B1582" s="6">
        <v>45992.584861111114</v>
      </c>
      <c r="C1582" s="6">
        <v>45992</v>
      </c>
      <c r="D1582" s="4" t="s">
        <v>3588</v>
      </c>
      <c r="E1582" s="4" t="s">
        <v>61</v>
      </c>
      <c r="F1582" s="4" t="s">
        <v>3589</v>
      </c>
      <c r="G1582" s="4" t="s">
        <v>3589</v>
      </c>
      <c r="H1582" s="4"/>
      <c r="I1582" s="4"/>
      <c r="J1582" s="4" t="s">
        <v>3155</v>
      </c>
      <c r="K1582" s="4" t="s">
        <v>3156</v>
      </c>
      <c r="L1582" s="4" t="s">
        <v>3157</v>
      </c>
      <c r="M1582" s="4" t="s">
        <v>3158</v>
      </c>
      <c r="N1582" s="4" t="s">
        <v>106</v>
      </c>
      <c r="O1582" s="4" t="s">
        <v>105</v>
      </c>
      <c r="P1582" s="4" t="s">
        <v>1064</v>
      </c>
      <c r="Q1582" s="5">
        <v>505451.82</v>
      </c>
      <c r="R1582" s="4">
        <v>0</v>
      </c>
      <c r="S1582" s="9">
        <f t="shared" si="59"/>
        <v>505451.82</v>
      </c>
      <c r="T1582" s="4" t="s">
        <v>53</v>
      </c>
      <c r="U1582" s="4" t="s">
        <v>3159</v>
      </c>
      <c r="V1582" s="4"/>
      <c r="W1582" s="4">
        <v>-8</v>
      </c>
      <c r="X1582" s="4" t="s">
        <v>1501</v>
      </c>
      <c r="Y1582" s="4"/>
      <c r="Z1582" s="4" t="str">
        <f t="shared" si="60"/>
        <v>371000-371500 CAPITAL WORK IN PROGRESS</v>
      </c>
      <c r="AA1582" s="36" t="str">
        <f t="shared" si="61"/>
        <v>371012 CWIP-QUARRY RAW MATERIAL SHED EXTENSION</v>
      </c>
      <c r="AB1582" s="4" t="str">
        <f t="shared" si="62"/>
        <v>RM SHED</v>
      </c>
      <c r="AC1582" s="22">
        <f t="shared" si="56"/>
        <v>198.21639999999999</v>
      </c>
    </row>
    <row r="1583" spans="1:29" x14ac:dyDescent="0.35">
      <c r="A1583" s="4">
        <v>39085</v>
      </c>
      <c r="B1583" s="6">
        <v>46014.594317129631</v>
      </c>
      <c r="C1583" s="6">
        <v>46014</v>
      </c>
      <c r="D1583" s="4" t="s">
        <v>3590</v>
      </c>
      <c r="E1583" s="4" t="s">
        <v>61</v>
      </c>
      <c r="F1583" s="4" t="s">
        <v>3591</v>
      </c>
      <c r="G1583" s="4" t="s">
        <v>3591</v>
      </c>
      <c r="H1583" s="4"/>
      <c r="I1583" s="4"/>
      <c r="J1583" s="4" t="s">
        <v>59</v>
      </c>
      <c r="K1583" s="4" t="s">
        <v>58</v>
      </c>
      <c r="L1583" s="4" t="s">
        <v>57</v>
      </c>
      <c r="M1583" s="4" t="s">
        <v>32</v>
      </c>
      <c r="N1583" s="4" t="s">
        <v>114</v>
      </c>
      <c r="O1583" s="4" t="s">
        <v>68</v>
      </c>
      <c r="P1583" s="4" t="s">
        <v>1064</v>
      </c>
      <c r="Q1583" s="5">
        <v>4320000</v>
      </c>
      <c r="R1583" s="4">
        <v>0</v>
      </c>
      <c r="S1583" s="9">
        <f t="shared" si="59"/>
        <v>4320000</v>
      </c>
      <c r="T1583" s="4" t="s">
        <v>53</v>
      </c>
      <c r="U1583" s="4" t="s">
        <v>339</v>
      </c>
      <c r="V1583" s="4"/>
      <c r="W1583" s="4">
        <v>-40</v>
      </c>
      <c r="X1583" s="4" t="s">
        <v>338</v>
      </c>
      <c r="Y1583" s="4"/>
      <c r="Z1583" s="4" t="str">
        <f t="shared" si="60"/>
        <v>371000-371500 CAPITAL WORK IN PROGRESS</v>
      </c>
      <c r="AA1583" s="36" t="str">
        <f t="shared" si="61"/>
        <v>371059 CWIP-CONSTRUCTION OF PLANT BOUNDARY WALL</v>
      </c>
      <c r="AB1583" s="4" t="str">
        <f t="shared" si="62"/>
        <v>WALL</v>
      </c>
      <c r="AC1583" s="22">
        <f t="shared" si="56"/>
        <v>1694.1176470588234</v>
      </c>
    </row>
    <row r="1584" spans="1:29" x14ac:dyDescent="0.35">
      <c r="A1584" s="4">
        <v>33604</v>
      </c>
      <c r="B1584" s="6">
        <v>46010.356527777774</v>
      </c>
      <c r="C1584" s="6">
        <v>46010</v>
      </c>
      <c r="D1584" s="4" t="s">
        <v>3592</v>
      </c>
      <c r="E1584" s="4" t="s">
        <v>61</v>
      </c>
      <c r="F1584" s="4" t="s">
        <v>3593</v>
      </c>
      <c r="G1584" s="4" t="s">
        <v>3593</v>
      </c>
      <c r="H1584" s="4"/>
      <c r="I1584" s="4"/>
      <c r="J1584" s="4" t="s">
        <v>59</v>
      </c>
      <c r="K1584" s="4" t="s">
        <v>58</v>
      </c>
      <c r="L1584" s="4" t="s">
        <v>57</v>
      </c>
      <c r="M1584" s="4" t="s">
        <v>32</v>
      </c>
      <c r="N1584" s="4" t="s">
        <v>114</v>
      </c>
      <c r="O1584" s="4" t="s">
        <v>68</v>
      </c>
      <c r="P1584" s="4" t="s">
        <v>1064</v>
      </c>
      <c r="Q1584" s="5">
        <v>2765848.38</v>
      </c>
      <c r="R1584" s="4">
        <v>0</v>
      </c>
      <c r="S1584" s="9">
        <f t="shared" si="59"/>
        <v>2765848.38</v>
      </c>
      <c r="T1584" s="4" t="s">
        <v>53</v>
      </c>
      <c r="U1584" s="4" t="s">
        <v>184</v>
      </c>
      <c r="V1584" s="4"/>
      <c r="W1584" s="4">
        <v>-60000</v>
      </c>
      <c r="X1584" s="4" t="s">
        <v>124</v>
      </c>
      <c r="Y1584" s="4"/>
      <c r="Z1584" s="4" t="str">
        <f t="shared" si="60"/>
        <v>371000-371500 CAPITAL WORK IN PROGRESS</v>
      </c>
      <c r="AA1584" s="36" t="str">
        <f t="shared" si="61"/>
        <v>371059 CWIP-CONSTRUCTION OF PLANT BOUNDARY WALL</v>
      </c>
      <c r="AB1584" s="4" t="str">
        <f t="shared" si="62"/>
        <v>WALL</v>
      </c>
      <c r="AC1584" s="22">
        <f t="shared" si="56"/>
        <v>1084.6464235294118</v>
      </c>
    </row>
    <row r="1585" spans="1:29" x14ac:dyDescent="0.35">
      <c r="A1585" s="4">
        <v>25123</v>
      </c>
      <c r="B1585" s="6">
        <v>46007.598229166666</v>
      </c>
      <c r="C1585" s="6">
        <v>46007</v>
      </c>
      <c r="D1585" s="4" t="s">
        <v>3594</v>
      </c>
      <c r="E1585" s="4" t="s">
        <v>61</v>
      </c>
      <c r="F1585" s="4" t="s">
        <v>3595</v>
      </c>
      <c r="G1585" s="4" t="s">
        <v>3595</v>
      </c>
      <c r="H1585" s="4"/>
      <c r="I1585" s="4"/>
      <c r="J1585" s="4" t="s">
        <v>59</v>
      </c>
      <c r="K1585" s="4" t="s">
        <v>58</v>
      </c>
      <c r="L1585" s="4" t="s">
        <v>57</v>
      </c>
      <c r="M1585" s="4" t="s">
        <v>32</v>
      </c>
      <c r="N1585" s="4" t="s">
        <v>114</v>
      </c>
      <c r="O1585" s="4" t="s">
        <v>68</v>
      </c>
      <c r="P1585" s="4" t="s">
        <v>1064</v>
      </c>
      <c r="Q1585" s="5">
        <v>57000</v>
      </c>
      <c r="R1585" s="4">
        <v>0</v>
      </c>
      <c r="S1585" s="9">
        <f t="shared" si="59"/>
        <v>57000</v>
      </c>
      <c r="T1585" s="4" t="s">
        <v>53</v>
      </c>
      <c r="U1585" s="4" t="s">
        <v>154</v>
      </c>
      <c r="V1585" s="4"/>
      <c r="W1585" s="4">
        <v>-10</v>
      </c>
      <c r="X1585" s="4" t="s">
        <v>124</v>
      </c>
      <c r="Y1585" s="4"/>
      <c r="Z1585" s="4" t="str">
        <f t="shared" si="60"/>
        <v>371000-371500 CAPITAL WORK IN PROGRESS</v>
      </c>
      <c r="AA1585" s="36" t="str">
        <f t="shared" si="61"/>
        <v>371059 CWIP-CONSTRUCTION OF PLANT BOUNDARY WALL</v>
      </c>
      <c r="AB1585" s="4" t="str">
        <f t="shared" si="62"/>
        <v>WALL</v>
      </c>
      <c r="AC1585" s="22">
        <f t="shared" si="56"/>
        <v>22.352941176470587</v>
      </c>
    </row>
    <row r="1586" spans="1:29" x14ac:dyDescent="0.35">
      <c r="A1586" s="4">
        <v>25120</v>
      </c>
      <c r="B1586" s="6">
        <v>46007.598229166666</v>
      </c>
      <c r="C1586" s="6">
        <v>46007</v>
      </c>
      <c r="D1586" s="4" t="s">
        <v>3596</v>
      </c>
      <c r="E1586" s="4" t="s">
        <v>61</v>
      </c>
      <c r="F1586" s="4" t="s">
        <v>3597</v>
      </c>
      <c r="G1586" s="4" t="s">
        <v>3597</v>
      </c>
      <c r="H1586" s="4"/>
      <c r="I1586" s="4"/>
      <c r="J1586" s="4" t="s">
        <v>59</v>
      </c>
      <c r="K1586" s="4" t="s">
        <v>58</v>
      </c>
      <c r="L1586" s="4" t="s">
        <v>57</v>
      </c>
      <c r="M1586" s="4" t="s">
        <v>32</v>
      </c>
      <c r="N1586" s="4" t="s">
        <v>114</v>
      </c>
      <c r="O1586" s="4" t="s">
        <v>68</v>
      </c>
      <c r="P1586" s="4" t="s">
        <v>1064</v>
      </c>
      <c r="Q1586" s="5">
        <v>29853.8</v>
      </c>
      <c r="R1586" s="4">
        <v>0</v>
      </c>
      <c r="S1586" s="9">
        <f t="shared" si="59"/>
        <v>29853.8</v>
      </c>
      <c r="T1586" s="4" t="s">
        <v>53</v>
      </c>
      <c r="U1586" s="4" t="s">
        <v>739</v>
      </c>
      <c r="V1586" s="4"/>
      <c r="W1586" s="4">
        <v>-3</v>
      </c>
      <c r="X1586" s="4" t="s">
        <v>124</v>
      </c>
      <c r="Y1586" s="4"/>
      <c r="Z1586" s="4" t="str">
        <f t="shared" si="60"/>
        <v>371000-371500 CAPITAL WORK IN PROGRESS</v>
      </c>
      <c r="AA1586" s="36" t="str">
        <f t="shared" si="61"/>
        <v>371059 CWIP-CONSTRUCTION OF PLANT BOUNDARY WALL</v>
      </c>
      <c r="AB1586" s="4" t="str">
        <f t="shared" si="62"/>
        <v>WALL</v>
      </c>
      <c r="AC1586" s="22">
        <f t="shared" si="56"/>
        <v>11.707372549019608</v>
      </c>
    </row>
    <row r="1587" spans="1:29" x14ac:dyDescent="0.35">
      <c r="A1587" s="4">
        <v>10995</v>
      </c>
      <c r="B1587" s="6">
        <v>45999.602673611109</v>
      </c>
      <c r="C1587" s="6">
        <v>45999</v>
      </c>
      <c r="D1587" s="4" t="s">
        <v>3598</v>
      </c>
      <c r="E1587" s="4" t="s">
        <v>61</v>
      </c>
      <c r="F1587" s="4" t="s">
        <v>3599</v>
      </c>
      <c r="G1587" s="4" t="s">
        <v>3599</v>
      </c>
      <c r="H1587" s="4"/>
      <c r="I1587" s="4"/>
      <c r="J1587" s="4" t="s">
        <v>59</v>
      </c>
      <c r="K1587" s="4" t="s">
        <v>58</v>
      </c>
      <c r="L1587" s="4" t="s">
        <v>57</v>
      </c>
      <c r="M1587" s="4" t="s">
        <v>32</v>
      </c>
      <c r="N1587" s="4" t="s">
        <v>114</v>
      </c>
      <c r="O1587" s="4" t="s">
        <v>68</v>
      </c>
      <c r="P1587" s="4" t="s">
        <v>1064</v>
      </c>
      <c r="Q1587" s="5">
        <v>19322.12</v>
      </c>
      <c r="R1587" s="4">
        <v>0</v>
      </c>
      <c r="S1587" s="9">
        <f t="shared" si="59"/>
        <v>19322.12</v>
      </c>
      <c r="T1587" s="4" t="s">
        <v>53</v>
      </c>
      <c r="U1587" s="4" t="s">
        <v>117</v>
      </c>
      <c r="V1587" s="4"/>
      <c r="W1587" s="4">
        <v>-6</v>
      </c>
      <c r="X1587" s="4" t="s">
        <v>94</v>
      </c>
      <c r="Y1587" s="4"/>
      <c r="Z1587" s="4" t="str">
        <f t="shared" si="60"/>
        <v>371000-371500 CAPITAL WORK IN PROGRESS</v>
      </c>
      <c r="AA1587" s="36" t="str">
        <f t="shared" si="61"/>
        <v>371059 CWIP-CONSTRUCTION OF PLANT BOUNDARY WALL</v>
      </c>
      <c r="AB1587" s="4" t="str">
        <f t="shared" si="62"/>
        <v>WALL</v>
      </c>
      <c r="AC1587" s="22">
        <f t="shared" si="56"/>
        <v>7.5773019607843137</v>
      </c>
    </row>
    <row r="1588" spans="1:29" x14ac:dyDescent="0.35">
      <c r="A1588" s="4">
        <v>10992</v>
      </c>
      <c r="B1588" s="6">
        <v>45999.602673611109</v>
      </c>
      <c r="C1588" s="6">
        <v>45999</v>
      </c>
      <c r="D1588" s="4" t="s">
        <v>3600</v>
      </c>
      <c r="E1588" s="4" t="s">
        <v>61</v>
      </c>
      <c r="F1588" s="4" t="s">
        <v>3601</v>
      </c>
      <c r="G1588" s="4" t="s">
        <v>3601</v>
      </c>
      <c r="H1588" s="4"/>
      <c r="I1588" s="4"/>
      <c r="J1588" s="4" t="s">
        <v>59</v>
      </c>
      <c r="K1588" s="4" t="s">
        <v>58</v>
      </c>
      <c r="L1588" s="4" t="s">
        <v>57</v>
      </c>
      <c r="M1588" s="4" t="s">
        <v>32</v>
      </c>
      <c r="N1588" s="4" t="s">
        <v>114</v>
      </c>
      <c r="O1588" s="4" t="s">
        <v>68</v>
      </c>
      <c r="P1588" s="4" t="s">
        <v>1064</v>
      </c>
      <c r="Q1588" s="5">
        <v>20487.55</v>
      </c>
      <c r="R1588" s="4">
        <v>0</v>
      </c>
      <c r="S1588" s="9">
        <f t="shared" si="59"/>
        <v>20487.55</v>
      </c>
      <c r="T1588" s="4" t="s">
        <v>53</v>
      </c>
      <c r="U1588" s="4" t="s">
        <v>271</v>
      </c>
      <c r="V1588" s="4"/>
      <c r="W1588" s="4">
        <v>-5</v>
      </c>
      <c r="X1588" s="4" t="s">
        <v>124</v>
      </c>
      <c r="Y1588" s="4"/>
      <c r="Z1588" s="4" t="str">
        <f t="shared" si="60"/>
        <v>371000-371500 CAPITAL WORK IN PROGRESS</v>
      </c>
      <c r="AA1588" s="36" t="str">
        <f t="shared" si="61"/>
        <v>371059 CWIP-CONSTRUCTION OF PLANT BOUNDARY WALL</v>
      </c>
      <c r="AB1588" s="4" t="str">
        <f t="shared" si="62"/>
        <v>WALL</v>
      </c>
      <c r="AC1588" s="22">
        <f t="shared" si="56"/>
        <v>8.0343333333333327</v>
      </c>
    </row>
    <row r="1589" spans="1:29" x14ac:dyDescent="0.35">
      <c r="A1589" s="4">
        <v>7094</v>
      </c>
      <c r="B1589" s="6">
        <v>45996.578877314816</v>
      </c>
      <c r="C1589" s="6">
        <v>45996</v>
      </c>
      <c r="D1589" s="4" t="s">
        <v>3602</v>
      </c>
      <c r="E1589" s="4" t="s">
        <v>61</v>
      </c>
      <c r="F1589" s="4" t="s">
        <v>3603</v>
      </c>
      <c r="G1589" s="4" t="s">
        <v>3603</v>
      </c>
      <c r="H1589" s="4"/>
      <c r="I1589" s="4"/>
      <c r="J1589" s="4" t="s">
        <v>59</v>
      </c>
      <c r="K1589" s="4" t="s">
        <v>58</v>
      </c>
      <c r="L1589" s="4" t="s">
        <v>57</v>
      </c>
      <c r="M1589" s="4" t="s">
        <v>32</v>
      </c>
      <c r="N1589" s="4" t="s">
        <v>114</v>
      </c>
      <c r="O1589" s="4" t="s">
        <v>68</v>
      </c>
      <c r="P1589" s="4" t="s">
        <v>1064</v>
      </c>
      <c r="Q1589" s="5">
        <v>85500</v>
      </c>
      <c r="R1589" s="4">
        <v>0</v>
      </c>
      <c r="S1589" s="9">
        <f t="shared" si="59"/>
        <v>85500</v>
      </c>
      <c r="T1589" s="4" t="s">
        <v>53</v>
      </c>
      <c r="U1589" s="4" t="s">
        <v>154</v>
      </c>
      <c r="V1589" s="4"/>
      <c r="W1589" s="4">
        <v>-15</v>
      </c>
      <c r="X1589" s="4" t="s">
        <v>124</v>
      </c>
      <c r="Y1589" s="4"/>
      <c r="Z1589" s="4" t="str">
        <f t="shared" si="60"/>
        <v>371000-371500 CAPITAL WORK IN PROGRESS</v>
      </c>
      <c r="AA1589" s="36" t="str">
        <f t="shared" si="61"/>
        <v>371059 CWIP-CONSTRUCTION OF PLANT BOUNDARY WALL</v>
      </c>
      <c r="AB1589" s="4" t="str">
        <f t="shared" si="62"/>
        <v>WALL</v>
      </c>
      <c r="AC1589" s="22">
        <f t="shared" si="56"/>
        <v>33.529411764705884</v>
      </c>
    </row>
    <row r="1590" spans="1:29" x14ac:dyDescent="0.35">
      <c r="A1590" s="4">
        <v>7092</v>
      </c>
      <c r="B1590" s="6">
        <v>45996.578877314816</v>
      </c>
      <c r="C1590" s="6">
        <v>45996</v>
      </c>
      <c r="D1590" s="4" t="s">
        <v>3604</v>
      </c>
      <c r="E1590" s="4" t="s">
        <v>61</v>
      </c>
      <c r="F1590" s="4" t="s">
        <v>3605</v>
      </c>
      <c r="G1590" s="4" t="s">
        <v>3605</v>
      </c>
      <c r="H1590" s="4"/>
      <c r="I1590" s="4"/>
      <c r="J1590" s="4" t="s">
        <v>59</v>
      </c>
      <c r="K1590" s="4" t="s">
        <v>58</v>
      </c>
      <c r="L1590" s="4" t="s">
        <v>57</v>
      </c>
      <c r="M1590" s="4" t="s">
        <v>32</v>
      </c>
      <c r="N1590" s="4" t="s">
        <v>114</v>
      </c>
      <c r="O1590" s="4" t="s">
        <v>68</v>
      </c>
      <c r="P1590" s="4" t="s">
        <v>1064</v>
      </c>
      <c r="Q1590" s="5">
        <v>285611.76</v>
      </c>
      <c r="R1590" s="4">
        <v>0</v>
      </c>
      <c r="S1590" s="9">
        <f t="shared" si="59"/>
        <v>285611.76</v>
      </c>
      <c r="T1590" s="4" t="s">
        <v>53</v>
      </c>
      <c r="U1590" s="4" t="s">
        <v>130</v>
      </c>
      <c r="V1590" s="4"/>
      <c r="W1590" s="4">
        <v>-20</v>
      </c>
      <c r="X1590" s="4" t="s">
        <v>129</v>
      </c>
      <c r="Y1590" s="4"/>
      <c r="Z1590" s="4" t="str">
        <f t="shared" si="60"/>
        <v>371000-371500 CAPITAL WORK IN PROGRESS</v>
      </c>
      <c r="AA1590" s="36" t="str">
        <f t="shared" si="61"/>
        <v>371059 CWIP-CONSTRUCTION OF PLANT BOUNDARY WALL</v>
      </c>
      <c r="AB1590" s="4" t="str">
        <f t="shared" si="62"/>
        <v>WALL</v>
      </c>
      <c r="AC1590" s="22">
        <f t="shared" si="56"/>
        <v>112.00461176470588</v>
      </c>
    </row>
    <row r="1591" spans="1:29" x14ac:dyDescent="0.35">
      <c r="A1591" s="4">
        <v>7091</v>
      </c>
      <c r="B1591" s="6">
        <v>45996.578877314816</v>
      </c>
      <c r="C1591" s="6">
        <v>45996</v>
      </c>
      <c r="D1591" s="4" t="s">
        <v>3606</v>
      </c>
      <c r="E1591" s="4" t="s">
        <v>61</v>
      </c>
      <c r="F1591" s="4" t="s">
        <v>3607</v>
      </c>
      <c r="G1591" s="4" t="s">
        <v>3607</v>
      </c>
      <c r="H1591" s="4"/>
      <c r="I1591" s="4"/>
      <c r="J1591" s="4" t="s">
        <v>59</v>
      </c>
      <c r="K1591" s="4" t="s">
        <v>58</v>
      </c>
      <c r="L1591" s="4" t="s">
        <v>57</v>
      </c>
      <c r="M1591" s="4" t="s">
        <v>32</v>
      </c>
      <c r="N1591" s="4" t="s">
        <v>114</v>
      </c>
      <c r="O1591" s="4" t="s">
        <v>68</v>
      </c>
      <c r="P1591" s="4" t="s">
        <v>1064</v>
      </c>
      <c r="Q1591" s="5">
        <v>407787.85</v>
      </c>
      <c r="R1591" s="4">
        <v>0</v>
      </c>
      <c r="S1591" s="9">
        <f t="shared" si="59"/>
        <v>407787.85</v>
      </c>
      <c r="T1591" s="4" t="s">
        <v>53</v>
      </c>
      <c r="U1591" s="4" t="s">
        <v>175</v>
      </c>
      <c r="V1591" s="4"/>
      <c r="W1591" s="4">
        <v>-20</v>
      </c>
      <c r="X1591" s="4" t="s">
        <v>129</v>
      </c>
      <c r="Y1591" s="4"/>
      <c r="Z1591" s="4" t="str">
        <f t="shared" si="60"/>
        <v>371000-371500 CAPITAL WORK IN PROGRESS</v>
      </c>
      <c r="AA1591" s="36" t="str">
        <f t="shared" si="61"/>
        <v>371059 CWIP-CONSTRUCTION OF PLANT BOUNDARY WALL</v>
      </c>
      <c r="AB1591" s="4" t="str">
        <f t="shared" si="62"/>
        <v>WALL</v>
      </c>
      <c r="AC1591" s="22">
        <f t="shared" si="56"/>
        <v>159.91680392156863</v>
      </c>
    </row>
    <row r="1592" spans="1:29" x14ac:dyDescent="0.35">
      <c r="A1592" s="4">
        <v>1686</v>
      </c>
      <c r="B1592" s="6">
        <v>45993.586458333331</v>
      </c>
      <c r="C1592" s="6">
        <v>45993</v>
      </c>
      <c r="D1592" s="4" t="s">
        <v>3608</v>
      </c>
      <c r="E1592" s="4" t="s">
        <v>61</v>
      </c>
      <c r="F1592" s="4" t="s">
        <v>3609</v>
      </c>
      <c r="G1592" s="4" t="s">
        <v>3609</v>
      </c>
      <c r="H1592" s="4"/>
      <c r="I1592" s="4"/>
      <c r="J1592" s="4" t="s">
        <v>59</v>
      </c>
      <c r="K1592" s="4" t="s">
        <v>58</v>
      </c>
      <c r="L1592" s="4" t="s">
        <v>57</v>
      </c>
      <c r="M1592" s="4" t="s">
        <v>32</v>
      </c>
      <c r="N1592" s="4" t="s">
        <v>114</v>
      </c>
      <c r="O1592" s="4" t="s">
        <v>68</v>
      </c>
      <c r="P1592" s="4" t="s">
        <v>1064</v>
      </c>
      <c r="Q1592" s="5">
        <v>714029.37</v>
      </c>
      <c r="R1592" s="4">
        <v>0</v>
      </c>
      <c r="S1592" s="9">
        <f t="shared" si="59"/>
        <v>714029.37</v>
      </c>
      <c r="T1592" s="4" t="s">
        <v>53</v>
      </c>
      <c r="U1592" s="4" t="s">
        <v>130</v>
      </c>
      <c r="V1592" s="4"/>
      <c r="W1592" s="4">
        <v>-50</v>
      </c>
      <c r="X1592" s="4" t="s">
        <v>129</v>
      </c>
      <c r="Y1592" s="4"/>
      <c r="Z1592" s="4" t="str">
        <f t="shared" si="60"/>
        <v>371000-371500 CAPITAL WORK IN PROGRESS</v>
      </c>
      <c r="AA1592" s="36" t="str">
        <f t="shared" si="61"/>
        <v>371059 CWIP-CONSTRUCTION OF PLANT BOUNDARY WALL</v>
      </c>
      <c r="AB1592" s="4" t="str">
        <f t="shared" si="62"/>
        <v>WALL</v>
      </c>
      <c r="AC1592" s="22">
        <f t="shared" ref="AC1592:AC1639" si="63">+S1592/$AC$1</f>
        <v>280.01151764705884</v>
      </c>
    </row>
    <row r="1593" spans="1:29" x14ac:dyDescent="0.35">
      <c r="A1593" s="4">
        <v>1683</v>
      </c>
      <c r="B1593" s="6">
        <v>45993.586458333331</v>
      </c>
      <c r="C1593" s="6">
        <v>45993</v>
      </c>
      <c r="D1593" s="4" t="s">
        <v>3610</v>
      </c>
      <c r="E1593" s="4" t="s">
        <v>61</v>
      </c>
      <c r="F1593" s="4" t="s">
        <v>3611</v>
      </c>
      <c r="G1593" s="4" t="s">
        <v>3611</v>
      </c>
      <c r="H1593" s="4"/>
      <c r="I1593" s="4"/>
      <c r="J1593" s="4" t="s">
        <v>59</v>
      </c>
      <c r="K1593" s="4" t="s">
        <v>58</v>
      </c>
      <c r="L1593" s="4" t="s">
        <v>57</v>
      </c>
      <c r="M1593" s="4" t="s">
        <v>32</v>
      </c>
      <c r="N1593" s="4" t="s">
        <v>114</v>
      </c>
      <c r="O1593" s="4" t="s">
        <v>68</v>
      </c>
      <c r="P1593" s="4" t="s">
        <v>1064</v>
      </c>
      <c r="Q1593" s="5">
        <v>40975.089999999997</v>
      </c>
      <c r="R1593" s="4">
        <v>0</v>
      </c>
      <c r="S1593" s="9">
        <f t="shared" si="59"/>
        <v>40975.089999999997</v>
      </c>
      <c r="T1593" s="4" t="s">
        <v>53</v>
      </c>
      <c r="U1593" s="4" t="s">
        <v>271</v>
      </c>
      <c r="V1593" s="4"/>
      <c r="W1593" s="4">
        <v>-10</v>
      </c>
      <c r="X1593" s="4" t="s">
        <v>124</v>
      </c>
      <c r="Y1593" s="4"/>
      <c r="Z1593" s="4" t="str">
        <f t="shared" si="60"/>
        <v>371000-371500 CAPITAL WORK IN PROGRESS</v>
      </c>
      <c r="AA1593" s="36" t="str">
        <f t="shared" si="61"/>
        <v>371059 CWIP-CONSTRUCTION OF PLANT BOUNDARY WALL</v>
      </c>
      <c r="AB1593" s="4" t="str">
        <f t="shared" si="62"/>
        <v>WALL</v>
      </c>
      <c r="AC1593" s="22">
        <f t="shared" si="63"/>
        <v>16.068662745098038</v>
      </c>
    </row>
    <row r="1594" spans="1:29" x14ac:dyDescent="0.35">
      <c r="A1594" s="4">
        <v>1682</v>
      </c>
      <c r="B1594" s="6">
        <v>45993.586458333331</v>
      </c>
      <c r="C1594" s="6">
        <v>45993</v>
      </c>
      <c r="D1594" s="4" t="s">
        <v>3612</v>
      </c>
      <c r="E1594" s="4" t="s">
        <v>61</v>
      </c>
      <c r="F1594" s="4" t="s">
        <v>3613</v>
      </c>
      <c r="G1594" s="4" t="s">
        <v>3613</v>
      </c>
      <c r="H1594" s="4"/>
      <c r="I1594" s="4"/>
      <c r="J1594" s="4" t="s">
        <v>59</v>
      </c>
      <c r="K1594" s="4" t="s">
        <v>58</v>
      </c>
      <c r="L1594" s="4" t="s">
        <v>57</v>
      </c>
      <c r="M1594" s="4" t="s">
        <v>32</v>
      </c>
      <c r="N1594" s="4" t="s">
        <v>114</v>
      </c>
      <c r="O1594" s="4" t="s">
        <v>68</v>
      </c>
      <c r="P1594" s="4" t="s">
        <v>1064</v>
      </c>
      <c r="Q1594" s="5">
        <v>2385000</v>
      </c>
      <c r="R1594" s="4">
        <v>0</v>
      </c>
      <c r="S1594" s="9">
        <f t="shared" si="59"/>
        <v>2385000</v>
      </c>
      <c r="T1594" s="4" t="s">
        <v>53</v>
      </c>
      <c r="U1594" s="4" t="s">
        <v>3271</v>
      </c>
      <c r="V1594" s="4"/>
      <c r="W1594" s="4">
        <v>-30</v>
      </c>
      <c r="X1594" s="4" t="s">
        <v>94</v>
      </c>
      <c r="Y1594" s="4"/>
      <c r="Z1594" s="4" t="str">
        <f t="shared" si="60"/>
        <v>371000-371500 CAPITAL WORK IN PROGRESS</v>
      </c>
      <c r="AA1594" s="36" t="str">
        <f t="shared" si="61"/>
        <v>371059 CWIP-CONSTRUCTION OF PLANT BOUNDARY WALL</v>
      </c>
      <c r="AB1594" s="4" t="str">
        <f t="shared" si="62"/>
        <v>WALL</v>
      </c>
      <c r="AC1594" s="22">
        <f t="shared" si="63"/>
        <v>935.29411764705878</v>
      </c>
    </row>
    <row r="1595" spans="1:29" x14ac:dyDescent="0.35">
      <c r="A1595" s="4">
        <v>55196</v>
      </c>
      <c r="B1595" s="6">
        <v>46022.58289351852</v>
      </c>
      <c r="C1595" s="6">
        <v>46022</v>
      </c>
      <c r="D1595" s="4" t="s">
        <v>3614</v>
      </c>
      <c r="E1595" s="4" t="s">
        <v>61</v>
      </c>
      <c r="F1595" s="4" t="s">
        <v>3615</v>
      </c>
      <c r="G1595" s="4" t="s">
        <v>3615</v>
      </c>
      <c r="H1595" s="4"/>
      <c r="I1595" s="4"/>
      <c r="J1595" s="4" t="s">
        <v>59</v>
      </c>
      <c r="K1595" s="4" t="s">
        <v>58</v>
      </c>
      <c r="L1595" s="4" t="s">
        <v>57</v>
      </c>
      <c r="M1595" s="4" t="s">
        <v>32</v>
      </c>
      <c r="N1595" s="4" t="s">
        <v>106</v>
      </c>
      <c r="O1595" s="4" t="s">
        <v>105</v>
      </c>
      <c r="P1595" s="4" t="s">
        <v>1064</v>
      </c>
      <c r="Q1595" s="5">
        <v>510244.74</v>
      </c>
      <c r="R1595" s="4">
        <v>0</v>
      </c>
      <c r="S1595" s="9">
        <f t="shared" si="59"/>
        <v>510244.74</v>
      </c>
      <c r="T1595" s="4" t="s">
        <v>53</v>
      </c>
      <c r="U1595" s="4" t="s">
        <v>172</v>
      </c>
      <c r="V1595" s="4"/>
      <c r="W1595" s="4">
        <v>-14</v>
      </c>
      <c r="X1595" s="4" t="s">
        <v>129</v>
      </c>
      <c r="Y1595" s="4"/>
      <c r="Z1595" s="4" t="str">
        <f t="shared" si="60"/>
        <v>371000-371500 CAPITAL WORK IN PROGRESS</v>
      </c>
      <c r="AA1595" s="36" t="str">
        <f t="shared" si="61"/>
        <v>371012 CWIP-QUARRY RAW MATERIAL SHED EXTENSION</v>
      </c>
      <c r="AB1595" s="4" t="str">
        <f t="shared" si="62"/>
        <v>RM SHED</v>
      </c>
      <c r="AC1595" s="22">
        <f t="shared" si="63"/>
        <v>200.09597647058823</v>
      </c>
    </row>
    <row r="1596" spans="1:29" x14ac:dyDescent="0.35">
      <c r="A1596" s="4">
        <v>55190</v>
      </c>
      <c r="B1596" s="6">
        <v>46022.584930555553</v>
      </c>
      <c r="C1596" s="6">
        <v>46022</v>
      </c>
      <c r="D1596" s="4" t="s">
        <v>3616</v>
      </c>
      <c r="E1596" s="4" t="s">
        <v>61</v>
      </c>
      <c r="F1596" s="4" t="s">
        <v>3617</v>
      </c>
      <c r="G1596" s="4" t="s">
        <v>3617</v>
      </c>
      <c r="H1596" s="4"/>
      <c r="I1596" s="4"/>
      <c r="J1596" s="4" t="s">
        <v>59</v>
      </c>
      <c r="K1596" s="4" t="s">
        <v>58</v>
      </c>
      <c r="L1596" s="4" t="s">
        <v>57</v>
      </c>
      <c r="M1596" s="4" t="s">
        <v>32</v>
      </c>
      <c r="N1596" s="4" t="s">
        <v>106</v>
      </c>
      <c r="O1596" s="4" t="s">
        <v>105</v>
      </c>
      <c r="P1596" s="4" t="s">
        <v>1064</v>
      </c>
      <c r="Q1596" s="5">
        <v>57000</v>
      </c>
      <c r="R1596" s="4">
        <v>0</v>
      </c>
      <c r="S1596" s="9">
        <f t="shared" si="59"/>
        <v>57000</v>
      </c>
      <c r="T1596" s="4" t="s">
        <v>53</v>
      </c>
      <c r="U1596" s="4" t="s">
        <v>151</v>
      </c>
      <c r="V1596" s="4"/>
      <c r="W1596" s="4">
        <v>-10</v>
      </c>
      <c r="X1596" s="4" t="s">
        <v>124</v>
      </c>
      <c r="Y1596" s="4"/>
      <c r="Z1596" s="4" t="str">
        <f t="shared" si="60"/>
        <v>371000-371500 CAPITAL WORK IN PROGRESS</v>
      </c>
      <c r="AA1596" s="36" t="str">
        <f t="shared" si="61"/>
        <v>371012 CWIP-QUARRY RAW MATERIAL SHED EXTENSION</v>
      </c>
      <c r="AB1596" s="4" t="str">
        <f t="shared" si="62"/>
        <v>RM SHED</v>
      </c>
      <c r="AC1596" s="22">
        <f t="shared" si="63"/>
        <v>22.352941176470587</v>
      </c>
    </row>
    <row r="1597" spans="1:29" x14ac:dyDescent="0.35">
      <c r="A1597" s="4">
        <v>55188</v>
      </c>
      <c r="B1597" s="6">
        <v>46022.584930555553</v>
      </c>
      <c r="C1597" s="6">
        <v>46022</v>
      </c>
      <c r="D1597" s="4" t="s">
        <v>3618</v>
      </c>
      <c r="E1597" s="4" t="s">
        <v>61</v>
      </c>
      <c r="F1597" s="4" t="s">
        <v>3619</v>
      </c>
      <c r="G1597" s="4" t="s">
        <v>3619</v>
      </c>
      <c r="H1597" s="4"/>
      <c r="I1597" s="4"/>
      <c r="J1597" s="4" t="s">
        <v>59</v>
      </c>
      <c r="K1597" s="4" t="s">
        <v>58</v>
      </c>
      <c r="L1597" s="4" t="s">
        <v>57</v>
      </c>
      <c r="M1597" s="4" t="s">
        <v>32</v>
      </c>
      <c r="N1597" s="4" t="s">
        <v>106</v>
      </c>
      <c r="O1597" s="4" t="s">
        <v>105</v>
      </c>
      <c r="P1597" s="4" t="s">
        <v>1064</v>
      </c>
      <c r="Q1597" s="5">
        <v>19902.54</v>
      </c>
      <c r="R1597" s="4">
        <v>0</v>
      </c>
      <c r="S1597" s="9">
        <f t="shared" si="59"/>
        <v>19902.54</v>
      </c>
      <c r="T1597" s="4" t="s">
        <v>53</v>
      </c>
      <c r="U1597" s="4" t="s">
        <v>739</v>
      </c>
      <c r="V1597" s="4"/>
      <c r="W1597" s="4">
        <v>-2</v>
      </c>
      <c r="X1597" s="4" t="s">
        <v>124</v>
      </c>
      <c r="Y1597" s="4"/>
      <c r="Z1597" s="4" t="str">
        <f t="shared" si="60"/>
        <v>371000-371500 CAPITAL WORK IN PROGRESS</v>
      </c>
      <c r="AA1597" s="36" t="str">
        <f t="shared" si="61"/>
        <v>371012 CWIP-QUARRY RAW MATERIAL SHED EXTENSION</v>
      </c>
      <c r="AB1597" s="4" t="str">
        <f t="shared" si="62"/>
        <v>RM SHED</v>
      </c>
      <c r="AC1597" s="22">
        <f t="shared" si="63"/>
        <v>7.804917647058824</v>
      </c>
    </row>
    <row r="1598" spans="1:29" x14ac:dyDescent="0.35">
      <c r="A1598" s="4">
        <v>55186</v>
      </c>
      <c r="B1598" s="6">
        <v>46022.584930555553</v>
      </c>
      <c r="C1598" s="6">
        <v>46022</v>
      </c>
      <c r="D1598" s="4" t="s">
        <v>3620</v>
      </c>
      <c r="E1598" s="4" t="s">
        <v>61</v>
      </c>
      <c r="F1598" s="4" t="s">
        <v>3621</v>
      </c>
      <c r="G1598" s="4" t="s">
        <v>3621</v>
      </c>
      <c r="H1598" s="4"/>
      <c r="I1598" s="4"/>
      <c r="J1598" s="4" t="s">
        <v>59</v>
      </c>
      <c r="K1598" s="4" t="s">
        <v>58</v>
      </c>
      <c r="L1598" s="4" t="s">
        <v>57</v>
      </c>
      <c r="M1598" s="4" t="s">
        <v>32</v>
      </c>
      <c r="N1598" s="4" t="s">
        <v>106</v>
      </c>
      <c r="O1598" s="4" t="s">
        <v>105</v>
      </c>
      <c r="P1598" s="4" t="s">
        <v>1064</v>
      </c>
      <c r="Q1598" s="5">
        <v>703389.8</v>
      </c>
      <c r="R1598" s="4">
        <v>0</v>
      </c>
      <c r="S1598" s="9">
        <f t="shared" si="59"/>
        <v>703389.8</v>
      </c>
      <c r="T1598" s="4" t="s">
        <v>53</v>
      </c>
      <c r="U1598" s="4" t="s">
        <v>165</v>
      </c>
      <c r="V1598" s="4"/>
      <c r="W1598" s="4">
        <v>-20</v>
      </c>
      <c r="X1598" s="4" t="s">
        <v>94</v>
      </c>
      <c r="Y1598" s="4"/>
      <c r="Z1598" s="4" t="str">
        <f t="shared" si="60"/>
        <v>371000-371500 CAPITAL WORK IN PROGRESS</v>
      </c>
      <c r="AA1598" s="36" t="str">
        <f t="shared" si="61"/>
        <v>371012 CWIP-QUARRY RAW MATERIAL SHED EXTENSION</v>
      </c>
      <c r="AB1598" s="4" t="str">
        <f t="shared" si="62"/>
        <v>RM SHED</v>
      </c>
      <c r="AC1598" s="22">
        <f t="shared" si="63"/>
        <v>275.83913725490197</v>
      </c>
    </row>
    <row r="1599" spans="1:29" x14ac:dyDescent="0.35">
      <c r="A1599" s="4">
        <v>39087</v>
      </c>
      <c r="B1599" s="6">
        <v>46014.593761574077</v>
      </c>
      <c r="C1599" s="6">
        <v>46014</v>
      </c>
      <c r="D1599" s="4" t="s">
        <v>3622</v>
      </c>
      <c r="E1599" s="4" t="s">
        <v>61</v>
      </c>
      <c r="F1599" s="4" t="s">
        <v>3623</v>
      </c>
      <c r="G1599" s="4" t="s">
        <v>3623</v>
      </c>
      <c r="H1599" s="4"/>
      <c r="I1599" s="4"/>
      <c r="J1599" s="4" t="s">
        <v>59</v>
      </c>
      <c r="K1599" s="4" t="s">
        <v>58</v>
      </c>
      <c r="L1599" s="4" t="s">
        <v>57</v>
      </c>
      <c r="M1599" s="4" t="s">
        <v>32</v>
      </c>
      <c r="N1599" s="4" t="s">
        <v>106</v>
      </c>
      <c r="O1599" s="4" t="s">
        <v>105</v>
      </c>
      <c r="P1599" s="4" t="s">
        <v>1064</v>
      </c>
      <c r="Q1599" s="5">
        <v>4173120</v>
      </c>
      <c r="R1599" s="4">
        <v>0</v>
      </c>
      <c r="S1599" s="9">
        <f t="shared" si="59"/>
        <v>4173120</v>
      </c>
      <c r="T1599" s="4" t="s">
        <v>53</v>
      </c>
      <c r="U1599" s="4" t="s">
        <v>339</v>
      </c>
      <c r="V1599" s="4"/>
      <c r="W1599" s="4">
        <v>-38.64</v>
      </c>
      <c r="X1599" s="4" t="s">
        <v>338</v>
      </c>
      <c r="Y1599" s="4"/>
      <c r="Z1599" s="4" t="str">
        <f t="shared" si="60"/>
        <v>371000-371500 CAPITAL WORK IN PROGRESS</v>
      </c>
      <c r="AA1599" s="36" t="str">
        <f t="shared" si="61"/>
        <v>371012 CWIP-QUARRY RAW MATERIAL SHED EXTENSION</v>
      </c>
      <c r="AB1599" s="4" t="str">
        <f t="shared" si="62"/>
        <v>RM SHED</v>
      </c>
      <c r="AC1599" s="22">
        <f t="shared" si="63"/>
        <v>1636.5176470588235</v>
      </c>
    </row>
    <row r="1600" spans="1:29" x14ac:dyDescent="0.35">
      <c r="A1600" s="4">
        <v>36989</v>
      </c>
      <c r="B1600" s="6">
        <v>46013.607361111113</v>
      </c>
      <c r="C1600" s="6">
        <v>46013</v>
      </c>
      <c r="D1600" s="4" t="s">
        <v>3624</v>
      </c>
      <c r="E1600" s="4" t="s">
        <v>61</v>
      </c>
      <c r="F1600" s="4" t="s">
        <v>3625</v>
      </c>
      <c r="G1600" s="4" t="s">
        <v>3625</v>
      </c>
      <c r="H1600" s="4"/>
      <c r="I1600" s="4"/>
      <c r="J1600" s="4" t="s">
        <v>59</v>
      </c>
      <c r="K1600" s="4" t="s">
        <v>58</v>
      </c>
      <c r="L1600" s="4" t="s">
        <v>57</v>
      </c>
      <c r="M1600" s="4" t="s">
        <v>32</v>
      </c>
      <c r="N1600" s="4" t="s">
        <v>106</v>
      </c>
      <c r="O1600" s="4" t="s">
        <v>105</v>
      </c>
      <c r="P1600" s="4" t="s">
        <v>1064</v>
      </c>
      <c r="Q1600" s="5">
        <v>57000</v>
      </c>
      <c r="R1600" s="4">
        <v>0</v>
      </c>
      <c r="S1600" s="9">
        <f t="shared" si="59"/>
        <v>57000</v>
      </c>
      <c r="T1600" s="4" t="s">
        <v>53</v>
      </c>
      <c r="U1600" s="4" t="s">
        <v>154</v>
      </c>
      <c r="V1600" s="4"/>
      <c r="W1600" s="4">
        <v>-10</v>
      </c>
      <c r="X1600" s="4" t="s">
        <v>124</v>
      </c>
      <c r="Y1600" s="4"/>
      <c r="Z1600" s="4" t="str">
        <f t="shared" si="60"/>
        <v>371000-371500 CAPITAL WORK IN PROGRESS</v>
      </c>
      <c r="AA1600" s="36" t="str">
        <f t="shared" si="61"/>
        <v>371012 CWIP-QUARRY RAW MATERIAL SHED EXTENSION</v>
      </c>
      <c r="AB1600" s="4" t="str">
        <f t="shared" si="62"/>
        <v>RM SHED</v>
      </c>
      <c r="AC1600" s="22">
        <f t="shared" si="63"/>
        <v>22.352941176470587</v>
      </c>
    </row>
    <row r="1601" spans="1:29" x14ac:dyDescent="0.35">
      <c r="A1601" s="4">
        <v>36988</v>
      </c>
      <c r="B1601" s="6">
        <v>46013.607361111113</v>
      </c>
      <c r="C1601" s="6">
        <v>46013</v>
      </c>
      <c r="D1601" s="4" t="s">
        <v>3626</v>
      </c>
      <c r="E1601" s="4" t="s">
        <v>61</v>
      </c>
      <c r="F1601" s="4" t="s">
        <v>3627</v>
      </c>
      <c r="G1601" s="4" t="s">
        <v>3627</v>
      </c>
      <c r="H1601" s="4"/>
      <c r="I1601" s="4"/>
      <c r="J1601" s="4" t="s">
        <v>59</v>
      </c>
      <c r="K1601" s="4" t="s">
        <v>58</v>
      </c>
      <c r="L1601" s="4" t="s">
        <v>57</v>
      </c>
      <c r="M1601" s="4" t="s">
        <v>32</v>
      </c>
      <c r="N1601" s="4" t="s">
        <v>106</v>
      </c>
      <c r="O1601" s="4" t="s">
        <v>105</v>
      </c>
      <c r="P1601" s="4" t="s">
        <v>1064</v>
      </c>
      <c r="Q1601" s="5">
        <v>9951.27</v>
      </c>
      <c r="R1601" s="4">
        <v>0</v>
      </c>
      <c r="S1601" s="9">
        <f t="shared" si="59"/>
        <v>9951.27</v>
      </c>
      <c r="T1601" s="4" t="s">
        <v>53</v>
      </c>
      <c r="U1601" s="4" t="s">
        <v>739</v>
      </c>
      <c r="V1601" s="4"/>
      <c r="W1601" s="4">
        <v>-1</v>
      </c>
      <c r="X1601" s="4" t="s">
        <v>124</v>
      </c>
      <c r="Y1601" s="4"/>
      <c r="Z1601" s="4" t="str">
        <f t="shared" si="60"/>
        <v>371000-371500 CAPITAL WORK IN PROGRESS</v>
      </c>
      <c r="AA1601" s="36" t="str">
        <f t="shared" si="61"/>
        <v>371012 CWIP-QUARRY RAW MATERIAL SHED EXTENSION</v>
      </c>
      <c r="AB1601" s="4" t="str">
        <f t="shared" si="62"/>
        <v>RM SHED</v>
      </c>
      <c r="AC1601" s="22">
        <f t="shared" si="63"/>
        <v>3.902458823529412</v>
      </c>
    </row>
    <row r="1602" spans="1:29" x14ac:dyDescent="0.35">
      <c r="A1602" s="4">
        <v>36985</v>
      </c>
      <c r="B1602" s="6">
        <v>46013.607361111113</v>
      </c>
      <c r="C1602" s="6">
        <v>46013</v>
      </c>
      <c r="D1602" s="4" t="s">
        <v>3628</v>
      </c>
      <c r="E1602" s="4" t="s">
        <v>61</v>
      </c>
      <c r="F1602" s="4" t="s">
        <v>3629</v>
      </c>
      <c r="G1602" s="4" t="s">
        <v>3629</v>
      </c>
      <c r="H1602" s="4"/>
      <c r="I1602" s="4"/>
      <c r="J1602" s="4" t="s">
        <v>59</v>
      </c>
      <c r="K1602" s="4" t="s">
        <v>58</v>
      </c>
      <c r="L1602" s="4" t="s">
        <v>57</v>
      </c>
      <c r="M1602" s="4" t="s">
        <v>32</v>
      </c>
      <c r="N1602" s="4" t="s">
        <v>106</v>
      </c>
      <c r="O1602" s="4" t="s">
        <v>105</v>
      </c>
      <c r="P1602" s="4" t="s">
        <v>1064</v>
      </c>
      <c r="Q1602" s="5">
        <v>114500</v>
      </c>
      <c r="R1602" s="4">
        <v>0</v>
      </c>
      <c r="S1602" s="9">
        <f t="shared" si="59"/>
        <v>114500</v>
      </c>
      <c r="T1602" s="4" t="s">
        <v>53</v>
      </c>
      <c r="U1602" s="4" t="s">
        <v>133</v>
      </c>
      <c r="V1602" s="4"/>
      <c r="W1602" s="4">
        <v>-22.9</v>
      </c>
      <c r="X1602" s="4" t="s">
        <v>124</v>
      </c>
      <c r="Y1602" s="4"/>
      <c r="Z1602" s="4" t="str">
        <f t="shared" si="60"/>
        <v>371000-371500 CAPITAL WORK IN PROGRESS</v>
      </c>
      <c r="AA1602" s="36" t="str">
        <f t="shared" si="61"/>
        <v>371012 CWIP-QUARRY RAW MATERIAL SHED EXTENSION</v>
      </c>
      <c r="AB1602" s="4" t="str">
        <f t="shared" si="62"/>
        <v>RM SHED</v>
      </c>
      <c r="AC1602" s="22">
        <f t="shared" si="63"/>
        <v>44.901960784313722</v>
      </c>
    </row>
    <row r="1603" spans="1:29" x14ac:dyDescent="0.35">
      <c r="A1603" s="4">
        <v>36983</v>
      </c>
      <c r="B1603" s="6">
        <v>46013.607361111113</v>
      </c>
      <c r="C1603" s="6">
        <v>46013</v>
      </c>
      <c r="D1603" s="4" t="s">
        <v>3630</v>
      </c>
      <c r="E1603" s="4" t="s">
        <v>61</v>
      </c>
      <c r="F1603" s="4" t="s">
        <v>3631</v>
      </c>
      <c r="G1603" s="4" t="s">
        <v>3631</v>
      </c>
      <c r="H1603" s="4"/>
      <c r="I1603" s="4"/>
      <c r="J1603" s="4" t="s">
        <v>59</v>
      </c>
      <c r="K1603" s="4" t="s">
        <v>58</v>
      </c>
      <c r="L1603" s="4" t="s">
        <v>57</v>
      </c>
      <c r="M1603" s="4" t="s">
        <v>32</v>
      </c>
      <c r="N1603" s="4" t="s">
        <v>106</v>
      </c>
      <c r="O1603" s="4" t="s">
        <v>105</v>
      </c>
      <c r="P1603" s="4" t="s">
        <v>1064</v>
      </c>
      <c r="Q1603" s="5">
        <v>25762.82</v>
      </c>
      <c r="R1603" s="4">
        <v>0</v>
      </c>
      <c r="S1603" s="9">
        <f t="shared" ref="S1603:S1666" si="64">+Q1603-R1603</f>
        <v>25762.82</v>
      </c>
      <c r="T1603" s="4" t="s">
        <v>53</v>
      </c>
      <c r="U1603" s="4" t="s">
        <v>117</v>
      </c>
      <c r="V1603" s="4"/>
      <c r="W1603" s="4">
        <v>-8</v>
      </c>
      <c r="X1603" s="4" t="s">
        <v>94</v>
      </c>
      <c r="Y1603" s="4"/>
      <c r="Z1603" s="4" t="str">
        <f t="shared" si="60"/>
        <v>371000-371500 CAPITAL WORK IN PROGRESS</v>
      </c>
      <c r="AA1603" s="36" t="str">
        <f t="shared" si="61"/>
        <v>371012 CWIP-QUARRY RAW MATERIAL SHED EXTENSION</v>
      </c>
      <c r="AB1603" s="4" t="str">
        <f t="shared" si="62"/>
        <v>RM SHED</v>
      </c>
      <c r="AC1603" s="22">
        <f t="shared" si="63"/>
        <v>10.103066666666667</v>
      </c>
    </row>
    <row r="1604" spans="1:29" x14ac:dyDescent="0.35">
      <c r="A1604" s="4">
        <v>33611</v>
      </c>
      <c r="B1604" s="6">
        <v>46010.355624999997</v>
      </c>
      <c r="C1604" s="6">
        <v>46010</v>
      </c>
      <c r="D1604" s="4" t="s">
        <v>3632</v>
      </c>
      <c r="E1604" s="4" t="s">
        <v>61</v>
      </c>
      <c r="F1604" s="4" t="s">
        <v>3633</v>
      </c>
      <c r="G1604" s="4" t="s">
        <v>3633</v>
      </c>
      <c r="H1604" s="4"/>
      <c r="I1604" s="4"/>
      <c r="J1604" s="4" t="s">
        <v>59</v>
      </c>
      <c r="K1604" s="4" t="s">
        <v>58</v>
      </c>
      <c r="L1604" s="4" t="s">
        <v>57</v>
      </c>
      <c r="M1604" s="4" t="s">
        <v>32</v>
      </c>
      <c r="N1604" s="4" t="s">
        <v>106</v>
      </c>
      <c r="O1604" s="4" t="s">
        <v>105</v>
      </c>
      <c r="P1604" s="4" t="s">
        <v>1064</v>
      </c>
      <c r="Q1604" s="5">
        <v>5264331.4400000004</v>
      </c>
      <c r="R1604" s="4">
        <v>0</v>
      </c>
      <c r="S1604" s="9">
        <f t="shared" si="64"/>
        <v>5264331.4400000004</v>
      </c>
      <c r="T1604" s="4" t="s">
        <v>53</v>
      </c>
      <c r="U1604" s="4" t="s">
        <v>184</v>
      </c>
      <c r="V1604" s="4"/>
      <c r="W1604" s="4">
        <v>-114200</v>
      </c>
      <c r="X1604" s="4" t="s">
        <v>124</v>
      </c>
      <c r="Y1604" s="4"/>
      <c r="Z1604" s="4" t="str">
        <f t="shared" si="60"/>
        <v>371000-371500 CAPITAL WORK IN PROGRESS</v>
      </c>
      <c r="AA1604" s="36" t="str">
        <f t="shared" si="61"/>
        <v>371012 CWIP-QUARRY RAW MATERIAL SHED EXTENSION</v>
      </c>
      <c r="AB1604" s="4" t="str">
        <f t="shared" si="62"/>
        <v>RM SHED</v>
      </c>
      <c r="AC1604" s="22">
        <f t="shared" si="63"/>
        <v>2064.4437019607844</v>
      </c>
    </row>
    <row r="1605" spans="1:29" x14ac:dyDescent="0.35">
      <c r="A1605" s="4">
        <v>30924</v>
      </c>
      <c r="B1605" s="6">
        <v>46009.564259259256</v>
      </c>
      <c r="C1605" s="6">
        <v>46009</v>
      </c>
      <c r="D1605" s="4" t="s">
        <v>3634</v>
      </c>
      <c r="E1605" s="4" t="s">
        <v>61</v>
      </c>
      <c r="F1605" s="4" t="s">
        <v>3635</v>
      </c>
      <c r="G1605" s="4" t="s">
        <v>3635</v>
      </c>
      <c r="H1605" s="4"/>
      <c r="I1605" s="4"/>
      <c r="J1605" s="4" t="s">
        <v>59</v>
      </c>
      <c r="K1605" s="4" t="s">
        <v>58</v>
      </c>
      <c r="L1605" s="4" t="s">
        <v>57</v>
      </c>
      <c r="M1605" s="4" t="s">
        <v>32</v>
      </c>
      <c r="N1605" s="4" t="s">
        <v>106</v>
      </c>
      <c r="O1605" s="4" t="s">
        <v>105</v>
      </c>
      <c r="P1605" s="4" t="s">
        <v>1064</v>
      </c>
      <c r="Q1605" s="5">
        <v>1421396.07</v>
      </c>
      <c r="R1605" s="4">
        <v>0</v>
      </c>
      <c r="S1605" s="9">
        <f t="shared" si="64"/>
        <v>1421396.07</v>
      </c>
      <c r="T1605" s="4" t="s">
        <v>53</v>
      </c>
      <c r="U1605" s="4" t="s">
        <v>172</v>
      </c>
      <c r="V1605" s="4"/>
      <c r="W1605" s="4">
        <v>-39</v>
      </c>
      <c r="X1605" s="4" t="s">
        <v>129</v>
      </c>
      <c r="Y1605" s="4"/>
      <c r="Z1605" s="4" t="str">
        <f t="shared" si="60"/>
        <v>371000-371500 CAPITAL WORK IN PROGRESS</v>
      </c>
      <c r="AA1605" s="36" t="str">
        <f t="shared" si="61"/>
        <v>371012 CWIP-QUARRY RAW MATERIAL SHED EXTENSION</v>
      </c>
      <c r="AB1605" s="4" t="str">
        <f t="shared" si="62"/>
        <v>RM SHED</v>
      </c>
      <c r="AC1605" s="22">
        <f t="shared" si="63"/>
        <v>557.41022352941184</v>
      </c>
    </row>
    <row r="1606" spans="1:29" x14ac:dyDescent="0.35">
      <c r="A1606" s="4">
        <v>25124</v>
      </c>
      <c r="B1606" s="6">
        <v>46007.597581018519</v>
      </c>
      <c r="C1606" s="6">
        <v>46007</v>
      </c>
      <c r="D1606" s="4" t="s">
        <v>3636</v>
      </c>
      <c r="E1606" s="4" t="s">
        <v>61</v>
      </c>
      <c r="F1606" s="4" t="s">
        <v>3637</v>
      </c>
      <c r="G1606" s="4" t="s">
        <v>3637</v>
      </c>
      <c r="H1606" s="4"/>
      <c r="I1606" s="4"/>
      <c r="J1606" s="4" t="s">
        <v>59</v>
      </c>
      <c r="K1606" s="4" t="s">
        <v>58</v>
      </c>
      <c r="L1606" s="4" t="s">
        <v>57</v>
      </c>
      <c r="M1606" s="4" t="s">
        <v>32</v>
      </c>
      <c r="N1606" s="4" t="s">
        <v>106</v>
      </c>
      <c r="O1606" s="4" t="s">
        <v>105</v>
      </c>
      <c r="P1606" s="4" t="s">
        <v>1064</v>
      </c>
      <c r="Q1606" s="5">
        <v>1749410.55</v>
      </c>
      <c r="R1606" s="4">
        <v>0</v>
      </c>
      <c r="S1606" s="9">
        <f t="shared" si="64"/>
        <v>1749410.55</v>
      </c>
      <c r="T1606" s="4" t="s">
        <v>53</v>
      </c>
      <c r="U1606" s="4" t="s">
        <v>172</v>
      </c>
      <c r="V1606" s="4"/>
      <c r="W1606" s="4">
        <v>-48</v>
      </c>
      <c r="X1606" s="4" t="s">
        <v>129</v>
      </c>
      <c r="Y1606" s="4"/>
      <c r="Z1606" s="4" t="str">
        <f t="shared" si="60"/>
        <v>371000-371500 CAPITAL WORK IN PROGRESS</v>
      </c>
      <c r="AA1606" s="36" t="str">
        <f t="shared" si="61"/>
        <v>371012 CWIP-QUARRY RAW MATERIAL SHED EXTENSION</v>
      </c>
      <c r="AB1606" s="4" t="str">
        <f t="shared" si="62"/>
        <v>RM SHED</v>
      </c>
      <c r="AC1606" s="22">
        <f t="shared" si="63"/>
        <v>686.04335294117652</v>
      </c>
    </row>
    <row r="1607" spans="1:29" x14ac:dyDescent="0.35">
      <c r="A1607" s="4">
        <v>25118</v>
      </c>
      <c r="B1607" s="6">
        <v>46007.598969907405</v>
      </c>
      <c r="C1607" s="6">
        <v>46007</v>
      </c>
      <c r="D1607" s="4" t="s">
        <v>3638</v>
      </c>
      <c r="E1607" s="4" t="s">
        <v>61</v>
      </c>
      <c r="F1607" s="4" t="s">
        <v>3639</v>
      </c>
      <c r="G1607" s="4" t="s">
        <v>3639</v>
      </c>
      <c r="H1607" s="4"/>
      <c r="I1607" s="4"/>
      <c r="J1607" s="4" t="s">
        <v>59</v>
      </c>
      <c r="K1607" s="4" t="s">
        <v>58</v>
      </c>
      <c r="L1607" s="4" t="s">
        <v>57</v>
      </c>
      <c r="M1607" s="4" t="s">
        <v>32</v>
      </c>
      <c r="N1607" s="4" t="s">
        <v>106</v>
      </c>
      <c r="O1607" s="4" t="s">
        <v>105</v>
      </c>
      <c r="P1607" s="4" t="s">
        <v>1064</v>
      </c>
      <c r="Q1607" s="5">
        <v>350000</v>
      </c>
      <c r="R1607" s="4">
        <v>0</v>
      </c>
      <c r="S1607" s="9">
        <f t="shared" si="64"/>
        <v>350000</v>
      </c>
      <c r="T1607" s="4" t="s">
        <v>53</v>
      </c>
      <c r="U1607" s="4" t="s">
        <v>148</v>
      </c>
      <c r="V1607" s="4"/>
      <c r="W1607" s="4">
        <v>-50</v>
      </c>
      <c r="X1607" s="4" t="s">
        <v>94</v>
      </c>
      <c r="Y1607" s="4"/>
      <c r="Z1607" s="4" t="str">
        <f t="shared" si="60"/>
        <v>371000-371500 CAPITAL WORK IN PROGRESS</v>
      </c>
      <c r="AA1607" s="36" t="str">
        <f t="shared" si="61"/>
        <v>371012 CWIP-QUARRY RAW MATERIAL SHED EXTENSION</v>
      </c>
      <c r="AB1607" s="4" t="str">
        <f t="shared" si="62"/>
        <v>RM SHED</v>
      </c>
      <c r="AC1607" s="22">
        <f t="shared" si="63"/>
        <v>137.25490196078431</v>
      </c>
    </row>
    <row r="1608" spans="1:29" x14ac:dyDescent="0.35">
      <c r="A1608" s="4">
        <v>25116</v>
      </c>
      <c r="B1608" s="6">
        <v>46007.598969907405</v>
      </c>
      <c r="C1608" s="6">
        <v>46007</v>
      </c>
      <c r="D1608" s="4" t="s">
        <v>3640</v>
      </c>
      <c r="E1608" s="4" t="s">
        <v>61</v>
      </c>
      <c r="F1608" s="4" t="s">
        <v>3641</v>
      </c>
      <c r="G1608" s="4" t="s">
        <v>3641</v>
      </c>
      <c r="H1608" s="4"/>
      <c r="I1608" s="4"/>
      <c r="J1608" s="4" t="s">
        <v>59</v>
      </c>
      <c r="K1608" s="4" t="s">
        <v>58</v>
      </c>
      <c r="L1608" s="4" t="s">
        <v>57</v>
      </c>
      <c r="M1608" s="4" t="s">
        <v>32</v>
      </c>
      <c r="N1608" s="4" t="s">
        <v>106</v>
      </c>
      <c r="O1608" s="4" t="s">
        <v>105</v>
      </c>
      <c r="P1608" s="4" t="s">
        <v>1064</v>
      </c>
      <c r="Q1608" s="5">
        <v>1055084.7</v>
      </c>
      <c r="R1608" s="4">
        <v>0</v>
      </c>
      <c r="S1608" s="9">
        <f t="shared" si="64"/>
        <v>1055084.7</v>
      </c>
      <c r="T1608" s="4" t="s">
        <v>53</v>
      </c>
      <c r="U1608" s="4" t="s">
        <v>165</v>
      </c>
      <c r="V1608" s="4"/>
      <c r="W1608" s="4">
        <v>-30</v>
      </c>
      <c r="X1608" s="4" t="s">
        <v>94</v>
      </c>
      <c r="Y1608" s="4"/>
      <c r="Z1608" s="4" t="str">
        <f t="shared" si="60"/>
        <v>371000-371500 CAPITAL WORK IN PROGRESS</v>
      </c>
      <c r="AA1608" s="36" t="str">
        <f t="shared" si="61"/>
        <v>371012 CWIP-QUARRY RAW MATERIAL SHED EXTENSION</v>
      </c>
      <c r="AB1608" s="4" t="str">
        <f t="shared" si="62"/>
        <v>RM SHED</v>
      </c>
      <c r="AC1608" s="22">
        <f t="shared" si="63"/>
        <v>413.7587058823529</v>
      </c>
    </row>
    <row r="1609" spans="1:29" x14ac:dyDescent="0.35">
      <c r="A1609" s="4">
        <v>21350</v>
      </c>
      <c r="B1609" s="6">
        <v>46004.557708333334</v>
      </c>
      <c r="C1609" s="6">
        <v>46004</v>
      </c>
      <c r="D1609" s="4" t="s">
        <v>3642</v>
      </c>
      <c r="E1609" s="4" t="s">
        <v>61</v>
      </c>
      <c r="F1609" s="4" t="s">
        <v>3643</v>
      </c>
      <c r="G1609" s="4" t="s">
        <v>3643</v>
      </c>
      <c r="H1609" s="4"/>
      <c r="I1609" s="4"/>
      <c r="J1609" s="4" t="s">
        <v>59</v>
      </c>
      <c r="K1609" s="4" t="s">
        <v>58</v>
      </c>
      <c r="L1609" s="4" t="s">
        <v>57</v>
      </c>
      <c r="M1609" s="4" t="s">
        <v>32</v>
      </c>
      <c r="N1609" s="4" t="s">
        <v>106</v>
      </c>
      <c r="O1609" s="4" t="s">
        <v>105</v>
      </c>
      <c r="P1609" s="4" t="s">
        <v>1064</v>
      </c>
      <c r="Q1609" s="5">
        <v>85500</v>
      </c>
      <c r="R1609" s="4">
        <v>0</v>
      </c>
      <c r="S1609" s="9">
        <f t="shared" si="64"/>
        <v>85500</v>
      </c>
      <c r="T1609" s="4" t="s">
        <v>53</v>
      </c>
      <c r="U1609" s="4" t="s">
        <v>154</v>
      </c>
      <c r="V1609" s="4"/>
      <c r="W1609" s="4">
        <v>-15</v>
      </c>
      <c r="X1609" s="4" t="s">
        <v>124</v>
      </c>
      <c r="Y1609" s="4"/>
      <c r="Z1609" s="4" t="str">
        <f t="shared" si="60"/>
        <v>371000-371500 CAPITAL WORK IN PROGRESS</v>
      </c>
      <c r="AA1609" s="36" t="str">
        <f t="shared" si="61"/>
        <v>371012 CWIP-QUARRY RAW MATERIAL SHED EXTENSION</v>
      </c>
      <c r="AB1609" s="4" t="str">
        <f t="shared" si="62"/>
        <v>RM SHED</v>
      </c>
      <c r="AC1609" s="22">
        <f t="shared" si="63"/>
        <v>33.529411764705884</v>
      </c>
    </row>
    <row r="1610" spans="1:29" x14ac:dyDescent="0.35">
      <c r="A1610" s="4">
        <v>21348</v>
      </c>
      <c r="B1610" s="6">
        <v>46004.557708333334</v>
      </c>
      <c r="C1610" s="6">
        <v>46004</v>
      </c>
      <c r="D1610" s="4" t="s">
        <v>3644</v>
      </c>
      <c r="E1610" s="4" t="s">
        <v>61</v>
      </c>
      <c r="F1610" s="4" t="s">
        <v>3645</v>
      </c>
      <c r="G1610" s="4" t="s">
        <v>3645</v>
      </c>
      <c r="H1610" s="4"/>
      <c r="I1610" s="4"/>
      <c r="J1610" s="4" t="s">
        <v>59</v>
      </c>
      <c r="K1610" s="4" t="s">
        <v>58</v>
      </c>
      <c r="L1610" s="4" t="s">
        <v>57</v>
      </c>
      <c r="M1610" s="4" t="s">
        <v>32</v>
      </c>
      <c r="N1610" s="4" t="s">
        <v>106</v>
      </c>
      <c r="O1610" s="4" t="s">
        <v>105</v>
      </c>
      <c r="P1610" s="4" t="s">
        <v>1064</v>
      </c>
      <c r="Q1610" s="5">
        <v>5700</v>
      </c>
      <c r="R1610" s="4">
        <v>0</v>
      </c>
      <c r="S1610" s="9">
        <f t="shared" si="64"/>
        <v>5700</v>
      </c>
      <c r="T1610" s="4" t="s">
        <v>53</v>
      </c>
      <c r="U1610" s="4" t="s">
        <v>151</v>
      </c>
      <c r="V1610" s="4"/>
      <c r="W1610" s="4">
        <v>-1</v>
      </c>
      <c r="X1610" s="4" t="s">
        <v>124</v>
      </c>
      <c r="Y1610" s="4"/>
      <c r="Z1610" s="4" t="str">
        <f t="shared" si="60"/>
        <v>371000-371500 CAPITAL WORK IN PROGRESS</v>
      </c>
      <c r="AA1610" s="36" t="str">
        <f t="shared" si="61"/>
        <v>371012 CWIP-QUARRY RAW MATERIAL SHED EXTENSION</v>
      </c>
      <c r="AB1610" s="4" t="str">
        <f t="shared" si="62"/>
        <v>RM SHED</v>
      </c>
      <c r="AC1610" s="22">
        <f t="shared" si="63"/>
        <v>2.2352941176470589</v>
      </c>
    </row>
    <row r="1611" spans="1:29" x14ac:dyDescent="0.35">
      <c r="A1611" s="4">
        <v>21346</v>
      </c>
      <c r="B1611" s="6">
        <v>46004.557708333334</v>
      </c>
      <c r="C1611" s="6">
        <v>46004</v>
      </c>
      <c r="D1611" s="4" t="s">
        <v>3646</v>
      </c>
      <c r="E1611" s="4" t="s">
        <v>61</v>
      </c>
      <c r="F1611" s="4" t="s">
        <v>3647</v>
      </c>
      <c r="G1611" s="4" t="s">
        <v>3647</v>
      </c>
      <c r="H1611" s="4"/>
      <c r="I1611" s="4"/>
      <c r="J1611" s="4" t="s">
        <v>59</v>
      </c>
      <c r="K1611" s="4" t="s">
        <v>58</v>
      </c>
      <c r="L1611" s="4" t="s">
        <v>57</v>
      </c>
      <c r="M1611" s="4" t="s">
        <v>32</v>
      </c>
      <c r="N1611" s="4" t="s">
        <v>106</v>
      </c>
      <c r="O1611" s="4" t="s">
        <v>105</v>
      </c>
      <c r="P1611" s="4" t="s">
        <v>1064</v>
      </c>
      <c r="Q1611" s="5">
        <v>49756.36</v>
      </c>
      <c r="R1611" s="4">
        <v>0</v>
      </c>
      <c r="S1611" s="9">
        <f t="shared" si="64"/>
        <v>49756.36</v>
      </c>
      <c r="T1611" s="4" t="s">
        <v>53</v>
      </c>
      <c r="U1611" s="4" t="s">
        <v>739</v>
      </c>
      <c r="V1611" s="4"/>
      <c r="W1611" s="4">
        <v>-5</v>
      </c>
      <c r="X1611" s="4" t="s">
        <v>124</v>
      </c>
      <c r="Y1611" s="4"/>
      <c r="Z1611" s="4" t="str">
        <f t="shared" si="60"/>
        <v>371000-371500 CAPITAL WORK IN PROGRESS</v>
      </c>
      <c r="AA1611" s="36" t="str">
        <f t="shared" si="61"/>
        <v>371012 CWIP-QUARRY RAW MATERIAL SHED EXTENSION</v>
      </c>
      <c r="AB1611" s="4" t="str">
        <f t="shared" si="62"/>
        <v>RM SHED</v>
      </c>
      <c r="AC1611" s="22">
        <f t="shared" si="63"/>
        <v>19.512298039215686</v>
      </c>
    </row>
    <row r="1612" spans="1:29" x14ac:dyDescent="0.35">
      <c r="A1612" s="4">
        <v>21343</v>
      </c>
      <c r="B1612" s="6">
        <v>46004.557708333334</v>
      </c>
      <c r="C1612" s="6">
        <v>46004</v>
      </c>
      <c r="D1612" s="4" t="s">
        <v>3648</v>
      </c>
      <c r="E1612" s="4" t="s">
        <v>61</v>
      </c>
      <c r="F1612" s="4" t="s">
        <v>3649</v>
      </c>
      <c r="G1612" s="4" t="s">
        <v>3649</v>
      </c>
      <c r="H1612" s="4"/>
      <c r="I1612" s="4"/>
      <c r="J1612" s="4" t="s">
        <v>59</v>
      </c>
      <c r="K1612" s="4" t="s">
        <v>58</v>
      </c>
      <c r="L1612" s="4" t="s">
        <v>57</v>
      </c>
      <c r="M1612" s="4" t="s">
        <v>32</v>
      </c>
      <c r="N1612" s="4" t="s">
        <v>106</v>
      </c>
      <c r="O1612" s="4" t="s">
        <v>105</v>
      </c>
      <c r="P1612" s="4" t="s">
        <v>1064</v>
      </c>
      <c r="Q1612" s="5">
        <v>70000</v>
      </c>
      <c r="R1612" s="4">
        <v>0</v>
      </c>
      <c r="S1612" s="9">
        <f t="shared" si="64"/>
        <v>70000</v>
      </c>
      <c r="T1612" s="4" t="s">
        <v>53</v>
      </c>
      <c r="U1612" s="4" t="s">
        <v>133</v>
      </c>
      <c r="V1612" s="4"/>
      <c r="W1612" s="4">
        <v>-14</v>
      </c>
      <c r="X1612" s="4" t="s">
        <v>124</v>
      </c>
      <c r="Y1612" s="4"/>
      <c r="Z1612" s="4" t="str">
        <f t="shared" si="60"/>
        <v>371000-371500 CAPITAL WORK IN PROGRESS</v>
      </c>
      <c r="AA1612" s="36" t="str">
        <f t="shared" si="61"/>
        <v>371012 CWIP-QUARRY RAW MATERIAL SHED EXTENSION</v>
      </c>
      <c r="AB1612" s="4" t="str">
        <f t="shared" si="62"/>
        <v>RM SHED</v>
      </c>
      <c r="AC1612" s="22">
        <f t="shared" si="63"/>
        <v>27.450980392156861</v>
      </c>
    </row>
    <row r="1613" spans="1:29" x14ac:dyDescent="0.35">
      <c r="A1613" s="4">
        <v>21342</v>
      </c>
      <c r="B1613" s="6">
        <v>46004.557708333334</v>
      </c>
      <c r="C1613" s="6">
        <v>46004</v>
      </c>
      <c r="D1613" s="4" t="s">
        <v>3650</v>
      </c>
      <c r="E1613" s="4" t="s">
        <v>61</v>
      </c>
      <c r="F1613" s="4" t="s">
        <v>3651</v>
      </c>
      <c r="G1613" s="4" t="s">
        <v>3651</v>
      </c>
      <c r="H1613" s="4"/>
      <c r="I1613" s="4"/>
      <c r="J1613" s="4" t="s">
        <v>59</v>
      </c>
      <c r="K1613" s="4" t="s">
        <v>58</v>
      </c>
      <c r="L1613" s="4" t="s">
        <v>57</v>
      </c>
      <c r="M1613" s="4" t="s">
        <v>32</v>
      </c>
      <c r="N1613" s="4" t="s">
        <v>106</v>
      </c>
      <c r="O1613" s="4" t="s">
        <v>105</v>
      </c>
      <c r="P1613" s="4" t="s">
        <v>1064</v>
      </c>
      <c r="Q1613" s="5">
        <v>700000</v>
      </c>
      <c r="R1613" s="4">
        <v>0</v>
      </c>
      <c r="S1613" s="9">
        <f t="shared" si="64"/>
        <v>700000</v>
      </c>
      <c r="T1613" s="4" t="s">
        <v>53</v>
      </c>
      <c r="U1613" s="4" t="s">
        <v>148</v>
      </c>
      <c r="V1613" s="4"/>
      <c r="W1613" s="4">
        <v>-100</v>
      </c>
      <c r="X1613" s="4" t="s">
        <v>94</v>
      </c>
      <c r="Y1613" s="4"/>
      <c r="Z1613" s="4" t="str">
        <f t="shared" si="60"/>
        <v>371000-371500 CAPITAL WORK IN PROGRESS</v>
      </c>
      <c r="AA1613" s="36" t="str">
        <f t="shared" si="61"/>
        <v>371012 CWIP-QUARRY RAW MATERIAL SHED EXTENSION</v>
      </c>
      <c r="AB1613" s="4" t="str">
        <f t="shared" si="62"/>
        <v>RM SHED</v>
      </c>
      <c r="AC1613" s="22">
        <f t="shared" si="63"/>
        <v>274.50980392156862</v>
      </c>
    </row>
    <row r="1614" spans="1:29" x14ac:dyDescent="0.35">
      <c r="A1614" s="4">
        <v>21340</v>
      </c>
      <c r="B1614" s="6">
        <v>46004.557708333334</v>
      </c>
      <c r="C1614" s="6">
        <v>46004</v>
      </c>
      <c r="D1614" s="4" t="s">
        <v>3652</v>
      </c>
      <c r="E1614" s="4" t="s">
        <v>61</v>
      </c>
      <c r="F1614" s="4" t="s">
        <v>3653</v>
      </c>
      <c r="G1614" s="4" t="s">
        <v>3653</v>
      </c>
      <c r="H1614" s="4"/>
      <c r="I1614" s="4"/>
      <c r="J1614" s="4" t="s">
        <v>59</v>
      </c>
      <c r="K1614" s="4" t="s">
        <v>58</v>
      </c>
      <c r="L1614" s="4" t="s">
        <v>57</v>
      </c>
      <c r="M1614" s="4" t="s">
        <v>32</v>
      </c>
      <c r="N1614" s="4" t="s">
        <v>106</v>
      </c>
      <c r="O1614" s="4" t="s">
        <v>105</v>
      </c>
      <c r="P1614" s="4" t="s">
        <v>1064</v>
      </c>
      <c r="Q1614" s="5">
        <v>757210.63</v>
      </c>
      <c r="R1614" s="4">
        <v>0</v>
      </c>
      <c r="S1614" s="9">
        <f t="shared" si="64"/>
        <v>757210.63</v>
      </c>
      <c r="T1614" s="4" t="s">
        <v>53</v>
      </c>
      <c r="U1614" s="4" t="s">
        <v>257</v>
      </c>
      <c r="V1614" s="4"/>
      <c r="W1614" s="4">
        <v>-80</v>
      </c>
      <c r="X1614" s="4" t="s">
        <v>129</v>
      </c>
      <c r="Y1614" s="4"/>
      <c r="Z1614" s="4" t="str">
        <f t="shared" si="60"/>
        <v>371000-371500 CAPITAL WORK IN PROGRESS</v>
      </c>
      <c r="AA1614" s="36" t="str">
        <f t="shared" si="61"/>
        <v>371012 CWIP-QUARRY RAW MATERIAL SHED EXTENSION</v>
      </c>
      <c r="AB1614" s="4" t="str">
        <f t="shared" si="62"/>
        <v>RM SHED</v>
      </c>
      <c r="AC1614" s="22">
        <f t="shared" si="63"/>
        <v>296.94534509803924</v>
      </c>
    </row>
    <row r="1615" spans="1:29" x14ac:dyDescent="0.35">
      <c r="A1615" s="4">
        <v>21337</v>
      </c>
      <c r="B1615" s="6">
        <v>46004.557708333334</v>
      </c>
      <c r="C1615" s="6">
        <v>46004</v>
      </c>
      <c r="D1615" s="4" t="s">
        <v>3654</v>
      </c>
      <c r="E1615" s="4" t="s">
        <v>61</v>
      </c>
      <c r="F1615" s="4" t="s">
        <v>3655</v>
      </c>
      <c r="G1615" s="4" t="s">
        <v>3655</v>
      </c>
      <c r="H1615" s="4"/>
      <c r="I1615" s="4"/>
      <c r="J1615" s="4" t="s">
        <v>59</v>
      </c>
      <c r="K1615" s="4" t="s">
        <v>58</v>
      </c>
      <c r="L1615" s="4" t="s">
        <v>57</v>
      </c>
      <c r="M1615" s="4" t="s">
        <v>32</v>
      </c>
      <c r="N1615" s="4" t="s">
        <v>106</v>
      </c>
      <c r="O1615" s="4" t="s">
        <v>105</v>
      </c>
      <c r="P1615" s="4" t="s">
        <v>1064</v>
      </c>
      <c r="Q1615" s="5">
        <v>25762.82</v>
      </c>
      <c r="R1615" s="4">
        <v>0</v>
      </c>
      <c r="S1615" s="9">
        <f t="shared" si="64"/>
        <v>25762.82</v>
      </c>
      <c r="T1615" s="4" t="s">
        <v>53</v>
      </c>
      <c r="U1615" s="4" t="s">
        <v>117</v>
      </c>
      <c r="V1615" s="4"/>
      <c r="W1615" s="4">
        <v>-8</v>
      </c>
      <c r="X1615" s="4" t="s">
        <v>94</v>
      </c>
      <c r="Y1615" s="4"/>
      <c r="Z1615" s="4" t="str">
        <f t="shared" si="60"/>
        <v>371000-371500 CAPITAL WORK IN PROGRESS</v>
      </c>
      <c r="AA1615" s="36" t="str">
        <f t="shared" si="61"/>
        <v>371012 CWIP-QUARRY RAW MATERIAL SHED EXTENSION</v>
      </c>
      <c r="AB1615" s="4" t="str">
        <f t="shared" si="62"/>
        <v>RM SHED</v>
      </c>
      <c r="AC1615" s="22">
        <f t="shared" si="63"/>
        <v>10.103066666666667</v>
      </c>
    </row>
    <row r="1616" spans="1:29" x14ac:dyDescent="0.35">
      <c r="A1616" s="4">
        <v>17058</v>
      </c>
      <c r="B1616" s="6">
        <v>46002.58011574074</v>
      </c>
      <c r="C1616" s="6">
        <v>46002</v>
      </c>
      <c r="D1616" s="4" t="s">
        <v>3656</v>
      </c>
      <c r="E1616" s="4" t="s">
        <v>61</v>
      </c>
      <c r="F1616" s="4" t="s">
        <v>3657</v>
      </c>
      <c r="G1616" s="4" t="s">
        <v>3657</v>
      </c>
      <c r="H1616" s="4"/>
      <c r="I1616" s="4"/>
      <c r="J1616" s="4" t="s">
        <v>59</v>
      </c>
      <c r="K1616" s="4" t="s">
        <v>58</v>
      </c>
      <c r="L1616" s="4" t="s">
        <v>57</v>
      </c>
      <c r="M1616" s="4" t="s">
        <v>32</v>
      </c>
      <c r="N1616" s="4" t="s">
        <v>106</v>
      </c>
      <c r="O1616" s="4" t="s">
        <v>105</v>
      </c>
      <c r="P1616" s="4" t="s">
        <v>1064</v>
      </c>
      <c r="Q1616" s="5">
        <v>57000</v>
      </c>
      <c r="R1616" s="4">
        <v>0</v>
      </c>
      <c r="S1616" s="9">
        <f t="shared" si="64"/>
        <v>57000</v>
      </c>
      <c r="T1616" s="4" t="s">
        <v>53</v>
      </c>
      <c r="U1616" s="4" t="s">
        <v>154</v>
      </c>
      <c r="V1616" s="4"/>
      <c r="W1616" s="4">
        <v>-10</v>
      </c>
      <c r="X1616" s="4" t="s">
        <v>124</v>
      </c>
      <c r="Y1616" s="4"/>
      <c r="Z1616" s="4" t="str">
        <f t="shared" si="60"/>
        <v>371000-371500 CAPITAL WORK IN PROGRESS</v>
      </c>
      <c r="AA1616" s="36" t="str">
        <f t="shared" si="61"/>
        <v>371012 CWIP-QUARRY RAW MATERIAL SHED EXTENSION</v>
      </c>
      <c r="AB1616" s="4" t="str">
        <f t="shared" si="62"/>
        <v>RM SHED</v>
      </c>
      <c r="AC1616" s="22">
        <f t="shared" si="63"/>
        <v>22.352941176470587</v>
      </c>
    </row>
    <row r="1617" spans="1:29" x14ac:dyDescent="0.35">
      <c r="A1617" s="4">
        <v>17057</v>
      </c>
      <c r="B1617" s="6">
        <v>46002.58011574074</v>
      </c>
      <c r="C1617" s="6">
        <v>46002</v>
      </c>
      <c r="D1617" s="4" t="s">
        <v>3658</v>
      </c>
      <c r="E1617" s="4" t="s">
        <v>61</v>
      </c>
      <c r="F1617" s="4" t="s">
        <v>3659</v>
      </c>
      <c r="G1617" s="4" t="s">
        <v>3659</v>
      </c>
      <c r="H1617" s="4"/>
      <c r="I1617" s="4"/>
      <c r="J1617" s="4" t="s">
        <v>59</v>
      </c>
      <c r="K1617" s="4" t="s">
        <v>58</v>
      </c>
      <c r="L1617" s="4" t="s">
        <v>57</v>
      </c>
      <c r="M1617" s="4" t="s">
        <v>32</v>
      </c>
      <c r="N1617" s="4" t="s">
        <v>106</v>
      </c>
      <c r="O1617" s="4" t="s">
        <v>105</v>
      </c>
      <c r="P1617" s="4" t="s">
        <v>1064</v>
      </c>
      <c r="Q1617" s="5">
        <v>49756.36</v>
      </c>
      <c r="R1617" s="4">
        <v>0</v>
      </c>
      <c r="S1617" s="9">
        <f t="shared" si="64"/>
        <v>49756.36</v>
      </c>
      <c r="T1617" s="4" t="s">
        <v>53</v>
      </c>
      <c r="U1617" s="4" t="s">
        <v>739</v>
      </c>
      <c r="V1617" s="4"/>
      <c r="W1617" s="4">
        <v>-5</v>
      </c>
      <c r="X1617" s="4" t="s">
        <v>124</v>
      </c>
      <c r="Y1617" s="4"/>
      <c r="Z1617" s="4" t="str">
        <f t="shared" si="60"/>
        <v>371000-371500 CAPITAL WORK IN PROGRESS</v>
      </c>
      <c r="AA1617" s="36" t="str">
        <f t="shared" si="61"/>
        <v>371012 CWIP-QUARRY RAW MATERIAL SHED EXTENSION</v>
      </c>
      <c r="AB1617" s="4" t="str">
        <f t="shared" si="62"/>
        <v>RM SHED</v>
      </c>
      <c r="AC1617" s="22">
        <f t="shared" si="63"/>
        <v>19.512298039215686</v>
      </c>
    </row>
    <row r="1618" spans="1:29" x14ac:dyDescent="0.35">
      <c r="A1618" s="4">
        <v>17055</v>
      </c>
      <c r="B1618" s="6">
        <v>46002.58011574074</v>
      </c>
      <c r="C1618" s="6">
        <v>46002</v>
      </c>
      <c r="D1618" s="4" t="s">
        <v>3660</v>
      </c>
      <c r="E1618" s="4" t="s">
        <v>61</v>
      </c>
      <c r="F1618" s="4" t="s">
        <v>3661</v>
      </c>
      <c r="G1618" s="4" t="s">
        <v>3661</v>
      </c>
      <c r="H1618" s="4"/>
      <c r="I1618" s="4"/>
      <c r="J1618" s="4" t="s">
        <v>59</v>
      </c>
      <c r="K1618" s="4" t="s">
        <v>58</v>
      </c>
      <c r="L1618" s="4" t="s">
        <v>57</v>
      </c>
      <c r="M1618" s="4" t="s">
        <v>32</v>
      </c>
      <c r="N1618" s="4" t="s">
        <v>106</v>
      </c>
      <c r="O1618" s="4" t="s">
        <v>105</v>
      </c>
      <c r="P1618" s="4" t="s">
        <v>1064</v>
      </c>
      <c r="Q1618" s="5">
        <v>75000</v>
      </c>
      <c r="R1618" s="4">
        <v>0</v>
      </c>
      <c r="S1618" s="9">
        <f t="shared" si="64"/>
        <v>75000</v>
      </c>
      <c r="T1618" s="4" t="s">
        <v>53</v>
      </c>
      <c r="U1618" s="4" t="s">
        <v>133</v>
      </c>
      <c r="V1618" s="4"/>
      <c r="W1618" s="4">
        <v>-15</v>
      </c>
      <c r="X1618" s="4" t="s">
        <v>124</v>
      </c>
      <c r="Y1618" s="4"/>
      <c r="Z1618" s="4" t="str">
        <f t="shared" si="60"/>
        <v>371000-371500 CAPITAL WORK IN PROGRESS</v>
      </c>
      <c r="AA1618" s="36" t="str">
        <f t="shared" si="61"/>
        <v>371012 CWIP-QUARRY RAW MATERIAL SHED EXTENSION</v>
      </c>
      <c r="AB1618" s="4" t="str">
        <f t="shared" si="62"/>
        <v>RM SHED</v>
      </c>
      <c r="AC1618" s="22">
        <f t="shared" si="63"/>
        <v>29.411764705882351</v>
      </c>
    </row>
    <row r="1619" spans="1:29" x14ac:dyDescent="0.35">
      <c r="A1619" s="4">
        <v>11032</v>
      </c>
      <c r="B1619" s="6">
        <v>45999.599016203705</v>
      </c>
      <c r="C1619" s="6">
        <v>45999</v>
      </c>
      <c r="D1619" s="4" t="s">
        <v>3662</v>
      </c>
      <c r="E1619" s="4" t="s">
        <v>61</v>
      </c>
      <c r="F1619" s="4" t="s">
        <v>3663</v>
      </c>
      <c r="G1619" s="4" t="s">
        <v>3663</v>
      </c>
      <c r="H1619" s="4"/>
      <c r="I1619" s="4"/>
      <c r="J1619" s="4" t="s">
        <v>59</v>
      </c>
      <c r="K1619" s="4" t="s">
        <v>58</v>
      </c>
      <c r="L1619" s="4" t="s">
        <v>57</v>
      </c>
      <c r="M1619" s="4" t="s">
        <v>32</v>
      </c>
      <c r="N1619" s="4" t="s">
        <v>106</v>
      </c>
      <c r="O1619" s="4" t="s">
        <v>105</v>
      </c>
      <c r="P1619" s="4" t="s">
        <v>1064</v>
      </c>
      <c r="Q1619" s="5">
        <v>45600</v>
      </c>
      <c r="R1619" s="4">
        <v>0</v>
      </c>
      <c r="S1619" s="9">
        <f t="shared" si="64"/>
        <v>45600</v>
      </c>
      <c r="T1619" s="4" t="s">
        <v>53</v>
      </c>
      <c r="U1619" s="4" t="s">
        <v>154</v>
      </c>
      <c r="V1619" s="4"/>
      <c r="W1619" s="4">
        <v>-8</v>
      </c>
      <c r="X1619" s="4" t="s">
        <v>124</v>
      </c>
      <c r="Y1619" s="4"/>
      <c r="Z1619" s="4" t="str">
        <f t="shared" si="60"/>
        <v>371000-371500 CAPITAL WORK IN PROGRESS</v>
      </c>
      <c r="AA1619" s="36" t="str">
        <f t="shared" si="61"/>
        <v>371012 CWIP-QUARRY RAW MATERIAL SHED EXTENSION</v>
      </c>
      <c r="AB1619" s="4" t="str">
        <f t="shared" si="62"/>
        <v>RM SHED</v>
      </c>
      <c r="AC1619" s="22">
        <f t="shared" si="63"/>
        <v>17.882352941176471</v>
      </c>
    </row>
    <row r="1620" spans="1:29" x14ac:dyDescent="0.35">
      <c r="A1620" s="4">
        <v>11030</v>
      </c>
      <c r="B1620" s="6">
        <v>45999.599016203705</v>
      </c>
      <c r="C1620" s="6">
        <v>45999</v>
      </c>
      <c r="D1620" s="4" t="s">
        <v>3664</v>
      </c>
      <c r="E1620" s="4" t="s">
        <v>61</v>
      </c>
      <c r="F1620" s="4" t="s">
        <v>3665</v>
      </c>
      <c r="G1620" s="4" t="s">
        <v>3665</v>
      </c>
      <c r="H1620" s="4"/>
      <c r="I1620" s="4"/>
      <c r="J1620" s="4" t="s">
        <v>59</v>
      </c>
      <c r="K1620" s="4" t="s">
        <v>58</v>
      </c>
      <c r="L1620" s="4" t="s">
        <v>57</v>
      </c>
      <c r="M1620" s="4" t="s">
        <v>32</v>
      </c>
      <c r="N1620" s="4" t="s">
        <v>106</v>
      </c>
      <c r="O1620" s="4" t="s">
        <v>105</v>
      </c>
      <c r="P1620" s="4" t="s">
        <v>1064</v>
      </c>
      <c r="Q1620" s="5">
        <v>500000</v>
      </c>
      <c r="R1620" s="4">
        <v>0</v>
      </c>
      <c r="S1620" s="9">
        <f t="shared" si="64"/>
        <v>500000</v>
      </c>
      <c r="T1620" s="4" t="s">
        <v>53</v>
      </c>
      <c r="U1620" s="4" t="s">
        <v>145</v>
      </c>
      <c r="V1620" s="4"/>
      <c r="W1620" s="4">
        <v>-100</v>
      </c>
      <c r="X1620" s="4" t="s">
        <v>94</v>
      </c>
      <c r="Y1620" s="4"/>
      <c r="Z1620" s="4" t="str">
        <f t="shared" si="60"/>
        <v>371000-371500 CAPITAL WORK IN PROGRESS</v>
      </c>
      <c r="AA1620" s="36" t="str">
        <f t="shared" si="61"/>
        <v>371012 CWIP-QUARRY RAW MATERIAL SHED EXTENSION</v>
      </c>
      <c r="AB1620" s="4" t="str">
        <f t="shared" si="62"/>
        <v>RM SHED</v>
      </c>
      <c r="AC1620" s="22">
        <f t="shared" si="63"/>
        <v>196.07843137254903</v>
      </c>
    </row>
    <row r="1621" spans="1:29" x14ac:dyDescent="0.35">
      <c r="A1621" s="4">
        <v>8256</v>
      </c>
      <c r="B1621" s="6">
        <v>45997.542488425926</v>
      </c>
      <c r="C1621" s="6">
        <v>45997</v>
      </c>
      <c r="D1621" s="4" t="s">
        <v>3666</v>
      </c>
      <c r="E1621" s="4" t="s">
        <v>61</v>
      </c>
      <c r="F1621" s="4" t="s">
        <v>3667</v>
      </c>
      <c r="G1621" s="4" t="s">
        <v>3667</v>
      </c>
      <c r="H1621" s="4"/>
      <c r="I1621" s="4"/>
      <c r="J1621" s="4" t="s">
        <v>59</v>
      </c>
      <c r="K1621" s="4" t="s">
        <v>58</v>
      </c>
      <c r="L1621" s="4" t="s">
        <v>57</v>
      </c>
      <c r="M1621" s="4" t="s">
        <v>32</v>
      </c>
      <c r="N1621" s="4" t="s">
        <v>106</v>
      </c>
      <c r="O1621" s="4" t="s">
        <v>105</v>
      </c>
      <c r="P1621" s="4" t="s">
        <v>1064</v>
      </c>
      <c r="Q1621" s="5">
        <v>75000</v>
      </c>
      <c r="R1621" s="4">
        <v>0</v>
      </c>
      <c r="S1621" s="9">
        <f t="shared" si="64"/>
        <v>75000</v>
      </c>
      <c r="T1621" s="4" t="s">
        <v>53</v>
      </c>
      <c r="U1621" s="4" t="s">
        <v>133</v>
      </c>
      <c r="V1621" s="4"/>
      <c r="W1621" s="4">
        <v>-15</v>
      </c>
      <c r="X1621" s="4" t="s">
        <v>124</v>
      </c>
      <c r="Y1621" s="4"/>
      <c r="Z1621" s="4" t="str">
        <f t="shared" si="60"/>
        <v>371000-371500 CAPITAL WORK IN PROGRESS</v>
      </c>
      <c r="AA1621" s="36" t="str">
        <f t="shared" si="61"/>
        <v>371012 CWIP-QUARRY RAW MATERIAL SHED EXTENSION</v>
      </c>
      <c r="AB1621" s="4" t="str">
        <f t="shared" si="62"/>
        <v>RM SHED</v>
      </c>
      <c r="AC1621" s="22">
        <f t="shared" si="63"/>
        <v>29.411764705882351</v>
      </c>
    </row>
    <row r="1622" spans="1:29" x14ac:dyDescent="0.35">
      <c r="A1622" s="4">
        <v>8254</v>
      </c>
      <c r="B1622" s="6">
        <v>45997.542488425926</v>
      </c>
      <c r="C1622" s="6">
        <v>45997</v>
      </c>
      <c r="D1622" s="4" t="s">
        <v>3668</v>
      </c>
      <c r="E1622" s="4" t="s">
        <v>61</v>
      </c>
      <c r="F1622" s="4" t="s">
        <v>3669</v>
      </c>
      <c r="G1622" s="4" t="s">
        <v>3669</v>
      </c>
      <c r="H1622" s="4"/>
      <c r="I1622" s="4"/>
      <c r="J1622" s="4" t="s">
        <v>59</v>
      </c>
      <c r="K1622" s="4" t="s">
        <v>58</v>
      </c>
      <c r="L1622" s="4" t="s">
        <v>57</v>
      </c>
      <c r="M1622" s="4" t="s">
        <v>32</v>
      </c>
      <c r="N1622" s="4" t="s">
        <v>106</v>
      </c>
      <c r="O1622" s="4" t="s">
        <v>105</v>
      </c>
      <c r="P1622" s="4" t="s">
        <v>1064</v>
      </c>
      <c r="Q1622" s="5">
        <v>840000</v>
      </c>
      <c r="R1622" s="4">
        <v>0</v>
      </c>
      <c r="S1622" s="9">
        <f t="shared" si="64"/>
        <v>840000</v>
      </c>
      <c r="T1622" s="4" t="s">
        <v>53</v>
      </c>
      <c r="U1622" s="4" t="s">
        <v>148</v>
      </c>
      <c r="V1622" s="4"/>
      <c r="W1622" s="4">
        <v>-120</v>
      </c>
      <c r="X1622" s="4" t="s">
        <v>94</v>
      </c>
      <c r="Y1622" s="4"/>
      <c r="Z1622" s="4" t="str">
        <f t="shared" ref="Z1622:Z1639" si="65">_xlfn.XLOOKUP(J1622,$J$3:$J$1492,$Z$3:$Z$1492)</f>
        <v>371000-371500 CAPITAL WORK IN PROGRESS</v>
      </c>
      <c r="AA1622" s="36" t="str">
        <f t="shared" ref="AA1622:AA1639" si="66">_xlfn.XLOOKUP(N1622,$N$3:$N$1492,$AA$3:$AA$1492)</f>
        <v>371012 CWIP-QUARRY RAW MATERIAL SHED EXTENSION</v>
      </c>
      <c r="AB1622" s="4" t="str">
        <f t="shared" ref="AB1622:AB1642" si="67">_xlfn.XLOOKUP(AA1622,$AA$3:$AA$1492,$AB$3:$AB$1492)</f>
        <v>RM SHED</v>
      </c>
      <c r="AC1622" s="22">
        <f t="shared" si="63"/>
        <v>329.41176470588238</v>
      </c>
    </row>
    <row r="1623" spans="1:29" x14ac:dyDescent="0.35">
      <c r="A1623" s="4">
        <v>8252</v>
      </c>
      <c r="B1623" s="6">
        <v>45997.544166666667</v>
      </c>
      <c r="C1623" s="6">
        <v>45997</v>
      </c>
      <c r="D1623" s="4" t="s">
        <v>3670</v>
      </c>
      <c r="E1623" s="4" t="s">
        <v>61</v>
      </c>
      <c r="F1623" s="4" t="s">
        <v>3671</v>
      </c>
      <c r="G1623" s="4" t="s">
        <v>3671</v>
      </c>
      <c r="H1623" s="4"/>
      <c r="I1623" s="4"/>
      <c r="J1623" s="4" t="s">
        <v>59</v>
      </c>
      <c r="K1623" s="4" t="s">
        <v>58</v>
      </c>
      <c r="L1623" s="4" t="s">
        <v>57</v>
      </c>
      <c r="M1623" s="4" t="s">
        <v>32</v>
      </c>
      <c r="N1623" s="4" t="s">
        <v>106</v>
      </c>
      <c r="O1623" s="4" t="s">
        <v>105</v>
      </c>
      <c r="P1623" s="4" t="s">
        <v>1064</v>
      </c>
      <c r="Q1623" s="5">
        <v>71000</v>
      </c>
      <c r="R1623" s="4">
        <v>0</v>
      </c>
      <c r="S1623" s="9">
        <f t="shared" si="64"/>
        <v>71000</v>
      </c>
      <c r="T1623" s="4" t="s">
        <v>53</v>
      </c>
      <c r="U1623" s="4" t="s">
        <v>133</v>
      </c>
      <c r="V1623" s="4"/>
      <c r="W1623" s="4">
        <v>-14.2</v>
      </c>
      <c r="X1623" s="4" t="s">
        <v>124</v>
      </c>
      <c r="Y1623" s="4"/>
      <c r="Z1623" s="4" t="str">
        <f t="shared" si="65"/>
        <v>371000-371500 CAPITAL WORK IN PROGRESS</v>
      </c>
      <c r="AA1623" s="36" t="str">
        <f t="shared" si="66"/>
        <v>371012 CWIP-QUARRY RAW MATERIAL SHED EXTENSION</v>
      </c>
      <c r="AB1623" s="4" t="str">
        <f t="shared" si="67"/>
        <v>RM SHED</v>
      </c>
      <c r="AC1623" s="22">
        <f t="shared" si="63"/>
        <v>27.843137254901961</v>
      </c>
    </row>
    <row r="1624" spans="1:29" x14ac:dyDescent="0.35">
      <c r="A1624" s="4">
        <v>8250</v>
      </c>
      <c r="B1624" s="6">
        <v>45997.544166666667</v>
      </c>
      <c r="C1624" s="6">
        <v>45997</v>
      </c>
      <c r="D1624" s="4" t="s">
        <v>3672</v>
      </c>
      <c r="E1624" s="4" t="s">
        <v>61</v>
      </c>
      <c r="F1624" s="4" t="s">
        <v>3673</v>
      </c>
      <c r="G1624" s="4" t="s">
        <v>3673</v>
      </c>
      <c r="H1624" s="4"/>
      <c r="I1624" s="4"/>
      <c r="J1624" s="4" t="s">
        <v>59</v>
      </c>
      <c r="K1624" s="4" t="s">
        <v>58</v>
      </c>
      <c r="L1624" s="4" t="s">
        <v>57</v>
      </c>
      <c r="M1624" s="4" t="s">
        <v>32</v>
      </c>
      <c r="N1624" s="4" t="s">
        <v>106</v>
      </c>
      <c r="O1624" s="4" t="s">
        <v>105</v>
      </c>
      <c r="P1624" s="4" t="s">
        <v>1064</v>
      </c>
      <c r="Q1624" s="5">
        <v>1055084.7</v>
      </c>
      <c r="R1624" s="4">
        <v>0</v>
      </c>
      <c r="S1624" s="9">
        <f t="shared" si="64"/>
        <v>1055084.7</v>
      </c>
      <c r="T1624" s="4" t="s">
        <v>53</v>
      </c>
      <c r="U1624" s="4" t="s">
        <v>165</v>
      </c>
      <c r="V1624" s="4"/>
      <c r="W1624" s="4">
        <v>-30</v>
      </c>
      <c r="X1624" s="4" t="s">
        <v>94</v>
      </c>
      <c r="Y1624" s="4"/>
      <c r="Z1624" s="4" t="str">
        <f t="shared" si="65"/>
        <v>371000-371500 CAPITAL WORK IN PROGRESS</v>
      </c>
      <c r="AA1624" s="36" t="str">
        <f t="shared" si="66"/>
        <v>371012 CWIP-QUARRY RAW MATERIAL SHED EXTENSION</v>
      </c>
      <c r="AB1624" s="4" t="str">
        <f t="shared" si="67"/>
        <v>RM SHED</v>
      </c>
      <c r="AC1624" s="22">
        <f t="shared" si="63"/>
        <v>413.7587058823529</v>
      </c>
    </row>
    <row r="1625" spans="1:29" x14ac:dyDescent="0.35">
      <c r="A1625" s="4">
        <v>8248</v>
      </c>
      <c r="B1625" s="6">
        <v>45997.544166666667</v>
      </c>
      <c r="C1625" s="6">
        <v>45997</v>
      </c>
      <c r="D1625" s="4" t="s">
        <v>3674</v>
      </c>
      <c r="E1625" s="4" t="s">
        <v>61</v>
      </c>
      <c r="F1625" s="4" t="s">
        <v>3675</v>
      </c>
      <c r="G1625" s="4" t="s">
        <v>3675</v>
      </c>
      <c r="H1625" s="4"/>
      <c r="I1625" s="4"/>
      <c r="J1625" s="4" t="s">
        <v>59</v>
      </c>
      <c r="K1625" s="4" t="s">
        <v>58</v>
      </c>
      <c r="L1625" s="4" t="s">
        <v>57</v>
      </c>
      <c r="M1625" s="4" t="s">
        <v>32</v>
      </c>
      <c r="N1625" s="4" t="s">
        <v>106</v>
      </c>
      <c r="O1625" s="4" t="s">
        <v>105</v>
      </c>
      <c r="P1625" s="4" t="s">
        <v>1064</v>
      </c>
      <c r="Q1625" s="5">
        <v>946513.3</v>
      </c>
      <c r="R1625" s="4">
        <v>0</v>
      </c>
      <c r="S1625" s="9">
        <f t="shared" si="64"/>
        <v>946513.3</v>
      </c>
      <c r="T1625" s="4" t="s">
        <v>53</v>
      </c>
      <c r="U1625" s="4" t="s">
        <v>257</v>
      </c>
      <c r="V1625" s="4"/>
      <c r="W1625" s="4">
        <v>-100</v>
      </c>
      <c r="X1625" s="4" t="s">
        <v>129</v>
      </c>
      <c r="Y1625" s="4"/>
      <c r="Z1625" s="4" t="str">
        <f t="shared" si="65"/>
        <v>371000-371500 CAPITAL WORK IN PROGRESS</v>
      </c>
      <c r="AA1625" s="36" t="str">
        <f t="shared" si="66"/>
        <v>371012 CWIP-QUARRY RAW MATERIAL SHED EXTENSION</v>
      </c>
      <c r="AB1625" s="4" t="str">
        <f t="shared" si="67"/>
        <v>RM SHED</v>
      </c>
      <c r="AC1625" s="22">
        <f t="shared" si="63"/>
        <v>371.18168627450984</v>
      </c>
    </row>
    <row r="1626" spans="1:29" x14ac:dyDescent="0.35">
      <c r="A1626" s="4">
        <v>8245</v>
      </c>
      <c r="B1626" s="6">
        <v>45997.544166666667</v>
      </c>
      <c r="C1626" s="6">
        <v>45997</v>
      </c>
      <c r="D1626" s="4" t="s">
        <v>3676</v>
      </c>
      <c r="E1626" s="4" t="s">
        <v>61</v>
      </c>
      <c r="F1626" s="4" t="s">
        <v>3677</v>
      </c>
      <c r="G1626" s="4" t="s">
        <v>3677</v>
      </c>
      <c r="H1626" s="4"/>
      <c r="I1626" s="4"/>
      <c r="J1626" s="4" t="s">
        <v>59</v>
      </c>
      <c r="K1626" s="4" t="s">
        <v>58</v>
      </c>
      <c r="L1626" s="4" t="s">
        <v>57</v>
      </c>
      <c r="M1626" s="4" t="s">
        <v>32</v>
      </c>
      <c r="N1626" s="4" t="s">
        <v>106</v>
      </c>
      <c r="O1626" s="4" t="s">
        <v>105</v>
      </c>
      <c r="P1626" s="4" t="s">
        <v>1064</v>
      </c>
      <c r="Q1626" s="5">
        <v>1822302.65</v>
      </c>
      <c r="R1626" s="4">
        <v>0</v>
      </c>
      <c r="S1626" s="9">
        <f t="shared" si="64"/>
        <v>1822302.65</v>
      </c>
      <c r="T1626" s="4" t="s">
        <v>53</v>
      </c>
      <c r="U1626" s="4" t="s">
        <v>172</v>
      </c>
      <c r="V1626" s="4"/>
      <c r="W1626" s="4">
        <v>-50</v>
      </c>
      <c r="X1626" s="4" t="s">
        <v>129</v>
      </c>
      <c r="Y1626" s="4"/>
      <c r="Z1626" s="4" t="str">
        <f t="shared" si="65"/>
        <v>371000-371500 CAPITAL WORK IN PROGRESS</v>
      </c>
      <c r="AA1626" s="36" t="str">
        <f t="shared" si="66"/>
        <v>371012 CWIP-QUARRY RAW MATERIAL SHED EXTENSION</v>
      </c>
      <c r="AB1626" s="4" t="str">
        <f t="shared" si="67"/>
        <v>RM SHED</v>
      </c>
      <c r="AC1626" s="22">
        <f t="shared" si="63"/>
        <v>714.62849019607836</v>
      </c>
    </row>
    <row r="1627" spans="1:29" x14ac:dyDescent="0.35">
      <c r="A1627" s="4">
        <v>8244</v>
      </c>
      <c r="B1627" s="6">
        <v>45997.544166666667</v>
      </c>
      <c r="C1627" s="6">
        <v>45997</v>
      </c>
      <c r="D1627" s="4" t="s">
        <v>3678</v>
      </c>
      <c r="E1627" s="4" t="s">
        <v>61</v>
      </c>
      <c r="F1627" s="4" t="s">
        <v>3679</v>
      </c>
      <c r="G1627" s="4" t="s">
        <v>3679</v>
      </c>
      <c r="H1627" s="4"/>
      <c r="I1627" s="4"/>
      <c r="J1627" s="4" t="s">
        <v>59</v>
      </c>
      <c r="K1627" s="4" t="s">
        <v>58</v>
      </c>
      <c r="L1627" s="4" t="s">
        <v>57</v>
      </c>
      <c r="M1627" s="4" t="s">
        <v>32</v>
      </c>
      <c r="N1627" s="4" t="s">
        <v>106</v>
      </c>
      <c r="O1627" s="4" t="s">
        <v>105</v>
      </c>
      <c r="P1627" s="4" t="s">
        <v>1064</v>
      </c>
      <c r="Q1627" s="5">
        <v>25762.83</v>
      </c>
      <c r="R1627" s="4">
        <v>0</v>
      </c>
      <c r="S1627" s="9">
        <f t="shared" si="64"/>
        <v>25762.83</v>
      </c>
      <c r="T1627" s="4" t="s">
        <v>53</v>
      </c>
      <c r="U1627" s="4" t="s">
        <v>117</v>
      </c>
      <c r="V1627" s="4"/>
      <c r="W1627" s="4">
        <v>-8</v>
      </c>
      <c r="X1627" s="4" t="s">
        <v>94</v>
      </c>
      <c r="Y1627" s="4"/>
      <c r="Z1627" s="4" t="str">
        <f t="shared" si="65"/>
        <v>371000-371500 CAPITAL WORK IN PROGRESS</v>
      </c>
      <c r="AA1627" s="36" t="str">
        <f t="shared" si="66"/>
        <v>371012 CWIP-QUARRY RAW MATERIAL SHED EXTENSION</v>
      </c>
      <c r="AB1627" s="4" t="str">
        <f t="shared" si="67"/>
        <v>RM SHED</v>
      </c>
      <c r="AC1627" s="22">
        <f t="shared" si="63"/>
        <v>10.103070588235294</v>
      </c>
    </row>
    <row r="1628" spans="1:29" x14ac:dyDescent="0.35">
      <c r="A1628" s="4">
        <v>1674</v>
      </c>
      <c r="B1628" s="6">
        <v>45993.589259259257</v>
      </c>
      <c r="C1628" s="6">
        <v>45993</v>
      </c>
      <c r="D1628" s="4" t="s">
        <v>3680</v>
      </c>
      <c r="E1628" s="4" t="s">
        <v>61</v>
      </c>
      <c r="F1628" s="4" t="s">
        <v>3681</v>
      </c>
      <c r="G1628" s="4" t="s">
        <v>3681</v>
      </c>
      <c r="H1628" s="4"/>
      <c r="I1628" s="4"/>
      <c r="J1628" s="4" t="s">
        <v>59</v>
      </c>
      <c r="K1628" s="4" t="s">
        <v>58</v>
      </c>
      <c r="L1628" s="4" t="s">
        <v>57</v>
      </c>
      <c r="M1628" s="4" t="s">
        <v>32</v>
      </c>
      <c r="N1628" s="4" t="s">
        <v>106</v>
      </c>
      <c r="O1628" s="4" t="s">
        <v>105</v>
      </c>
      <c r="P1628" s="4" t="s">
        <v>1064</v>
      </c>
      <c r="Q1628" s="5">
        <v>57000</v>
      </c>
      <c r="R1628" s="4">
        <v>0</v>
      </c>
      <c r="S1628" s="9">
        <f t="shared" si="64"/>
        <v>57000</v>
      </c>
      <c r="T1628" s="4" t="s">
        <v>53</v>
      </c>
      <c r="U1628" s="4" t="s">
        <v>154</v>
      </c>
      <c r="V1628" s="4"/>
      <c r="W1628" s="4">
        <v>-10</v>
      </c>
      <c r="X1628" s="4" t="s">
        <v>124</v>
      </c>
      <c r="Y1628" s="4"/>
      <c r="Z1628" s="4" t="str">
        <f t="shared" si="65"/>
        <v>371000-371500 CAPITAL WORK IN PROGRESS</v>
      </c>
      <c r="AA1628" s="36" t="str">
        <f t="shared" si="66"/>
        <v>371012 CWIP-QUARRY RAW MATERIAL SHED EXTENSION</v>
      </c>
      <c r="AB1628" s="4" t="str">
        <f t="shared" si="67"/>
        <v>RM SHED</v>
      </c>
      <c r="AC1628" s="22">
        <f t="shared" si="63"/>
        <v>22.352941176470587</v>
      </c>
    </row>
    <row r="1629" spans="1:29" x14ac:dyDescent="0.35">
      <c r="A1629" s="4">
        <v>1671</v>
      </c>
      <c r="B1629" s="6">
        <v>45993.589259259257</v>
      </c>
      <c r="C1629" s="6">
        <v>45993</v>
      </c>
      <c r="D1629" s="4" t="s">
        <v>3682</v>
      </c>
      <c r="E1629" s="4" t="s">
        <v>61</v>
      </c>
      <c r="F1629" s="4" t="s">
        <v>3683</v>
      </c>
      <c r="G1629" s="4" t="s">
        <v>3683</v>
      </c>
      <c r="H1629" s="4"/>
      <c r="I1629" s="4"/>
      <c r="J1629" s="4" t="s">
        <v>59</v>
      </c>
      <c r="K1629" s="4" t="s">
        <v>58</v>
      </c>
      <c r="L1629" s="4" t="s">
        <v>57</v>
      </c>
      <c r="M1629" s="4" t="s">
        <v>32</v>
      </c>
      <c r="N1629" s="4" t="s">
        <v>106</v>
      </c>
      <c r="O1629" s="4" t="s">
        <v>105</v>
      </c>
      <c r="P1629" s="4" t="s">
        <v>1064</v>
      </c>
      <c r="Q1629" s="5">
        <v>70000</v>
      </c>
      <c r="R1629" s="4">
        <v>0</v>
      </c>
      <c r="S1629" s="9">
        <f t="shared" si="64"/>
        <v>70000</v>
      </c>
      <c r="T1629" s="4" t="s">
        <v>53</v>
      </c>
      <c r="U1629" s="4" t="s">
        <v>133</v>
      </c>
      <c r="V1629" s="4"/>
      <c r="W1629" s="4">
        <v>-14</v>
      </c>
      <c r="X1629" s="4" t="s">
        <v>124</v>
      </c>
      <c r="Y1629" s="4"/>
      <c r="Z1629" s="4" t="str">
        <f t="shared" si="65"/>
        <v>371000-371500 CAPITAL WORK IN PROGRESS</v>
      </c>
      <c r="AA1629" s="36" t="str">
        <f t="shared" si="66"/>
        <v>371012 CWIP-QUARRY RAW MATERIAL SHED EXTENSION</v>
      </c>
      <c r="AB1629" s="4" t="str">
        <f t="shared" si="67"/>
        <v>RM SHED</v>
      </c>
      <c r="AC1629" s="22">
        <f t="shared" si="63"/>
        <v>27.450980392156861</v>
      </c>
    </row>
    <row r="1630" spans="1:29" x14ac:dyDescent="0.35">
      <c r="A1630" s="4">
        <v>1670</v>
      </c>
      <c r="B1630" s="6">
        <v>45993.589259259257</v>
      </c>
      <c r="C1630" s="6">
        <v>45993</v>
      </c>
      <c r="D1630" s="4" t="s">
        <v>3684</v>
      </c>
      <c r="E1630" s="4" t="s">
        <v>61</v>
      </c>
      <c r="F1630" s="4" t="s">
        <v>3685</v>
      </c>
      <c r="G1630" s="4" t="s">
        <v>3685</v>
      </c>
      <c r="H1630" s="4"/>
      <c r="I1630" s="4"/>
      <c r="J1630" s="4" t="s">
        <v>59</v>
      </c>
      <c r="K1630" s="4" t="s">
        <v>58</v>
      </c>
      <c r="L1630" s="4" t="s">
        <v>57</v>
      </c>
      <c r="M1630" s="4" t="s">
        <v>32</v>
      </c>
      <c r="N1630" s="4" t="s">
        <v>106</v>
      </c>
      <c r="O1630" s="4" t="s">
        <v>105</v>
      </c>
      <c r="P1630" s="4" t="s">
        <v>1064</v>
      </c>
      <c r="Q1630" s="5">
        <v>757210.64</v>
      </c>
      <c r="R1630" s="4">
        <v>0</v>
      </c>
      <c r="S1630" s="9">
        <f t="shared" si="64"/>
        <v>757210.64</v>
      </c>
      <c r="T1630" s="4" t="s">
        <v>53</v>
      </c>
      <c r="U1630" s="4" t="s">
        <v>257</v>
      </c>
      <c r="V1630" s="4"/>
      <c r="W1630" s="4">
        <v>-80</v>
      </c>
      <c r="X1630" s="4" t="s">
        <v>129</v>
      </c>
      <c r="Y1630" s="4"/>
      <c r="Z1630" s="4" t="str">
        <f t="shared" si="65"/>
        <v>371000-371500 CAPITAL WORK IN PROGRESS</v>
      </c>
      <c r="AA1630" s="36" t="str">
        <f t="shared" si="66"/>
        <v>371012 CWIP-QUARRY RAW MATERIAL SHED EXTENSION</v>
      </c>
      <c r="AB1630" s="4" t="str">
        <f t="shared" si="67"/>
        <v>RM SHED</v>
      </c>
      <c r="AC1630" s="22">
        <f t="shared" si="63"/>
        <v>296.94534901960787</v>
      </c>
    </row>
    <row r="1631" spans="1:29" x14ac:dyDescent="0.35">
      <c r="A1631" s="4">
        <v>1668</v>
      </c>
      <c r="B1631" s="6">
        <v>45993.589259259257</v>
      </c>
      <c r="C1631" s="6">
        <v>45993</v>
      </c>
      <c r="D1631" s="4" t="s">
        <v>3686</v>
      </c>
      <c r="E1631" s="4" t="s">
        <v>61</v>
      </c>
      <c r="F1631" s="4" t="s">
        <v>3687</v>
      </c>
      <c r="G1631" s="4" t="s">
        <v>3687</v>
      </c>
      <c r="H1631" s="4"/>
      <c r="I1631" s="4"/>
      <c r="J1631" s="4" t="s">
        <v>59</v>
      </c>
      <c r="K1631" s="4" t="s">
        <v>58</v>
      </c>
      <c r="L1631" s="4" t="s">
        <v>57</v>
      </c>
      <c r="M1631" s="4" t="s">
        <v>32</v>
      </c>
      <c r="N1631" s="4" t="s">
        <v>106</v>
      </c>
      <c r="O1631" s="4" t="s">
        <v>105</v>
      </c>
      <c r="P1631" s="4" t="s">
        <v>1064</v>
      </c>
      <c r="Q1631" s="5">
        <v>1822302.65</v>
      </c>
      <c r="R1631" s="4">
        <v>0</v>
      </c>
      <c r="S1631" s="9">
        <f t="shared" si="64"/>
        <v>1822302.65</v>
      </c>
      <c r="T1631" s="4" t="s">
        <v>53</v>
      </c>
      <c r="U1631" s="4" t="s">
        <v>172</v>
      </c>
      <c r="V1631" s="4"/>
      <c r="W1631" s="4">
        <v>-50</v>
      </c>
      <c r="X1631" s="4" t="s">
        <v>129</v>
      </c>
      <c r="Y1631" s="4"/>
      <c r="Z1631" s="4" t="str">
        <f t="shared" si="65"/>
        <v>371000-371500 CAPITAL WORK IN PROGRESS</v>
      </c>
      <c r="AA1631" s="36" t="str">
        <f t="shared" si="66"/>
        <v>371012 CWIP-QUARRY RAW MATERIAL SHED EXTENSION</v>
      </c>
      <c r="AB1631" s="4" t="str">
        <f t="shared" si="67"/>
        <v>RM SHED</v>
      </c>
      <c r="AC1631" s="22">
        <f t="shared" si="63"/>
        <v>714.62849019607836</v>
      </c>
    </row>
    <row r="1632" spans="1:29" x14ac:dyDescent="0.35">
      <c r="A1632" s="4">
        <v>1666</v>
      </c>
      <c r="B1632" s="6">
        <v>45993.589259259257</v>
      </c>
      <c r="C1632" s="6">
        <v>45993</v>
      </c>
      <c r="D1632" s="4" t="s">
        <v>3688</v>
      </c>
      <c r="E1632" s="4" t="s">
        <v>61</v>
      </c>
      <c r="F1632" s="4" t="s">
        <v>3689</v>
      </c>
      <c r="G1632" s="4" t="s">
        <v>3689</v>
      </c>
      <c r="H1632" s="4"/>
      <c r="I1632" s="4"/>
      <c r="J1632" s="4" t="s">
        <v>59</v>
      </c>
      <c r="K1632" s="4" t="s">
        <v>58</v>
      </c>
      <c r="L1632" s="4" t="s">
        <v>57</v>
      </c>
      <c r="M1632" s="4" t="s">
        <v>32</v>
      </c>
      <c r="N1632" s="4" t="s">
        <v>106</v>
      </c>
      <c r="O1632" s="4" t="s">
        <v>105</v>
      </c>
      <c r="P1632" s="4" t="s">
        <v>1064</v>
      </c>
      <c r="Q1632" s="5">
        <v>25762.82</v>
      </c>
      <c r="R1632" s="4">
        <v>0</v>
      </c>
      <c r="S1632" s="9">
        <f t="shared" si="64"/>
        <v>25762.82</v>
      </c>
      <c r="T1632" s="4" t="s">
        <v>53</v>
      </c>
      <c r="U1632" s="4" t="s">
        <v>117</v>
      </c>
      <c r="V1632" s="4"/>
      <c r="W1632" s="4">
        <v>-8</v>
      </c>
      <c r="X1632" s="4" t="s">
        <v>94</v>
      </c>
      <c r="Y1632" s="4"/>
      <c r="Z1632" s="4" t="str">
        <f t="shared" si="65"/>
        <v>371000-371500 CAPITAL WORK IN PROGRESS</v>
      </c>
      <c r="AA1632" s="36" t="str">
        <f t="shared" si="66"/>
        <v>371012 CWIP-QUARRY RAW MATERIAL SHED EXTENSION</v>
      </c>
      <c r="AB1632" s="4" t="str">
        <f t="shared" si="67"/>
        <v>RM SHED</v>
      </c>
      <c r="AC1632" s="22">
        <f t="shared" si="63"/>
        <v>10.103066666666667</v>
      </c>
    </row>
    <row r="1633" spans="1:30" x14ac:dyDescent="0.35">
      <c r="A1633" s="4">
        <v>39082</v>
      </c>
      <c r="B1633" s="6">
        <v>46014.594895833332</v>
      </c>
      <c r="C1633" s="6">
        <v>46014</v>
      </c>
      <c r="D1633" s="4" t="s">
        <v>3690</v>
      </c>
      <c r="E1633" s="4" t="s">
        <v>61</v>
      </c>
      <c r="F1633" s="4" t="s">
        <v>3691</v>
      </c>
      <c r="G1633" s="4" t="s">
        <v>3691</v>
      </c>
      <c r="H1633" s="4"/>
      <c r="I1633" s="4"/>
      <c r="J1633" s="4" t="s">
        <v>59</v>
      </c>
      <c r="K1633" s="4" t="s">
        <v>58</v>
      </c>
      <c r="L1633" s="4" t="s">
        <v>57</v>
      </c>
      <c r="M1633" s="4" t="s">
        <v>32</v>
      </c>
      <c r="N1633" s="4" t="s">
        <v>96</v>
      </c>
      <c r="O1633" s="4" t="s">
        <v>68</v>
      </c>
      <c r="P1633" s="4" t="s">
        <v>1064</v>
      </c>
      <c r="Q1633" s="5">
        <v>4320000</v>
      </c>
      <c r="R1633" s="4">
        <v>0</v>
      </c>
      <c r="S1633" s="9">
        <f t="shared" si="64"/>
        <v>4320000</v>
      </c>
      <c r="T1633" s="4" t="s">
        <v>53</v>
      </c>
      <c r="U1633" s="4" t="s">
        <v>339</v>
      </c>
      <c r="V1633" s="4"/>
      <c r="W1633" s="4">
        <v>-40</v>
      </c>
      <c r="X1633" s="4" t="s">
        <v>338</v>
      </c>
      <c r="Y1633" s="4"/>
      <c r="Z1633" s="4" t="str">
        <f t="shared" si="65"/>
        <v>371000-371500 CAPITAL WORK IN PROGRESS</v>
      </c>
      <c r="AA1633" s="36" t="str">
        <f t="shared" si="66"/>
        <v>371052 CWIP-ROAD PHASE 07</v>
      </c>
      <c r="AB1633" s="4" t="str">
        <f t="shared" si="67"/>
        <v>ROADS</v>
      </c>
      <c r="AC1633" s="22">
        <f t="shared" si="63"/>
        <v>1694.1176470588234</v>
      </c>
    </row>
    <row r="1634" spans="1:30" x14ac:dyDescent="0.35">
      <c r="A1634" s="4">
        <v>33605</v>
      </c>
      <c r="B1634" s="6">
        <v>46010.356122685182</v>
      </c>
      <c r="C1634" s="6">
        <v>46010</v>
      </c>
      <c r="D1634" s="4" t="s">
        <v>3692</v>
      </c>
      <c r="E1634" s="4" t="s">
        <v>61</v>
      </c>
      <c r="F1634" s="4" t="s">
        <v>3693</v>
      </c>
      <c r="G1634" s="4" t="s">
        <v>3693</v>
      </c>
      <c r="H1634" s="4"/>
      <c r="I1634" s="4"/>
      <c r="J1634" s="4" t="s">
        <v>59</v>
      </c>
      <c r="K1634" s="4" t="s">
        <v>58</v>
      </c>
      <c r="L1634" s="4" t="s">
        <v>57</v>
      </c>
      <c r="M1634" s="4" t="s">
        <v>32</v>
      </c>
      <c r="N1634" s="4" t="s">
        <v>96</v>
      </c>
      <c r="O1634" s="4" t="s">
        <v>68</v>
      </c>
      <c r="P1634" s="4" t="s">
        <v>1064</v>
      </c>
      <c r="Q1634" s="5">
        <v>1382924.2</v>
      </c>
      <c r="R1634" s="4">
        <v>0</v>
      </c>
      <c r="S1634" s="9">
        <f t="shared" si="64"/>
        <v>1382924.2</v>
      </c>
      <c r="T1634" s="4" t="s">
        <v>53</v>
      </c>
      <c r="U1634" s="4" t="s">
        <v>184</v>
      </c>
      <c r="V1634" s="4"/>
      <c r="W1634" s="4">
        <v>-30000</v>
      </c>
      <c r="X1634" s="4" t="s">
        <v>124</v>
      </c>
      <c r="Y1634" s="4"/>
      <c r="Z1634" s="4" t="str">
        <f t="shared" si="65"/>
        <v>371000-371500 CAPITAL WORK IN PROGRESS</v>
      </c>
      <c r="AA1634" s="36" t="str">
        <f t="shared" si="66"/>
        <v>371052 CWIP-ROAD PHASE 07</v>
      </c>
      <c r="AB1634" s="4" t="str">
        <f t="shared" si="67"/>
        <v>ROADS</v>
      </c>
      <c r="AC1634" s="22">
        <f t="shared" si="63"/>
        <v>542.32321568627447</v>
      </c>
    </row>
    <row r="1635" spans="1:30" x14ac:dyDescent="0.35">
      <c r="A1635" s="4">
        <v>39080</v>
      </c>
      <c r="B1635" s="6">
        <v>46014.595694444448</v>
      </c>
      <c r="C1635" s="6">
        <v>46014</v>
      </c>
      <c r="D1635" s="4" t="s">
        <v>3694</v>
      </c>
      <c r="E1635" s="4" t="s">
        <v>61</v>
      </c>
      <c r="F1635" s="4" t="s">
        <v>3695</v>
      </c>
      <c r="G1635" s="4" t="s">
        <v>3695</v>
      </c>
      <c r="H1635" s="4"/>
      <c r="I1635" s="4"/>
      <c r="J1635" s="4" t="s">
        <v>59</v>
      </c>
      <c r="K1635" s="4" t="s">
        <v>58</v>
      </c>
      <c r="L1635" s="4" t="s">
        <v>97</v>
      </c>
      <c r="M1635" s="4" t="s">
        <v>34</v>
      </c>
      <c r="N1635" s="4" t="s">
        <v>114</v>
      </c>
      <c r="O1635" s="4" t="s">
        <v>68</v>
      </c>
      <c r="P1635" s="4" t="s">
        <v>1064</v>
      </c>
      <c r="Q1635" s="5">
        <v>63000</v>
      </c>
      <c r="R1635" s="4">
        <v>0</v>
      </c>
      <c r="S1635" s="9">
        <f t="shared" si="64"/>
        <v>63000</v>
      </c>
      <c r="T1635" s="4" t="s">
        <v>53</v>
      </c>
      <c r="U1635" s="4" t="s">
        <v>111</v>
      </c>
      <c r="V1635" s="4"/>
      <c r="W1635" s="4">
        <v>-150</v>
      </c>
      <c r="X1635" s="4" t="s">
        <v>94</v>
      </c>
      <c r="Y1635" s="4"/>
      <c r="Z1635" s="4" t="str">
        <f t="shared" si="65"/>
        <v>371000-371500 CAPITAL WORK IN PROGRESS</v>
      </c>
      <c r="AA1635" s="36" t="str">
        <f t="shared" si="66"/>
        <v>371059 CWIP-CONSTRUCTION OF PLANT BOUNDARY WALL</v>
      </c>
      <c r="AB1635" s="4" t="str">
        <f t="shared" si="67"/>
        <v>WALL</v>
      </c>
      <c r="AC1635" s="22">
        <f t="shared" si="63"/>
        <v>24.705882352941178</v>
      </c>
    </row>
    <row r="1636" spans="1:30" x14ac:dyDescent="0.35">
      <c r="A1636" s="4">
        <v>39077</v>
      </c>
      <c r="B1636" s="6">
        <v>46014.596261574072</v>
      </c>
      <c r="C1636" s="6">
        <v>46014</v>
      </c>
      <c r="D1636" s="4" t="s">
        <v>3696</v>
      </c>
      <c r="E1636" s="4" t="s">
        <v>61</v>
      </c>
      <c r="F1636" s="4" t="s">
        <v>3697</v>
      </c>
      <c r="G1636" s="4" t="s">
        <v>3697</v>
      </c>
      <c r="H1636" s="4"/>
      <c r="I1636" s="4"/>
      <c r="J1636" s="4" t="s">
        <v>59</v>
      </c>
      <c r="K1636" s="4" t="s">
        <v>58</v>
      </c>
      <c r="L1636" s="4" t="s">
        <v>97</v>
      </c>
      <c r="M1636" s="4" t="s">
        <v>34</v>
      </c>
      <c r="N1636" s="4" t="s">
        <v>106</v>
      </c>
      <c r="O1636" s="4" t="s">
        <v>105</v>
      </c>
      <c r="P1636" s="4" t="s">
        <v>1064</v>
      </c>
      <c r="Q1636" s="5">
        <v>42000</v>
      </c>
      <c r="R1636" s="4">
        <v>0</v>
      </c>
      <c r="S1636" s="9">
        <f t="shared" si="64"/>
        <v>42000</v>
      </c>
      <c r="T1636" s="4" t="s">
        <v>53</v>
      </c>
      <c r="U1636" s="4" t="s">
        <v>111</v>
      </c>
      <c r="V1636" s="4"/>
      <c r="W1636" s="4">
        <v>-100</v>
      </c>
      <c r="X1636" s="4" t="s">
        <v>94</v>
      </c>
      <c r="Y1636" s="4"/>
      <c r="Z1636" s="4" t="str">
        <f t="shared" si="65"/>
        <v>371000-371500 CAPITAL WORK IN PROGRESS</v>
      </c>
      <c r="AA1636" s="36" t="str">
        <f t="shared" si="66"/>
        <v>371012 CWIP-QUARRY RAW MATERIAL SHED EXTENSION</v>
      </c>
      <c r="AB1636" s="4" t="str">
        <f t="shared" si="67"/>
        <v>RM SHED</v>
      </c>
      <c r="AC1636" s="22">
        <f t="shared" si="63"/>
        <v>16.470588235294116</v>
      </c>
    </row>
    <row r="1637" spans="1:30" x14ac:dyDescent="0.35">
      <c r="A1637" s="4">
        <v>30930</v>
      </c>
      <c r="B1637" s="6">
        <v>46009.562002314815</v>
      </c>
      <c r="C1637" s="6">
        <v>46009</v>
      </c>
      <c r="D1637" s="4" t="s">
        <v>3698</v>
      </c>
      <c r="E1637" s="4" t="s">
        <v>61</v>
      </c>
      <c r="F1637" s="4" t="s">
        <v>3699</v>
      </c>
      <c r="G1637" s="4" t="s">
        <v>3699</v>
      </c>
      <c r="H1637" s="4"/>
      <c r="I1637" s="4"/>
      <c r="J1637" s="4" t="s">
        <v>59</v>
      </c>
      <c r="K1637" s="4" t="s">
        <v>58</v>
      </c>
      <c r="L1637" s="4" t="s">
        <v>97</v>
      </c>
      <c r="M1637" s="4" t="s">
        <v>34</v>
      </c>
      <c r="N1637" s="4" t="s">
        <v>106</v>
      </c>
      <c r="O1637" s="4" t="s">
        <v>105</v>
      </c>
      <c r="P1637" s="4" t="s">
        <v>1064</v>
      </c>
      <c r="Q1637" s="5">
        <v>67200</v>
      </c>
      <c r="R1637" s="4">
        <v>0</v>
      </c>
      <c r="S1637" s="9">
        <f t="shared" si="64"/>
        <v>67200</v>
      </c>
      <c r="T1637" s="4" t="s">
        <v>53</v>
      </c>
      <c r="U1637" s="4" t="s">
        <v>111</v>
      </c>
      <c r="V1637" s="4"/>
      <c r="W1637" s="4">
        <v>-160</v>
      </c>
      <c r="X1637" s="4" t="s">
        <v>94</v>
      </c>
      <c r="Y1637" s="4"/>
      <c r="Z1637" s="4" t="str">
        <f t="shared" si="65"/>
        <v>371000-371500 CAPITAL WORK IN PROGRESS</v>
      </c>
      <c r="AA1637" s="36" t="str">
        <f t="shared" si="66"/>
        <v>371012 CWIP-QUARRY RAW MATERIAL SHED EXTENSION</v>
      </c>
      <c r="AB1637" s="4" t="str">
        <f t="shared" si="67"/>
        <v>RM SHED</v>
      </c>
      <c r="AC1637" s="22">
        <f t="shared" si="63"/>
        <v>26.352941176470587</v>
      </c>
    </row>
    <row r="1638" spans="1:30" x14ac:dyDescent="0.35">
      <c r="A1638" s="4">
        <v>30910</v>
      </c>
      <c r="B1638" s="6">
        <v>46009.566400462965</v>
      </c>
      <c r="C1638" s="6">
        <v>46009</v>
      </c>
      <c r="D1638" s="4" t="s">
        <v>3700</v>
      </c>
      <c r="E1638" s="4" t="s">
        <v>61</v>
      </c>
      <c r="F1638" s="4" t="s">
        <v>3701</v>
      </c>
      <c r="G1638" s="4" t="s">
        <v>3701</v>
      </c>
      <c r="H1638" s="4"/>
      <c r="I1638" s="4"/>
      <c r="J1638" s="4" t="s">
        <v>59</v>
      </c>
      <c r="K1638" s="4" t="s">
        <v>58</v>
      </c>
      <c r="L1638" s="4" t="s">
        <v>97</v>
      </c>
      <c r="M1638" s="4" t="s">
        <v>34</v>
      </c>
      <c r="N1638" s="4" t="s">
        <v>106</v>
      </c>
      <c r="O1638" s="4" t="s">
        <v>105</v>
      </c>
      <c r="P1638" s="4" t="s">
        <v>1064</v>
      </c>
      <c r="Q1638" s="5">
        <v>42000</v>
      </c>
      <c r="R1638" s="4">
        <v>0</v>
      </c>
      <c r="S1638" s="9">
        <f t="shared" si="64"/>
        <v>42000</v>
      </c>
      <c r="T1638" s="4" t="s">
        <v>53</v>
      </c>
      <c r="U1638" s="4" t="s">
        <v>111</v>
      </c>
      <c r="V1638" s="4"/>
      <c r="W1638" s="4">
        <v>-100</v>
      </c>
      <c r="X1638" s="4" t="s">
        <v>94</v>
      </c>
      <c r="Y1638" s="4"/>
      <c r="Z1638" s="4" t="str">
        <f t="shared" si="65"/>
        <v>371000-371500 CAPITAL WORK IN PROGRESS</v>
      </c>
      <c r="AA1638" s="36" t="str">
        <f t="shared" si="66"/>
        <v>371012 CWIP-QUARRY RAW MATERIAL SHED EXTENSION</v>
      </c>
      <c r="AB1638" s="4" t="str">
        <f t="shared" si="67"/>
        <v>RM SHED</v>
      </c>
      <c r="AC1638" s="22">
        <f t="shared" si="63"/>
        <v>16.470588235294116</v>
      </c>
    </row>
    <row r="1639" spans="1:30" x14ac:dyDescent="0.35">
      <c r="A1639" s="4">
        <v>240</v>
      </c>
      <c r="B1639" s="6">
        <v>45992.584861111114</v>
      </c>
      <c r="C1639" s="6">
        <v>45992</v>
      </c>
      <c r="D1639" s="4" t="s">
        <v>3702</v>
      </c>
      <c r="E1639" s="4" t="s">
        <v>61</v>
      </c>
      <c r="F1639" s="4" t="s">
        <v>3703</v>
      </c>
      <c r="G1639" s="4" t="s">
        <v>3703</v>
      </c>
      <c r="H1639" s="4"/>
      <c r="I1639" s="4"/>
      <c r="J1639" s="4" t="s">
        <v>59</v>
      </c>
      <c r="K1639" s="4" t="s">
        <v>58</v>
      </c>
      <c r="L1639" s="4" t="s">
        <v>97</v>
      </c>
      <c r="M1639" s="4" t="s">
        <v>34</v>
      </c>
      <c r="N1639" s="4" t="s">
        <v>106</v>
      </c>
      <c r="O1639" s="4" t="s">
        <v>105</v>
      </c>
      <c r="P1639" s="4" t="s">
        <v>1064</v>
      </c>
      <c r="Q1639" s="5">
        <v>67200</v>
      </c>
      <c r="R1639" s="4">
        <v>0</v>
      </c>
      <c r="S1639" s="9">
        <f t="shared" si="64"/>
        <v>67200</v>
      </c>
      <c r="T1639" s="4" t="s">
        <v>53</v>
      </c>
      <c r="U1639" s="4" t="s">
        <v>111</v>
      </c>
      <c r="V1639" s="31"/>
      <c r="W1639" s="4">
        <v>-160</v>
      </c>
      <c r="X1639" s="4" t="s">
        <v>94</v>
      </c>
      <c r="Y1639" s="4"/>
      <c r="Z1639" s="4" t="str">
        <f t="shared" si="65"/>
        <v>371000-371500 CAPITAL WORK IN PROGRESS</v>
      </c>
      <c r="AA1639" s="36" t="str">
        <f t="shared" si="66"/>
        <v>371012 CWIP-QUARRY RAW MATERIAL SHED EXTENSION</v>
      </c>
      <c r="AB1639" s="4" t="str">
        <f t="shared" si="67"/>
        <v>RM SHED</v>
      </c>
      <c r="AC1639" s="22">
        <f t="shared" si="63"/>
        <v>26.352941176470587</v>
      </c>
    </row>
    <row r="1640" spans="1:30" hidden="1" x14ac:dyDescent="0.35">
      <c r="A1640" s="7">
        <v>14739</v>
      </c>
      <c r="B1640" s="24">
        <v>46001.576331018521</v>
      </c>
      <c r="C1640" s="24">
        <v>46001</v>
      </c>
      <c r="D1640" s="7" t="s">
        <v>3704</v>
      </c>
      <c r="E1640" s="7" t="s">
        <v>61</v>
      </c>
      <c r="F1640" s="7" t="s">
        <v>3705</v>
      </c>
      <c r="G1640" s="7" t="s">
        <v>3705</v>
      </c>
      <c r="H1640" s="7"/>
      <c r="I1640" s="7"/>
      <c r="J1640" s="7" t="s">
        <v>59</v>
      </c>
      <c r="K1640" s="7" t="s">
        <v>58</v>
      </c>
      <c r="L1640" s="7" t="s">
        <v>325</v>
      </c>
      <c r="M1640" s="7" t="s">
        <v>33</v>
      </c>
      <c r="N1640" s="7" t="s">
        <v>1699</v>
      </c>
      <c r="O1640" s="7" t="s">
        <v>1703</v>
      </c>
      <c r="P1640" s="7" t="s">
        <v>1743</v>
      </c>
      <c r="Q1640" s="9">
        <v>912556.5</v>
      </c>
      <c r="R1640" s="9">
        <v>0</v>
      </c>
      <c r="S1640" s="9">
        <f t="shared" si="64"/>
        <v>912556.5</v>
      </c>
      <c r="T1640" s="7" t="s">
        <v>53</v>
      </c>
      <c r="U1640" s="7" t="s">
        <v>1718</v>
      </c>
      <c r="V1640" s="4"/>
      <c r="W1640" s="9">
        <v>-1</v>
      </c>
      <c r="X1640" s="7" t="s">
        <v>94</v>
      </c>
      <c r="Y1640" s="4"/>
      <c r="Z1640" s="4" t="s">
        <v>7</v>
      </c>
      <c r="AA1640" s="36" t="str">
        <f>_xlfn.XLOOKUP(N1640,$N$3:$N$1492,$AA$3:$AA$1492)</f>
        <v>341001 COMPUTER &amp; PERIPHERALS</v>
      </c>
      <c r="AB1640" s="4">
        <f t="shared" si="67"/>
        <v>0</v>
      </c>
      <c r="AC1640" s="22">
        <f>+S1640/$AC$1</f>
        <v>357.86529411764707</v>
      </c>
    </row>
    <row r="1641" spans="1:30" hidden="1" x14ac:dyDescent="0.35">
      <c r="A1641" s="7">
        <v>19251</v>
      </c>
      <c r="B1641" s="24">
        <v>46003.583229166667</v>
      </c>
      <c r="C1641" s="24">
        <v>46003</v>
      </c>
      <c r="D1641" s="7" t="s">
        <v>3706</v>
      </c>
      <c r="E1641" s="7" t="s">
        <v>61</v>
      </c>
      <c r="F1641" s="7" t="s">
        <v>3707</v>
      </c>
      <c r="G1641" s="7" t="s">
        <v>3708</v>
      </c>
      <c r="H1641" s="7"/>
      <c r="I1641" s="7"/>
      <c r="J1641" s="7" t="s">
        <v>59</v>
      </c>
      <c r="K1641" s="7" t="s">
        <v>58</v>
      </c>
      <c r="L1641" s="7" t="s">
        <v>325</v>
      </c>
      <c r="M1641" s="7" t="s">
        <v>33</v>
      </c>
      <c r="N1641" s="7" t="s">
        <v>1699</v>
      </c>
      <c r="O1641" s="7" t="s">
        <v>1703</v>
      </c>
      <c r="P1641" s="7" t="s">
        <v>196</v>
      </c>
      <c r="Q1641" s="9">
        <v>7635593.2199999997</v>
      </c>
      <c r="R1641" s="9">
        <v>0</v>
      </c>
      <c r="S1641" s="9">
        <f t="shared" si="64"/>
        <v>7635593.2199999997</v>
      </c>
      <c r="T1641" s="7" t="s">
        <v>53</v>
      </c>
      <c r="U1641" s="7" t="s">
        <v>3709</v>
      </c>
      <c r="V1641" s="4"/>
      <c r="W1641" s="9">
        <v>-1</v>
      </c>
      <c r="X1641" s="7" t="s">
        <v>94</v>
      </c>
      <c r="Y1641" s="4"/>
      <c r="Z1641" s="4" t="s">
        <v>7</v>
      </c>
      <c r="AA1641" s="36" t="s">
        <v>3717</v>
      </c>
      <c r="AB1641" s="4">
        <v>0</v>
      </c>
      <c r="AC1641" s="22">
        <f>+S1641/$AC$1</f>
        <v>2994.3502823529411</v>
      </c>
      <c r="AD1641" s="23">
        <v>0</v>
      </c>
    </row>
    <row r="1642" spans="1:30" hidden="1" x14ac:dyDescent="0.35">
      <c r="A1642" s="7">
        <v>33680</v>
      </c>
      <c r="B1642" s="24">
        <v>46010.349224537036</v>
      </c>
      <c r="C1642" s="24">
        <v>46010</v>
      </c>
      <c r="D1642" s="7" t="s">
        <v>3710</v>
      </c>
      <c r="E1642" s="7" t="s">
        <v>61</v>
      </c>
      <c r="F1642" s="7" t="s">
        <v>3711</v>
      </c>
      <c r="G1642" s="7" t="s">
        <v>3712</v>
      </c>
      <c r="H1642" s="7"/>
      <c r="I1642" s="7"/>
      <c r="J1642" s="7" t="s">
        <v>59</v>
      </c>
      <c r="K1642" s="7" t="s">
        <v>58</v>
      </c>
      <c r="L1642" s="7" t="s">
        <v>325</v>
      </c>
      <c r="M1642" s="7" t="s">
        <v>33</v>
      </c>
      <c r="N1642" s="7" t="s">
        <v>3713</v>
      </c>
      <c r="O1642" s="7" t="s">
        <v>1703</v>
      </c>
      <c r="P1642" s="7" t="s">
        <v>1703</v>
      </c>
      <c r="Q1642" s="9">
        <v>2322122.0299999998</v>
      </c>
      <c r="R1642" s="9">
        <v>0</v>
      </c>
      <c r="S1642" s="9">
        <f t="shared" si="64"/>
        <v>2322122.0299999998</v>
      </c>
      <c r="T1642" s="7" t="s">
        <v>53</v>
      </c>
      <c r="U1642" s="7" t="s">
        <v>1767</v>
      </c>
      <c r="W1642" s="9">
        <v>-3</v>
      </c>
      <c r="X1642" s="7" t="s">
        <v>94</v>
      </c>
      <c r="Y1642" s="4"/>
      <c r="Z1642" s="4" t="s">
        <v>5</v>
      </c>
      <c r="AA1642" s="36" t="s">
        <v>6</v>
      </c>
      <c r="AB1642" s="4">
        <f t="shared" si="67"/>
        <v>0</v>
      </c>
      <c r="AC1642" s="22">
        <f>+S1642/$AC$1</f>
        <v>910.63609019607838</v>
      </c>
    </row>
    <row r="1643" spans="1:30" hidden="1" x14ac:dyDescent="0.35">
      <c r="A1643" s="7">
        <v>19248</v>
      </c>
      <c r="B1643" s="24">
        <v>46003.583229166667</v>
      </c>
      <c r="C1643" s="24">
        <v>46003</v>
      </c>
      <c r="D1643" s="7" t="s">
        <v>3714</v>
      </c>
      <c r="E1643" s="7" t="s">
        <v>61</v>
      </c>
      <c r="F1643" s="7" t="s">
        <v>3715</v>
      </c>
      <c r="G1643" s="7" t="s">
        <v>3715</v>
      </c>
      <c r="H1643" s="7"/>
      <c r="I1643" s="7"/>
      <c r="J1643" s="7" t="s">
        <v>59</v>
      </c>
      <c r="K1643" s="17" t="s">
        <v>58</v>
      </c>
      <c r="L1643" s="7" t="s">
        <v>57</v>
      </c>
      <c r="M1643" s="17" t="s">
        <v>32</v>
      </c>
      <c r="N1643" s="7" t="s">
        <v>118</v>
      </c>
      <c r="O1643" s="7" t="s">
        <v>1703</v>
      </c>
      <c r="P1643" s="7" t="s">
        <v>196</v>
      </c>
      <c r="Q1643" s="11">
        <v>494067.8</v>
      </c>
      <c r="R1643" s="11">
        <v>0</v>
      </c>
      <c r="S1643" s="9">
        <f t="shared" si="64"/>
        <v>494067.8</v>
      </c>
      <c r="T1643" s="7" t="s">
        <v>53</v>
      </c>
      <c r="U1643" s="7" t="s">
        <v>3414</v>
      </c>
      <c r="W1643" s="9">
        <v>-1</v>
      </c>
      <c r="X1643" s="7" t="s">
        <v>94</v>
      </c>
      <c r="Y1643" s="4"/>
      <c r="Z1643" s="4" t="s">
        <v>7</v>
      </c>
      <c r="AA1643" s="36" t="s">
        <v>3717</v>
      </c>
      <c r="AB1643" s="4">
        <v>0</v>
      </c>
      <c r="AC1643" s="22">
        <f>+S1643/$AC$1</f>
        <v>193.75207843137255</v>
      </c>
      <c r="AD1643" s="23">
        <v>0</v>
      </c>
    </row>
    <row r="1644" spans="1:30" hidden="1" x14ac:dyDescent="0.35">
      <c r="A1644" s="7">
        <v>1</v>
      </c>
      <c r="B1644" s="24">
        <v>46024.280605740627</v>
      </c>
      <c r="C1644" s="24">
        <v>46024</v>
      </c>
      <c r="D1644" s="7" t="s">
        <v>3718</v>
      </c>
      <c r="E1644" s="7" t="s">
        <v>1331</v>
      </c>
      <c r="F1644" s="7" t="s">
        <v>1834</v>
      </c>
      <c r="G1644" s="7" t="s">
        <v>3752</v>
      </c>
      <c r="H1644" s="7" t="s">
        <v>1832</v>
      </c>
      <c r="I1644" s="7" t="s">
        <v>1831</v>
      </c>
      <c r="J1644" s="7" t="s">
        <v>1816</v>
      </c>
      <c r="K1644" s="7" t="s">
        <v>1815</v>
      </c>
      <c r="L1644" s="7" t="s">
        <v>1814</v>
      </c>
      <c r="M1644" s="7" t="s">
        <v>28</v>
      </c>
      <c r="N1644" s="7" t="s">
        <v>1825</v>
      </c>
      <c r="O1644" s="7" t="s">
        <v>1704</v>
      </c>
      <c r="P1644" s="7" t="s">
        <v>1703</v>
      </c>
      <c r="Q1644" s="9">
        <v>1302168.5</v>
      </c>
      <c r="R1644" s="9">
        <v>0</v>
      </c>
      <c r="S1644" s="9">
        <f t="shared" si="64"/>
        <v>1302168.5</v>
      </c>
      <c r="T1644" s="7" t="s">
        <v>53</v>
      </c>
      <c r="U1644" s="7"/>
      <c r="V1644" s="7"/>
      <c r="W1644" s="9">
        <v>1</v>
      </c>
      <c r="X1644" s="7"/>
      <c r="Y1644" s="4"/>
      <c r="Z1644" s="4" t="str">
        <f>_xlfn.XLOOKUP(M1644,$M$3:$M$1643,$Z$3:$Z$1643)</f>
        <v>371000-371500 CAPITAL WORK IN PROGRESS</v>
      </c>
      <c r="AA1644" t="s">
        <v>28</v>
      </c>
      <c r="AB1644">
        <f>_xlfn.XLOOKUP(AA1644,$AA$3:$AA$1643,$AB$3:$AB$1643)</f>
        <v>0</v>
      </c>
      <c r="AC1644" s="22">
        <f t="shared" ref="AC1644:AC1676" si="68">+S1644/$AC$1</f>
        <v>510.65431372549017</v>
      </c>
      <c r="AD1644" s="23">
        <v>0</v>
      </c>
    </row>
    <row r="1645" spans="1:30" hidden="1" x14ac:dyDescent="0.35">
      <c r="A1645" s="7">
        <v>2</v>
      </c>
      <c r="B1645" s="24">
        <v>46024.280605740627</v>
      </c>
      <c r="C1645" s="24">
        <v>46024</v>
      </c>
      <c r="D1645" s="7" t="s">
        <v>3718</v>
      </c>
      <c r="E1645" s="7" t="s">
        <v>1331</v>
      </c>
      <c r="F1645" s="7" t="s">
        <v>1834</v>
      </c>
      <c r="G1645" s="7" t="s">
        <v>3752</v>
      </c>
      <c r="H1645" s="7" t="s">
        <v>1832</v>
      </c>
      <c r="I1645" s="7" t="s">
        <v>1831</v>
      </c>
      <c r="J1645" s="7" t="s">
        <v>1816</v>
      </c>
      <c r="K1645" s="7" t="s">
        <v>1815</v>
      </c>
      <c r="L1645" s="7" t="s">
        <v>1814</v>
      </c>
      <c r="M1645" s="7" t="s">
        <v>28</v>
      </c>
      <c r="N1645" s="7" t="s">
        <v>1825</v>
      </c>
      <c r="O1645" s="7" t="s">
        <v>1704</v>
      </c>
      <c r="P1645" s="7" t="s">
        <v>1703</v>
      </c>
      <c r="Q1645" s="9">
        <v>9941.17</v>
      </c>
      <c r="R1645" s="9">
        <v>0</v>
      </c>
      <c r="S1645" s="9">
        <f t="shared" si="64"/>
        <v>9941.17</v>
      </c>
      <c r="T1645" s="7" t="s">
        <v>53</v>
      </c>
      <c r="U1645" s="7"/>
      <c r="V1645" s="7"/>
      <c r="W1645" s="9">
        <v>1</v>
      </c>
      <c r="X1645" s="7"/>
      <c r="Y1645" s="4"/>
      <c r="Z1645" s="4" t="str">
        <f t="shared" ref="Z1645:Z1676" si="69">_xlfn.XLOOKUP(M1645,$M$3:$M$1643,$Z$3:$Z$1643)</f>
        <v>371000-371500 CAPITAL WORK IN PROGRESS</v>
      </c>
      <c r="AA1645" t="s">
        <v>28</v>
      </c>
      <c r="AB1645">
        <f t="shared" ref="AB1645:AB1708" si="70">_xlfn.XLOOKUP(AA1645,$AA$3:$AA$1643,$AB$3:$AB$1643)</f>
        <v>0</v>
      </c>
      <c r="AC1645" s="22">
        <f t="shared" si="68"/>
        <v>3.8984980392156863</v>
      </c>
      <c r="AD1645" s="23">
        <v>0</v>
      </c>
    </row>
    <row r="1646" spans="1:30" hidden="1" x14ac:dyDescent="0.35">
      <c r="A1646" s="7">
        <v>3</v>
      </c>
      <c r="B1646" s="24">
        <v>46027.29431014994</v>
      </c>
      <c r="C1646" s="24">
        <v>46027</v>
      </c>
      <c r="D1646" s="7" t="s">
        <v>3719</v>
      </c>
      <c r="E1646" s="7" t="s">
        <v>1331</v>
      </c>
      <c r="F1646" s="7" t="s">
        <v>3720</v>
      </c>
      <c r="G1646" s="7" t="s">
        <v>3753</v>
      </c>
      <c r="H1646" s="7" t="s">
        <v>1931</v>
      </c>
      <c r="I1646" s="7" t="s">
        <v>1930</v>
      </c>
      <c r="J1646" s="7" t="s">
        <v>1816</v>
      </c>
      <c r="K1646" s="7" t="s">
        <v>1815</v>
      </c>
      <c r="L1646" s="7" t="s">
        <v>1814</v>
      </c>
      <c r="M1646" s="7" t="s">
        <v>28</v>
      </c>
      <c r="N1646" s="7" t="s">
        <v>1825</v>
      </c>
      <c r="O1646" s="7" t="s">
        <v>1704</v>
      </c>
      <c r="P1646" s="7" t="s">
        <v>1703</v>
      </c>
      <c r="Q1646" s="9">
        <v>43911095.280000001</v>
      </c>
      <c r="R1646" s="9">
        <v>0</v>
      </c>
      <c r="S1646" s="9">
        <f t="shared" si="64"/>
        <v>43911095.280000001</v>
      </c>
      <c r="T1646" s="7" t="s">
        <v>53</v>
      </c>
      <c r="U1646" s="7"/>
      <c r="V1646" s="7"/>
      <c r="W1646" s="9">
        <v>1</v>
      </c>
      <c r="X1646" s="7"/>
      <c r="Y1646" s="4"/>
      <c r="Z1646" s="4" t="str">
        <f t="shared" si="69"/>
        <v>371000-371500 CAPITAL WORK IN PROGRESS</v>
      </c>
      <c r="AA1646" t="s">
        <v>28</v>
      </c>
      <c r="AB1646">
        <f t="shared" si="70"/>
        <v>0</v>
      </c>
      <c r="AC1646" s="22">
        <f t="shared" si="68"/>
        <v>17220.037364705884</v>
      </c>
      <c r="AD1646" s="23">
        <v>0</v>
      </c>
    </row>
    <row r="1647" spans="1:30" x14ac:dyDescent="0.35">
      <c r="A1647" s="7">
        <v>4</v>
      </c>
      <c r="B1647" s="24">
        <v>46036.400166429361</v>
      </c>
      <c r="C1647" s="24">
        <v>46036</v>
      </c>
      <c r="D1647" s="7" t="s">
        <v>3721</v>
      </c>
      <c r="E1647" s="7" t="s">
        <v>61</v>
      </c>
      <c r="F1647" s="7" t="s">
        <v>3722</v>
      </c>
      <c r="G1647" s="7" t="s">
        <v>3722</v>
      </c>
      <c r="H1647" s="7"/>
      <c r="I1647" s="7"/>
      <c r="J1647" s="7" t="s">
        <v>1816</v>
      </c>
      <c r="K1647" s="7" t="s">
        <v>1815</v>
      </c>
      <c r="L1647" s="7" t="s">
        <v>1992</v>
      </c>
      <c r="M1647" s="7" t="s">
        <v>18</v>
      </c>
      <c r="N1647" s="7" t="s">
        <v>106</v>
      </c>
      <c r="O1647" s="7" t="s">
        <v>105</v>
      </c>
      <c r="P1647" s="7" t="s">
        <v>1064</v>
      </c>
      <c r="Q1647" s="9">
        <v>4368000</v>
      </c>
      <c r="R1647" s="9">
        <v>0</v>
      </c>
      <c r="S1647" s="9">
        <f t="shared" si="64"/>
        <v>4368000</v>
      </c>
      <c r="T1647" s="7" t="s">
        <v>53</v>
      </c>
      <c r="U1647" s="7" t="s">
        <v>3751</v>
      </c>
      <c r="V1647" s="7" t="s">
        <v>1990</v>
      </c>
      <c r="W1647" s="9">
        <v>-208</v>
      </c>
      <c r="X1647" s="7" t="s">
        <v>94</v>
      </c>
      <c r="Y1647" s="4"/>
      <c r="Z1647" s="4" t="str">
        <f t="shared" si="69"/>
        <v>371000-371500 CAPITAL WORK IN PROGRESS</v>
      </c>
      <c r="AA1647" t="s">
        <v>22</v>
      </c>
      <c r="AB1647" t="str">
        <f t="shared" si="70"/>
        <v>OPC Project</v>
      </c>
      <c r="AC1647" s="22">
        <f t="shared" si="68"/>
        <v>1712.9411764705883</v>
      </c>
      <c r="AD1647" s="23">
        <v>0</v>
      </c>
    </row>
    <row r="1648" spans="1:30" x14ac:dyDescent="0.35">
      <c r="A1648" s="7"/>
      <c r="B1648" s="24">
        <v>46060</v>
      </c>
      <c r="C1648" s="24">
        <v>46053</v>
      </c>
      <c r="D1648" s="7" t="s">
        <v>3766</v>
      </c>
      <c r="E1648" s="7" t="s">
        <v>1981</v>
      </c>
      <c r="F1648" s="7" t="s">
        <v>3767</v>
      </c>
      <c r="G1648" s="7" t="s">
        <v>3768</v>
      </c>
      <c r="H1648" s="7"/>
      <c r="I1648" s="7"/>
      <c r="J1648" s="7"/>
      <c r="K1648" s="7"/>
      <c r="L1648" s="7"/>
      <c r="M1648" s="7" t="s">
        <v>18</v>
      </c>
      <c r="N1648" s="7" t="s">
        <v>106</v>
      </c>
      <c r="O1648" s="7" t="s">
        <v>105</v>
      </c>
      <c r="P1648" s="7" t="s">
        <v>1064</v>
      </c>
      <c r="Q1648" s="9">
        <v>0</v>
      </c>
      <c r="R1648" s="9">
        <v>4368000</v>
      </c>
      <c r="S1648" s="9">
        <f t="shared" si="64"/>
        <v>-4368000</v>
      </c>
      <c r="T1648" s="7" t="s">
        <v>53</v>
      </c>
      <c r="U1648" s="7" t="s">
        <v>3751</v>
      </c>
      <c r="V1648" s="7"/>
      <c r="W1648" s="9">
        <v>-208</v>
      </c>
      <c r="X1648" s="7" t="s">
        <v>94</v>
      </c>
      <c r="Y1648" s="4"/>
      <c r="Z1648" s="4" t="str">
        <f t="shared" si="69"/>
        <v>371000-371500 CAPITAL WORK IN PROGRESS</v>
      </c>
      <c r="AA1648" t="s">
        <v>22</v>
      </c>
      <c r="AB1648" t="str">
        <f t="shared" si="70"/>
        <v>OPC Project</v>
      </c>
      <c r="AC1648" s="22">
        <f t="shared" si="68"/>
        <v>-1712.9411764705883</v>
      </c>
      <c r="AD1648" s="23">
        <v>0</v>
      </c>
    </row>
    <row r="1649" spans="1:30" x14ac:dyDescent="0.35">
      <c r="A1649" s="7"/>
      <c r="B1649" s="24">
        <v>46060</v>
      </c>
      <c r="C1649" s="24">
        <v>46053</v>
      </c>
      <c r="D1649" s="7" t="s">
        <v>3766</v>
      </c>
      <c r="E1649" s="7" t="s">
        <v>1981</v>
      </c>
      <c r="F1649" s="7" t="s">
        <v>3767</v>
      </c>
      <c r="G1649" s="7" t="s">
        <v>3768</v>
      </c>
      <c r="H1649" s="7"/>
      <c r="I1649" s="7"/>
      <c r="J1649" s="7"/>
      <c r="K1649" s="7"/>
      <c r="L1649" s="7"/>
      <c r="M1649" s="7" t="s">
        <v>15</v>
      </c>
      <c r="N1649" s="7" t="s">
        <v>106</v>
      </c>
      <c r="O1649" s="7" t="s">
        <v>105</v>
      </c>
      <c r="P1649" s="7" t="s">
        <v>1064</v>
      </c>
      <c r="Q1649" s="9">
        <v>4368000</v>
      </c>
      <c r="R1649" s="9"/>
      <c r="S1649" s="9">
        <f t="shared" si="64"/>
        <v>4368000</v>
      </c>
      <c r="T1649" s="7" t="s">
        <v>53</v>
      </c>
      <c r="U1649" s="7" t="s">
        <v>3751</v>
      </c>
      <c r="V1649" s="7"/>
      <c r="W1649" s="9">
        <v>-208</v>
      </c>
      <c r="X1649" s="7" t="s">
        <v>94</v>
      </c>
      <c r="Y1649" s="4"/>
      <c r="Z1649" s="4" t="str">
        <f t="shared" si="69"/>
        <v>371000-371500 CAPITAL WORK IN PROGRESS</v>
      </c>
      <c r="AA1649" t="s">
        <v>15</v>
      </c>
      <c r="AB1649" t="str">
        <f t="shared" si="70"/>
        <v>RM SHED</v>
      </c>
      <c r="AC1649" s="22">
        <f t="shared" si="68"/>
        <v>1712.9411764705883</v>
      </c>
      <c r="AD1649" s="23">
        <v>0</v>
      </c>
    </row>
    <row r="1650" spans="1:30" hidden="1" x14ac:dyDescent="0.35">
      <c r="A1650" s="7">
        <v>5</v>
      </c>
      <c r="B1650" s="24">
        <v>46036.425051640123</v>
      </c>
      <c r="C1650" s="24">
        <v>46036</v>
      </c>
      <c r="D1650" s="7" t="s">
        <v>3723</v>
      </c>
      <c r="E1650" s="7" t="s">
        <v>1331</v>
      </c>
      <c r="F1650" s="7" t="s">
        <v>1499</v>
      </c>
      <c r="G1650" s="7" t="s">
        <v>3754</v>
      </c>
      <c r="H1650" s="7" t="s">
        <v>1497</v>
      </c>
      <c r="I1650" s="7" t="s">
        <v>1496</v>
      </c>
      <c r="J1650" s="7" t="s">
        <v>1816</v>
      </c>
      <c r="K1650" s="7" t="s">
        <v>1815</v>
      </c>
      <c r="L1650" s="7" t="s">
        <v>1814</v>
      </c>
      <c r="M1650" s="7" t="s">
        <v>28</v>
      </c>
      <c r="N1650" s="7" t="s">
        <v>1825</v>
      </c>
      <c r="O1650" s="7" t="s">
        <v>1704</v>
      </c>
      <c r="P1650" s="7" t="s">
        <v>1703</v>
      </c>
      <c r="Q1650" s="9">
        <v>651514</v>
      </c>
      <c r="R1650" s="9">
        <v>0</v>
      </c>
      <c r="S1650" s="9">
        <f t="shared" si="64"/>
        <v>651514</v>
      </c>
      <c r="T1650" s="7" t="s">
        <v>2635</v>
      </c>
      <c r="U1650" s="7"/>
      <c r="V1650" s="7"/>
      <c r="W1650" s="9">
        <v>1</v>
      </c>
      <c r="X1650" s="7"/>
      <c r="Y1650" s="4"/>
      <c r="Z1650" s="4" t="str">
        <f t="shared" si="69"/>
        <v>371000-371500 CAPITAL WORK IN PROGRESS</v>
      </c>
      <c r="AA1650" t="s">
        <v>28</v>
      </c>
      <c r="AB1650">
        <f t="shared" si="70"/>
        <v>0</v>
      </c>
      <c r="AC1650" s="22">
        <f t="shared" si="68"/>
        <v>255.49568627450981</v>
      </c>
      <c r="AD1650" s="23">
        <v>0</v>
      </c>
    </row>
    <row r="1651" spans="1:30" hidden="1" x14ac:dyDescent="0.35">
      <c r="A1651" s="7">
        <v>6</v>
      </c>
      <c r="B1651" s="24">
        <v>46036.423093393278</v>
      </c>
      <c r="C1651" s="24">
        <v>46036</v>
      </c>
      <c r="D1651" s="7" t="s">
        <v>3724</v>
      </c>
      <c r="E1651" s="7" t="s">
        <v>1331</v>
      </c>
      <c r="F1651" s="7" t="s">
        <v>1499</v>
      </c>
      <c r="G1651" s="7" t="s">
        <v>3755</v>
      </c>
      <c r="H1651" s="7" t="s">
        <v>1497</v>
      </c>
      <c r="I1651" s="7" t="s">
        <v>1496</v>
      </c>
      <c r="J1651" s="7" t="s">
        <v>1816</v>
      </c>
      <c r="K1651" s="7" t="s">
        <v>1815</v>
      </c>
      <c r="L1651" s="7" t="s">
        <v>1814</v>
      </c>
      <c r="M1651" s="7" t="s">
        <v>28</v>
      </c>
      <c r="N1651" s="7" t="s">
        <v>1825</v>
      </c>
      <c r="O1651" s="7" t="s">
        <v>1704</v>
      </c>
      <c r="P1651" s="7" t="s">
        <v>1703</v>
      </c>
      <c r="Q1651" s="9">
        <v>1744367.4</v>
      </c>
      <c r="R1651" s="9">
        <v>0</v>
      </c>
      <c r="S1651" s="9">
        <f t="shared" si="64"/>
        <v>1744367.4</v>
      </c>
      <c r="T1651" s="7" t="s">
        <v>2635</v>
      </c>
      <c r="U1651" s="7"/>
      <c r="V1651" s="7"/>
      <c r="W1651" s="9">
        <v>1</v>
      </c>
      <c r="X1651" s="7"/>
      <c r="Y1651" s="4"/>
      <c r="Z1651" s="4" t="str">
        <f t="shared" si="69"/>
        <v>371000-371500 CAPITAL WORK IN PROGRESS</v>
      </c>
      <c r="AA1651" t="s">
        <v>28</v>
      </c>
      <c r="AB1651">
        <f t="shared" si="70"/>
        <v>0</v>
      </c>
      <c r="AC1651" s="22">
        <f t="shared" si="68"/>
        <v>684.06564705882352</v>
      </c>
      <c r="AD1651" s="23">
        <v>0</v>
      </c>
    </row>
    <row r="1652" spans="1:30" x14ac:dyDescent="0.35">
      <c r="A1652" s="7">
        <v>7</v>
      </c>
      <c r="B1652" s="24">
        <v>46036.389621963863</v>
      </c>
      <c r="C1652" s="24">
        <v>46036</v>
      </c>
      <c r="D1652" s="7" t="s">
        <v>3725</v>
      </c>
      <c r="E1652" s="7" t="s">
        <v>1331</v>
      </c>
      <c r="F1652" s="7" t="s">
        <v>3726</v>
      </c>
      <c r="G1652" s="7" t="s">
        <v>3756</v>
      </c>
      <c r="H1652" s="7" t="s">
        <v>1497</v>
      </c>
      <c r="I1652" s="7" t="s">
        <v>1496</v>
      </c>
      <c r="J1652" s="7" t="s">
        <v>1816</v>
      </c>
      <c r="K1652" s="7" t="s">
        <v>1815</v>
      </c>
      <c r="L1652" s="7" t="s">
        <v>1915</v>
      </c>
      <c r="M1652" s="7" t="s">
        <v>20</v>
      </c>
      <c r="N1652" s="7" t="s">
        <v>1324</v>
      </c>
      <c r="O1652" s="7" t="s">
        <v>68</v>
      </c>
      <c r="P1652" s="7" t="s">
        <v>68</v>
      </c>
      <c r="Q1652" s="9">
        <v>1184447</v>
      </c>
      <c r="R1652" s="9">
        <v>0</v>
      </c>
      <c r="S1652" s="9">
        <f t="shared" si="64"/>
        <v>1184447</v>
      </c>
      <c r="T1652" s="7" t="s">
        <v>2635</v>
      </c>
      <c r="U1652" s="7"/>
      <c r="V1652" s="7"/>
      <c r="W1652" s="9">
        <v>1</v>
      </c>
      <c r="X1652" s="7"/>
      <c r="Y1652" s="4"/>
      <c r="Z1652" s="4" t="str">
        <f t="shared" si="69"/>
        <v>371000-371500 CAPITAL WORK IN PROGRESS</v>
      </c>
      <c r="AA1652" t="s">
        <v>20</v>
      </c>
      <c r="AB1652" t="str">
        <f t="shared" si="70"/>
        <v>2200 TPD Commissioning</v>
      </c>
      <c r="AC1652" s="22">
        <f t="shared" si="68"/>
        <v>464.48901960784315</v>
      </c>
      <c r="AD1652" s="23">
        <v>0</v>
      </c>
    </row>
    <row r="1653" spans="1:30" hidden="1" x14ac:dyDescent="0.35">
      <c r="A1653" s="7">
        <v>8</v>
      </c>
      <c r="B1653" s="24">
        <v>46037.557253688552</v>
      </c>
      <c r="C1653" s="24">
        <v>46037</v>
      </c>
      <c r="D1653" s="7" t="s">
        <v>3727</v>
      </c>
      <c r="E1653" s="7" t="s">
        <v>1819</v>
      </c>
      <c r="F1653" s="7" t="s">
        <v>3533</v>
      </c>
      <c r="G1653" s="7" t="s">
        <v>3757</v>
      </c>
      <c r="H1653" s="7"/>
      <c r="I1653" s="7"/>
      <c r="J1653" s="7" t="s">
        <v>1816</v>
      </c>
      <c r="K1653" s="7" t="s">
        <v>1815</v>
      </c>
      <c r="L1653" s="7" t="s">
        <v>1814</v>
      </c>
      <c r="M1653" s="7" t="s">
        <v>28</v>
      </c>
      <c r="N1653" s="7" t="s">
        <v>1825</v>
      </c>
      <c r="O1653" s="7" t="s">
        <v>1704</v>
      </c>
      <c r="P1653" s="7" t="s">
        <v>1703</v>
      </c>
      <c r="Q1653" s="9">
        <v>240000</v>
      </c>
      <c r="R1653" s="9">
        <v>0</v>
      </c>
      <c r="S1653" s="9">
        <f t="shared" si="64"/>
        <v>240000</v>
      </c>
      <c r="T1653" s="7" t="s">
        <v>53</v>
      </c>
      <c r="U1653" s="7"/>
      <c r="V1653" s="7"/>
      <c r="W1653" s="9">
        <v>1</v>
      </c>
      <c r="X1653" s="7"/>
      <c r="Y1653" s="4"/>
      <c r="Z1653" s="4" t="str">
        <f t="shared" si="69"/>
        <v>371000-371500 CAPITAL WORK IN PROGRESS</v>
      </c>
      <c r="AA1653" t="s">
        <v>28</v>
      </c>
      <c r="AB1653">
        <f t="shared" si="70"/>
        <v>0</v>
      </c>
      <c r="AC1653" s="22">
        <f t="shared" si="68"/>
        <v>94.117647058823536</v>
      </c>
      <c r="AD1653" s="23">
        <v>0</v>
      </c>
    </row>
    <row r="1654" spans="1:30" hidden="1" x14ac:dyDescent="0.35">
      <c r="A1654" s="7">
        <v>9</v>
      </c>
      <c r="B1654" s="24">
        <v>46037.557253688552</v>
      </c>
      <c r="C1654" s="24">
        <v>46037</v>
      </c>
      <c r="D1654" s="7" t="s">
        <v>3727</v>
      </c>
      <c r="E1654" s="7" t="s">
        <v>1819</v>
      </c>
      <c r="F1654" s="7" t="s">
        <v>3533</v>
      </c>
      <c r="G1654" s="7" t="s">
        <v>3757</v>
      </c>
      <c r="H1654" s="7"/>
      <c r="I1654" s="7"/>
      <c r="J1654" s="7" t="s">
        <v>1816</v>
      </c>
      <c r="K1654" s="7" t="s">
        <v>1815</v>
      </c>
      <c r="L1654" s="7" t="s">
        <v>1814</v>
      </c>
      <c r="M1654" s="7" t="s">
        <v>28</v>
      </c>
      <c r="N1654" s="7" t="s">
        <v>1825</v>
      </c>
      <c r="O1654" s="7" t="s">
        <v>1704</v>
      </c>
      <c r="P1654" s="7" t="s">
        <v>1703</v>
      </c>
      <c r="Q1654" s="9">
        <v>200000</v>
      </c>
      <c r="R1654" s="9">
        <v>0</v>
      </c>
      <c r="S1654" s="9">
        <f t="shared" si="64"/>
        <v>200000</v>
      </c>
      <c r="T1654" s="7" t="s">
        <v>53</v>
      </c>
      <c r="U1654" s="7"/>
      <c r="V1654" s="7"/>
      <c r="W1654" s="9">
        <v>1</v>
      </c>
      <c r="X1654" s="7"/>
      <c r="Y1654" s="4"/>
      <c r="Z1654" s="4" t="str">
        <f t="shared" si="69"/>
        <v>371000-371500 CAPITAL WORK IN PROGRESS</v>
      </c>
      <c r="AA1654" t="s">
        <v>28</v>
      </c>
      <c r="AB1654">
        <f t="shared" si="70"/>
        <v>0</v>
      </c>
      <c r="AC1654" s="22">
        <f t="shared" si="68"/>
        <v>78.431372549019613</v>
      </c>
      <c r="AD1654" s="23">
        <v>0</v>
      </c>
    </row>
    <row r="1655" spans="1:30" hidden="1" x14ac:dyDescent="0.35">
      <c r="A1655" s="7">
        <v>10</v>
      </c>
      <c r="B1655" s="24">
        <v>46037.557253688552</v>
      </c>
      <c r="C1655" s="24">
        <v>46037</v>
      </c>
      <c r="D1655" s="7" t="s">
        <v>3727</v>
      </c>
      <c r="E1655" s="7" t="s">
        <v>1819</v>
      </c>
      <c r="F1655" s="7" t="s">
        <v>3533</v>
      </c>
      <c r="G1655" s="7" t="s">
        <v>3757</v>
      </c>
      <c r="H1655" s="7"/>
      <c r="I1655" s="7"/>
      <c r="J1655" s="7" t="s">
        <v>1816</v>
      </c>
      <c r="K1655" s="7" t="s">
        <v>1815</v>
      </c>
      <c r="L1655" s="7" t="s">
        <v>1814</v>
      </c>
      <c r="M1655" s="7" t="s">
        <v>28</v>
      </c>
      <c r="N1655" s="7" t="s">
        <v>1825</v>
      </c>
      <c r="O1655" s="7" t="s">
        <v>1704</v>
      </c>
      <c r="P1655" s="7" t="s">
        <v>1703</v>
      </c>
      <c r="Q1655" s="9">
        <v>120000</v>
      </c>
      <c r="R1655" s="9">
        <v>0</v>
      </c>
      <c r="S1655" s="9">
        <f t="shared" si="64"/>
        <v>120000</v>
      </c>
      <c r="T1655" s="7" t="s">
        <v>53</v>
      </c>
      <c r="U1655" s="7"/>
      <c r="V1655" s="7"/>
      <c r="W1655" s="9">
        <v>1</v>
      </c>
      <c r="X1655" s="7"/>
      <c r="Y1655" s="4"/>
      <c r="Z1655" s="4" t="str">
        <f t="shared" si="69"/>
        <v>371000-371500 CAPITAL WORK IN PROGRESS</v>
      </c>
      <c r="AA1655" t="s">
        <v>28</v>
      </c>
      <c r="AB1655">
        <f t="shared" si="70"/>
        <v>0</v>
      </c>
      <c r="AC1655" s="22">
        <f t="shared" si="68"/>
        <v>47.058823529411768</v>
      </c>
      <c r="AD1655" s="23">
        <v>0</v>
      </c>
    </row>
    <row r="1656" spans="1:30" hidden="1" x14ac:dyDescent="0.35">
      <c r="A1656" s="7">
        <v>11</v>
      </c>
      <c r="B1656" s="24">
        <v>46037.557253688552</v>
      </c>
      <c r="C1656" s="24">
        <v>46037</v>
      </c>
      <c r="D1656" s="7" t="s">
        <v>3727</v>
      </c>
      <c r="E1656" s="7" t="s">
        <v>1819</v>
      </c>
      <c r="F1656" s="7" t="s">
        <v>3533</v>
      </c>
      <c r="G1656" s="7" t="s">
        <v>3757</v>
      </c>
      <c r="H1656" s="7"/>
      <c r="I1656" s="7"/>
      <c r="J1656" s="7" t="s">
        <v>1816</v>
      </c>
      <c r="K1656" s="7" t="s">
        <v>1815</v>
      </c>
      <c r="L1656" s="7" t="s">
        <v>1814</v>
      </c>
      <c r="M1656" s="7" t="s">
        <v>28</v>
      </c>
      <c r="N1656" s="7" t="s">
        <v>1825</v>
      </c>
      <c r="O1656" s="7" t="s">
        <v>1704</v>
      </c>
      <c r="P1656" s="7" t="s">
        <v>1703</v>
      </c>
      <c r="Q1656" s="9">
        <v>240000</v>
      </c>
      <c r="R1656" s="9">
        <v>0</v>
      </c>
      <c r="S1656" s="9">
        <f t="shared" si="64"/>
        <v>240000</v>
      </c>
      <c r="T1656" s="7" t="s">
        <v>53</v>
      </c>
      <c r="U1656" s="7"/>
      <c r="V1656" s="7"/>
      <c r="W1656" s="9">
        <v>1</v>
      </c>
      <c r="X1656" s="7"/>
      <c r="Y1656" s="4"/>
      <c r="Z1656" s="4" t="str">
        <f t="shared" si="69"/>
        <v>371000-371500 CAPITAL WORK IN PROGRESS</v>
      </c>
      <c r="AA1656" t="s">
        <v>28</v>
      </c>
      <c r="AB1656">
        <f t="shared" si="70"/>
        <v>0</v>
      </c>
      <c r="AC1656" s="22">
        <f t="shared" si="68"/>
        <v>94.117647058823536</v>
      </c>
      <c r="AD1656" s="23">
        <v>0</v>
      </c>
    </row>
    <row r="1657" spans="1:30" hidden="1" x14ac:dyDescent="0.35">
      <c r="A1657" s="7">
        <v>12</v>
      </c>
      <c r="B1657" s="24">
        <v>46037.557253688552</v>
      </c>
      <c r="C1657" s="24">
        <v>46037</v>
      </c>
      <c r="D1657" s="7" t="s">
        <v>3727</v>
      </c>
      <c r="E1657" s="7" t="s">
        <v>1819</v>
      </c>
      <c r="F1657" s="7" t="s">
        <v>3533</v>
      </c>
      <c r="G1657" s="7" t="s">
        <v>3757</v>
      </c>
      <c r="H1657" s="7"/>
      <c r="I1657" s="7"/>
      <c r="J1657" s="7" t="s">
        <v>1816</v>
      </c>
      <c r="K1657" s="7" t="s">
        <v>1815</v>
      </c>
      <c r="L1657" s="7" t="s">
        <v>1814</v>
      </c>
      <c r="M1657" s="7" t="s">
        <v>28</v>
      </c>
      <c r="N1657" s="7" t="s">
        <v>1825</v>
      </c>
      <c r="O1657" s="7" t="s">
        <v>1704</v>
      </c>
      <c r="P1657" s="7" t="s">
        <v>1703</v>
      </c>
      <c r="Q1657" s="9">
        <v>1350000</v>
      </c>
      <c r="R1657" s="9">
        <v>0</v>
      </c>
      <c r="S1657" s="9">
        <f t="shared" si="64"/>
        <v>1350000</v>
      </c>
      <c r="T1657" s="7" t="s">
        <v>53</v>
      </c>
      <c r="U1657" s="7"/>
      <c r="V1657" s="7"/>
      <c r="W1657" s="9">
        <v>1</v>
      </c>
      <c r="X1657" s="7"/>
      <c r="Y1657" s="4"/>
      <c r="Z1657" s="4" t="str">
        <f t="shared" si="69"/>
        <v>371000-371500 CAPITAL WORK IN PROGRESS</v>
      </c>
      <c r="AA1657" t="s">
        <v>28</v>
      </c>
      <c r="AB1657">
        <f t="shared" si="70"/>
        <v>0</v>
      </c>
      <c r="AC1657" s="22">
        <f t="shared" si="68"/>
        <v>529.41176470588232</v>
      </c>
      <c r="AD1657" s="23">
        <v>0</v>
      </c>
    </row>
    <row r="1658" spans="1:30" hidden="1" x14ac:dyDescent="0.35">
      <c r="A1658" s="7">
        <v>13</v>
      </c>
      <c r="B1658" s="24">
        <v>46037.557253688552</v>
      </c>
      <c r="C1658" s="24">
        <v>46037</v>
      </c>
      <c r="D1658" s="7" t="s">
        <v>3727</v>
      </c>
      <c r="E1658" s="7" t="s">
        <v>1819</v>
      </c>
      <c r="F1658" s="7" t="s">
        <v>3533</v>
      </c>
      <c r="G1658" s="7" t="s">
        <v>3757</v>
      </c>
      <c r="H1658" s="7"/>
      <c r="I1658" s="7"/>
      <c r="J1658" s="7" t="s">
        <v>1816</v>
      </c>
      <c r="K1658" s="7" t="s">
        <v>1815</v>
      </c>
      <c r="L1658" s="7" t="s">
        <v>1814</v>
      </c>
      <c r="M1658" s="7" t="s">
        <v>28</v>
      </c>
      <c r="N1658" s="7" t="s">
        <v>1825</v>
      </c>
      <c r="O1658" s="7" t="s">
        <v>1704</v>
      </c>
      <c r="P1658" s="7" t="s">
        <v>1703</v>
      </c>
      <c r="Q1658" s="9">
        <v>570000</v>
      </c>
      <c r="R1658" s="9">
        <v>0</v>
      </c>
      <c r="S1658" s="9">
        <f t="shared" si="64"/>
        <v>570000</v>
      </c>
      <c r="T1658" s="7" t="s">
        <v>53</v>
      </c>
      <c r="U1658" s="7"/>
      <c r="V1658" s="7"/>
      <c r="W1658" s="9">
        <v>1</v>
      </c>
      <c r="X1658" s="7"/>
      <c r="Y1658" s="4"/>
      <c r="Z1658" s="4" t="str">
        <f t="shared" si="69"/>
        <v>371000-371500 CAPITAL WORK IN PROGRESS</v>
      </c>
      <c r="AA1658" t="s">
        <v>28</v>
      </c>
      <c r="AB1658">
        <f t="shared" si="70"/>
        <v>0</v>
      </c>
      <c r="AC1658" s="22">
        <f t="shared" si="68"/>
        <v>223.52941176470588</v>
      </c>
      <c r="AD1658" s="23">
        <v>0</v>
      </c>
    </row>
    <row r="1659" spans="1:30" hidden="1" x14ac:dyDescent="0.35">
      <c r="A1659" s="7">
        <v>14</v>
      </c>
      <c r="B1659" s="24">
        <v>46037.550164972359</v>
      </c>
      <c r="C1659" s="24">
        <v>46037</v>
      </c>
      <c r="D1659" s="7" t="s">
        <v>3728</v>
      </c>
      <c r="E1659" s="7" t="s">
        <v>1819</v>
      </c>
      <c r="F1659" s="7" t="s">
        <v>3533</v>
      </c>
      <c r="G1659" s="7" t="s">
        <v>3757</v>
      </c>
      <c r="H1659" s="7"/>
      <c r="I1659" s="7"/>
      <c r="J1659" s="7" t="s">
        <v>1816</v>
      </c>
      <c r="K1659" s="7" t="s">
        <v>1815</v>
      </c>
      <c r="L1659" s="7" t="s">
        <v>1814</v>
      </c>
      <c r="M1659" s="7" t="s">
        <v>28</v>
      </c>
      <c r="N1659" s="7" t="s">
        <v>1825</v>
      </c>
      <c r="O1659" s="7" t="s">
        <v>1704</v>
      </c>
      <c r="P1659" s="7" t="s">
        <v>1703</v>
      </c>
      <c r="Q1659" s="9">
        <v>2979414</v>
      </c>
      <c r="R1659" s="9">
        <v>0</v>
      </c>
      <c r="S1659" s="9">
        <f t="shared" si="64"/>
        <v>2979414</v>
      </c>
      <c r="T1659" s="7" t="s">
        <v>53</v>
      </c>
      <c r="U1659" s="7"/>
      <c r="V1659" s="7"/>
      <c r="W1659" s="9">
        <v>1</v>
      </c>
      <c r="X1659" s="7"/>
      <c r="Y1659" s="4"/>
      <c r="Z1659" s="4" t="str">
        <f t="shared" si="69"/>
        <v>371000-371500 CAPITAL WORK IN PROGRESS</v>
      </c>
      <c r="AA1659" t="s">
        <v>28</v>
      </c>
      <c r="AB1659">
        <f t="shared" si="70"/>
        <v>0</v>
      </c>
      <c r="AC1659" s="22">
        <f t="shared" si="68"/>
        <v>1168.3976470588236</v>
      </c>
      <c r="AD1659" s="23">
        <v>0</v>
      </c>
    </row>
    <row r="1660" spans="1:30" x14ac:dyDescent="0.35">
      <c r="A1660" s="7">
        <v>15</v>
      </c>
      <c r="B1660" s="24">
        <v>46038.404437801502</v>
      </c>
      <c r="C1660" s="24">
        <v>46038</v>
      </c>
      <c r="D1660" s="7" t="s">
        <v>3729</v>
      </c>
      <c r="E1660" s="7" t="s">
        <v>1331</v>
      </c>
      <c r="F1660" s="7" t="s">
        <v>3730</v>
      </c>
      <c r="G1660" s="7" t="s">
        <v>3758</v>
      </c>
      <c r="H1660" s="7" t="s">
        <v>2012</v>
      </c>
      <c r="I1660" s="7" t="s">
        <v>2011</v>
      </c>
      <c r="J1660" s="7" t="s">
        <v>1816</v>
      </c>
      <c r="K1660" s="7" t="s">
        <v>1815</v>
      </c>
      <c r="L1660" s="7" t="s">
        <v>1905</v>
      </c>
      <c r="M1660" s="7" t="s">
        <v>22</v>
      </c>
      <c r="N1660" s="7" t="s">
        <v>266</v>
      </c>
      <c r="O1660" s="7" t="s">
        <v>55</v>
      </c>
      <c r="P1660" s="7" t="s">
        <v>54</v>
      </c>
      <c r="Q1660" s="9">
        <v>87420000</v>
      </c>
      <c r="R1660" s="9">
        <v>0</v>
      </c>
      <c r="S1660" s="9">
        <f t="shared" si="64"/>
        <v>87420000</v>
      </c>
      <c r="T1660" s="7" t="s">
        <v>53</v>
      </c>
      <c r="U1660" s="7" t="s">
        <v>2010</v>
      </c>
      <c r="V1660" s="7" t="s">
        <v>1823</v>
      </c>
      <c r="W1660" s="9">
        <v>124</v>
      </c>
      <c r="X1660" s="7" t="s">
        <v>1501</v>
      </c>
      <c r="Y1660" s="4"/>
      <c r="Z1660" s="4" t="str">
        <f t="shared" si="69"/>
        <v>371000-371500 CAPITAL WORK IN PROGRESS</v>
      </c>
      <c r="AA1660" t="s">
        <v>22</v>
      </c>
      <c r="AB1660" t="str">
        <f t="shared" si="70"/>
        <v>OPC Project</v>
      </c>
      <c r="AC1660" s="22">
        <f t="shared" si="68"/>
        <v>34282.352941176468</v>
      </c>
      <c r="AD1660" s="23">
        <v>0</v>
      </c>
    </row>
    <row r="1661" spans="1:30" x14ac:dyDescent="0.35">
      <c r="A1661" s="7">
        <v>16</v>
      </c>
      <c r="B1661" s="24">
        <v>46038.404437801502</v>
      </c>
      <c r="C1661" s="24">
        <v>46038</v>
      </c>
      <c r="D1661" s="7" t="s">
        <v>3729</v>
      </c>
      <c r="E1661" s="7" t="s">
        <v>1331</v>
      </c>
      <c r="F1661" s="7" t="s">
        <v>3731</v>
      </c>
      <c r="G1661" s="7" t="s">
        <v>3758</v>
      </c>
      <c r="H1661" s="7" t="s">
        <v>2012</v>
      </c>
      <c r="I1661" s="7" t="s">
        <v>2011</v>
      </c>
      <c r="J1661" s="7" t="s">
        <v>1816</v>
      </c>
      <c r="K1661" s="7" t="s">
        <v>1815</v>
      </c>
      <c r="L1661" s="7" t="s">
        <v>1905</v>
      </c>
      <c r="M1661" s="7" t="s">
        <v>22</v>
      </c>
      <c r="N1661" s="7" t="s">
        <v>266</v>
      </c>
      <c r="O1661" s="7" t="s">
        <v>55</v>
      </c>
      <c r="P1661" s="7" t="s">
        <v>54</v>
      </c>
      <c r="Q1661" s="9">
        <v>72850000</v>
      </c>
      <c r="R1661" s="9">
        <v>0</v>
      </c>
      <c r="S1661" s="9">
        <f t="shared" si="64"/>
        <v>72850000</v>
      </c>
      <c r="T1661" s="7" t="s">
        <v>53</v>
      </c>
      <c r="U1661" s="7" t="s">
        <v>2010</v>
      </c>
      <c r="V1661" s="7" t="s">
        <v>1823</v>
      </c>
      <c r="W1661" s="9">
        <v>124</v>
      </c>
      <c r="X1661" s="7" t="s">
        <v>1501</v>
      </c>
      <c r="Y1661" s="4"/>
      <c r="Z1661" s="4" t="str">
        <f t="shared" si="69"/>
        <v>371000-371500 CAPITAL WORK IN PROGRESS</v>
      </c>
      <c r="AA1661" t="s">
        <v>22</v>
      </c>
      <c r="AB1661" t="str">
        <f t="shared" si="70"/>
        <v>OPC Project</v>
      </c>
      <c r="AC1661" s="22">
        <f t="shared" si="68"/>
        <v>28568.627450980392</v>
      </c>
      <c r="AD1661" s="23">
        <v>0</v>
      </c>
    </row>
    <row r="1662" spans="1:30" x14ac:dyDescent="0.35">
      <c r="A1662" s="7">
        <v>17</v>
      </c>
      <c r="B1662" s="24">
        <v>46038.404437801502</v>
      </c>
      <c r="C1662" s="24">
        <v>46038</v>
      </c>
      <c r="D1662" s="7" t="s">
        <v>3729</v>
      </c>
      <c r="E1662" s="7" t="s">
        <v>1331</v>
      </c>
      <c r="F1662" s="7" t="s">
        <v>3732</v>
      </c>
      <c r="G1662" s="7" t="s">
        <v>3758</v>
      </c>
      <c r="H1662" s="7" t="s">
        <v>2012</v>
      </c>
      <c r="I1662" s="7" t="s">
        <v>2011</v>
      </c>
      <c r="J1662" s="7" t="s">
        <v>1816</v>
      </c>
      <c r="K1662" s="7" t="s">
        <v>1815</v>
      </c>
      <c r="L1662" s="7" t="s">
        <v>1905</v>
      </c>
      <c r="M1662" s="7" t="s">
        <v>22</v>
      </c>
      <c r="N1662" s="7" t="s">
        <v>266</v>
      </c>
      <c r="O1662" s="7" t="s">
        <v>55</v>
      </c>
      <c r="P1662" s="7" t="s">
        <v>54</v>
      </c>
      <c r="Q1662" s="9">
        <v>7755000</v>
      </c>
      <c r="R1662" s="9">
        <v>0</v>
      </c>
      <c r="S1662" s="9">
        <f t="shared" si="64"/>
        <v>7755000</v>
      </c>
      <c r="T1662" s="7" t="s">
        <v>53</v>
      </c>
      <c r="U1662" s="7" t="s">
        <v>2010</v>
      </c>
      <c r="V1662" s="7" t="s">
        <v>1823</v>
      </c>
      <c r="W1662" s="9">
        <v>22</v>
      </c>
      <c r="X1662" s="7" t="s">
        <v>1501</v>
      </c>
      <c r="Y1662" s="4"/>
      <c r="Z1662" s="4" t="str">
        <f t="shared" si="69"/>
        <v>371000-371500 CAPITAL WORK IN PROGRESS</v>
      </c>
      <c r="AA1662" t="s">
        <v>22</v>
      </c>
      <c r="AB1662" t="str">
        <f t="shared" si="70"/>
        <v>OPC Project</v>
      </c>
      <c r="AC1662" s="22">
        <f t="shared" si="68"/>
        <v>3041.1764705882351</v>
      </c>
      <c r="AD1662" s="23">
        <v>0</v>
      </c>
    </row>
    <row r="1663" spans="1:30" x14ac:dyDescent="0.35">
      <c r="A1663" s="7">
        <v>18</v>
      </c>
      <c r="B1663" s="24">
        <v>46038.404437801502</v>
      </c>
      <c r="C1663" s="24">
        <v>46038</v>
      </c>
      <c r="D1663" s="7" t="s">
        <v>3729</v>
      </c>
      <c r="E1663" s="7" t="s">
        <v>1331</v>
      </c>
      <c r="F1663" s="7" t="s">
        <v>3733</v>
      </c>
      <c r="G1663" s="7" t="s">
        <v>3758</v>
      </c>
      <c r="H1663" s="7" t="s">
        <v>2012</v>
      </c>
      <c r="I1663" s="7" t="s">
        <v>2011</v>
      </c>
      <c r="J1663" s="7" t="s">
        <v>1816</v>
      </c>
      <c r="K1663" s="7" t="s">
        <v>1815</v>
      </c>
      <c r="L1663" s="7" t="s">
        <v>1905</v>
      </c>
      <c r="M1663" s="7" t="s">
        <v>22</v>
      </c>
      <c r="N1663" s="7" t="s">
        <v>266</v>
      </c>
      <c r="O1663" s="7" t="s">
        <v>55</v>
      </c>
      <c r="P1663" s="7" t="s">
        <v>54</v>
      </c>
      <c r="Q1663" s="9">
        <v>32398980</v>
      </c>
      <c r="R1663" s="9">
        <v>0</v>
      </c>
      <c r="S1663" s="9">
        <f t="shared" si="64"/>
        <v>32398980</v>
      </c>
      <c r="T1663" s="7" t="s">
        <v>53</v>
      </c>
      <c r="U1663" s="7" t="s">
        <v>2010</v>
      </c>
      <c r="V1663" s="7" t="s">
        <v>1823</v>
      </c>
      <c r="W1663" s="9">
        <v>45.956000000000003</v>
      </c>
      <c r="X1663" s="7" t="s">
        <v>1501</v>
      </c>
      <c r="Y1663" s="4"/>
      <c r="Z1663" s="4" t="str">
        <f t="shared" si="69"/>
        <v>371000-371500 CAPITAL WORK IN PROGRESS</v>
      </c>
      <c r="AA1663" t="s">
        <v>22</v>
      </c>
      <c r="AB1663" t="str">
        <f t="shared" si="70"/>
        <v>OPC Project</v>
      </c>
      <c r="AC1663" s="22">
        <f t="shared" si="68"/>
        <v>12705.482352941177</v>
      </c>
      <c r="AD1663" s="23">
        <v>0</v>
      </c>
    </row>
    <row r="1664" spans="1:30" x14ac:dyDescent="0.35">
      <c r="A1664" s="7">
        <v>19</v>
      </c>
      <c r="B1664" s="24">
        <v>46038.369365054037</v>
      </c>
      <c r="C1664" s="24">
        <v>46038</v>
      </c>
      <c r="D1664" s="7" t="s">
        <v>3734</v>
      </c>
      <c r="E1664" s="7" t="s">
        <v>1331</v>
      </c>
      <c r="F1664" s="7" t="s">
        <v>3735</v>
      </c>
      <c r="G1664" s="7" t="s">
        <v>3759</v>
      </c>
      <c r="H1664" s="7" t="s">
        <v>2012</v>
      </c>
      <c r="I1664" s="7" t="s">
        <v>2011</v>
      </c>
      <c r="J1664" s="7" t="s">
        <v>1816</v>
      </c>
      <c r="K1664" s="7" t="s">
        <v>1815</v>
      </c>
      <c r="L1664" s="7" t="s">
        <v>1883</v>
      </c>
      <c r="M1664" s="7" t="s">
        <v>17</v>
      </c>
      <c r="N1664" s="7" t="s">
        <v>1504</v>
      </c>
      <c r="O1664" s="7" t="s">
        <v>68</v>
      </c>
      <c r="P1664" s="7" t="s">
        <v>54</v>
      </c>
      <c r="Q1664" s="9">
        <v>24330000</v>
      </c>
      <c r="R1664" s="9">
        <v>0</v>
      </c>
      <c r="S1664" s="9">
        <f t="shared" si="64"/>
        <v>24330000</v>
      </c>
      <c r="T1664" s="7" t="s">
        <v>53</v>
      </c>
      <c r="U1664" s="7" t="s">
        <v>2188</v>
      </c>
      <c r="V1664" s="7" t="s">
        <v>1823</v>
      </c>
      <c r="W1664" s="9">
        <v>40.549999999999997</v>
      </c>
      <c r="X1664" s="7" t="s">
        <v>338</v>
      </c>
      <c r="Y1664" s="4"/>
      <c r="Z1664" s="4" t="str">
        <f t="shared" si="69"/>
        <v>371000-371500 CAPITAL WORK IN PROGRESS</v>
      </c>
      <c r="AA1664" t="s">
        <v>17</v>
      </c>
      <c r="AB1664" t="str">
        <f t="shared" si="70"/>
        <v>2200 TPD Commissioning</v>
      </c>
      <c r="AC1664" s="22">
        <f t="shared" si="68"/>
        <v>9541.176470588236</v>
      </c>
      <c r="AD1664" s="23">
        <v>0</v>
      </c>
    </row>
    <row r="1665" spans="1:30" x14ac:dyDescent="0.35">
      <c r="A1665" s="7">
        <v>20</v>
      </c>
      <c r="B1665" s="24">
        <v>46038.360218636299</v>
      </c>
      <c r="C1665" s="24">
        <v>46038</v>
      </c>
      <c r="D1665" s="7" t="s">
        <v>3736</v>
      </c>
      <c r="E1665" s="7" t="s">
        <v>1331</v>
      </c>
      <c r="F1665" s="7" t="s">
        <v>3737</v>
      </c>
      <c r="G1665" s="7" t="s">
        <v>3760</v>
      </c>
      <c r="H1665" s="7" t="s">
        <v>2012</v>
      </c>
      <c r="I1665" s="7" t="s">
        <v>2011</v>
      </c>
      <c r="J1665" s="7" t="s">
        <v>1816</v>
      </c>
      <c r="K1665" s="7" t="s">
        <v>1815</v>
      </c>
      <c r="L1665" s="7" t="s">
        <v>1883</v>
      </c>
      <c r="M1665" s="7" t="s">
        <v>17</v>
      </c>
      <c r="N1665" s="7" t="s">
        <v>518</v>
      </c>
      <c r="O1665" s="7" t="s">
        <v>68</v>
      </c>
      <c r="P1665" s="7" t="s">
        <v>54</v>
      </c>
      <c r="Q1665" s="9">
        <v>10995885</v>
      </c>
      <c r="R1665" s="9">
        <v>0</v>
      </c>
      <c r="S1665" s="9">
        <f t="shared" si="64"/>
        <v>10995885</v>
      </c>
      <c r="T1665" s="7" t="s">
        <v>53</v>
      </c>
      <c r="U1665" s="7" t="s">
        <v>2010</v>
      </c>
      <c r="V1665" s="7" t="s">
        <v>1823</v>
      </c>
      <c r="W1665" s="9">
        <v>15.597</v>
      </c>
      <c r="X1665" s="7" t="s">
        <v>1501</v>
      </c>
      <c r="Y1665" s="4"/>
      <c r="Z1665" s="4" t="str">
        <f t="shared" si="69"/>
        <v>371000-371500 CAPITAL WORK IN PROGRESS</v>
      </c>
      <c r="AA1665" t="s">
        <v>17</v>
      </c>
      <c r="AB1665" t="str">
        <f t="shared" si="70"/>
        <v>2200 TPD Commissioning</v>
      </c>
      <c r="AC1665" s="22">
        <f t="shared" si="68"/>
        <v>4312.1117647058827</v>
      </c>
      <c r="AD1665" s="23">
        <v>0</v>
      </c>
    </row>
    <row r="1666" spans="1:30" x14ac:dyDescent="0.35">
      <c r="A1666" s="7">
        <v>21</v>
      </c>
      <c r="B1666" s="24">
        <v>46038.360218636299</v>
      </c>
      <c r="C1666" s="24">
        <v>46038</v>
      </c>
      <c r="D1666" s="7" t="s">
        <v>3736</v>
      </c>
      <c r="E1666" s="7" t="s">
        <v>1331</v>
      </c>
      <c r="F1666" s="7" t="s">
        <v>3738</v>
      </c>
      <c r="G1666" s="7" t="s">
        <v>3760</v>
      </c>
      <c r="H1666" s="7" t="s">
        <v>2012</v>
      </c>
      <c r="I1666" s="7" t="s">
        <v>2011</v>
      </c>
      <c r="J1666" s="7" t="s">
        <v>1816</v>
      </c>
      <c r="K1666" s="7" t="s">
        <v>1815</v>
      </c>
      <c r="L1666" s="7" t="s">
        <v>1883</v>
      </c>
      <c r="M1666" s="7" t="s">
        <v>17</v>
      </c>
      <c r="N1666" s="7" t="s">
        <v>518</v>
      </c>
      <c r="O1666" s="7" t="s">
        <v>68</v>
      </c>
      <c r="P1666" s="7" t="s">
        <v>54</v>
      </c>
      <c r="Q1666" s="9">
        <v>38103135</v>
      </c>
      <c r="R1666" s="9">
        <v>0</v>
      </c>
      <c r="S1666" s="9">
        <f t="shared" si="64"/>
        <v>38103135</v>
      </c>
      <c r="T1666" s="7" t="s">
        <v>53</v>
      </c>
      <c r="U1666" s="7" t="s">
        <v>2010</v>
      </c>
      <c r="V1666" s="7" t="s">
        <v>1823</v>
      </c>
      <c r="W1666" s="9">
        <v>54.046999999999997</v>
      </c>
      <c r="X1666" s="7" t="s">
        <v>1501</v>
      </c>
      <c r="Y1666" s="4"/>
      <c r="Z1666" s="4" t="str">
        <f t="shared" si="69"/>
        <v>371000-371500 CAPITAL WORK IN PROGRESS</v>
      </c>
      <c r="AA1666" t="s">
        <v>17</v>
      </c>
      <c r="AB1666" t="str">
        <f t="shared" si="70"/>
        <v>2200 TPD Commissioning</v>
      </c>
      <c r="AC1666" s="22">
        <f t="shared" si="68"/>
        <v>14942.405882352941</v>
      </c>
      <c r="AD1666" s="23">
        <v>0</v>
      </c>
    </row>
    <row r="1667" spans="1:30" x14ac:dyDescent="0.35">
      <c r="A1667" s="7">
        <v>22</v>
      </c>
      <c r="B1667" s="24">
        <v>46038.360218636299</v>
      </c>
      <c r="C1667" s="24">
        <v>46038</v>
      </c>
      <c r="D1667" s="7" t="s">
        <v>3736</v>
      </c>
      <c r="E1667" s="7" t="s">
        <v>1331</v>
      </c>
      <c r="F1667" s="7" t="s">
        <v>3739</v>
      </c>
      <c r="G1667" s="7" t="s">
        <v>3760</v>
      </c>
      <c r="H1667" s="7" t="s">
        <v>2012</v>
      </c>
      <c r="I1667" s="7" t="s">
        <v>2011</v>
      </c>
      <c r="J1667" s="7" t="s">
        <v>1816</v>
      </c>
      <c r="K1667" s="7" t="s">
        <v>1815</v>
      </c>
      <c r="L1667" s="7" t="s">
        <v>1883</v>
      </c>
      <c r="M1667" s="7" t="s">
        <v>17</v>
      </c>
      <c r="N1667" s="7" t="s">
        <v>518</v>
      </c>
      <c r="O1667" s="7" t="s">
        <v>68</v>
      </c>
      <c r="P1667" s="7" t="s">
        <v>54</v>
      </c>
      <c r="Q1667" s="9">
        <v>9163237.5</v>
      </c>
      <c r="R1667" s="9">
        <v>0</v>
      </c>
      <c r="S1667" s="9">
        <f t="shared" ref="S1667:S1730" si="71">+Q1667-R1667</f>
        <v>9163237.5</v>
      </c>
      <c r="T1667" s="7" t="s">
        <v>53</v>
      </c>
      <c r="U1667" s="7" t="s">
        <v>2010</v>
      </c>
      <c r="V1667" s="7" t="s">
        <v>1823</v>
      </c>
      <c r="W1667" s="9">
        <v>15.597</v>
      </c>
      <c r="X1667" s="7" t="s">
        <v>1501</v>
      </c>
      <c r="Y1667" s="4"/>
      <c r="Z1667" s="4" t="str">
        <f t="shared" si="69"/>
        <v>371000-371500 CAPITAL WORK IN PROGRESS</v>
      </c>
      <c r="AA1667" t="s">
        <v>17</v>
      </c>
      <c r="AB1667" t="str">
        <f t="shared" si="70"/>
        <v>2200 TPD Commissioning</v>
      </c>
      <c r="AC1667" s="22">
        <f t="shared" si="68"/>
        <v>3593.4264705882351</v>
      </c>
      <c r="AD1667" s="23">
        <v>0</v>
      </c>
    </row>
    <row r="1668" spans="1:30" x14ac:dyDescent="0.35">
      <c r="A1668" s="7">
        <v>23</v>
      </c>
      <c r="B1668" s="24">
        <v>46038.385578466958</v>
      </c>
      <c r="C1668" s="24">
        <v>46038</v>
      </c>
      <c r="D1668" s="7" t="s">
        <v>3740</v>
      </c>
      <c r="E1668" s="7" t="s">
        <v>1331</v>
      </c>
      <c r="F1668" s="7"/>
      <c r="G1668" s="7" t="s">
        <v>3761</v>
      </c>
      <c r="H1668" s="7" t="s">
        <v>2012</v>
      </c>
      <c r="I1668" s="7" t="s">
        <v>2011</v>
      </c>
      <c r="J1668" s="7" t="s">
        <v>1816</v>
      </c>
      <c r="K1668" s="7" t="s">
        <v>1815</v>
      </c>
      <c r="L1668" s="7" t="s">
        <v>1883</v>
      </c>
      <c r="M1668" s="7" t="s">
        <v>17</v>
      </c>
      <c r="N1668" s="7" t="s">
        <v>1504</v>
      </c>
      <c r="O1668" s="7" t="s">
        <v>68</v>
      </c>
      <c r="P1668" s="7" t="s">
        <v>68</v>
      </c>
      <c r="Q1668" s="9">
        <v>0</v>
      </c>
      <c r="R1668" s="9">
        <v>24330000</v>
      </c>
      <c r="S1668" s="9">
        <f t="shared" si="71"/>
        <v>-24330000</v>
      </c>
      <c r="T1668" s="7" t="s">
        <v>53</v>
      </c>
      <c r="U1668" s="7"/>
      <c r="V1668" s="7"/>
      <c r="W1668" s="9">
        <v>1</v>
      </c>
      <c r="X1668" s="7"/>
      <c r="Y1668" s="4"/>
      <c r="Z1668" s="4" t="str">
        <f t="shared" si="69"/>
        <v>371000-371500 CAPITAL WORK IN PROGRESS</v>
      </c>
      <c r="AA1668" t="s">
        <v>17</v>
      </c>
      <c r="AB1668" t="str">
        <f t="shared" si="70"/>
        <v>2200 TPD Commissioning</v>
      </c>
      <c r="AC1668" s="22">
        <f t="shared" si="68"/>
        <v>-9541.176470588236</v>
      </c>
      <c r="AD1668" s="23">
        <v>0</v>
      </c>
    </row>
    <row r="1669" spans="1:30" x14ac:dyDescent="0.35">
      <c r="A1669" s="7">
        <v>24</v>
      </c>
      <c r="B1669" s="24">
        <v>46038.424162421979</v>
      </c>
      <c r="C1669" s="24">
        <v>46038</v>
      </c>
      <c r="D1669" s="7" t="s">
        <v>3741</v>
      </c>
      <c r="E1669" s="7" t="s">
        <v>1331</v>
      </c>
      <c r="F1669" s="7"/>
      <c r="G1669" s="7" t="s">
        <v>3762</v>
      </c>
      <c r="H1669" s="7" t="s">
        <v>2012</v>
      </c>
      <c r="I1669" s="7" t="s">
        <v>2011</v>
      </c>
      <c r="J1669" s="7" t="s">
        <v>1816</v>
      </c>
      <c r="K1669" s="7" t="s">
        <v>1815</v>
      </c>
      <c r="L1669" s="7" t="s">
        <v>1905</v>
      </c>
      <c r="M1669" s="7" t="s">
        <v>22</v>
      </c>
      <c r="N1669" s="7" t="s">
        <v>266</v>
      </c>
      <c r="O1669" s="7" t="s">
        <v>55</v>
      </c>
      <c r="P1669" s="7" t="s">
        <v>54</v>
      </c>
      <c r="Q1669" s="9">
        <v>0</v>
      </c>
      <c r="R1669" s="9">
        <v>29609886</v>
      </c>
      <c r="S1669" s="9">
        <f t="shared" si="71"/>
        <v>-29609886</v>
      </c>
      <c r="T1669" s="7" t="s">
        <v>53</v>
      </c>
      <c r="U1669" s="7"/>
      <c r="V1669" s="7"/>
      <c r="W1669" s="9">
        <v>1</v>
      </c>
      <c r="X1669" s="7"/>
      <c r="Y1669" s="4"/>
      <c r="Z1669" s="4" t="str">
        <f t="shared" si="69"/>
        <v>371000-371500 CAPITAL WORK IN PROGRESS</v>
      </c>
      <c r="AA1669" t="s">
        <v>22</v>
      </c>
      <c r="AB1669" t="str">
        <f t="shared" si="70"/>
        <v>OPC Project</v>
      </c>
      <c r="AC1669" s="22">
        <f t="shared" si="68"/>
        <v>-11611.72</v>
      </c>
      <c r="AD1669" s="23">
        <v>0</v>
      </c>
    </row>
    <row r="1670" spans="1:30" hidden="1" x14ac:dyDescent="0.35">
      <c r="A1670" s="7">
        <v>25</v>
      </c>
      <c r="B1670" s="24">
        <v>46049.565698759667</v>
      </c>
      <c r="C1670" s="24">
        <v>46049</v>
      </c>
      <c r="D1670" s="7" t="s">
        <v>3742</v>
      </c>
      <c r="E1670" s="7" t="s">
        <v>1331</v>
      </c>
      <c r="F1670" s="7" t="s">
        <v>1933</v>
      </c>
      <c r="G1670" s="7" t="s">
        <v>3763</v>
      </c>
      <c r="H1670" s="7" t="s">
        <v>1931</v>
      </c>
      <c r="I1670" s="7" t="s">
        <v>1930</v>
      </c>
      <c r="J1670" s="7" t="s">
        <v>1816</v>
      </c>
      <c r="K1670" s="7" t="s">
        <v>1815</v>
      </c>
      <c r="L1670" s="7" t="s">
        <v>1814</v>
      </c>
      <c r="M1670" s="7" t="s">
        <v>28</v>
      </c>
      <c r="N1670" s="7" t="s">
        <v>1825</v>
      </c>
      <c r="O1670" s="7" t="s">
        <v>1704</v>
      </c>
      <c r="P1670" s="7" t="s">
        <v>1703</v>
      </c>
      <c r="Q1670" s="9">
        <v>1605883.22</v>
      </c>
      <c r="R1670" s="9">
        <v>0</v>
      </c>
      <c r="S1670" s="9">
        <f t="shared" si="71"/>
        <v>1605883.22</v>
      </c>
      <c r="T1670" s="7" t="s">
        <v>53</v>
      </c>
      <c r="U1670" s="7"/>
      <c r="V1670" s="7"/>
      <c r="W1670" s="9">
        <v>1</v>
      </c>
      <c r="X1670" s="7"/>
      <c r="Y1670" s="4"/>
      <c r="Z1670" s="4" t="str">
        <f t="shared" si="69"/>
        <v>371000-371500 CAPITAL WORK IN PROGRESS</v>
      </c>
      <c r="AA1670" t="s">
        <v>28</v>
      </c>
      <c r="AB1670">
        <f t="shared" si="70"/>
        <v>0</v>
      </c>
      <c r="AC1670" s="22">
        <f t="shared" si="68"/>
        <v>629.75812549019611</v>
      </c>
      <c r="AD1670" s="23">
        <v>0</v>
      </c>
    </row>
    <row r="1671" spans="1:30" hidden="1" x14ac:dyDescent="0.35">
      <c r="A1671" s="7">
        <v>26</v>
      </c>
      <c r="B1671" s="24">
        <v>46049.244852736017</v>
      </c>
      <c r="C1671" s="24">
        <v>46049</v>
      </c>
      <c r="D1671" s="7" t="s">
        <v>3743</v>
      </c>
      <c r="E1671" s="7" t="s">
        <v>714</v>
      </c>
      <c r="F1671" s="7" t="s">
        <v>3744</v>
      </c>
      <c r="G1671" s="7" t="s">
        <v>3764</v>
      </c>
      <c r="H1671" s="7"/>
      <c r="I1671" s="7"/>
      <c r="J1671" s="7" t="s">
        <v>1816</v>
      </c>
      <c r="K1671" s="7" t="s">
        <v>1815</v>
      </c>
      <c r="L1671" s="7" t="s">
        <v>1814</v>
      </c>
      <c r="M1671" s="7" t="s">
        <v>28</v>
      </c>
      <c r="N1671" s="7" t="s">
        <v>1825</v>
      </c>
      <c r="O1671" s="7" t="s">
        <v>68</v>
      </c>
      <c r="P1671" s="7" t="s">
        <v>68</v>
      </c>
      <c r="Q1671" s="9">
        <v>300000</v>
      </c>
      <c r="R1671" s="9">
        <v>0</v>
      </c>
      <c r="S1671" s="9">
        <f t="shared" si="71"/>
        <v>300000</v>
      </c>
      <c r="T1671" s="7" t="s">
        <v>53</v>
      </c>
      <c r="U1671" s="7"/>
      <c r="V1671" s="7"/>
      <c r="W1671" s="9">
        <v>1</v>
      </c>
      <c r="X1671" s="7"/>
      <c r="Y1671" s="4"/>
      <c r="Z1671" s="4" t="str">
        <f t="shared" si="69"/>
        <v>371000-371500 CAPITAL WORK IN PROGRESS</v>
      </c>
      <c r="AA1671" t="s">
        <v>28</v>
      </c>
      <c r="AB1671">
        <f t="shared" si="70"/>
        <v>0</v>
      </c>
      <c r="AC1671" s="22">
        <f t="shared" si="68"/>
        <v>117.64705882352941</v>
      </c>
      <c r="AD1671" s="23">
        <v>0</v>
      </c>
    </row>
    <row r="1672" spans="1:30" hidden="1" x14ac:dyDescent="0.35">
      <c r="A1672" s="7">
        <v>27</v>
      </c>
      <c r="B1672" s="24">
        <v>46051.552835724593</v>
      </c>
      <c r="C1672" s="24">
        <v>46051</v>
      </c>
      <c r="D1672" s="7" t="s">
        <v>3745</v>
      </c>
      <c r="E1672" s="7" t="s">
        <v>1819</v>
      </c>
      <c r="F1672" s="7" t="s">
        <v>3746</v>
      </c>
      <c r="G1672" s="7" t="s">
        <v>3765</v>
      </c>
      <c r="H1672" s="7"/>
      <c r="I1672" s="7"/>
      <c r="J1672" s="7" t="s">
        <v>1816</v>
      </c>
      <c r="K1672" s="7" t="s">
        <v>1815</v>
      </c>
      <c r="L1672" s="7" t="s">
        <v>1814</v>
      </c>
      <c r="M1672" s="7" t="s">
        <v>28</v>
      </c>
      <c r="N1672" s="7" t="s">
        <v>1825</v>
      </c>
      <c r="O1672" s="7" t="s">
        <v>1704</v>
      </c>
      <c r="P1672" s="7" t="s">
        <v>1703</v>
      </c>
      <c r="Q1672" s="9">
        <v>1000000</v>
      </c>
      <c r="R1672" s="9">
        <v>0</v>
      </c>
      <c r="S1672" s="9">
        <f t="shared" si="71"/>
        <v>1000000</v>
      </c>
      <c r="T1672" s="7" t="s">
        <v>53</v>
      </c>
      <c r="U1672" s="7"/>
      <c r="V1672" s="7"/>
      <c r="W1672" s="9">
        <v>1</v>
      </c>
      <c r="X1672" s="7"/>
      <c r="Y1672" s="4"/>
      <c r="Z1672" s="4" t="str">
        <f t="shared" si="69"/>
        <v>371000-371500 CAPITAL WORK IN PROGRESS</v>
      </c>
      <c r="AA1672" t="s">
        <v>28</v>
      </c>
      <c r="AB1672">
        <f t="shared" si="70"/>
        <v>0</v>
      </c>
      <c r="AC1672" s="22">
        <f t="shared" si="68"/>
        <v>392.15686274509807</v>
      </c>
      <c r="AD1672" s="23">
        <v>0</v>
      </c>
    </row>
    <row r="1673" spans="1:30" hidden="1" x14ac:dyDescent="0.35">
      <c r="A1673" s="7">
        <v>28</v>
      </c>
      <c r="B1673" s="24">
        <v>46051.556660000817</v>
      </c>
      <c r="C1673" s="24">
        <v>46051</v>
      </c>
      <c r="D1673" s="7" t="s">
        <v>3745</v>
      </c>
      <c r="E1673" s="7" t="s">
        <v>1819</v>
      </c>
      <c r="F1673" s="7" t="s">
        <v>3747</v>
      </c>
      <c r="G1673" s="7" t="s">
        <v>3765</v>
      </c>
      <c r="H1673" s="7"/>
      <c r="I1673" s="7"/>
      <c r="J1673" s="7" t="s">
        <v>1816</v>
      </c>
      <c r="K1673" s="7" t="s">
        <v>1815</v>
      </c>
      <c r="L1673" s="7" t="s">
        <v>1814</v>
      </c>
      <c r="M1673" s="7" t="s">
        <v>28</v>
      </c>
      <c r="N1673" s="7" t="s">
        <v>1825</v>
      </c>
      <c r="O1673" s="7" t="s">
        <v>1704</v>
      </c>
      <c r="P1673" s="7" t="s">
        <v>1703</v>
      </c>
      <c r="Q1673" s="9">
        <v>30000</v>
      </c>
      <c r="R1673" s="9">
        <v>0</v>
      </c>
      <c r="S1673" s="9">
        <f t="shared" si="71"/>
        <v>30000</v>
      </c>
      <c r="T1673" s="7" t="s">
        <v>53</v>
      </c>
      <c r="U1673" s="7"/>
      <c r="V1673" s="7"/>
      <c r="W1673" s="9">
        <v>1</v>
      </c>
      <c r="X1673" s="7"/>
      <c r="Y1673" s="4"/>
      <c r="Z1673" s="4" t="str">
        <f t="shared" si="69"/>
        <v>371000-371500 CAPITAL WORK IN PROGRESS</v>
      </c>
      <c r="AA1673" t="s">
        <v>28</v>
      </c>
      <c r="AB1673">
        <f t="shared" si="70"/>
        <v>0</v>
      </c>
      <c r="AC1673" s="22">
        <f t="shared" si="68"/>
        <v>11.764705882352942</v>
      </c>
      <c r="AD1673" s="23">
        <v>0</v>
      </c>
    </row>
    <row r="1674" spans="1:30" hidden="1" x14ac:dyDescent="0.35">
      <c r="A1674" s="7">
        <v>29</v>
      </c>
      <c r="B1674" s="24">
        <v>46051.556660000817</v>
      </c>
      <c r="C1674" s="24">
        <v>46051</v>
      </c>
      <c r="D1674" s="7" t="s">
        <v>3745</v>
      </c>
      <c r="E1674" s="7" t="s">
        <v>1819</v>
      </c>
      <c r="F1674" s="7" t="s">
        <v>3748</v>
      </c>
      <c r="G1674" s="7" t="s">
        <v>3765</v>
      </c>
      <c r="H1674" s="7"/>
      <c r="I1674" s="7"/>
      <c r="J1674" s="7" t="s">
        <v>1816</v>
      </c>
      <c r="K1674" s="7" t="s">
        <v>1815</v>
      </c>
      <c r="L1674" s="7" t="s">
        <v>1814</v>
      </c>
      <c r="M1674" s="7" t="s">
        <v>28</v>
      </c>
      <c r="N1674" s="7" t="s">
        <v>1825</v>
      </c>
      <c r="O1674" s="7" t="s">
        <v>1704</v>
      </c>
      <c r="P1674" s="7" t="s">
        <v>1703</v>
      </c>
      <c r="Q1674" s="9">
        <v>1130000</v>
      </c>
      <c r="R1674" s="9">
        <v>0</v>
      </c>
      <c r="S1674" s="9">
        <f t="shared" si="71"/>
        <v>1130000</v>
      </c>
      <c r="T1674" s="7" t="s">
        <v>53</v>
      </c>
      <c r="U1674" s="7"/>
      <c r="V1674" s="7"/>
      <c r="W1674" s="9">
        <v>1</v>
      </c>
      <c r="X1674" s="7"/>
      <c r="Y1674" s="4"/>
      <c r="Z1674" s="4" t="str">
        <f t="shared" si="69"/>
        <v>371000-371500 CAPITAL WORK IN PROGRESS</v>
      </c>
      <c r="AA1674" t="s">
        <v>28</v>
      </c>
      <c r="AB1674">
        <f t="shared" si="70"/>
        <v>0</v>
      </c>
      <c r="AC1674" s="22">
        <f t="shared" si="68"/>
        <v>443.13725490196077</v>
      </c>
      <c r="AD1674" s="23">
        <v>0</v>
      </c>
    </row>
    <row r="1675" spans="1:30" hidden="1" x14ac:dyDescent="0.35">
      <c r="A1675" s="7">
        <v>30</v>
      </c>
      <c r="B1675" s="24">
        <v>46051.556660000817</v>
      </c>
      <c r="C1675" s="24">
        <v>46051</v>
      </c>
      <c r="D1675" s="7" t="s">
        <v>3745</v>
      </c>
      <c r="E1675" s="7" t="s">
        <v>1819</v>
      </c>
      <c r="F1675" s="7" t="s">
        <v>3749</v>
      </c>
      <c r="G1675" s="7" t="s">
        <v>3765</v>
      </c>
      <c r="H1675" s="7"/>
      <c r="I1675" s="7"/>
      <c r="J1675" s="7" t="s">
        <v>1816</v>
      </c>
      <c r="K1675" s="7" t="s">
        <v>1815</v>
      </c>
      <c r="L1675" s="7" t="s">
        <v>1814</v>
      </c>
      <c r="M1675" s="7" t="s">
        <v>28</v>
      </c>
      <c r="N1675" s="7" t="s">
        <v>1825</v>
      </c>
      <c r="O1675" s="7" t="s">
        <v>1704</v>
      </c>
      <c r="P1675" s="7" t="s">
        <v>1703</v>
      </c>
      <c r="Q1675" s="9">
        <v>500000</v>
      </c>
      <c r="R1675" s="9">
        <v>0</v>
      </c>
      <c r="S1675" s="9">
        <f t="shared" si="71"/>
        <v>500000</v>
      </c>
      <c r="T1675" s="7" t="s">
        <v>53</v>
      </c>
      <c r="U1675" s="7"/>
      <c r="V1675" s="7"/>
      <c r="W1675" s="9">
        <v>1</v>
      </c>
      <c r="X1675" s="7"/>
      <c r="Y1675" s="4"/>
      <c r="Z1675" s="4" t="str">
        <f t="shared" si="69"/>
        <v>371000-371500 CAPITAL WORK IN PROGRESS</v>
      </c>
      <c r="AA1675" t="s">
        <v>28</v>
      </c>
      <c r="AB1675">
        <f t="shared" si="70"/>
        <v>0</v>
      </c>
      <c r="AC1675" s="22">
        <f t="shared" si="68"/>
        <v>196.07843137254903</v>
      </c>
      <c r="AD1675" s="23">
        <v>0</v>
      </c>
    </row>
    <row r="1676" spans="1:30" hidden="1" x14ac:dyDescent="0.35">
      <c r="A1676" s="7">
        <v>31</v>
      </c>
      <c r="B1676" s="24">
        <v>46051.556660000817</v>
      </c>
      <c r="C1676" s="24">
        <v>46051</v>
      </c>
      <c r="D1676" s="7" t="s">
        <v>3745</v>
      </c>
      <c r="E1676" s="7" t="s">
        <v>1819</v>
      </c>
      <c r="F1676" s="7" t="s">
        <v>3750</v>
      </c>
      <c r="G1676" s="7" t="s">
        <v>3765</v>
      </c>
      <c r="H1676" s="7"/>
      <c r="I1676" s="7"/>
      <c r="J1676" s="7" t="s">
        <v>1816</v>
      </c>
      <c r="K1676" s="7" t="s">
        <v>1815</v>
      </c>
      <c r="L1676" s="7" t="s">
        <v>1814</v>
      </c>
      <c r="M1676" s="7" t="s">
        <v>28</v>
      </c>
      <c r="N1676" s="7" t="s">
        <v>1825</v>
      </c>
      <c r="O1676" s="7" t="s">
        <v>1704</v>
      </c>
      <c r="P1676" s="7" t="s">
        <v>1703</v>
      </c>
      <c r="Q1676" s="9">
        <v>600000</v>
      </c>
      <c r="R1676" s="9">
        <v>0</v>
      </c>
      <c r="S1676" s="9">
        <f t="shared" si="71"/>
        <v>600000</v>
      </c>
      <c r="T1676" s="7" t="s">
        <v>53</v>
      </c>
      <c r="U1676" s="7"/>
      <c r="V1676" s="7"/>
      <c r="W1676" s="9">
        <v>1</v>
      </c>
      <c r="X1676" s="7"/>
      <c r="Y1676" s="4"/>
      <c r="Z1676" s="4" t="str">
        <f t="shared" si="69"/>
        <v>371000-371500 CAPITAL WORK IN PROGRESS</v>
      </c>
      <c r="AA1676" t="s">
        <v>28</v>
      </c>
      <c r="AB1676">
        <f t="shared" si="70"/>
        <v>0</v>
      </c>
      <c r="AC1676" s="22">
        <f t="shared" si="68"/>
        <v>235.29411764705881</v>
      </c>
      <c r="AD1676" s="23">
        <v>0</v>
      </c>
    </row>
    <row r="1677" spans="1:30" x14ac:dyDescent="0.35">
      <c r="A1677" s="4">
        <v>49996</v>
      </c>
      <c r="B1677" s="6">
        <v>46049.623391203706</v>
      </c>
      <c r="C1677" s="6">
        <v>46049</v>
      </c>
      <c r="D1677" s="4" t="s">
        <v>3769</v>
      </c>
      <c r="E1677" s="4" t="s">
        <v>61</v>
      </c>
      <c r="F1677" s="4" t="s">
        <v>3770</v>
      </c>
      <c r="G1677" s="4" t="s">
        <v>3770</v>
      </c>
      <c r="H1677" s="4"/>
      <c r="I1677" s="4"/>
      <c r="J1677" s="4" t="s">
        <v>3155</v>
      </c>
      <c r="K1677" s="4" t="s">
        <v>3156</v>
      </c>
      <c r="L1677" s="4" t="s">
        <v>3157</v>
      </c>
      <c r="M1677" s="4" t="s">
        <v>3158</v>
      </c>
      <c r="N1677" s="4" t="s">
        <v>114</v>
      </c>
      <c r="O1677" s="4" t="s">
        <v>68</v>
      </c>
      <c r="P1677" s="4" t="s">
        <v>1064</v>
      </c>
      <c r="Q1677" s="5">
        <v>490060.02</v>
      </c>
      <c r="R1677" s="10">
        <v>0</v>
      </c>
      <c r="S1677" s="9">
        <f t="shared" si="71"/>
        <v>490060.02</v>
      </c>
      <c r="T1677" s="4" t="s">
        <v>53</v>
      </c>
      <c r="U1677" s="4" t="s">
        <v>3159</v>
      </c>
      <c r="V1677" s="4">
        <v>-7.5</v>
      </c>
      <c r="W1677" s="4" t="s">
        <v>1501</v>
      </c>
      <c r="X1677" s="4"/>
      <c r="Y1677" s="4"/>
      <c r="Z1677" s="4" t="s">
        <v>14</v>
      </c>
      <c r="AA1677" t="s">
        <v>31</v>
      </c>
      <c r="AB1677" t="str">
        <f t="shared" si="70"/>
        <v>WALL</v>
      </c>
      <c r="AC1677" s="22">
        <f t="shared" ref="AC1677:AC1734" si="72">+S1677/$AC$1</f>
        <v>192.18040000000002</v>
      </c>
      <c r="AD1677" s="23">
        <v>0</v>
      </c>
    </row>
    <row r="1678" spans="1:30" x14ac:dyDescent="0.35">
      <c r="A1678" s="4">
        <v>34125</v>
      </c>
      <c r="B1678" s="6">
        <v>46041.234571759262</v>
      </c>
      <c r="C1678" s="6">
        <v>46041</v>
      </c>
      <c r="D1678" s="4" t="s">
        <v>3771</v>
      </c>
      <c r="E1678" s="4" t="s">
        <v>61</v>
      </c>
      <c r="F1678" s="4" t="s">
        <v>3772</v>
      </c>
      <c r="G1678" s="4" t="s">
        <v>3772</v>
      </c>
      <c r="H1678" s="4"/>
      <c r="I1678" s="4"/>
      <c r="J1678" s="4" t="s">
        <v>3155</v>
      </c>
      <c r="K1678" s="4" t="s">
        <v>3156</v>
      </c>
      <c r="L1678" s="4" t="s">
        <v>3157</v>
      </c>
      <c r="M1678" s="4" t="s">
        <v>3158</v>
      </c>
      <c r="N1678" s="4" t="s">
        <v>114</v>
      </c>
      <c r="O1678" s="4" t="s">
        <v>68</v>
      </c>
      <c r="P1678" s="4" t="s">
        <v>1064</v>
      </c>
      <c r="Q1678" s="5">
        <v>674223.96</v>
      </c>
      <c r="R1678" s="10">
        <v>0</v>
      </c>
      <c r="S1678" s="9">
        <f t="shared" si="71"/>
        <v>674223.96</v>
      </c>
      <c r="T1678" s="4" t="s">
        <v>53</v>
      </c>
      <c r="U1678" s="4" t="s">
        <v>3159</v>
      </c>
      <c r="V1678" s="4">
        <v>-10</v>
      </c>
      <c r="W1678" s="4" t="s">
        <v>1501</v>
      </c>
      <c r="X1678" s="4"/>
      <c r="Y1678" s="4"/>
      <c r="Z1678" s="4" t="s">
        <v>14</v>
      </c>
      <c r="AA1678" t="s">
        <v>31</v>
      </c>
      <c r="AB1678" t="str">
        <f t="shared" si="70"/>
        <v>WALL</v>
      </c>
      <c r="AC1678" s="22">
        <f t="shared" si="72"/>
        <v>264.40155294117648</v>
      </c>
      <c r="AD1678" s="23">
        <v>0</v>
      </c>
    </row>
    <row r="1679" spans="1:30" x14ac:dyDescent="0.35">
      <c r="A1679" s="4">
        <v>47796</v>
      </c>
      <c r="B1679" s="6">
        <v>46048.613819444443</v>
      </c>
      <c r="C1679" s="6">
        <v>46048</v>
      </c>
      <c r="D1679" s="4" t="s">
        <v>3773</v>
      </c>
      <c r="E1679" s="4" t="s">
        <v>61</v>
      </c>
      <c r="F1679" s="4" t="s">
        <v>3774</v>
      </c>
      <c r="G1679" s="4" t="s">
        <v>3774</v>
      </c>
      <c r="H1679" s="4"/>
      <c r="I1679" s="4"/>
      <c r="J1679" s="4" t="s">
        <v>3155</v>
      </c>
      <c r="K1679" s="4" t="s">
        <v>3156</v>
      </c>
      <c r="L1679" s="4" t="s">
        <v>3157</v>
      </c>
      <c r="M1679" s="4" t="s">
        <v>3158</v>
      </c>
      <c r="N1679" s="4" t="s">
        <v>106</v>
      </c>
      <c r="O1679" s="4" t="s">
        <v>105</v>
      </c>
      <c r="P1679" s="4" t="s">
        <v>1064</v>
      </c>
      <c r="Q1679" s="5">
        <v>490060.02</v>
      </c>
      <c r="R1679" s="10">
        <v>0</v>
      </c>
      <c r="S1679" s="9">
        <f t="shared" si="71"/>
        <v>490060.02</v>
      </c>
      <c r="T1679" s="4" t="s">
        <v>53</v>
      </c>
      <c r="U1679" s="4" t="s">
        <v>3159</v>
      </c>
      <c r="V1679" s="4">
        <v>-7.5</v>
      </c>
      <c r="W1679" s="4" t="s">
        <v>1501</v>
      </c>
      <c r="X1679" s="4"/>
      <c r="Y1679" s="4"/>
      <c r="Z1679" s="4" t="s">
        <v>14</v>
      </c>
      <c r="AA1679" t="s">
        <v>15</v>
      </c>
      <c r="AB1679" t="str">
        <f t="shared" si="70"/>
        <v>RM SHED</v>
      </c>
      <c r="AC1679" s="22">
        <f t="shared" si="72"/>
        <v>192.18040000000002</v>
      </c>
      <c r="AD1679" s="23">
        <v>0</v>
      </c>
    </row>
    <row r="1680" spans="1:30" x14ac:dyDescent="0.35">
      <c r="A1680" s="4">
        <v>34121</v>
      </c>
      <c r="B1680" s="6">
        <v>46041.235324074078</v>
      </c>
      <c r="C1680" s="6">
        <v>46041</v>
      </c>
      <c r="D1680" s="4" t="s">
        <v>3775</v>
      </c>
      <c r="E1680" s="4" t="s">
        <v>61</v>
      </c>
      <c r="F1680" s="4" t="s">
        <v>3776</v>
      </c>
      <c r="G1680" s="4" t="s">
        <v>3776</v>
      </c>
      <c r="H1680" s="4"/>
      <c r="I1680" s="4"/>
      <c r="J1680" s="4" t="s">
        <v>3155</v>
      </c>
      <c r="K1680" s="4" t="s">
        <v>3156</v>
      </c>
      <c r="L1680" s="4" t="s">
        <v>3157</v>
      </c>
      <c r="M1680" s="4" t="s">
        <v>3158</v>
      </c>
      <c r="N1680" s="4" t="s">
        <v>106</v>
      </c>
      <c r="O1680" s="4" t="s">
        <v>105</v>
      </c>
      <c r="P1680" s="4" t="s">
        <v>1064</v>
      </c>
      <c r="Q1680" s="5">
        <v>505667.96</v>
      </c>
      <c r="R1680" s="10">
        <v>0</v>
      </c>
      <c r="S1680" s="9">
        <f t="shared" si="71"/>
        <v>505667.96</v>
      </c>
      <c r="T1680" s="4" t="s">
        <v>53</v>
      </c>
      <c r="U1680" s="4" t="s">
        <v>3159</v>
      </c>
      <c r="V1680" s="4">
        <v>-7.5</v>
      </c>
      <c r="W1680" s="4" t="s">
        <v>1501</v>
      </c>
      <c r="X1680" s="4"/>
      <c r="Y1680" s="4"/>
      <c r="Z1680" s="4" t="s">
        <v>14</v>
      </c>
      <c r="AA1680" t="s">
        <v>15</v>
      </c>
      <c r="AB1680" t="str">
        <f t="shared" si="70"/>
        <v>RM SHED</v>
      </c>
      <c r="AC1680" s="22">
        <f t="shared" si="72"/>
        <v>198.30116078431374</v>
      </c>
      <c r="AD1680" s="23">
        <v>0</v>
      </c>
    </row>
    <row r="1681" spans="1:30" x14ac:dyDescent="0.35">
      <c r="A1681" s="4">
        <v>2353</v>
      </c>
      <c r="B1681" s="6">
        <v>46025.524722222224</v>
      </c>
      <c r="C1681" s="6">
        <v>46025</v>
      </c>
      <c r="D1681" s="4" t="s">
        <v>3777</v>
      </c>
      <c r="E1681" s="4" t="s">
        <v>61</v>
      </c>
      <c r="F1681" s="4" t="s">
        <v>3778</v>
      </c>
      <c r="G1681" s="4" t="s">
        <v>3778</v>
      </c>
      <c r="H1681" s="4"/>
      <c r="I1681" s="4"/>
      <c r="J1681" s="4" t="s">
        <v>59</v>
      </c>
      <c r="K1681" s="4" t="s">
        <v>58</v>
      </c>
      <c r="L1681" s="4" t="s">
        <v>57</v>
      </c>
      <c r="M1681" s="4" t="s">
        <v>32</v>
      </c>
      <c r="N1681" s="4" t="s">
        <v>317</v>
      </c>
      <c r="O1681" s="4" t="s">
        <v>68</v>
      </c>
      <c r="P1681" s="4" t="s">
        <v>54</v>
      </c>
      <c r="Q1681" s="5">
        <v>24000</v>
      </c>
      <c r="R1681" s="10">
        <v>0</v>
      </c>
      <c r="S1681" s="9">
        <f t="shared" si="71"/>
        <v>24000</v>
      </c>
      <c r="T1681" s="4" t="s">
        <v>53</v>
      </c>
      <c r="U1681" s="4" t="s">
        <v>3779</v>
      </c>
      <c r="V1681" s="4">
        <v>-150</v>
      </c>
      <c r="W1681" s="4" t="s">
        <v>94</v>
      </c>
      <c r="X1681" s="4"/>
      <c r="Y1681" s="4"/>
      <c r="Z1681" s="4" t="s">
        <v>14</v>
      </c>
      <c r="AA1681" t="s">
        <v>23</v>
      </c>
      <c r="AB1681" t="str">
        <f t="shared" si="70"/>
        <v>OTHERS</v>
      </c>
      <c r="AC1681" s="22">
        <f t="shared" si="72"/>
        <v>9.4117647058823533</v>
      </c>
      <c r="AD1681" s="23">
        <v>0</v>
      </c>
    </row>
    <row r="1682" spans="1:30" x14ac:dyDescent="0.35">
      <c r="A1682" s="4">
        <v>50050</v>
      </c>
      <c r="B1682" s="6">
        <v>46049.611307870371</v>
      </c>
      <c r="C1682" s="6">
        <v>46049</v>
      </c>
      <c r="D1682" s="4" t="s">
        <v>3780</v>
      </c>
      <c r="E1682" s="4" t="s">
        <v>61</v>
      </c>
      <c r="F1682" s="4" t="s">
        <v>3781</v>
      </c>
      <c r="G1682" s="4" t="s">
        <v>3781</v>
      </c>
      <c r="H1682" s="4"/>
      <c r="I1682" s="4"/>
      <c r="J1682" s="4" t="s">
        <v>59</v>
      </c>
      <c r="K1682" s="4" t="s">
        <v>58</v>
      </c>
      <c r="L1682" s="4" t="s">
        <v>57</v>
      </c>
      <c r="M1682" s="4" t="s">
        <v>32</v>
      </c>
      <c r="N1682" s="4" t="s">
        <v>114</v>
      </c>
      <c r="O1682" s="4" t="s">
        <v>68</v>
      </c>
      <c r="P1682" s="4" t="s">
        <v>1064</v>
      </c>
      <c r="Q1682" s="5">
        <v>11400</v>
      </c>
      <c r="R1682" s="10">
        <v>0</v>
      </c>
      <c r="S1682" s="9">
        <f t="shared" si="71"/>
        <v>11400</v>
      </c>
      <c r="T1682" s="4" t="s">
        <v>53</v>
      </c>
      <c r="U1682" s="4" t="s">
        <v>154</v>
      </c>
      <c r="V1682" s="4">
        <v>-2</v>
      </c>
      <c r="W1682" s="4" t="s">
        <v>124</v>
      </c>
      <c r="X1682" s="4"/>
      <c r="Y1682" s="4"/>
      <c r="Z1682" s="4" t="s">
        <v>14</v>
      </c>
      <c r="AA1682" t="s">
        <v>31</v>
      </c>
      <c r="AB1682" t="str">
        <f t="shared" si="70"/>
        <v>WALL</v>
      </c>
      <c r="AC1682" s="22">
        <f t="shared" si="72"/>
        <v>4.4705882352941178</v>
      </c>
      <c r="AD1682" s="23">
        <v>0</v>
      </c>
    </row>
    <row r="1683" spans="1:30" x14ac:dyDescent="0.35">
      <c r="A1683" s="4">
        <v>50049</v>
      </c>
      <c r="B1683" s="6">
        <v>46049.611307870371</v>
      </c>
      <c r="C1683" s="6">
        <v>46049</v>
      </c>
      <c r="D1683" s="4" t="s">
        <v>3782</v>
      </c>
      <c r="E1683" s="4" t="s">
        <v>61</v>
      </c>
      <c r="F1683" s="4" t="s">
        <v>3783</v>
      </c>
      <c r="G1683" s="4" t="s">
        <v>3783</v>
      </c>
      <c r="H1683" s="4"/>
      <c r="I1683" s="4"/>
      <c r="J1683" s="4" t="s">
        <v>59</v>
      </c>
      <c r="K1683" s="4" t="s">
        <v>58</v>
      </c>
      <c r="L1683" s="4" t="s">
        <v>57</v>
      </c>
      <c r="M1683" s="4" t="s">
        <v>32</v>
      </c>
      <c r="N1683" s="4" t="s">
        <v>114</v>
      </c>
      <c r="O1683" s="4" t="s">
        <v>68</v>
      </c>
      <c r="P1683" s="4" t="s">
        <v>1064</v>
      </c>
      <c r="Q1683" s="5">
        <v>482721.79</v>
      </c>
      <c r="R1683" s="10">
        <v>0</v>
      </c>
      <c r="S1683" s="9">
        <f t="shared" si="71"/>
        <v>482721.79</v>
      </c>
      <c r="T1683" s="4" t="s">
        <v>53</v>
      </c>
      <c r="U1683" s="4" t="s">
        <v>257</v>
      </c>
      <c r="V1683" s="4">
        <v>-51</v>
      </c>
      <c r="W1683" s="4" t="s">
        <v>129</v>
      </c>
      <c r="X1683" s="4"/>
      <c r="Y1683" s="4"/>
      <c r="Z1683" s="4" t="s">
        <v>14</v>
      </c>
      <c r="AA1683" t="s">
        <v>31</v>
      </c>
      <c r="AB1683" t="str">
        <f t="shared" si="70"/>
        <v>WALL</v>
      </c>
      <c r="AC1683" s="22">
        <f t="shared" si="72"/>
        <v>189.30266274509802</v>
      </c>
      <c r="AD1683" s="23">
        <v>0</v>
      </c>
    </row>
    <row r="1684" spans="1:30" x14ac:dyDescent="0.35">
      <c r="A1684" s="4">
        <v>50046</v>
      </c>
      <c r="B1684" s="6">
        <v>46049.611307870371</v>
      </c>
      <c r="C1684" s="6">
        <v>46049</v>
      </c>
      <c r="D1684" s="4" t="s">
        <v>3784</v>
      </c>
      <c r="E1684" s="4" t="s">
        <v>61</v>
      </c>
      <c r="F1684" s="4" t="s">
        <v>3785</v>
      </c>
      <c r="G1684" s="4" t="s">
        <v>3785</v>
      </c>
      <c r="H1684" s="4"/>
      <c r="I1684" s="4"/>
      <c r="J1684" s="4" t="s">
        <v>59</v>
      </c>
      <c r="K1684" s="4" t="s">
        <v>58</v>
      </c>
      <c r="L1684" s="4" t="s">
        <v>57</v>
      </c>
      <c r="M1684" s="4" t="s">
        <v>32</v>
      </c>
      <c r="N1684" s="4" t="s">
        <v>114</v>
      </c>
      <c r="O1684" s="4" t="s">
        <v>68</v>
      </c>
      <c r="P1684" s="4" t="s">
        <v>1064</v>
      </c>
      <c r="Q1684" s="5">
        <v>406779.6</v>
      </c>
      <c r="R1684" s="10">
        <v>0</v>
      </c>
      <c r="S1684" s="9">
        <f t="shared" si="71"/>
        <v>406779.6</v>
      </c>
      <c r="T1684" s="4" t="s">
        <v>53</v>
      </c>
      <c r="U1684" s="4" t="s">
        <v>175</v>
      </c>
      <c r="V1684" s="4">
        <v>-20</v>
      </c>
      <c r="W1684" s="4" t="s">
        <v>129</v>
      </c>
      <c r="X1684" s="4"/>
      <c r="Y1684" s="4"/>
      <c r="Z1684" s="4" t="s">
        <v>14</v>
      </c>
      <c r="AA1684" t="s">
        <v>31</v>
      </c>
      <c r="AB1684" t="str">
        <f t="shared" si="70"/>
        <v>WALL</v>
      </c>
      <c r="AC1684" s="22">
        <f t="shared" si="72"/>
        <v>159.52141176470587</v>
      </c>
      <c r="AD1684" s="23">
        <v>0</v>
      </c>
    </row>
    <row r="1685" spans="1:30" x14ac:dyDescent="0.35">
      <c r="A1685" s="4">
        <v>50045</v>
      </c>
      <c r="B1685" s="6">
        <v>46049.611307870371</v>
      </c>
      <c r="C1685" s="6">
        <v>46049</v>
      </c>
      <c r="D1685" s="4" t="s">
        <v>3786</v>
      </c>
      <c r="E1685" s="4" t="s">
        <v>61</v>
      </c>
      <c r="F1685" s="4" t="s">
        <v>3787</v>
      </c>
      <c r="G1685" s="4" t="s">
        <v>3787</v>
      </c>
      <c r="H1685" s="4"/>
      <c r="I1685" s="4"/>
      <c r="J1685" s="4" t="s">
        <v>59</v>
      </c>
      <c r="K1685" s="4" t="s">
        <v>58</v>
      </c>
      <c r="L1685" s="4" t="s">
        <v>57</v>
      </c>
      <c r="M1685" s="4" t="s">
        <v>32</v>
      </c>
      <c r="N1685" s="4" t="s">
        <v>114</v>
      </c>
      <c r="O1685" s="4" t="s">
        <v>68</v>
      </c>
      <c r="P1685" s="4" t="s">
        <v>1064</v>
      </c>
      <c r="Q1685" s="5">
        <v>35806.449999999997</v>
      </c>
      <c r="R1685" s="10">
        <v>0</v>
      </c>
      <c r="S1685" s="9">
        <f t="shared" si="71"/>
        <v>35806.449999999997</v>
      </c>
      <c r="T1685" s="4" t="s">
        <v>53</v>
      </c>
      <c r="U1685" s="4" t="s">
        <v>214</v>
      </c>
      <c r="V1685" s="4">
        <v>-8</v>
      </c>
      <c r="W1685" s="4" t="s">
        <v>51</v>
      </c>
      <c r="X1685" s="4"/>
      <c r="Y1685" s="4"/>
      <c r="Z1685" s="4" t="s">
        <v>14</v>
      </c>
      <c r="AA1685" t="s">
        <v>31</v>
      </c>
      <c r="AB1685" t="str">
        <f t="shared" si="70"/>
        <v>WALL</v>
      </c>
      <c r="AC1685" s="22">
        <f t="shared" si="72"/>
        <v>14.041745098039215</v>
      </c>
      <c r="AD1685" s="23">
        <v>0</v>
      </c>
    </row>
    <row r="1686" spans="1:30" x14ac:dyDescent="0.35">
      <c r="A1686" s="4">
        <v>50015</v>
      </c>
      <c r="B1686" s="6">
        <v>46049.617777777778</v>
      </c>
      <c r="C1686" s="6">
        <v>46049</v>
      </c>
      <c r="D1686" s="4" t="s">
        <v>3788</v>
      </c>
      <c r="E1686" s="4" t="s">
        <v>61</v>
      </c>
      <c r="F1686" s="4" t="s">
        <v>3789</v>
      </c>
      <c r="G1686" s="4" t="s">
        <v>3789</v>
      </c>
      <c r="H1686" s="4"/>
      <c r="I1686" s="4"/>
      <c r="J1686" s="4" t="s">
        <v>59</v>
      </c>
      <c r="K1686" s="4" t="s">
        <v>58</v>
      </c>
      <c r="L1686" s="4" t="s">
        <v>57</v>
      </c>
      <c r="M1686" s="4" t="s">
        <v>32</v>
      </c>
      <c r="N1686" s="4" t="s">
        <v>114</v>
      </c>
      <c r="O1686" s="4" t="s">
        <v>68</v>
      </c>
      <c r="P1686" s="4" t="s">
        <v>1064</v>
      </c>
      <c r="Q1686" s="5">
        <v>45600</v>
      </c>
      <c r="R1686" s="10">
        <v>0</v>
      </c>
      <c r="S1686" s="9">
        <f t="shared" si="71"/>
        <v>45600</v>
      </c>
      <c r="T1686" s="4" t="s">
        <v>53</v>
      </c>
      <c r="U1686" s="4" t="s">
        <v>154</v>
      </c>
      <c r="V1686" s="4">
        <v>-8</v>
      </c>
      <c r="W1686" s="4" t="s">
        <v>124</v>
      </c>
      <c r="X1686" s="4"/>
      <c r="Y1686" s="4"/>
      <c r="Z1686" s="4" t="s">
        <v>14</v>
      </c>
      <c r="AA1686" t="s">
        <v>31</v>
      </c>
      <c r="AB1686" t="str">
        <f t="shared" si="70"/>
        <v>WALL</v>
      </c>
      <c r="AC1686" s="22">
        <f t="shared" si="72"/>
        <v>17.882352941176471</v>
      </c>
      <c r="AD1686" s="23">
        <v>0</v>
      </c>
    </row>
    <row r="1687" spans="1:30" x14ac:dyDescent="0.35">
      <c r="A1687" s="4">
        <v>45587</v>
      </c>
      <c r="B1687" s="6">
        <v>46046.557916666665</v>
      </c>
      <c r="C1687" s="6">
        <v>46046</v>
      </c>
      <c r="D1687" s="4" t="s">
        <v>3790</v>
      </c>
      <c r="E1687" s="4" t="s">
        <v>61</v>
      </c>
      <c r="F1687" s="4" t="s">
        <v>3791</v>
      </c>
      <c r="G1687" s="4" t="s">
        <v>3791</v>
      </c>
      <c r="H1687" s="4"/>
      <c r="I1687" s="4"/>
      <c r="J1687" s="4" t="s">
        <v>59</v>
      </c>
      <c r="K1687" s="4" t="s">
        <v>58</v>
      </c>
      <c r="L1687" s="4" t="s">
        <v>57</v>
      </c>
      <c r="M1687" s="4" t="s">
        <v>32</v>
      </c>
      <c r="N1687" s="4" t="s">
        <v>114</v>
      </c>
      <c r="O1687" s="4" t="s">
        <v>68</v>
      </c>
      <c r="P1687" s="4" t="s">
        <v>1064</v>
      </c>
      <c r="Q1687" s="5">
        <v>549152.46</v>
      </c>
      <c r="R1687" s="10">
        <v>0</v>
      </c>
      <c r="S1687" s="9">
        <f t="shared" si="71"/>
        <v>549152.46</v>
      </c>
      <c r="T1687" s="4" t="s">
        <v>53</v>
      </c>
      <c r="U1687" s="4" t="s">
        <v>175</v>
      </c>
      <c r="V1687" s="4">
        <v>-27</v>
      </c>
      <c r="W1687" s="4" t="s">
        <v>129</v>
      </c>
      <c r="X1687" s="4"/>
      <c r="Y1687" s="4"/>
      <c r="Z1687" s="4" t="s">
        <v>14</v>
      </c>
      <c r="AA1687" t="s">
        <v>31</v>
      </c>
      <c r="AB1687" t="str">
        <f t="shared" si="70"/>
        <v>WALL</v>
      </c>
      <c r="AC1687" s="22">
        <f t="shared" si="72"/>
        <v>215.35390588235293</v>
      </c>
      <c r="AD1687" s="23">
        <v>0</v>
      </c>
    </row>
    <row r="1688" spans="1:30" x14ac:dyDescent="0.35">
      <c r="A1688" s="4">
        <v>40140</v>
      </c>
      <c r="B1688" s="6">
        <v>46044.618703703702</v>
      </c>
      <c r="C1688" s="6">
        <v>46044</v>
      </c>
      <c r="D1688" s="4" t="s">
        <v>3792</v>
      </c>
      <c r="E1688" s="4" t="s">
        <v>61</v>
      </c>
      <c r="F1688" s="4" t="s">
        <v>3793</v>
      </c>
      <c r="G1688" s="4" t="s">
        <v>3793</v>
      </c>
      <c r="H1688" s="4"/>
      <c r="I1688" s="4"/>
      <c r="J1688" s="4" t="s">
        <v>59</v>
      </c>
      <c r="K1688" s="4" t="s">
        <v>58</v>
      </c>
      <c r="L1688" s="4" t="s">
        <v>57</v>
      </c>
      <c r="M1688" s="4" t="s">
        <v>32</v>
      </c>
      <c r="N1688" s="4" t="s">
        <v>114</v>
      </c>
      <c r="O1688" s="4" t="s">
        <v>68</v>
      </c>
      <c r="P1688" s="4" t="s">
        <v>1064</v>
      </c>
      <c r="Q1688" s="5">
        <v>571223.5</v>
      </c>
      <c r="R1688" s="10">
        <v>0</v>
      </c>
      <c r="S1688" s="9">
        <f t="shared" si="71"/>
        <v>571223.5</v>
      </c>
      <c r="T1688" s="4" t="s">
        <v>53</v>
      </c>
      <c r="U1688" s="4" t="s">
        <v>130</v>
      </c>
      <c r="V1688" s="4">
        <v>-40</v>
      </c>
      <c r="W1688" s="4" t="s">
        <v>129</v>
      </c>
      <c r="X1688" s="4"/>
      <c r="Y1688" s="4"/>
      <c r="Z1688" s="4" t="s">
        <v>14</v>
      </c>
      <c r="AA1688" t="s">
        <v>31</v>
      </c>
      <c r="AB1688" t="str">
        <f t="shared" si="70"/>
        <v>WALL</v>
      </c>
      <c r="AC1688" s="22">
        <f t="shared" si="72"/>
        <v>224.0092156862745</v>
      </c>
      <c r="AD1688" s="23">
        <v>0</v>
      </c>
    </row>
    <row r="1689" spans="1:30" x14ac:dyDescent="0.35">
      <c r="A1689" s="4">
        <v>19341</v>
      </c>
      <c r="B1689" s="6">
        <v>46035.601793981485</v>
      </c>
      <c r="C1689" s="6">
        <v>46035</v>
      </c>
      <c r="D1689" s="4" t="s">
        <v>3794</v>
      </c>
      <c r="E1689" s="4" t="s">
        <v>61</v>
      </c>
      <c r="F1689" s="4" t="s">
        <v>3795</v>
      </c>
      <c r="G1689" s="4" t="s">
        <v>3795</v>
      </c>
      <c r="H1689" s="4"/>
      <c r="I1689" s="4"/>
      <c r="J1689" s="4" t="s">
        <v>59</v>
      </c>
      <c r="K1689" s="4" t="s">
        <v>58</v>
      </c>
      <c r="L1689" s="4" t="s">
        <v>57</v>
      </c>
      <c r="M1689" s="4" t="s">
        <v>32</v>
      </c>
      <c r="N1689" s="4" t="s">
        <v>114</v>
      </c>
      <c r="O1689" s="4" t="s">
        <v>68</v>
      </c>
      <c r="P1689" s="4" t="s">
        <v>1064</v>
      </c>
      <c r="Q1689" s="5">
        <v>17903.23</v>
      </c>
      <c r="R1689" s="10">
        <v>0</v>
      </c>
      <c r="S1689" s="9">
        <f t="shared" si="71"/>
        <v>17903.23</v>
      </c>
      <c r="T1689" s="4" t="s">
        <v>53</v>
      </c>
      <c r="U1689" s="4" t="s">
        <v>214</v>
      </c>
      <c r="V1689" s="4">
        <v>-4</v>
      </c>
      <c r="W1689" s="4" t="s">
        <v>51</v>
      </c>
      <c r="X1689" s="4"/>
      <c r="Y1689" s="4"/>
      <c r="Z1689" s="4" t="s">
        <v>14</v>
      </c>
      <c r="AA1689" t="s">
        <v>31</v>
      </c>
      <c r="AB1689" t="str">
        <f t="shared" si="70"/>
        <v>WALL</v>
      </c>
      <c r="AC1689" s="22">
        <f t="shared" si="72"/>
        <v>7.0208745098039218</v>
      </c>
      <c r="AD1689" s="23">
        <v>0</v>
      </c>
    </row>
    <row r="1690" spans="1:30" x14ac:dyDescent="0.35">
      <c r="A1690" s="4">
        <v>14425</v>
      </c>
      <c r="B1690" s="6">
        <v>46031.581030092595</v>
      </c>
      <c r="C1690" s="6">
        <v>46031</v>
      </c>
      <c r="D1690" s="4" t="s">
        <v>3796</v>
      </c>
      <c r="E1690" s="4" t="s">
        <v>61</v>
      </c>
      <c r="F1690" s="4" t="s">
        <v>3797</v>
      </c>
      <c r="G1690" s="4" t="s">
        <v>3797</v>
      </c>
      <c r="H1690" s="4"/>
      <c r="I1690" s="4"/>
      <c r="J1690" s="4" t="s">
        <v>59</v>
      </c>
      <c r="K1690" s="4" t="s">
        <v>58</v>
      </c>
      <c r="L1690" s="4" t="s">
        <v>57</v>
      </c>
      <c r="M1690" s="4" t="s">
        <v>32</v>
      </c>
      <c r="N1690" s="4" t="s">
        <v>114</v>
      </c>
      <c r="O1690" s="4" t="s">
        <v>68</v>
      </c>
      <c r="P1690" s="4" t="s">
        <v>1064</v>
      </c>
      <c r="Q1690" s="5">
        <v>20000</v>
      </c>
      <c r="R1690" s="10">
        <v>0</v>
      </c>
      <c r="S1690" s="9">
        <f t="shared" si="71"/>
        <v>20000</v>
      </c>
      <c r="T1690" s="4" t="s">
        <v>53</v>
      </c>
      <c r="U1690" s="4" t="s">
        <v>398</v>
      </c>
      <c r="V1690" s="4">
        <v>-25</v>
      </c>
      <c r="W1690" s="4" t="s">
        <v>124</v>
      </c>
      <c r="X1690" s="4"/>
      <c r="Y1690" s="4"/>
      <c r="Z1690" s="4" t="s">
        <v>14</v>
      </c>
      <c r="AA1690" t="s">
        <v>31</v>
      </c>
      <c r="AB1690" t="str">
        <f t="shared" si="70"/>
        <v>WALL</v>
      </c>
      <c r="AC1690" s="22">
        <f t="shared" si="72"/>
        <v>7.8431372549019605</v>
      </c>
      <c r="AD1690" s="23">
        <v>0</v>
      </c>
    </row>
    <row r="1691" spans="1:30" x14ac:dyDescent="0.35">
      <c r="A1691" s="4">
        <v>14424</v>
      </c>
      <c r="B1691" s="6">
        <v>46031.581030092595</v>
      </c>
      <c r="C1691" s="6">
        <v>46031</v>
      </c>
      <c r="D1691" s="4" t="s">
        <v>3798</v>
      </c>
      <c r="E1691" s="4" t="s">
        <v>61</v>
      </c>
      <c r="F1691" s="4" t="s">
        <v>3799</v>
      </c>
      <c r="G1691" s="4" t="s">
        <v>3799</v>
      </c>
      <c r="H1691" s="4"/>
      <c r="I1691" s="4"/>
      <c r="J1691" s="4" t="s">
        <v>59</v>
      </c>
      <c r="K1691" s="4" t="s">
        <v>58</v>
      </c>
      <c r="L1691" s="4" t="s">
        <v>57</v>
      </c>
      <c r="M1691" s="4" t="s">
        <v>32</v>
      </c>
      <c r="N1691" s="4" t="s">
        <v>114</v>
      </c>
      <c r="O1691" s="4" t="s">
        <v>68</v>
      </c>
      <c r="P1691" s="4" t="s">
        <v>1064</v>
      </c>
      <c r="Q1691" s="5">
        <v>29160</v>
      </c>
      <c r="R1691" s="10">
        <v>0</v>
      </c>
      <c r="S1691" s="9">
        <f t="shared" si="71"/>
        <v>29160</v>
      </c>
      <c r="T1691" s="4" t="s">
        <v>53</v>
      </c>
      <c r="U1691" s="4" t="s">
        <v>3800</v>
      </c>
      <c r="V1691" s="4">
        <v>-20</v>
      </c>
      <c r="W1691" s="4" t="s">
        <v>51</v>
      </c>
      <c r="X1691" s="4"/>
      <c r="Y1691" s="4"/>
      <c r="Z1691" s="4" t="s">
        <v>14</v>
      </c>
      <c r="AA1691" t="s">
        <v>31</v>
      </c>
      <c r="AB1691" t="str">
        <f t="shared" si="70"/>
        <v>WALL</v>
      </c>
      <c r="AC1691" s="22">
        <f t="shared" si="72"/>
        <v>11.435294117647059</v>
      </c>
      <c r="AD1691" s="23">
        <v>0</v>
      </c>
    </row>
    <row r="1692" spans="1:30" x14ac:dyDescent="0.35">
      <c r="A1692" s="4">
        <v>14313</v>
      </c>
      <c r="B1692" s="6">
        <v>46031.609155092592</v>
      </c>
      <c r="C1692" s="6">
        <v>46031</v>
      </c>
      <c r="D1692" s="4" t="s">
        <v>3801</v>
      </c>
      <c r="E1692" s="4" t="s">
        <v>61</v>
      </c>
      <c r="F1692" s="4" t="s">
        <v>3802</v>
      </c>
      <c r="G1692" s="4" t="s">
        <v>3802</v>
      </c>
      <c r="H1692" s="4"/>
      <c r="I1692" s="4"/>
      <c r="J1692" s="4" t="s">
        <v>59</v>
      </c>
      <c r="K1692" s="4" t="s">
        <v>58</v>
      </c>
      <c r="L1692" s="4" t="s">
        <v>57</v>
      </c>
      <c r="M1692" s="4" t="s">
        <v>32</v>
      </c>
      <c r="N1692" s="4" t="s">
        <v>114</v>
      </c>
      <c r="O1692" s="4" t="s">
        <v>68</v>
      </c>
      <c r="P1692" s="4" t="s">
        <v>1064</v>
      </c>
      <c r="Q1692" s="5">
        <v>29630.54</v>
      </c>
      <c r="R1692" s="10">
        <v>0</v>
      </c>
      <c r="S1692" s="9">
        <f t="shared" si="71"/>
        <v>29630.54</v>
      </c>
      <c r="T1692" s="4" t="s">
        <v>53</v>
      </c>
      <c r="U1692" s="4" t="s">
        <v>2704</v>
      </c>
      <c r="V1692" s="4">
        <v>-5</v>
      </c>
      <c r="W1692" s="4" t="s">
        <v>124</v>
      </c>
      <c r="X1692" s="4"/>
      <c r="Y1692" s="4"/>
      <c r="Z1692" s="4" t="s">
        <v>14</v>
      </c>
      <c r="AA1692" t="s">
        <v>31</v>
      </c>
      <c r="AB1692" t="str">
        <f t="shared" si="70"/>
        <v>WALL</v>
      </c>
      <c r="AC1692" s="22">
        <f t="shared" si="72"/>
        <v>11.619819607843137</v>
      </c>
      <c r="AD1692" s="23">
        <v>0</v>
      </c>
    </row>
    <row r="1693" spans="1:30" x14ac:dyDescent="0.35">
      <c r="A1693" s="4">
        <v>14312</v>
      </c>
      <c r="B1693" s="6">
        <v>46031.609155092592</v>
      </c>
      <c r="C1693" s="6">
        <v>46031</v>
      </c>
      <c r="D1693" s="4" t="s">
        <v>3803</v>
      </c>
      <c r="E1693" s="4" t="s">
        <v>61</v>
      </c>
      <c r="F1693" s="4" t="s">
        <v>3804</v>
      </c>
      <c r="G1693" s="4" t="s">
        <v>3804</v>
      </c>
      <c r="H1693" s="4"/>
      <c r="I1693" s="4"/>
      <c r="J1693" s="4" t="s">
        <v>59</v>
      </c>
      <c r="K1693" s="4" t="s">
        <v>58</v>
      </c>
      <c r="L1693" s="4" t="s">
        <v>57</v>
      </c>
      <c r="M1693" s="4" t="s">
        <v>32</v>
      </c>
      <c r="N1693" s="4" t="s">
        <v>114</v>
      </c>
      <c r="O1693" s="4" t="s">
        <v>68</v>
      </c>
      <c r="P1693" s="4" t="s">
        <v>1064</v>
      </c>
      <c r="Q1693" s="5">
        <v>57000</v>
      </c>
      <c r="R1693" s="10">
        <v>0</v>
      </c>
      <c r="S1693" s="9">
        <f t="shared" si="71"/>
        <v>57000</v>
      </c>
      <c r="T1693" s="4" t="s">
        <v>53</v>
      </c>
      <c r="U1693" s="4" t="s">
        <v>154</v>
      </c>
      <c r="V1693" s="4">
        <v>-10</v>
      </c>
      <c r="W1693" s="4" t="s">
        <v>124</v>
      </c>
      <c r="X1693" s="4"/>
      <c r="Y1693" s="4"/>
      <c r="Z1693" s="4" t="s">
        <v>14</v>
      </c>
      <c r="AA1693" t="s">
        <v>31</v>
      </c>
      <c r="AB1693" t="str">
        <f t="shared" si="70"/>
        <v>WALL</v>
      </c>
      <c r="AC1693" s="22">
        <f t="shared" si="72"/>
        <v>22.352941176470587</v>
      </c>
      <c r="AD1693" s="23">
        <v>0</v>
      </c>
    </row>
    <row r="1694" spans="1:30" x14ac:dyDescent="0.35">
      <c r="A1694" s="4">
        <v>14309</v>
      </c>
      <c r="B1694" s="6">
        <v>46031.609155092592</v>
      </c>
      <c r="C1694" s="6">
        <v>46031</v>
      </c>
      <c r="D1694" s="4" t="s">
        <v>3805</v>
      </c>
      <c r="E1694" s="4" t="s">
        <v>61</v>
      </c>
      <c r="F1694" s="4" t="s">
        <v>3806</v>
      </c>
      <c r="G1694" s="4" t="s">
        <v>3806</v>
      </c>
      <c r="H1694" s="4"/>
      <c r="I1694" s="4"/>
      <c r="J1694" s="4" t="s">
        <v>59</v>
      </c>
      <c r="K1694" s="4" t="s">
        <v>58</v>
      </c>
      <c r="L1694" s="4" t="s">
        <v>57</v>
      </c>
      <c r="M1694" s="4" t="s">
        <v>32</v>
      </c>
      <c r="N1694" s="4" t="s">
        <v>114</v>
      </c>
      <c r="O1694" s="4" t="s">
        <v>68</v>
      </c>
      <c r="P1694" s="4" t="s">
        <v>1064</v>
      </c>
      <c r="Q1694" s="5">
        <v>57000</v>
      </c>
      <c r="R1694" s="10">
        <v>0</v>
      </c>
      <c r="S1694" s="9">
        <f t="shared" si="71"/>
        <v>57000</v>
      </c>
      <c r="T1694" s="4" t="s">
        <v>53</v>
      </c>
      <c r="U1694" s="4" t="s">
        <v>151</v>
      </c>
      <c r="V1694" s="4">
        <v>-10</v>
      </c>
      <c r="W1694" s="4" t="s">
        <v>124</v>
      </c>
      <c r="X1694" s="4"/>
      <c r="Y1694" s="4"/>
      <c r="Z1694" s="4" t="s">
        <v>14</v>
      </c>
      <c r="AA1694" t="s">
        <v>31</v>
      </c>
      <c r="AB1694" t="str">
        <f t="shared" si="70"/>
        <v>WALL</v>
      </c>
      <c r="AC1694" s="22">
        <f t="shared" si="72"/>
        <v>22.352941176470587</v>
      </c>
      <c r="AD1694" s="23">
        <v>0</v>
      </c>
    </row>
    <row r="1695" spans="1:30" x14ac:dyDescent="0.35">
      <c r="A1695" s="4">
        <v>14307</v>
      </c>
      <c r="B1695" s="6">
        <v>46031.609155092592</v>
      </c>
      <c r="C1695" s="6">
        <v>46031</v>
      </c>
      <c r="D1695" s="4" t="s">
        <v>3807</v>
      </c>
      <c r="E1695" s="4" t="s">
        <v>61</v>
      </c>
      <c r="F1695" s="4" t="s">
        <v>3808</v>
      </c>
      <c r="G1695" s="4" t="s">
        <v>3808</v>
      </c>
      <c r="H1695" s="4"/>
      <c r="I1695" s="4"/>
      <c r="J1695" s="4" t="s">
        <v>59</v>
      </c>
      <c r="K1695" s="4" t="s">
        <v>58</v>
      </c>
      <c r="L1695" s="4" t="s">
        <v>57</v>
      </c>
      <c r="M1695" s="4" t="s">
        <v>32</v>
      </c>
      <c r="N1695" s="4" t="s">
        <v>114</v>
      </c>
      <c r="O1695" s="4" t="s">
        <v>68</v>
      </c>
      <c r="P1695" s="4" t="s">
        <v>1064</v>
      </c>
      <c r="Q1695" s="5">
        <v>350000</v>
      </c>
      <c r="R1695" s="10">
        <v>0</v>
      </c>
      <c r="S1695" s="9">
        <f t="shared" si="71"/>
        <v>350000</v>
      </c>
      <c r="T1695" s="4" t="s">
        <v>53</v>
      </c>
      <c r="U1695" s="4" t="s">
        <v>148</v>
      </c>
      <c r="V1695" s="4">
        <v>-50</v>
      </c>
      <c r="W1695" s="4" t="s">
        <v>94</v>
      </c>
      <c r="X1695" s="4"/>
      <c r="Y1695" s="4"/>
      <c r="Z1695" s="4" t="s">
        <v>14</v>
      </c>
      <c r="AA1695" t="s">
        <v>31</v>
      </c>
      <c r="AB1695" t="str">
        <f t="shared" si="70"/>
        <v>WALL</v>
      </c>
      <c r="AC1695" s="22">
        <f t="shared" si="72"/>
        <v>137.25490196078431</v>
      </c>
      <c r="AD1695" s="23">
        <v>0</v>
      </c>
    </row>
    <row r="1696" spans="1:30" x14ac:dyDescent="0.35">
      <c r="A1696" s="4">
        <v>14306</v>
      </c>
      <c r="B1696" s="6">
        <v>46031.609155092592</v>
      </c>
      <c r="C1696" s="6">
        <v>46031</v>
      </c>
      <c r="D1696" s="4" t="s">
        <v>3809</v>
      </c>
      <c r="E1696" s="4" t="s">
        <v>61</v>
      </c>
      <c r="F1696" s="4" t="s">
        <v>3810</v>
      </c>
      <c r="G1696" s="4" t="s">
        <v>3810</v>
      </c>
      <c r="H1696" s="4"/>
      <c r="I1696" s="4"/>
      <c r="J1696" s="4" t="s">
        <v>59</v>
      </c>
      <c r="K1696" s="4" t="s">
        <v>58</v>
      </c>
      <c r="L1696" s="4" t="s">
        <v>57</v>
      </c>
      <c r="M1696" s="4" t="s">
        <v>32</v>
      </c>
      <c r="N1696" s="4" t="s">
        <v>114</v>
      </c>
      <c r="O1696" s="4" t="s">
        <v>68</v>
      </c>
      <c r="P1696" s="4" t="s">
        <v>1064</v>
      </c>
      <c r="Q1696" s="5">
        <v>879237.25</v>
      </c>
      <c r="R1696" s="10">
        <v>0</v>
      </c>
      <c r="S1696" s="9">
        <f t="shared" si="71"/>
        <v>879237.25</v>
      </c>
      <c r="T1696" s="4" t="s">
        <v>53</v>
      </c>
      <c r="U1696" s="4" t="s">
        <v>165</v>
      </c>
      <c r="V1696" s="4">
        <v>-25</v>
      </c>
      <c r="W1696" s="4" t="s">
        <v>94</v>
      </c>
      <c r="X1696" s="4"/>
      <c r="Y1696" s="4"/>
      <c r="Z1696" s="4" t="s">
        <v>14</v>
      </c>
      <c r="AA1696" t="s">
        <v>31</v>
      </c>
      <c r="AB1696" t="str">
        <f t="shared" si="70"/>
        <v>WALL</v>
      </c>
      <c r="AC1696" s="22">
        <f t="shared" si="72"/>
        <v>344.79892156862746</v>
      </c>
      <c r="AD1696" s="23">
        <v>0</v>
      </c>
    </row>
    <row r="1697" spans="1:30" x14ac:dyDescent="0.35">
      <c r="A1697" s="4">
        <v>4286</v>
      </c>
      <c r="B1697" s="6">
        <v>46027.585300925923</v>
      </c>
      <c r="C1697" s="6">
        <v>46027</v>
      </c>
      <c r="D1697" s="4" t="s">
        <v>3811</v>
      </c>
      <c r="E1697" s="4" t="s">
        <v>61</v>
      </c>
      <c r="F1697" s="4" t="s">
        <v>3812</v>
      </c>
      <c r="G1697" s="4" t="s">
        <v>3812</v>
      </c>
      <c r="H1697" s="4"/>
      <c r="I1697" s="4"/>
      <c r="J1697" s="4" t="s">
        <v>59</v>
      </c>
      <c r="K1697" s="4" t="s">
        <v>58</v>
      </c>
      <c r="L1697" s="4" t="s">
        <v>57</v>
      </c>
      <c r="M1697" s="4" t="s">
        <v>32</v>
      </c>
      <c r="N1697" s="4" t="s">
        <v>114</v>
      </c>
      <c r="O1697" s="4" t="s">
        <v>68</v>
      </c>
      <c r="P1697" s="4" t="s">
        <v>1064</v>
      </c>
      <c r="Q1697" s="5">
        <v>105000</v>
      </c>
      <c r="R1697" s="10">
        <v>0</v>
      </c>
      <c r="S1697" s="9">
        <f t="shared" si="71"/>
        <v>105000</v>
      </c>
      <c r="T1697" s="4" t="s">
        <v>53</v>
      </c>
      <c r="U1697" s="4" t="s">
        <v>148</v>
      </c>
      <c r="V1697" s="4">
        <v>-15</v>
      </c>
      <c r="W1697" s="4" t="s">
        <v>94</v>
      </c>
      <c r="X1697" s="4"/>
      <c r="Y1697" s="4"/>
      <c r="Z1697" s="4" t="s">
        <v>14</v>
      </c>
      <c r="AA1697" t="s">
        <v>31</v>
      </c>
      <c r="AB1697" t="str">
        <f t="shared" si="70"/>
        <v>WALL</v>
      </c>
      <c r="AC1697" s="22">
        <f t="shared" si="72"/>
        <v>41.176470588235297</v>
      </c>
      <c r="AD1697" s="23">
        <v>0</v>
      </c>
    </row>
    <row r="1698" spans="1:30" x14ac:dyDescent="0.35">
      <c r="A1698" s="4">
        <v>2370</v>
      </c>
      <c r="B1698" s="6">
        <v>46025.519537037035</v>
      </c>
      <c r="C1698" s="6">
        <v>46025</v>
      </c>
      <c r="D1698" s="4" t="s">
        <v>3813</v>
      </c>
      <c r="E1698" s="4" t="s">
        <v>61</v>
      </c>
      <c r="F1698" s="4" t="s">
        <v>3814</v>
      </c>
      <c r="G1698" s="4" t="s">
        <v>3814</v>
      </c>
      <c r="H1698" s="4"/>
      <c r="I1698" s="4"/>
      <c r="J1698" s="4" t="s">
        <v>59</v>
      </c>
      <c r="K1698" s="4" t="s">
        <v>58</v>
      </c>
      <c r="L1698" s="4" t="s">
        <v>57</v>
      </c>
      <c r="M1698" s="4" t="s">
        <v>32</v>
      </c>
      <c r="N1698" s="4" t="s">
        <v>114</v>
      </c>
      <c r="O1698" s="4" t="s">
        <v>68</v>
      </c>
      <c r="P1698" s="4" t="s">
        <v>1064</v>
      </c>
      <c r="Q1698" s="5">
        <v>473256.65</v>
      </c>
      <c r="R1698" s="10">
        <v>0</v>
      </c>
      <c r="S1698" s="9">
        <f t="shared" si="71"/>
        <v>473256.65</v>
      </c>
      <c r="T1698" s="4" t="s">
        <v>53</v>
      </c>
      <c r="U1698" s="4" t="s">
        <v>257</v>
      </c>
      <c r="V1698" s="4">
        <v>-50</v>
      </c>
      <c r="W1698" s="4" t="s">
        <v>129</v>
      </c>
      <c r="X1698" s="4"/>
      <c r="Y1698" s="4"/>
      <c r="Z1698" s="4" t="s">
        <v>14</v>
      </c>
      <c r="AA1698" t="s">
        <v>31</v>
      </c>
      <c r="AB1698" t="str">
        <f t="shared" si="70"/>
        <v>WALL</v>
      </c>
      <c r="AC1698" s="22">
        <f t="shared" si="72"/>
        <v>185.59084313725492</v>
      </c>
      <c r="AD1698" s="23">
        <v>0</v>
      </c>
    </row>
    <row r="1699" spans="1:30" x14ac:dyDescent="0.35">
      <c r="A1699" s="4">
        <v>2367</v>
      </c>
      <c r="B1699" s="6">
        <v>46025.519537037035</v>
      </c>
      <c r="C1699" s="6">
        <v>46025</v>
      </c>
      <c r="D1699" s="4" t="s">
        <v>3815</v>
      </c>
      <c r="E1699" s="4" t="s">
        <v>61</v>
      </c>
      <c r="F1699" s="4" t="s">
        <v>3816</v>
      </c>
      <c r="G1699" s="4" t="s">
        <v>3816</v>
      </c>
      <c r="H1699" s="4"/>
      <c r="I1699" s="4"/>
      <c r="J1699" s="4" t="s">
        <v>59</v>
      </c>
      <c r="K1699" s="4" t="s">
        <v>58</v>
      </c>
      <c r="L1699" s="4" t="s">
        <v>57</v>
      </c>
      <c r="M1699" s="4" t="s">
        <v>32</v>
      </c>
      <c r="N1699" s="4" t="s">
        <v>114</v>
      </c>
      <c r="O1699" s="4" t="s">
        <v>68</v>
      </c>
      <c r="P1699" s="4" t="s">
        <v>1064</v>
      </c>
      <c r="Q1699" s="5">
        <v>611681.76</v>
      </c>
      <c r="R1699" s="10">
        <v>0</v>
      </c>
      <c r="S1699" s="9">
        <f t="shared" si="71"/>
        <v>611681.76</v>
      </c>
      <c r="T1699" s="4" t="s">
        <v>53</v>
      </c>
      <c r="U1699" s="4" t="s">
        <v>175</v>
      </c>
      <c r="V1699" s="4">
        <v>-30</v>
      </c>
      <c r="W1699" s="4" t="s">
        <v>129</v>
      </c>
      <c r="X1699" s="4"/>
      <c r="Y1699" s="4"/>
      <c r="Z1699" s="4" t="s">
        <v>14</v>
      </c>
      <c r="AA1699" t="s">
        <v>31</v>
      </c>
      <c r="AB1699" t="str">
        <f t="shared" si="70"/>
        <v>WALL</v>
      </c>
      <c r="AC1699" s="22">
        <f t="shared" si="72"/>
        <v>239.87520000000001</v>
      </c>
      <c r="AD1699" s="23">
        <v>0</v>
      </c>
    </row>
    <row r="1700" spans="1:30" x14ac:dyDescent="0.35">
      <c r="A1700" s="4">
        <v>2366</v>
      </c>
      <c r="B1700" s="6">
        <v>46025.519537037035</v>
      </c>
      <c r="C1700" s="6">
        <v>46025</v>
      </c>
      <c r="D1700" s="4" t="s">
        <v>3817</v>
      </c>
      <c r="E1700" s="4" t="s">
        <v>61</v>
      </c>
      <c r="F1700" s="4" t="s">
        <v>3818</v>
      </c>
      <c r="G1700" s="4" t="s">
        <v>3818</v>
      </c>
      <c r="H1700" s="4"/>
      <c r="I1700" s="4"/>
      <c r="J1700" s="4" t="s">
        <v>59</v>
      </c>
      <c r="K1700" s="4" t="s">
        <v>58</v>
      </c>
      <c r="L1700" s="4" t="s">
        <v>57</v>
      </c>
      <c r="M1700" s="4" t="s">
        <v>32</v>
      </c>
      <c r="N1700" s="4" t="s">
        <v>114</v>
      </c>
      <c r="O1700" s="4" t="s">
        <v>68</v>
      </c>
      <c r="P1700" s="4" t="s">
        <v>1064</v>
      </c>
      <c r="Q1700" s="5">
        <v>728921.06</v>
      </c>
      <c r="R1700" s="10">
        <v>0</v>
      </c>
      <c r="S1700" s="9">
        <f t="shared" si="71"/>
        <v>728921.06</v>
      </c>
      <c r="T1700" s="4" t="s">
        <v>53</v>
      </c>
      <c r="U1700" s="4" t="s">
        <v>172</v>
      </c>
      <c r="V1700" s="4">
        <v>-20</v>
      </c>
      <c r="W1700" s="4" t="s">
        <v>129</v>
      </c>
      <c r="X1700" s="4"/>
      <c r="Y1700" s="4"/>
      <c r="Z1700" s="4" t="s">
        <v>14</v>
      </c>
      <c r="AA1700" t="s">
        <v>31</v>
      </c>
      <c r="AB1700" t="str">
        <f t="shared" si="70"/>
        <v>WALL</v>
      </c>
      <c r="AC1700" s="22">
        <f t="shared" si="72"/>
        <v>285.85139607843138</v>
      </c>
      <c r="AD1700" s="23">
        <v>0</v>
      </c>
    </row>
    <row r="1701" spans="1:30" x14ac:dyDescent="0.35">
      <c r="A1701" s="4">
        <v>2359</v>
      </c>
      <c r="B1701" s="6">
        <v>46025.522291666668</v>
      </c>
      <c r="C1701" s="6">
        <v>46025</v>
      </c>
      <c r="D1701" s="4" t="s">
        <v>3819</v>
      </c>
      <c r="E1701" s="4" t="s">
        <v>61</v>
      </c>
      <c r="F1701" s="4" t="s">
        <v>3820</v>
      </c>
      <c r="G1701" s="4" t="s">
        <v>3820</v>
      </c>
      <c r="H1701" s="4"/>
      <c r="I1701" s="4"/>
      <c r="J1701" s="4" t="s">
        <v>59</v>
      </c>
      <c r="K1701" s="4" t="s">
        <v>58</v>
      </c>
      <c r="L1701" s="4" t="s">
        <v>57</v>
      </c>
      <c r="M1701" s="4" t="s">
        <v>32</v>
      </c>
      <c r="N1701" s="4" t="s">
        <v>114</v>
      </c>
      <c r="O1701" s="4" t="s">
        <v>68</v>
      </c>
      <c r="P1701" s="4" t="s">
        <v>1064</v>
      </c>
      <c r="Q1701" s="5">
        <v>856835.25</v>
      </c>
      <c r="R1701" s="10">
        <v>0</v>
      </c>
      <c r="S1701" s="9">
        <f t="shared" si="71"/>
        <v>856835.25</v>
      </c>
      <c r="T1701" s="4" t="s">
        <v>53</v>
      </c>
      <c r="U1701" s="4" t="s">
        <v>130</v>
      </c>
      <c r="V1701" s="4">
        <v>-60</v>
      </c>
      <c r="W1701" s="4" t="s">
        <v>129</v>
      </c>
      <c r="X1701" s="4"/>
      <c r="Y1701" s="4"/>
      <c r="Z1701" s="4" t="s">
        <v>14</v>
      </c>
      <c r="AA1701" t="s">
        <v>31</v>
      </c>
      <c r="AB1701" t="str">
        <f t="shared" si="70"/>
        <v>WALL</v>
      </c>
      <c r="AC1701" s="22">
        <f t="shared" si="72"/>
        <v>336.01382352941175</v>
      </c>
      <c r="AD1701" s="23">
        <v>0</v>
      </c>
    </row>
    <row r="1702" spans="1:30" x14ac:dyDescent="0.35">
      <c r="A1702" s="4">
        <v>61080</v>
      </c>
      <c r="B1702" s="6">
        <v>46053.363275462965</v>
      </c>
      <c r="C1702" s="6">
        <v>46053</v>
      </c>
      <c r="D1702" s="4" t="s">
        <v>3821</v>
      </c>
      <c r="E1702" s="4" t="s">
        <v>61</v>
      </c>
      <c r="F1702" s="4" t="s">
        <v>3822</v>
      </c>
      <c r="G1702" s="4" t="s">
        <v>3822</v>
      </c>
      <c r="H1702" s="4"/>
      <c r="I1702" s="4"/>
      <c r="J1702" s="4" t="s">
        <v>59</v>
      </c>
      <c r="K1702" s="4" t="s">
        <v>58</v>
      </c>
      <c r="L1702" s="4" t="s">
        <v>57</v>
      </c>
      <c r="M1702" s="4" t="s">
        <v>32</v>
      </c>
      <c r="N1702" s="4" t="s">
        <v>106</v>
      </c>
      <c r="O1702" s="4" t="s">
        <v>105</v>
      </c>
      <c r="P1702" s="4" t="s">
        <v>1064</v>
      </c>
      <c r="Q1702" s="5">
        <v>25000</v>
      </c>
      <c r="R1702" s="10">
        <v>0</v>
      </c>
      <c r="S1702" s="9">
        <f t="shared" si="71"/>
        <v>25000</v>
      </c>
      <c r="T1702" s="4" t="s">
        <v>53</v>
      </c>
      <c r="U1702" s="4" t="s">
        <v>3823</v>
      </c>
      <c r="V1702" s="4">
        <v>-5</v>
      </c>
      <c r="W1702" s="4" t="s">
        <v>124</v>
      </c>
      <c r="X1702" s="4"/>
      <c r="Y1702" s="4"/>
      <c r="Z1702" s="4" t="s">
        <v>14</v>
      </c>
      <c r="AA1702" t="s">
        <v>15</v>
      </c>
      <c r="AB1702" t="str">
        <f t="shared" si="70"/>
        <v>RM SHED</v>
      </c>
      <c r="AC1702" s="22">
        <f t="shared" si="72"/>
        <v>9.8039215686274517</v>
      </c>
      <c r="AD1702" s="23">
        <v>0</v>
      </c>
    </row>
    <row r="1703" spans="1:30" x14ac:dyDescent="0.35">
      <c r="A1703" s="4">
        <v>50060</v>
      </c>
      <c r="B1703" s="6">
        <v>46049.610023148147</v>
      </c>
      <c r="C1703" s="6">
        <v>46049</v>
      </c>
      <c r="D1703" s="4" t="s">
        <v>3824</v>
      </c>
      <c r="E1703" s="4" t="s">
        <v>61</v>
      </c>
      <c r="F1703" s="4" t="s">
        <v>3825</v>
      </c>
      <c r="G1703" s="4" t="s">
        <v>3825</v>
      </c>
      <c r="H1703" s="4"/>
      <c r="I1703" s="4"/>
      <c r="J1703" s="4" t="s">
        <v>59</v>
      </c>
      <c r="K1703" s="4" t="s">
        <v>58</v>
      </c>
      <c r="L1703" s="4" t="s">
        <v>57</v>
      </c>
      <c r="M1703" s="4" t="s">
        <v>32</v>
      </c>
      <c r="N1703" s="4" t="s">
        <v>106</v>
      </c>
      <c r="O1703" s="4" t="s">
        <v>105</v>
      </c>
      <c r="P1703" s="4" t="s">
        <v>1064</v>
      </c>
      <c r="Q1703" s="5">
        <v>150000</v>
      </c>
      <c r="R1703" s="10">
        <v>0</v>
      </c>
      <c r="S1703" s="9">
        <f t="shared" si="71"/>
        <v>150000</v>
      </c>
      <c r="T1703" s="4" t="s">
        <v>53</v>
      </c>
      <c r="U1703" s="4" t="s">
        <v>133</v>
      </c>
      <c r="V1703" s="4">
        <v>-30</v>
      </c>
      <c r="W1703" s="4" t="s">
        <v>124</v>
      </c>
      <c r="X1703" s="4"/>
      <c r="Y1703" s="4"/>
      <c r="Z1703" s="4" t="s">
        <v>14</v>
      </c>
      <c r="AA1703" t="s">
        <v>15</v>
      </c>
      <c r="AB1703" t="str">
        <f t="shared" si="70"/>
        <v>RM SHED</v>
      </c>
      <c r="AC1703" s="22">
        <f t="shared" si="72"/>
        <v>58.823529411764703</v>
      </c>
      <c r="AD1703" s="23">
        <v>0</v>
      </c>
    </row>
    <row r="1704" spans="1:30" x14ac:dyDescent="0.35">
      <c r="A1704" s="4">
        <v>50059</v>
      </c>
      <c r="B1704" s="6">
        <v>46049.610023148147</v>
      </c>
      <c r="C1704" s="6">
        <v>46049</v>
      </c>
      <c r="D1704" s="4" t="s">
        <v>3826</v>
      </c>
      <c r="E1704" s="4" t="s">
        <v>61</v>
      </c>
      <c r="F1704" s="4" t="s">
        <v>3827</v>
      </c>
      <c r="G1704" s="4" t="s">
        <v>3827</v>
      </c>
      <c r="H1704" s="4"/>
      <c r="I1704" s="4"/>
      <c r="J1704" s="4" t="s">
        <v>59</v>
      </c>
      <c r="K1704" s="4" t="s">
        <v>58</v>
      </c>
      <c r="L1704" s="4" t="s">
        <v>57</v>
      </c>
      <c r="M1704" s="4" t="s">
        <v>32</v>
      </c>
      <c r="N1704" s="4" t="s">
        <v>106</v>
      </c>
      <c r="O1704" s="4" t="s">
        <v>105</v>
      </c>
      <c r="P1704" s="4" t="s">
        <v>1064</v>
      </c>
      <c r="Q1704" s="5">
        <v>1135815.94</v>
      </c>
      <c r="R1704" s="10">
        <v>0</v>
      </c>
      <c r="S1704" s="9">
        <f t="shared" si="71"/>
        <v>1135815.94</v>
      </c>
      <c r="T1704" s="4" t="s">
        <v>53</v>
      </c>
      <c r="U1704" s="4" t="s">
        <v>257</v>
      </c>
      <c r="V1704" s="4">
        <v>-120</v>
      </c>
      <c r="W1704" s="4" t="s">
        <v>129</v>
      </c>
      <c r="X1704" s="4"/>
      <c r="Y1704" s="4"/>
      <c r="Z1704" s="4" t="s">
        <v>14</v>
      </c>
      <c r="AA1704" t="s">
        <v>15</v>
      </c>
      <c r="AB1704" t="str">
        <f t="shared" si="70"/>
        <v>RM SHED</v>
      </c>
      <c r="AC1704" s="22">
        <f t="shared" si="72"/>
        <v>445.41801568627449</v>
      </c>
      <c r="AD1704" s="23">
        <v>0</v>
      </c>
    </row>
    <row r="1705" spans="1:30" x14ac:dyDescent="0.35">
      <c r="A1705" s="4">
        <v>50057</v>
      </c>
      <c r="B1705" s="6">
        <v>46049.610023148147</v>
      </c>
      <c r="C1705" s="6">
        <v>46049</v>
      </c>
      <c r="D1705" s="4" t="s">
        <v>3828</v>
      </c>
      <c r="E1705" s="4" t="s">
        <v>61</v>
      </c>
      <c r="F1705" s="4" t="s">
        <v>3829</v>
      </c>
      <c r="G1705" s="4" t="s">
        <v>3829</v>
      </c>
      <c r="H1705" s="4"/>
      <c r="I1705" s="4"/>
      <c r="J1705" s="4" t="s">
        <v>59</v>
      </c>
      <c r="K1705" s="4" t="s">
        <v>58</v>
      </c>
      <c r="L1705" s="4" t="s">
        <v>57</v>
      </c>
      <c r="M1705" s="4" t="s">
        <v>32</v>
      </c>
      <c r="N1705" s="4" t="s">
        <v>106</v>
      </c>
      <c r="O1705" s="4" t="s">
        <v>105</v>
      </c>
      <c r="P1705" s="4" t="s">
        <v>1064</v>
      </c>
      <c r="Q1705" s="5">
        <v>32203.54</v>
      </c>
      <c r="R1705" s="10">
        <v>0</v>
      </c>
      <c r="S1705" s="9">
        <f t="shared" si="71"/>
        <v>32203.54</v>
      </c>
      <c r="T1705" s="4" t="s">
        <v>53</v>
      </c>
      <c r="U1705" s="4" t="s">
        <v>117</v>
      </c>
      <c r="V1705" s="4">
        <v>-10</v>
      </c>
      <c r="W1705" s="4" t="s">
        <v>94</v>
      </c>
      <c r="X1705" s="4"/>
      <c r="Y1705" s="4"/>
      <c r="Z1705" s="4" t="s">
        <v>14</v>
      </c>
      <c r="AA1705" t="s">
        <v>15</v>
      </c>
      <c r="AB1705" t="str">
        <f t="shared" si="70"/>
        <v>RM SHED</v>
      </c>
      <c r="AC1705" s="22">
        <f t="shared" si="72"/>
        <v>12.628839215686275</v>
      </c>
      <c r="AD1705" s="23">
        <v>0</v>
      </c>
    </row>
    <row r="1706" spans="1:30" x14ac:dyDescent="0.35">
      <c r="A1706" s="4">
        <v>50055</v>
      </c>
      <c r="B1706" s="6">
        <v>46049.610023148147</v>
      </c>
      <c r="C1706" s="6">
        <v>46049</v>
      </c>
      <c r="D1706" s="4" t="s">
        <v>3830</v>
      </c>
      <c r="E1706" s="4" t="s">
        <v>61</v>
      </c>
      <c r="F1706" s="4" t="s">
        <v>3831</v>
      </c>
      <c r="G1706" s="4" t="s">
        <v>3831</v>
      </c>
      <c r="H1706" s="4"/>
      <c r="I1706" s="4"/>
      <c r="J1706" s="4" t="s">
        <v>59</v>
      </c>
      <c r="K1706" s="4" t="s">
        <v>58</v>
      </c>
      <c r="L1706" s="4" t="s">
        <v>57</v>
      </c>
      <c r="M1706" s="4" t="s">
        <v>32</v>
      </c>
      <c r="N1706" s="4" t="s">
        <v>106</v>
      </c>
      <c r="O1706" s="4" t="s">
        <v>105</v>
      </c>
      <c r="P1706" s="4" t="s">
        <v>1064</v>
      </c>
      <c r="Q1706" s="5">
        <v>25000</v>
      </c>
      <c r="R1706" s="10">
        <v>0</v>
      </c>
      <c r="S1706" s="9">
        <f t="shared" si="71"/>
        <v>25000</v>
      </c>
      <c r="T1706" s="4" t="s">
        <v>53</v>
      </c>
      <c r="U1706" s="4" t="s">
        <v>3823</v>
      </c>
      <c r="V1706" s="4">
        <v>-5</v>
      </c>
      <c r="W1706" s="4" t="s">
        <v>124</v>
      </c>
      <c r="X1706" s="4"/>
      <c r="Y1706" s="4"/>
      <c r="Z1706" s="4" t="s">
        <v>14</v>
      </c>
      <c r="AA1706" t="s">
        <v>15</v>
      </c>
      <c r="AB1706" t="str">
        <f t="shared" si="70"/>
        <v>RM SHED</v>
      </c>
      <c r="AC1706" s="22">
        <f t="shared" si="72"/>
        <v>9.8039215686274517</v>
      </c>
      <c r="AD1706" s="23">
        <v>0</v>
      </c>
    </row>
    <row r="1707" spans="1:30" x14ac:dyDescent="0.35">
      <c r="A1707" s="4">
        <v>50052</v>
      </c>
      <c r="B1707" s="6">
        <v>46049.610023148147</v>
      </c>
      <c r="C1707" s="6">
        <v>46049</v>
      </c>
      <c r="D1707" s="4" t="s">
        <v>3832</v>
      </c>
      <c r="E1707" s="4" t="s">
        <v>61</v>
      </c>
      <c r="F1707" s="4" t="s">
        <v>3833</v>
      </c>
      <c r="G1707" s="4" t="s">
        <v>3833</v>
      </c>
      <c r="H1707" s="4"/>
      <c r="I1707" s="4"/>
      <c r="J1707" s="4" t="s">
        <v>59</v>
      </c>
      <c r="K1707" s="4" t="s">
        <v>58</v>
      </c>
      <c r="L1707" s="4" t="s">
        <v>57</v>
      </c>
      <c r="M1707" s="4" t="s">
        <v>32</v>
      </c>
      <c r="N1707" s="4" t="s">
        <v>106</v>
      </c>
      <c r="O1707" s="4" t="s">
        <v>105</v>
      </c>
      <c r="P1707" s="4" t="s">
        <v>1064</v>
      </c>
      <c r="Q1707" s="5">
        <v>1828500</v>
      </c>
      <c r="R1707" s="10">
        <v>0</v>
      </c>
      <c r="S1707" s="9">
        <f t="shared" si="71"/>
        <v>1828500</v>
      </c>
      <c r="T1707" s="4" t="s">
        <v>53</v>
      </c>
      <c r="U1707" s="4" t="s">
        <v>3271</v>
      </c>
      <c r="V1707" s="4">
        <v>-23</v>
      </c>
      <c r="W1707" s="4" t="s">
        <v>94</v>
      </c>
      <c r="X1707" s="4"/>
      <c r="Y1707" s="4"/>
      <c r="Z1707" s="4" t="s">
        <v>14</v>
      </c>
      <c r="AA1707" t="s">
        <v>15</v>
      </c>
      <c r="AB1707" t="str">
        <f t="shared" si="70"/>
        <v>RM SHED</v>
      </c>
      <c r="AC1707" s="22">
        <f t="shared" si="72"/>
        <v>717.05882352941171</v>
      </c>
      <c r="AD1707" s="23">
        <v>0</v>
      </c>
    </row>
    <row r="1708" spans="1:30" x14ac:dyDescent="0.35">
      <c r="A1708" s="4">
        <v>49014</v>
      </c>
      <c r="B1708" s="6">
        <v>46048.267800925925</v>
      </c>
      <c r="C1708" s="6">
        <v>46048</v>
      </c>
      <c r="D1708" s="4" t="s">
        <v>3834</v>
      </c>
      <c r="E1708" s="4" t="s">
        <v>61</v>
      </c>
      <c r="F1708" s="4" t="s">
        <v>3835</v>
      </c>
      <c r="G1708" s="4" t="s">
        <v>3835</v>
      </c>
      <c r="H1708" s="4"/>
      <c r="I1708" s="4"/>
      <c r="J1708" s="4" t="s">
        <v>59</v>
      </c>
      <c r="K1708" s="4" t="s">
        <v>58</v>
      </c>
      <c r="L1708" s="4" t="s">
        <v>57</v>
      </c>
      <c r="M1708" s="4" t="s">
        <v>32</v>
      </c>
      <c r="N1708" s="4" t="s">
        <v>106</v>
      </c>
      <c r="O1708" s="4" t="s">
        <v>105</v>
      </c>
      <c r="P1708" s="4" t="s">
        <v>1064</v>
      </c>
      <c r="Q1708" s="5">
        <v>2742516.45</v>
      </c>
      <c r="R1708" s="10">
        <v>0</v>
      </c>
      <c r="S1708" s="9">
        <f t="shared" si="71"/>
        <v>2742516.45</v>
      </c>
      <c r="T1708" s="4" t="s">
        <v>53</v>
      </c>
      <c r="U1708" s="4" t="s">
        <v>172</v>
      </c>
      <c r="V1708" s="4">
        <v>-76</v>
      </c>
      <c r="W1708" s="4" t="s">
        <v>129</v>
      </c>
      <c r="X1708" s="4"/>
      <c r="Y1708" s="4"/>
      <c r="Z1708" s="4" t="s">
        <v>14</v>
      </c>
      <c r="AA1708" t="s">
        <v>15</v>
      </c>
      <c r="AB1708" t="str">
        <f t="shared" si="70"/>
        <v>RM SHED</v>
      </c>
      <c r="AC1708" s="22">
        <f t="shared" si="72"/>
        <v>1075.4966470588236</v>
      </c>
      <c r="AD1708" s="23">
        <v>0</v>
      </c>
    </row>
    <row r="1709" spans="1:30" x14ac:dyDescent="0.35">
      <c r="A1709" s="4">
        <v>45590</v>
      </c>
      <c r="B1709" s="6">
        <v>46046.557268518518</v>
      </c>
      <c r="C1709" s="6">
        <v>46046</v>
      </c>
      <c r="D1709" s="4" t="s">
        <v>3836</v>
      </c>
      <c r="E1709" s="4" t="s">
        <v>61</v>
      </c>
      <c r="F1709" s="4" t="s">
        <v>3837</v>
      </c>
      <c r="G1709" s="4" t="s">
        <v>3837</v>
      </c>
      <c r="H1709" s="4"/>
      <c r="I1709" s="4"/>
      <c r="J1709" s="4" t="s">
        <v>59</v>
      </c>
      <c r="K1709" s="4" t="s">
        <v>58</v>
      </c>
      <c r="L1709" s="4" t="s">
        <v>57</v>
      </c>
      <c r="M1709" s="4" t="s">
        <v>32</v>
      </c>
      <c r="N1709" s="4" t="s">
        <v>106</v>
      </c>
      <c r="O1709" s="4" t="s">
        <v>105</v>
      </c>
      <c r="P1709" s="4" t="s">
        <v>1064</v>
      </c>
      <c r="Q1709" s="5">
        <v>2526001.9900000002</v>
      </c>
      <c r="R1709" s="10">
        <v>0</v>
      </c>
      <c r="S1709" s="9">
        <f t="shared" si="71"/>
        <v>2526001.9900000002</v>
      </c>
      <c r="T1709" s="4" t="s">
        <v>53</v>
      </c>
      <c r="U1709" s="4" t="s">
        <v>172</v>
      </c>
      <c r="V1709" s="4">
        <v>-70</v>
      </c>
      <c r="W1709" s="4" t="s">
        <v>129</v>
      </c>
      <c r="X1709" s="4"/>
      <c r="Y1709" s="4"/>
      <c r="Z1709" s="4" t="s">
        <v>14</v>
      </c>
      <c r="AA1709" t="s">
        <v>15</v>
      </c>
      <c r="AB1709" t="str">
        <f t="shared" ref="AB1709:AB1767" si="73">_xlfn.XLOOKUP(AA1709,$AA$3:$AA$1643,$AB$3:$AB$1643)</f>
        <v>RM SHED</v>
      </c>
      <c r="AC1709" s="22">
        <f t="shared" si="72"/>
        <v>990.58901568627459</v>
      </c>
      <c r="AD1709" s="23">
        <v>0</v>
      </c>
    </row>
    <row r="1710" spans="1:30" x14ac:dyDescent="0.35">
      <c r="A1710" s="4">
        <v>45585</v>
      </c>
      <c r="B1710" s="6">
        <v>46046.55846064815</v>
      </c>
      <c r="C1710" s="6">
        <v>46046</v>
      </c>
      <c r="D1710" s="4" t="s">
        <v>3838</v>
      </c>
      <c r="E1710" s="4" t="s">
        <v>61</v>
      </c>
      <c r="F1710" s="4" t="s">
        <v>3839</v>
      </c>
      <c r="G1710" s="4" t="s">
        <v>3839</v>
      </c>
      <c r="H1710" s="4"/>
      <c r="I1710" s="4"/>
      <c r="J1710" s="4" t="s">
        <v>59</v>
      </c>
      <c r="K1710" s="4" t="s">
        <v>58</v>
      </c>
      <c r="L1710" s="4" t="s">
        <v>57</v>
      </c>
      <c r="M1710" s="4" t="s">
        <v>32</v>
      </c>
      <c r="N1710" s="4" t="s">
        <v>106</v>
      </c>
      <c r="O1710" s="4" t="s">
        <v>105</v>
      </c>
      <c r="P1710" s="4" t="s">
        <v>1064</v>
      </c>
      <c r="Q1710" s="5">
        <v>32203.54</v>
      </c>
      <c r="R1710" s="10">
        <v>0</v>
      </c>
      <c r="S1710" s="9">
        <f t="shared" si="71"/>
        <v>32203.54</v>
      </c>
      <c r="T1710" s="4" t="s">
        <v>53</v>
      </c>
      <c r="U1710" s="4" t="s">
        <v>117</v>
      </c>
      <c r="V1710" s="4">
        <v>-10</v>
      </c>
      <c r="W1710" s="4" t="s">
        <v>94</v>
      </c>
      <c r="X1710" s="4"/>
      <c r="Y1710" s="4"/>
      <c r="Z1710" s="4" t="s">
        <v>14</v>
      </c>
      <c r="AA1710" t="s">
        <v>15</v>
      </c>
      <c r="AB1710" t="str">
        <f t="shared" si="73"/>
        <v>RM SHED</v>
      </c>
      <c r="AC1710" s="22">
        <f t="shared" si="72"/>
        <v>12.628839215686275</v>
      </c>
      <c r="AD1710" s="23">
        <v>0</v>
      </c>
    </row>
    <row r="1711" spans="1:30" x14ac:dyDescent="0.35">
      <c r="A1711" s="4">
        <v>45584</v>
      </c>
      <c r="B1711" s="6">
        <v>46046.55846064815</v>
      </c>
      <c r="C1711" s="6">
        <v>46046</v>
      </c>
      <c r="D1711" s="4" t="s">
        <v>3840</v>
      </c>
      <c r="E1711" s="4" t="s">
        <v>61</v>
      </c>
      <c r="F1711" s="4" t="s">
        <v>3841</v>
      </c>
      <c r="G1711" s="4" t="s">
        <v>3841</v>
      </c>
      <c r="H1711" s="4"/>
      <c r="I1711" s="4"/>
      <c r="J1711" s="4" t="s">
        <v>59</v>
      </c>
      <c r="K1711" s="4" t="s">
        <v>58</v>
      </c>
      <c r="L1711" s="4" t="s">
        <v>57</v>
      </c>
      <c r="M1711" s="4" t="s">
        <v>32</v>
      </c>
      <c r="N1711" s="4" t="s">
        <v>106</v>
      </c>
      <c r="O1711" s="4" t="s">
        <v>105</v>
      </c>
      <c r="P1711" s="4" t="s">
        <v>1064</v>
      </c>
      <c r="Q1711" s="5">
        <v>25000</v>
      </c>
      <c r="R1711" s="10">
        <v>0</v>
      </c>
      <c r="S1711" s="9">
        <f t="shared" si="71"/>
        <v>25000</v>
      </c>
      <c r="T1711" s="4" t="s">
        <v>53</v>
      </c>
      <c r="U1711" s="4" t="s">
        <v>3823</v>
      </c>
      <c r="V1711" s="4">
        <v>-5</v>
      </c>
      <c r="W1711" s="4" t="s">
        <v>124</v>
      </c>
      <c r="X1711" s="4"/>
      <c r="Y1711" s="4"/>
      <c r="Z1711" s="4" t="s">
        <v>14</v>
      </c>
      <c r="AA1711" t="s">
        <v>15</v>
      </c>
      <c r="AB1711" t="str">
        <f t="shared" si="73"/>
        <v>RM SHED</v>
      </c>
      <c r="AC1711" s="22">
        <f t="shared" si="72"/>
        <v>9.8039215686274517</v>
      </c>
      <c r="AD1711" s="23">
        <v>0</v>
      </c>
    </row>
    <row r="1712" spans="1:30" x14ac:dyDescent="0.35">
      <c r="A1712" s="4">
        <v>41996</v>
      </c>
      <c r="B1712" s="6">
        <v>46045.596122685187</v>
      </c>
      <c r="C1712" s="6">
        <v>46045</v>
      </c>
      <c r="D1712" s="4" t="s">
        <v>3842</v>
      </c>
      <c r="E1712" s="4" t="s">
        <v>61</v>
      </c>
      <c r="F1712" s="4" t="s">
        <v>3843</v>
      </c>
      <c r="G1712" s="4" t="s">
        <v>3843</v>
      </c>
      <c r="H1712" s="4"/>
      <c r="I1712" s="4"/>
      <c r="J1712" s="4" t="s">
        <v>59</v>
      </c>
      <c r="K1712" s="4" t="s">
        <v>58</v>
      </c>
      <c r="L1712" s="4" t="s">
        <v>57</v>
      </c>
      <c r="M1712" s="4" t="s">
        <v>32</v>
      </c>
      <c r="N1712" s="4" t="s">
        <v>106</v>
      </c>
      <c r="O1712" s="4" t="s">
        <v>105</v>
      </c>
      <c r="P1712" s="4" t="s">
        <v>1064</v>
      </c>
      <c r="Q1712" s="5">
        <v>34200</v>
      </c>
      <c r="R1712" s="10">
        <v>0</v>
      </c>
      <c r="S1712" s="9">
        <f t="shared" si="71"/>
        <v>34200</v>
      </c>
      <c r="T1712" s="4" t="s">
        <v>53</v>
      </c>
      <c r="U1712" s="4" t="s">
        <v>154</v>
      </c>
      <c r="V1712" s="4">
        <v>-6</v>
      </c>
      <c r="W1712" s="4" t="s">
        <v>124</v>
      </c>
      <c r="X1712" s="4"/>
      <c r="Y1712" s="4"/>
      <c r="Z1712" s="4" t="s">
        <v>14</v>
      </c>
      <c r="AA1712" t="s">
        <v>15</v>
      </c>
      <c r="AB1712" t="str">
        <f t="shared" si="73"/>
        <v>RM SHED</v>
      </c>
      <c r="AC1712" s="22">
        <f t="shared" si="72"/>
        <v>13.411764705882353</v>
      </c>
      <c r="AD1712" s="23">
        <v>0</v>
      </c>
    </row>
    <row r="1713" spans="1:30" x14ac:dyDescent="0.35">
      <c r="A1713" s="4">
        <v>41994</v>
      </c>
      <c r="B1713" s="6">
        <v>46045.596122685187</v>
      </c>
      <c r="C1713" s="6">
        <v>46045</v>
      </c>
      <c r="D1713" s="4" t="s">
        <v>3844</v>
      </c>
      <c r="E1713" s="4" t="s">
        <v>61</v>
      </c>
      <c r="F1713" s="4" t="s">
        <v>3845</v>
      </c>
      <c r="G1713" s="4" t="s">
        <v>3845</v>
      </c>
      <c r="H1713" s="4"/>
      <c r="I1713" s="4"/>
      <c r="J1713" s="4" t="s">
        <v>59</v>
      </c>
      <c r="K1713" s="4" t="s">
        <v>58</v>
      </c>
      <c r="L1713" s="4" t="s">
        <v>57</v>
      </c>
      <c r="M1713" s="4" t="s">
        <v>32</v>
      </c>
      <c r="N1713" s="4" t="s">
        <v>106</v>
      </c>
      <c r="O1713" s="4" t="s">
        <v>105</v>
      </c>
      <c r="P1713" s="4" t="s">
        <v>1064</v>
      </c>
      <c r="Q1713" s="5">
        <v>114000</v>
      </c>
      <c r="R1713" s="10">
        <v>0</v>
      </c>
      <c r="S1713" s="9">
        <f t="shared" si="71"/>
        <v>114000</v>
      </c>
      <c r="T1713" s="4" t="s">
        <v>53</v>
      </c>
      <c r="U1713" s="4" t="s">
        <v>151</v>
      </c>
      <c r="V1713" s="4">
        <v>-20</v>
      </c>
      <c r="W1713" s="4" t="s">
        <v>124</v>
      </c>
      <c r="X1713" s="4"/>
      <c r="Y1713" s="4"/>
      <c r="Z1713" s="4" t="s">
        <v>14</v>
      </c>
      <c r="AA1713" t="s">
        <v>15</v>
      </c>
      <c r="AB1713" t="str">
        <f t="shared" si="73"/>
        <v>RM SHED</v>
      </c>
      <c r="AC1713" s="22">
        <f t="shared" si="72"/>
        <v>44.705882352941174</v>
      </c>
      <c r="AD1713" s="23">
        <v>0</v>
      </c>
    </row>
    <row r="1714" spans="1:30" x14ac:dyDescent="0.35">
      <c r="A1714" s="4">
        <v>40150</v>
      </c>
      <c r="B1714" s="6">
        <v>46044.617581018516</v>
      </c>
      <c r="C1714" s="6">
        <v>46044</v>
      </c>
      <c r="D1714" s="4" t="s">
        <v>3846</v>
      </c>
      <c r="E1714" s="4" t="s">
        <v>61</v>
      </c>
      <c r="F1714" s="4" t="s">
        <v>3847</v>
      </c>
      <c r="G1714" s="4" t="s">
        <v>3847</v>
      </c>
      <c r="H1714" s="4"/>
      <c r="I1714" s="4"/>
      <c r="J1714" s="4" t="s">
        <v>59</v>
      </c>
      <c r="K1714" s="4" t="s">
        <v>58</v>
      </c>
      <c r="L1714" s="4" t="s">
        <v>57</v>
      </c>
      <c r="M1714" s="4" t="s">
        <v>32</v>
      </c>
      <c r="N1714" s="4" t="s">
        <v>106</v>
      </c>
      <c r="O1714" s="4" t="s">
        <v>105</v>
      </c>
      <c r="P1714" s="4" t="s">
        <v>1064</v>
      </c>
      <c r="Q1714" s="5">
        <v>150000</v>
      </c>
      <c r="R1714" s="10">
        <v>0</v>
      </c>
      <c r="S1714" s="9">
        <f t="shared" si="71"/>
        <v>150000</v>
      </c>
      <c r="T1714" s="4" t="s">
        <v>53</v>
      </c>
      <c r="U1714" s="4" t="s">
        <v>133</v>
      </c>
      <c r="V1714" s="4">
        <v>-30</v>
      </c>
      <c r="W1714" s="4" t="s">
        <v>124</v>
      </c>
      <c r="X1714" s="4"/>
      <c r="Y1714" s="4"/>
      <c r="Z1714" s="4" t="s">
        <v>14</v>
      </c>
      <c r="AA1714" t="s">
        <v>15</v>
      </c>
      <c r="AB1714" t="str">
        <f t="shared" si="73"/>
        <v>RM SHED</v>
      </c>
      <c r="AC1714" s="22">
        <f t="shared" si="72"/>
        <v>58.823529411764703</v>
      </c>
      <c r="AD1714" s="23">
        <v>0</v>
      </c>
    </row>
    <row r="1715" spans="1:30" x14ac:dyDescent="0.35">
      <c r="A1715" s="4">
        <v>40147</v>
      </c>
      <c r="B1715" s="6">
        <v>46044.617581018516</v>
      </c>
      <c r="C1715" s="6">
        <v>46044</v>
      </c>
      <c r="D1715" s="4" t="s">
        <v>3848</v>
      </c>
      <c r="E1715" s="4" t="s">
        <v>61</v>
      </c>
      <c r="F1715" s="4" t="s">
        <v>3849</v>
      </c>
      <c r="G1715" s="4" t="s">
        <v>3849</v>
      </c>
      <c r="H1715" s="4"/>
      <c r="I1715" s="4"/>
      <c r="J1715" s="4" t="s">
        <v>59</v>
      </c>
      <c r="K1715" s="4" t="s">
        <v>58</v>
      </c>
      <c r="L1715" s="4" t="s">
        <v>57</v>
      </c>
      <c r="M1715" s="4" t="s">
        <v>32</v>
      </c>
      <c r="N1715" s="4" t="s">
        <v>106</v>
      </c>
      <c r="O1715" s="4" t="s">
        <v>105</v>
      </c>
      <c r="P1715" s="4" t="s">
        <v>1064</v>
      </c>
      <c r="Q1715" s="5">
        <v>473256.65</v>
      </c>
      <c r="R1715" s="10">
        <v>0</v>
      </c>
      <c r="S1715" s="9">
        <f t="shared" si="71"/>
        <v>473256.65</v>
      </c>
      <c r="T1715" s="4" t="s">
        <v>53</v>
      </c>
      <c r="U1715" s="4" t="s">
        <v>257</v>
      </c>
      <c r="V1715" s="4">
        <v>-50</v>
      </c>
      <c r="W1715" s="4" t="s">
        <v>129</v>
      </c>
      <c r="X1715" s="4"/>
      <c r="Y1715" s="4"/>
      <c r="Z1715" s="4" t="s">
        <v>14</v>
      </c>
      <c r="AA1715" t="s">
        <v>15</v>
      </c>
      <c r="AB1715" t="str">
        <f t="shared" si="73"/>
        <v>RM SHED</v>
      </c>
      <c r="AC1715" s="22">
        <f t="shared" si="72"/>
        <v>185.59084313725492</v>
      </c>
      <c r="AD1715" s="23">
        <v>0</v>
      </c>
    </row>
    <row r="1716" spans="1:30" x14ac:dyDescent="0.35">
      <c r="A1716" s="4">
        <v>40146</v>
      </c>
      <c r="B1716" s="6">
        <v>46044.617581018516</v>
      </c>
      <c r="C1716" s="6">
        <v>46044</v>
      </c>
      <c r="D1716" s="4" t="s">
        <v>3850</v>
      </c>
      <c r="E1716" s="4" t="s">
        <v>61</v>
      </c>
      <c r="F1716" s="4" t="s">
        <v>3851</v>
      </c>
      <c r="G1716" s="4" t="s">
        <v>3851</v>
      </c>
      <c r="H1716" s="4"/>
      <c r="I1716" s="4"/>
      <c r="J1716" s="4" t="s">
        <v>59</v>
      </c>
      <c r="K1716" s="4" t="s">
        <v>58</v>
      </c>
      <c r="L1716" s="4" t="s">
        <v>57</v>
      </c>
      <c r="M1716" s="4" t="s">
        <v>32</v>
      </c>
      <c r="N1716" s="4" t="s">
        <v>106</v>
      </c>
      <c r="O1716" s="4" t="s">
        <v>105</v>
      </c>
      <c r="P1716" s="4" t="s">
        <v>1064</v>
      </c>
      <c r="Q1716" s="5">
        <v>32203.54</v>
      </c>
      <c r="R1716" s="10">
        <v>0</v>
      </c>
      <c r="S1716" s="9">
        <f t="shared" si="71"/>
        <v>32203.54</v>
      </c>
      <c r="T1716" s="4" t="s">
        <v>53</v>
      </c>
      <c r="U1716" s="4" t="s">
        <v>117</v>
      </c>
      <c r="V1716" s="4">
        <v>-10</v>
      </c>
      <c r="W1716" s="4" t="s">
        <v>94</v>
      </c>
      <c r="X1716" s="4"/>
      <c r="Y1716" s="4"/>
      <c r="Z1716" s="4" t="s">
        <v>14</v>
      </c>
      <c r="AA1716" t="s">
        <v>15</v>
      </c>
      <c r="AB1716" t="str">
        <f t="shared" si="73"/>
        <v>RM SHED</v>
      </c>
      <c r="AC1716" s="22">
        <f t="shared" si="72"/>
        <v>12.628839215686275</v>
      </c>
      <c r="AD1716" s="23">
        <v>0</v>
      </c>
    </row>
    <row r="1717" spans="1:30" x14ac:dyDescent="0.35">
      <c r="A1717" s="4">
        <v>40144</v>
      </c>
      <c r="B1717" s="6">
        <v>46044.617581018516</v>
      </c>
      <c r="C1717" s="6">
        <v>46044</v>
      </c>
      <c r="D1717" s="4" t="s">
        <v>3852</v>
      </c>
      <c r="E1717" s="4" t="s">
        <v>61</v>
      </c>
      <c r="F1717" s="4" t="s">
        <v>3853</v>
      </c>
      <c r="G1717" s="4" t="s">
        <v>3853</v>
      </c>
      <c r="H1717" s="4"/>
      <c r="I1717" s="4"/>
      <c r="J1717" s="4" t="s">
        <v>59</v>
      </c>
      <c r="K1717" s="4" t="s">
        <v>58</v>
      </c>
      <c r="L1717" s="4" t="s">
        <v>57</v>
      </c>
      <c r="M1717" s="4" t="s">
        <v>32</v>
      </c>
      <c r="N1717" s="4" t="s">
        <v>106</v>
      </c>
      <c r="O1717" s="4" t="s">
        <v>105</v>
      </c>
      <c r="P1717" s="4" t="s">
        <v>1064</v>
      </c>
      <c r="Q1717" s="5">
        <v>25000</v>
      </c>
      <c r="R1717" s="10">
        <v>0</v>
      </c>
      <c r="S1717" s="9">
        <f t="shared" si="71"/>
        <v>25000</v>
      </c>
      <c r="T1717" s="4" t="s">
        <v>53</v>
      </c>
      <c r="U1717" s="4" t="s">
        <v>3823</v>
      </c>
      <c r="V1717" s="4">
        <v>-5</v>
      </c>
      <c r="W1717" s="4" t="s">
        <v>124</v>
      </c>
      <c r="X1717" s="4"/>
      <c r="Y1717" s="4"/>
      <c r="Z1717" s="4" t="s">
        <v>14</v>
      </c>
      <c r="AA1717" t="s">
        <v>15</v>
      </c>
      <c r="AB1717" t="str">
        <f t="shared" si="73"/>
        <v>RM SHED</v>
      </c>
      <c r="AC1717" s="22">
        <f t="shared" si="72"/>
        <v>9.8039215686274517</v>
      </c>
      <c r="AD1717" s="23">
        <v>0</v>
      </c>
    </row>
    <row r="1718" spans="1:30" x14ac:dyDescent="0.35">
      <c r="A1718" s="4">
        <v>35643</v>
      </c>
      <c r="B1718" s="6">
        <v>46042.60800925926</v>
      </c>
      <c r="C1718" s="6">
        <v>46042</v>
      </c>
      <c r="D1718" s="4" t="s">
        <v>3854</v>
      </c>
      <c r="E1718" s="4" t="s">
        <v>61</v>
      </c>
      <c r="F1718" s="4" t="s">
        <v>3855</v>
      </c>
      <c r="G1718" s="4" t="s">
        <v>3855</v>
      </c>
      <c r="H1718" s="4"/>
      <c r="I1718" s="4"/>
      <c r="J1718" s="4" t="s">
        <v>59</v>
      </c>
      <c r="K1718" s="4" t="s">
        <v>58</v>
      </c>
      <c r="L1718" s="4" t="s">
        <v>57</v>
      </c>
      <c r="M1718" s="4" t="s">
        <v>32</v>
      </c>
      <c r="N1718" s="4" t="s">
        <v>106</v>
      </c>
      <c r="O1718" s="4" t="s">
        <v>105</v>
      </c>
      <c r="P1718" s="4" t="s">
        <v>1064</v>
      </c>
      <c r="Q1718" s="5">
        <v>567907.98</v>
      </c>
      <c r="R1718" s="10">
        <v>0</v>
      </c>
      <c r="S1718" s="9">
        <f t="shared" si="71"/>
        <v>567907.98</v>
      </c>
      <c r="T1718" s="4" t="s">
        <v>53</v>
      </c>
      <c r="U1718" s="4" t="s">
        <v>257</v>
      </c>
      <c r="V1718" s="4">
        <v>-60</v>
      </c>
      <c r="W1718" s="4" t="s">
        <v>129</v>
      </c>
      <c r="X1718" s="4"/>
      <c r="Y1718" s="4"/>
      <c r="Z1718" s="4" t="s">
        <v>14</v>
      </c>
      <c r="AA1718" t="s">
        <v>15</v>
      </c>
      <c r="AB1718" t="str">
        <f t="shared" si="73"/>
        <v>RM SHED</v>
      </c>
      <c r="AC1718" s="22">
        <f t="shared" si="72"/>
        <v>222.70901176470588</v>
      </c>
      <c r="AD1718" s="23">
        <v>0</v>
      </c>
    </row>
    <row r="1719" spans="1:30" x14ac:dyDescent="0.35">
      <c r="A1719" s="4">
        <v>35640</v>
      </c>
      <c r="B1719" s="6">
        <v>46042.60800925926</v>
      </c>
      <c r="C1719" s="6">
        <v>46042</v>
      </c>
      <c r="D1719" s="4" t="s">
        <v>3856</v>
      </c>
      <c r="E1719" s="4" t="s">
        <v>61</v>
      </c>
      <c r="F1719" s="4" t="s">
        <v>3857</v>
      </c>
      <c r="G1719" s="4" t="s">
        <v>3857</v>
      </c>
      <c r="H1719" s="4"/>
      <c r="I1719" s="4"/>
      <c r="J1719" s="4" t="s">
        <v>59</v>
      </c>
      <c r="K1719" s="4" t="s">
        <v>58</v>
      </c>
      <c r="L1719" s="4" t="s">
        <v>57</v>
      </c>
      <c r="M1719" s="4" t="s">
        <v>32</v>
      </c>
      <c r="N1719" s="4" t="s">
        <v>106</v>
      </c>
      <c r="O1719" s="4" t="s">
        <v>105</v>
      </c>
      <c r="P1719" s="4" t="s">
        <v>1064</v>
      </c>
      <c r="Q1719" s="5">
        <v>32203.54</v>
      </c>
      <c r="R1719" s="10">
        <v>0</v>
      </c>
      <c r="S1719" s="9">
        <f t="shared" si="71"/>
        <v>32203.54</v>
      </c>
      <c r="T1719" s="4" t="s">
        <v>53</v>
      </c>
      <c r="U1719" s="4" t="s">
        <v>117</v>
      </c>
      <c r="V1719" s="4">
        <v>-10</v>
      </c>
      <c r="W1719" s="4" t="s">
        <v>94</v>
      </c>
      <c r="X1719" s="4"/>
      <c r="Y1719" s="4"/>
      <c r="Z1719" s="4" t="s">
        <v>14</v>
      </c>
      <c r="AA1719" t="s">
        <v>15</v>
      </c>
      <c r="AB1719" t="str">
        <f t="shared" si="73"/>
        <v>RM SHED</v>
      </c>
      <c r="AC1719" s="22">
        <f t="shared" si="72"/>
        <v>12.628839215686275</v>
      </c>
      <c r="AD1719" s="23">
        <v>0</v>
      </c>
    </row>
    <row r="1720" spans="1:30" x14ac:dyDescent="0.35">
      <c r="A1720" s="4">
        <v>31355</v>
      </c>
      <c r="B1720" s="6">
        <v>46039.526134259257</v>
      </c>
      <c r="C1720" s="6">
        <v>46039</v>
      </c>
      <c r="D1720" s="4" t="s">
        <v>3858</v>
      </c>
      <c r="E1720" s="4" t="s">
        <v>61</v>
      </c>
      <c r="F1720" s="4" t="s">
        <v>3859</v>
      </c>
      <c r="G1720" s="4" t="s">
        <v>3859</v>
      </c>
      <c r="H1720" s="4"/>
      <c r="I1720" s="4"/>
      <c r="J1720" s="4" t="s">
        <v>59</v>
      </c>
      <c r="K1720" s="4" t="s">
        <v>58</v>
      </c>
      <c r="L1720" s="4" t="s">
        <v>57</v>
      </c>
      <c r="M1720" s="4" t="s">
        <v>32</v>
      </c>
      <c r="N1720" s="4" t="s">
        <v>106</v>
      </c>
      <c r="O1720" s="4" t="s">
        <v>105</v>
      </c>
      <c r="P1720" s="4" t="s">
        <v>1064</v>
      </c>
      <c r="Q1720" s="5">
        <v>150000</v>
      </c>
      <c r="R1720" s="10">
        <v>0</v>
      </c>
      <c r="S1720" s="9">
        <f t="shared" si="71"/>
        <v>150000</v>
      </c>
      <c r="T1720" s="4" t="s">
        <v>53</v>
      </c>
      <c r="U1720" s="4" t="s">
        <v>133</v>
      </c>
      <c r="V1720" s="4">
        <v>-30</v>
      </c>
      <c r="W1720" s="4" t="s">
        <v>124</v>
      </c>
      <c r="X1720" s="4"/>
      <c r="Y1720" s="4"/>
      <c r="Z1720" s="4" t="s">
        <v>14</v>
      </c>
      <c r="AA1720" t="s">
        <v>15</v>
      </c>
      <c r="AB1720" t="str">
        <f t="shared" si="73"/>
        <v>RM SHED</v>
      </c>
      <c r="AC1720" s="22">
        <f t="shared" si="72"/>
        <v>58.823529411764703</v>
      </c>
      <c r="AD1720" s="23">
        <v>0</v>
      </c>
    </row>
    <row r="1721" spans="1:30" x14ac:dyDescent="0.35">
      <c r="A1721" s="4">
        <v>31353</v>
      </c>
      <c r="B1721" s="6">
        <v>46039.526134259257</v>
      </c>
      <c r="C1721" s="6">
        <v>46039</v>
      </c>
      <c r="D1721" s="4" t="s">
        <v>3860</v>
      </c>
      <c r="E1721" s="4" t="s">
        <v>61</v>
      </c>
      <c r="F1721" s="4" t="s">
        <v>3861</v>
      </c>
      <c r="G1721" s="4" t="s">
        <v>3861</v>
      </c>
      <c r="H1721" s="4"/>
      <c r="I1721" s="4"/>
      <c r="J1721" s="4" t="s">
        <v>59</v>
      </c>
      <c r="K1721" s="4" t="s">
        <v>58</v>
      </c>
      <c r="L1721" s="4" t="s">
        <v>57</v>
      </c>
      <c r="M1721" s="4" t="s">
        <v>32</v>
      </c>
      <c r="N1721" s="4" t="s">
        <v>106</v>
      </c>
      <c r="O1721" s="4" t="s">
        <v>105</v>
      </c>
      <c r="P1721" s="4" t="s">
        <v>1064</v>
      </c>
      <c r="Q1721" s="5">
        <v>662559.30000000005</v>
      </c>
      <c r="R1721" s="10">
        <v>0</v>
      </c>
      <c r="S1721" s="9">
        <f t="shared" si="71"/>
        <v>662559.30000000005</v>
      </c>
      <c r="T1721" s="4" t="s">
        <v>53</v>
      </c>
      <c r="U1721" s="4" t="s">
        <v>257</v>
      </c>
      <c r="V1721" s="4">
        <v>-70</v>
      </c>
      <c r="W1721" s="4" t="s">
        <v>129</v>
      </c>
      <c r="X1721" s="4"/>
      <c r="Y1721" s="4"/>
      <c r="Z1721" s="4" t="s">
        <v>14</v>
      </c>
      <c r="AA1721" t="s">
        <v>15</v>
      </c>
      <c r="AB1721" t="str">
        <f t="shared" si="73"/>
        <v>RM SHED</v>
      </c>
      <c r="AC1721" s="22">
        <f t="shared" si="72"/>
        <v>259.82717647058826</v>
      </c>
      <c r="AD1721" s="23">
        <v>0</v>
      </c>
    </row>
    <row r="1722" spans="1:30" x14ac:dyDescent="0.35">
      <c r="A1722" s="4">
        <v>31351</v>
      </c>
      <c r="B1722" s="6">
        <v>46039.526134259257</v>
      </c>
      <c r="C1722" s="6">
        <v>46039</v>
      </c>
      <c r="D1722" s="4" t="s">
        <v>3862</v>
      </c>
      <c r="E1722" s="4" t="s">
        <v>61</v>
      </c>
      <c r="F1722" s="4" t="s">
        <v>3863</v>
      </c>
      <c r="G1722" s="4" t="s">
        <v>3863</v>
      </c>
      <c r="H1722" s="4"/>
      <c r="I1722" s="4"/>
      <c r="J1722" s="4" t="s">
        <v>59</v>
      </c>
      <c r="K1722" s="4" t="s">
        <v>58</v>
      </c>
      <c r="L1722" s="4" t="s">
        <v>57</v>
      </c>
      <c r="M1722" s="4" t="s">
        <v>32</v>
      </c>
      <c r="N1722" s="4" t="s">
        <v>106</v>
      </c>
      <c r="O1722" s="4" t="s">
        <v>105</v>
      </c>
      <c r="P1722" s="4" t="s">
        <v>1064</v>
      </c>
      <c r="Q1722" s="5">
        <v>32203.54</v>
      </c>
      <c r="R1722" s="10">
        <v>0</v>
      </c>
      <c r="S1722" s="9">
        <f t="shared" si="71"/>
        <v>32203.54</v>
      </c>
      <c r="T1722" s="4" t="s">
        <v>53</v>
      </c>
      <c r="U1722" s="4" t="s">
        <v>117</v>
      </c>
      <c r="V1722" s="4">
        <v>-10</v>
      </c>
      <c r="W1722" s="4" t="s">
        <v>94</v>
      </c>
      <c r="X1722" s="4"/>
      <c r="Y1722" s="4"/>
      <c r="Z1722" s="4" t="s">
        <v>14</v>
      </c>
      <c r="AA1722" t="s">
        <v>15</v>
      </c>
      <c r="AB1722" t="str">
        <f t="shared" si="73"/>
        <v>RM SHED</v>
      </c>
      <c r="AC1722" s="22">
        <f t="shared" si="72"/>
        <v>12.628839215686275</v>
      </c>
      <c r="AD1722" s="23">
        <v>0</v>
      </c>
    </row>
    <row r="1723" spans="1:30" x14ac:dyDescent="0.35">
      <c r="A1723" s="4">
        <v>31350</v>
      </c>
      <c r="B1723" s="6">
        <v>46039.526134259257</v>
      </c>
      <c r="C1723" s="6">
        <v>46039</v>
      </c>
      <c r="D1723" s="4" t="s">
        <v>3864</v>
      </c>
      <c r="E1723" s="4" t="s">
        <v>61</v>
      </c>
      <c r="F1723" s="4" t="s">
        <v>3865</v>
      </c>
      <c r="G1723" s="4" t="s">
        <v>3865</v>
      </c>
      <c r="H1723" s="4"/>
      <c r="I1723" s="4"/>
      <c r="J1723" s="4" t="s">
        <v>59</v>
      </c>
      <c r="K1723" s="4" t="s">
        <v>58</v>
      </c>
      <c r="L1723" s="4" t="s">
        <v>57</v>
      </c>
      <c r="M1723" s="4" t="s">
        <v>32</v>
      </c>
      <c r="N1723" s="4" t="s">
        <v>106</v>
      </c>
      <c r="O1723" s="4" t="s">
        <v>105</v>
      </c>
      <c r="P1723" s="4" t="s">
        <v>1064</v>
      </c>
      <c r="Q1723" s="5">
        <v>25000</v>
      </c>
      <c r="R1723" s="10">
        <v>0</v>
      </c>
      <c r="S1723" s="9">
        <f t="shared" si="71"/>
        <v>25000</v>
      </c>
      <c r="T1723" s="4" t="s">
        <v>53</v>
      </c>
      <c r="U1723" s="4" t="s">
        <v>3823</v>
      </c>
      <c r="V1723" s="4">
        <v>-5</v>
      </c>
      <c r="W1723" s="4" t="s">
        <v>124</v>
      </c>
      <c r="X1723" s="4"/>
      <c r="Y1723" s="4"/>
      <c r="Z1723" s="4" t="s">
        <v>14</v>
      </c>
      <c r="AA1723" t="s">
        <v>15</v>
      </c>
      <c r="AB1723" t="str">
        <f t="shared" si="73"/>
        <v>RM SHED</v>
      </c>
      <c r="AC1723" s="22">
        <f t="shared" si="72"/>
        <v>9.8039215686274517</v>
      </c>
      <c r="AD1723" s="23">
        <v>0</v>
      </c>
    </row>
    <row r="1724" spans="1:30" x14ac:dyDescent="0.35">
      <c r="A1724" s="4">
        <v>22187</v>
      </c>
      <c r="B1724" s="6">
        <v>46036.40016203704</v>
      </c>
      <c r="C1724" s="6">
        <v>46036</v>
      </c>
      <c r="D1724" s="4" t="s">
        <v>3866</v>
      </c>
      <c r="E1724" s="4" t="s">
        <v>61</v>
      </c>
      <c r="F1724" s="4" t="s">
        <v>3867</v>
      </c>
      <c r="G1724" s="4" t="s">
        <v>3867</v>
      </c>
      <c r="H1724" s="4"/>
      <c r="I1724" s="4"/>
      <c r="J1724" s="4" t="s">
        <v>59</v>
      </c>
      <c r="K1724" s="4" t="s">
        <v>58</v>
      </c>
      <c r="L1724" s="4" t="s">
        <v>57</v>
      </c>
      <c r="M1724" s="4" t="s">
        <v>32</v>
      </c>
      <c r="N1724" s="4" t="s">
        <v>106</v>
      </c>
      <c r="O1724" s="4" t="s">
        <v>105</v>
      </c>
      <c r="P1724" s="4" t="s">
        <v>1064</v>
      </c>
      <c r="Q1724" s="5">
        <v>45600</v>
      </c>
      <c r="R1724" s="10">
        <v>0</v>
      </c>
      <c r="S1724" s="9">
        <f t="shared" si="71"/>
        <v>45600</v>
      </c>
      <c r="T1724" s="4" t="s">
        <v>53</v>
      </c>
      <c r="U1724" s="4" t="s">
        <v>154</v>
      </c>
      <c r="V1724" s="4">
        <v>-8</v>
      </c>
      <c r="W1724" s="4" t="s">
        <v>124</v>
      </c>
      <c r="X1724" s="4"/>
      <c r="Y1724" s="4"/>
      <c r="Z1724" s="4" t="s">
        <v>14</v>
      </c>
      <c r="AA1724" t="s">
        <v>15</v>
      </c>
      <c r="AB1724" t="str">
        <f t="shared" si="73"/>
        <v>RM SHED</v>
      </c>
      <c r="AC1724" s="22">
        <f t="shared" si="72"/>
        <v>17.882352941176471</v>
      </c>
      <c r="AD1724" s="23">
        <v>0</v>
      </c>
    </row>
    <row r="1725" spans="1:30" x14ac:dyDescent="0.35">
      <c r="A1725" s="4">
        <v>22185</v>
      </c>
      <c r="B1725" s="6">
        <v>46036.40016203704</v>
      </c>
      <c r="C1725" s="6">
        <v>46036</v>
      </c>
      <c r="D1725" s="4" t="s">
        <v>3868</v>
      </c>
      <c r="E1725" s="4" t="s">
        <v>61</v>
      </c>
      <c r="F1725" s="4" t="s">
        <v>3869</v>
      </c>
      <c r="G1725" s="4" t="s">
        <v>3869</v>
      </c>
      <c r="H1725" s="4"/>
      <c r="I1725" s="4"/>
      <c r="J1725" s="4" t="s">
        <v>59</v>
      </c>
      <c r="K1725" s="4" t="s">
        <v>58</v>
      </c>
      <c r="L1725" s="4" t="s">
        <v>57</v>
      </c>
      <c r="M1725" s="4" t="s">
        <v>32</v>
      </c>
      <c r="N1725" s="4" t="s">
        <v>106</v>
      </c>
      <c r="O1725" s="4" t="s">
        <v>105</v>
      </c>
      <c r="P1725" s="4" t="s">
        <v>1064</v>
      </c>
      <c r="Q1725" s="5">
        <v>96900</v>
      </c>
      <c r="R1725" s="10">
        <v>0</v>
      </c>
      <c r="S1725" s="9">
        <f t="shared" si="71"/>
        <v>96900</v>
      </c>
      <c r="T1725" s="4" t="s">
        <v>53</v>
      </c>
      <c r="U1725" s="4" t="s">
        <v>151</v>
      </c>
      <c r="V1725" s="4">
        <v>-17</v>
      </c>
      <c r="W1725" s="4" t="s">
        <v>124</v>
      </c>
      <c r="X1725" s="4"/>
      <c r="Y1725" s="4"/>
      <c r="Z1725" s="4" t="s">
        <v>14</v>
      </c>
      <c r="AA1725" t="s">
        <v>15</v>
      </c>
      <c r="AB1725" t="str">
        <f t="shared" si="73"/>
        <v>RM SHED</v>
      </c>
      <c r="AC1725" s="22">
        <f t="shared" si="72"/>
        <v>38</v>
      </c>
      <c r="AD1725" s="23">
        <v>0</v>
      </c>
    </row>
    <row r="1726" spans="1:30" x14ac:dyDescent="0.35">
      <c r="A1726" s="4">
        <v>22184</v>
      </c>
      <c r="B1726" s="6">
        <v>46036.40016203704</v>
      </c>
      <c r="C1726" s="6">
        <v>46036</v>
      </c>
      <c r="D1726" s="4" t="s">
        <v>3870</v>
      </c>
      <c r="E1726" s="4" t="s">
        <v>61</v>
      </c>
      <c r="F1726" s="4" t="s">
        <v>3871</v>
      </c>
      <c r="G1726" s="4" t="s">
        <v>3871</v>
      </c>
      <c r="H1726" s="4"/>
      <c r="I1726" s="4"/>
      <c r="J1726" s="4" t="s">
        <v>59</v>
      </c>
      <c r="K1726" s="4" t="s">
        <v>58</v>
      </c>
      <c r="L1726" s="4" t="s">
        <v>57</v>
      </c>
      <c r="M1726" s="4" t="s">
        <v>32</v>
      </c>
      <c r="N1726" s="4" t="s">
        <v>106</v>
      </c>
      <c r="O1726" s="4" t="s">
        <v>105</v>
      </c>
      <c r="P1726" s="4" t="s">
        <v>1064</v>
      </c>
      <c r="Q1726" s="5">
        <v>139500</v>
      </c>
      <c r="R1726" s="10">
        <v>0</v>
      </c>
      <c r="S1726" s="9">
        <f t="shared" si="71"/>
        <v>139500</v>
      </c>
      <c r="T1726" s="4" t="s">
        <v>53</v>
      </c>
      <c r="U1726" s="4" t="s">
        <v>133</v>
      </c>
      <c r="V1726" s="4">
        <v>-27.9</v>
      </c>
      <c r="W1726" s="4" t="s">
        <v>124</v>
      </c>
      <c r="X1726" s="4"/>
      <c r="Y1726" s="4"/>
      <c r="Z1726" s="4" t="s">
        <v>14</v>
      </c>
      <c r="AA1726" t="s">
        <v>15</v>
      </c>
      <c r="AB1726" t="str">
        <f t="shared" si="73"/>
        <v>RM SHED</v>
      </c>
      <c r="AC1726" s="22">
        <f t="shared" si="72"/>
        <v>54.705882352941174</v>
      </c>
      <c r="AD1726" s="23">
        <v>0</v>
      </c>
    </row>
    <row r="1727" spans="1:30" x14ac:dyDescent="0.35">
      <c r="A1727" s="4">
        <v>22182</v>
      </c>
      <c r="B1727" s="6">
        <v>46036.40016203704</v>
      </c>
      <c r="C1727" s="6">
        <v>46036</v>
      </c>
      <c r="D1727" s="4" t="s">
        <v>3872</v>
      </c>
      <c r="E1727" s="4" t="s">
        <v>61</v>
      </c>
      <c r="F1727" s="4" t="s">
        <v>3873</v>
      </c>
      <c r="G1727" s="4" t="s">
        <v>3873</v>
      </c>
      <c r="H1727" s="4"/>
      <c r="I1727" s="4"/>
      <c r="J1727" s="4" t="s">
        <v>59</v>
      </c>
      <c r="K1727" s="4" t="s">
        <v>58</v>
      </c>
      <c r="L1727" s="4" t="s">
        <v>57</v>
      </c>
      <c r="M1727" s="4" t="s">
        <v>32</v>
      </c>
      <c r="N1727" s="4" t="s">
        <v>106</v>
      </c>
      <c r="O1727" s="4" t="s">
        <v>105</v>
      </c>
      <c r="P1727" s="4" t="s">
        <v>1064</v>
      </c>
      <c r="Q1727" s="5">
        <v>4134000</v>
      </c>
      <c r="R1727" s="10">
        <v>0</v>
      </c>
      <c r="S1727" s="9">
        <f t="shared" si="71"/>
        <v>4134000</v>
      </c>
      <c r="T1727" s="4" t="s">
        <v>53</v>
      </c>
      <c r="U1727" s="4" t="s">
        <v>3271</v>
      </c>
      <c r="V1727" s="4">
        <v>-52</v>
      </c>
      <c r="W1727" s="4" t="s">
        <v>94</v>
      </c>
      <c r="X1727" s="4"/>
      <c r="Y1727" s="4"/>
      <c r="Z1727" s="4" t="s">
        <v>14</v>
      </c>
      <c r="AA1727" t="s">
        <v>15</v>
      </c>
      <c r="AB1727" t="str">
        <f t="shared" si="73"/>
        <v>RM SHED</v>
      </c>
      <c r="AC1727" s="22">
        <f t="shared" si="72"/>
        <v>1621.1764705882354</v>
      </c>
      <c r="AD1727" s="23">
        <v>0</v>
      </c>
    </row>
    <row r="1728" spans="1:30" x14ac:dyDescent="0.35">
      <c r="A1728" s="4">
        <v>14317</v>
      </c>
      <c r="B1728" s="6">
        <v>46031.608599537038</v>
      </c>
      <c r="C1728" s="6">
        <v>46031</v>
      </c>
      <c r="D1728" s="4" t="s">
        <v>3874</v>
      </c>
      <c r="E1728" s="4" t="s">
        <v>61</v>
      </c>
      <c r="F1728" s="4" t="s">
        <v>3875</v>
      </c>
      <c r="G1728" s="4" t="s">
        <v>3875</v>
      </c>
      <c r="H1728" s="4"/>
      <c r="I1728" s="4"/>
      <c r="J1728" s="4" t="s">
        <v>59</v>
      </c>
      <c r="K1728" s="4" t="s">
        <v>58</v>
      </c>
      <c r="L1728" s="4" t="s">
        <v>57</v>
      </c>
      <c r="M1728" s="4" t="s">
        <v>32</v>
      </c>
      <c r="N1728" s="4" t="s">
        <v>106</v>
      </c>
      <c r="O1728" s="4" t="s">
        <v>105</v>
      </c>
      <c r="P1728" s="4" t="s">
        <v>1064</v>
      </c>
      <c r="Q1728" s="5">
        <v>757210.64</v>
      </c>
      <c r="R1728" s="10">
        <v>0</v>
      </c>
      <c r="S1728" s="9">
        <f t="shared" si="71"/>
        <v>757210.64</v>
      </c>
      <c r="T1728" s="4" t="s">
        <v>53</v>
      </c>
      <c r="U1728" s="4" t="s">
        <v>257</v>
      </c>
      <c r="V1728" s="4">
        <v>-80</v>
      </c>
      <c r="W1728" s="4" t="s">
        <v>129</v>
      </c>
      <c r="X1728" s="4"/>
      <c r="Y1728" s="4"/>
      <c r="Z1728" s="4" t="s">
        <v>14</v>
      </c>
      <c r="AA1728" t="s">
        <v>15</v>
      </c>
      <c r="AB1728" t="str">
        <f t="shared" si="73"/>
        <v>RM SHED</v>
      </c>
      <c r="AC1728" s="22">
        <f t="shared" si="72"/>
        <v>296.94534901960787</v>
      </c>
      <c r="AD1728" s="23">
        <v>0</v>
      </c>
    </row>
    <row r="1729" spans="1:30" x14ac:dyDescent="0.35">
      <c r="A1729" s="4">
        <v>14316</v>
      </c>
      <c r="B1729" s="6">
        <v>46031.608599537038</v>
      </c>
      <c r="C1729" s="6">
        <v>46031</v>
      </c>
      <c r="D1729" s="4" t="s">
        <v>3876</v>
      </c>
      <c r="E1729" s="4" t="s">
        <v>61</v>
      </c>
      <c r="F1729" s="4" t="s">
        <v>3877</v>
      </c>
      <c r="G1729" s="4" t="s">
        <v>3877</v>
      </c>
      <c r="H1729" s="4"/>
      <c r="I1729" s="4"/>
      <c r="J1729" s="4" t="s">
        <v>59</v>
      </c>
      <c r="K1729" s="4" t="s">
        <v>58</v>
      </c>
      <c r="L1729" s="4" t="s">
        <v>57</v>
      </c>
      <c r="M1729" s="4" t="s">
        <v>32</v>
      </c>
      <c r="N1729" s="4" t="s">
        <v>106</v>
      </c>
      <c r="O1729" s="4" t="s">
        <v>105</v>
      </c>
      <c r="P1729" s="4" t="s">
        <v>1064</v>
      </c>
      <c r="Q1729" s="5">
        <v>583136.85</v>
      </c>
      <c r="R1729" s="10">
        <v>0</v>
      </c>
      <c r="S1729" s="9">
        <f t="shared" si="71"/>
        <v>583136.85</v>
      </c>
      <c r="T1729" s="4" t="s">
        <v>53</v>
      </c>
      <c r="U1729" s="4" t="s">
        <v>172</v>
      </c>
      <c r="V1729" s="4">
        <v>-16</v>
      </c>
      <c r="W1729" s="4" t="s">
        <v>129</v>
      </c>
      <c r="X1729" s="4"/>
      <c r="Y1729" s="4"/>
      <c r="Z1729" s="4" t="s">
        <v>14</v>
      </c>
      <c r="AA1729" t="s">
        <v>15</v>
      </c>
      <c r="AB1729" t="str">
        <f t="shared" si="73"/>
        <v>RM SHED</v>
      </c>
      <c r="AC1729" s="22">
        <f t="shared" si="72"/>
        <v>228.68111764705881</v>
      </c>
      <c r="AD1729" s="23">
        <v>0</v>
      </c>
    </row>
    <row r="1730" spans="1:30" x14ac:dyDescent="0.35">
      <c r="A1730" s="4">
        <v>7204</v>
      </c>
      <c r="B1730" s="6">
        <v>46028.600451388891</v>
      </c>
      <c r="C1730" s="6">
        <v>46028</v>
      </c>
      <c r="D1730" s="4" t="s">
        <v>3878</v>
      </c>
      <c r="E1730" s="4" t="s">
        <v>61</v>
      </c>
      <c r="F1730" s="4" t="s">
        <v>3879</v>
      </c>
      <c r="G1730" s="4" t="s">
        <v>3879</v>
      </c>
      <c r="H1730" s="4"/>
      <c r="I1730" s="4"/>
      <c r="J1730" s="4" t="s">
        <v>59</v>
      </c>
      <c r="K1730" s="4" t="s">
        <v>58</v>
      </c>
      <c r="L1730" s="4" t="s">
        <v>57</v>
      </c>
      <c r="M1730" s="4" t="s">
        <v>32</v>
      </c>
      <c r="N1730" s="4" t="s">
        <v>106</v>
      </c>
      <c r="O1730" s="4" t="s">
        <v>68</v>
      </c>
      <c r="P1730" s="4" t="s">
        <v>54</v>
      </c>
      <c r="Q1730" s="5">
        <v>48000</v>
      </c>
      <c r="R1730" s="10">
        <v>0</v>
      </c>
      <c r="S1730" s="9">
        <f t="shared" si="71"/>
        <v>48000</v>
      </c>
      <c r="T1730" s="4" t="s">
        <v>53</v>
      </c>
      <c r="U1730" s="4" t="s">
        <v>3779</v>
      </c>
      <c r="V1730" s="4">
        <v>-300</v>
      </c>
      <c r="W1730" s="4" t="s">
        <v>94</v>
      </c>
      <c r="X1730" s="4"/>
      <c r="Y1730" s="4"/>
      <c r="Z1730" s="4" t="s">
        <v>14</v>
      </c>
      <c r="AA1730" t="s">
        <v>15</v>
      </c>
      <c r="AB1730" t="str">
        <f t="shared" si="73"/>
        <v>RM SHED</v>
      </c>
      <c r="AC1730" s="22">
        <f t="shared" si="72"/>
        <v>18.823529411764707</v>
      </c>
      <c r="AD1730" s="23">
        <v>0</v>
      </c>
    </row>
    <row r="1731" spans="1:30" x14ac:dyDescent="0.35">
      <c r="A1731" s="4">
        <v>49998</v>
      </c>
      <c r="B1731" s="6">
        <v>46049.623391203706</v>
      </c>
      <c r="C1731" s="6">
        <v>46049</v>
      </c>
      <c r="D1731" s="4" t="s">
        <v>3880</v>
      </c>
      <c r="E1731" s="4" t="s">
        <v>61</v>
      </c>
      <c r="F1731" s="4" t="s">
        <v>3881</v>
      </c>
      <c r="G1731" s="4" t="s">
        <v>3881</v>
      </c>
      <c r="H1731" s="4"/>
      <c r="I1731" s="4"/>
      <c r="J1731" s="4" t="s">
        <v>59</v>
      </c>
      <c r="K1731" s="4" t="s">
        <v>58</v>
      </c>
      <c r="L1731" s="4" t="s">
        <v>97</v>
      </c>
      <c r="M1731" s="4" t="s">
        <v>34</v>
      </c>
      <c r="N1731" s="4" t="s">
        <v>114</v>
      </c>
      <c r="O1731" s="4" t="s">
        <v>68</v>
      </c>
      <c r="P1731" s="4" t="s">
        <v>1064</v>
      </c>
      <c r="Q1731" s="5">
        <v>63000</v>
      </c>
      <c r="R1731" s="10">
        <v>0</v>
      </c>
      <c r="S1731" s="9">
        <f t="shared" ref="S1731:S1794" si="74">+Q1731-R1731</f>
        <v>63000</v>
      </c>
      <c r="T1731" s="4" t="s">
        <v>53</v>
      </c>
      <c r="U1731" s="4" t="s">
        <v>111</v>
      </c>
      <c r="V1731" s="4">
        <v>-150</v>
      </c>
      <c r="W1731" s="4" t="s">
        <v>94</v>
      </c>
      <c r="X1731" s="4"/>
      <c r="Y1731" s="4"/>
      <c r="Z1731" s="4" t="s">
        <v>14</v>
      </c>
      <c r="AA1731" t="s">
        <v>31</v>
      </c>
      <c r="AB1731" t="str">
        <f t="shared" si="73"/>
        <v>WALL</v>
      </c>
      <c r="AC1731" s="22">
        <f t="shared" si="72"/>
        <v>24.705882352941178</v>
      </c>
      <c r="AD1731" s="23">
        <v>0</v>
      </c>
    </row>
    <row r="1732" spans="1:30" x14ac:dyDescent="0.35">
      <c r="A1732" s="4">
        <v>34126</v>
      </c>
      <c r="B1732" s="6">
        <v>46041.234571759262</v>
      </c>
      <c r="C1732" s="6">
        <v>46041</v>
      </c>
      <c r="D1732" s="4" t="s">
        <v>3882</v>
      </c>
      <c r="E1732" s="4" t="s">
        <v>61</v>
      </c>
      <c r="F1732" s="4" t="s">
        <v>3883</v>
      </c>
      <c r="G1732" s="4" t="s">
        <v>3883</v>
      </c>
      <c r="H1732" s="4"/>
      <c r="I1732" s="4"/>
      <c r="J1732" s="4" t="s">
        <v>59</v>
      </c>
      <c r="K1732" s="4" t="s">
        <v>58</v>
      </c>
      <c r="L1732" s="4" t="s">
        <v>97</v>
      </c>
      <c r="M1732" s="4" t="s">
        <v>34</v>
      </c>
      <c r="N1732" s="4" t="s">
        <v>114</v>
      </c>
      <c r="O1732" s="4" t="s">
        <v>68</v>
      </c>
      <c r="P1732" s="4" t="s">
        <v>1064</v>
      </c>
      <c r="Q1732" s="5">
        <v>84000</v>
      </c>
      <c r="R1732" s="10">
        <v>0</v>
      </c>
      <c r="S1732" s="9">
        <f t="shared" si="74"/>
        <v>84000</v>
      </c>
      <c r="T1732" s="4" t="s">
        <v>53</v>
      </c>
      <c r="U1732" s="4" t="s">
        <v>3884</v>
      </c>
      <c r="V1732" s="4">
        <v>-200</v>
      </c>
      <c r="W1732" s="4" t="s">
        <v>94</v>
      </c>
      <c r="X1732" s="4"/>
      <c r="Y1732" s="4"/>
      <c r="Z1732" s="4" t="s">
        <v>14</v>
      </c>
      <c r="AA1732" t="s">
        <v>31</v>
      </c>
      <c r="AB1732" t="str">
        <f t="shared" si="73"/>
        <v>WALL</v>
      </c>
      <c r="AC1732" s="22">
        <f t="shared" si="72"/>
        <v>32.941176470588232</v>
      </c>
      <c r="AD1732" s="23">
        <v>0</v>
      </c>
    </row>
    <row r="1733" spans="1:30" x14ac:dyDescent="0.35">
      <c r="A1733" s="4">
        <v>47798</v>
      </c>
      <c r="B1733" s="6">
        <v>46048.613819444443</v>
      </c>
      <c r="C1733" s="6">
        <v>46048</v>
      </c>
      <c r="D1733" s="4" t="s">
        <v>3885</v>
      </c>
      <c r="E1733" s="4" t="s">
        <v>61</v>
      </c>
      <c r="F1733" s="4" t="s">
        <v>3886</v>
      </c>
      <c r="G1733" s="4" t="s">
        <v>3886</v>
      </c>
      <c r="H1733" s="4"/>
      <c r="I1733" s="4"/>
      <c r="J1733" s="4" t="s">
        <v>59</v>
      </c>
      <c r="K1733" s="4" t="s">
        <v>58</v>
      </c>
      <c r="L1733" s="4" t="s">
        <v>97</v>
      </c>
      <c r="M1733" s="4" t="s">
        <v>34</v>
      </c>
      <c r="N1733" s="4" t="s">
        <v>106</v>
      </c>
      <c r="O1733" s="4" t="s">
        <v>105</v>
      </c>
      <c r="P1733" s="4" t="s">
        <v>1064</v>
      </c>
      <c r="Q1733" s="5">
        <v>63000</v>
      </c>
      <c r="R1733" s="10">
        <v>0</v>
      </c>
      <c r="S1733" s="9">
        <f t="shared" si="74"/>
        <v>63000</v>
      </c>
      <c r="T1733" s="4" t="s">
        <v>53</v>
      </c>
      <c r="U1733" s="4" t="s">
        <v>111</v>
      </c>
      <c r="V1733" s="4">
        <v>-150</v>
      </c>
      <c r="W1733" s="4" t="s">
        <v>94</v>
      </c>
      <c r="X1733" s="4"/>
      <c r="Y1733" s="4"/>
      <c r="Z1733" s="4" t="s">
        <v>14</v>
      </c>
      <c r="AA1733" t="s">
        <v>15</v>
      </c>
      <c r="AB1733" t="str">
        <f t="shared" si="73"/>
        <v>RM SHED</v>
      </c>
      <c r="AC1733" s="22">
        <f t="shared" si="72"/>
        <v>24.705882352941178</v>
      </c>
      <c r="AD1733" s="23">
        <v>0</v>
      </c>
    </row>
    <row r="1734" spans="1:30" x14ac:dyDescent="0.35">
      <c r="A1734" s="4">
        <v>34123</v>
      </c>
      <c r="B1734" s="6">
        <v>46041.235324074078</v>
      </c>
      <c r="C1734" s="6">
        <v>46041</v>
      </c>
      <c r="D1734" s="4" t="s">
        <v>3887</v>
      </c>
      <c r="E1734" s="4" t="s">
        <v>61</v>
      </c>
      <c r="F1734" s="4" t="s">
        <v>3888</v>
      </c>
      <c r="G1734" s="4" t="s">
        <v>3888</v>
      </c>
      <c r="H1734" s="4"/>
      <c r="I1734" s="4"/>
      <c r="J1734" s="4" t="s">
        <v>59</v>
      </c>
      <c r="K1734" s="4" t="s">
        <v>58</v>
      </c>
      <c r="L1734" s="4" t="s">
        <v>97</v>
      </c>
      <c r="M1734" s="4" t="s">
        <v>34</v>
      </c>
      <c r="N1734" s="4" t="s">
        <v>106</v>
      </c>
      <c r="O1734" s="4" t="s">
        <v>105</v>
      </c>
      <c r="P1734" s="4" t="s">
        <v>1064</v>
      </c>
      <c r="Q1734" s="5">
        <v>63000</v>
      </c>
      <c r="R1734" s="10">
        <v>0</v>
      </c>
      <c r="S1734" s="9">
        <f t="shared" si="74"/>
        <v>63000</v>
      </c>
      <c r="T1734" s="4" t="s">
        <v>53</v>
      </c>
      <c r="U1734" s="4" t="s">
        <v>111</v>
      </c>
      <c r="V1734" s="4">
        <v>-150</v>
      </c>
      <c r="W1734" s="4" t="s">
        <v>94</v>
      </c>
      <c r="X1734" s="4"/>
      <c r="Y1734" s="4"/>
      <c r="Z1734" s="4" t="s">
        <v>14</v>
      </c>
      <c r="AA1734" t="s">
        <v>15</v>
      </c>
      <c r="AB1734" t="str">
        <f t="shared" si="73"/>
        <v>RM SHED</v>
      </c>
      <c r="AC1734" s="22">
        <f t="shared" si="72"/>
        <v>24.705882352941178</v>
      </c>
      <c r="AD1734" s="23">
        <v>0</v>
      </c>
    </row>
    <row r="1735" spans="1:30" hidden="1" x14ac:dyDescent="0.35">
      <c r="A1735" s="7">
        <v>1</v>
      </c>
      <c r="B1735" s="24">
        <v>46055.403549849667</v>
      </c>
      <c r="C1735" s="24">
        <v>46055</v>
      </c>
      <c r="D1735" s="7" t="s">
        <v>3894</v>
      </c>
      <c r="E1735" s="7" t="s">
        <v>1331</v>
      </c>
      <c r="F1735" s="7" t="s">
        <v>3895</v>
      </c>
      <c r="G1735" s="7" t="s">
        <v>3896</v>
      </c>
      <c r="H1735" s="7" t="s">
        <v>3897</v>
      </c>
      <c r="I1735" s="7" t="s">
        <v>3898</v>
      </c>
      <c r="J1735" s="7" t="s">
        <v>1816</v>
      </c>
      <c r="K1735" s="7" t="s">
        <v>1815</v>
      </c>
      <c r="L1735" s="7" t="s">
        <v>1814</v>
      </c>
      <c r="M1735" s="7" t="s">
        <v>28</v>
      </c>
      <c r="N1735" s="7" t="s">
        <v>1825</v>
      </c>
      <c r="O1735" s="7" t="s">
        <v>1704</v>
      </c>
      <c r="P1735" s="7" t="s">
        <v>1703</v>
      </c>
      <c r="Q1735" s="9">
        <v>1685000</v>
      </c>
      <c r="R1735" s="9">
        <v>0</v>
      </c>
      <c r="S1735" s="9">
        <f t="shared" si="74"/>
        <v>1685000</v>
      </c>
      <c r="T1735" s="7" t="s">
        <v>53</v>
      </c>
      <c r="U1735" s="7"/>
      <c r="V1735" s="9">
        <v>1</v>
      </c>
      <c r="W1735" s="7"/>
      <c r="X1735" s="4"/>
      <c r="Y1735" s="4"/>
      <c r="Z1735" s="4" t="s">
        <v>14</v>
      </c>
      <c r="AA1735" t="str">
        <f>_xlfn.XLOOKUP(N1735,$N$3:$N$1734,$AA$3:$AA$1734)</f>
        <v>371056 MINERAL EXPLORATION &amp; DEVELOPMENT-TARAWANDA</v>
      </c>
      <c r="AB1735">
        <f t="shared" si="73"/>
        <v>0</v>
      </c>
      <c r="AC1735" s="22">
        <f t="shared" ref="AC1735:AC1767" si="75">+S1735/$AC$1</f>
        <v>660.78431372549016</v>
      </c>
      <c r="AD1735" s="23">
        <v>0</v>
      </c>
    </row>
    <row r="1736" spans="1:30" hidden="1" x14ac:dyDescent="0.35">
      <c r="A1736" s="7">
        <v>2</v>
      </c>
      <c r="B1736" s="24">
        <v>46055.566912959039</v>
      </c>
      <c r="C1736" s="24">
        <v>46055</v>
      </c>
      <c r="D1736" s="7" t="s">
        <v>3899</v>
      </c>
      <c r="E1736" s="7" t="s">
        <v>1819</v>
      </c>
      <c r="F1736" s="7" t="s">
        <v>3900</v>
      </c>
      <c r="G1736" s="7" t="s">
        <v>3901</v>
      </c>
      <c r="H1736" s="7"/>
      <c r="I1736" s="7"/>
      <c r="J1736" s="7" t="s">
        <v>1816</v>
      </c>
      <c r="K1736" s="7" t="s">
        <v>1815</v>
      </c>
      <c r="L1736" s="7" t="s">
        <v>1814</v>
      </c>
      <c r="M1736" s="7" t="s">
        <v>28</v>
      </c>
      <c r="N1736" s="7" t="s">
        <v>1825</v>
      </c>
      <c r="O1736" s="7" t="s">
        <v>1704</v>
      </c>
      <c r="P1736" s="7" t="s">
        <v>1703</v>
      </c>
      <c r="Q1736" s="9">
        <v>2447470</v>
      </c>
      <c r="R1736" s="9">
        <v>0</v>
      </c>
      <c r="S1736" s="9">
        <f t="shared" si="74"/>
        <v>2447470</v>
      </c>
      <c r="T1736" s="7" t="s">
        <v>710</v>
      </c>
      <c r="U1736" s="7"/>
      <c r="V1736" s="9">
        <v>1</v>
      </c>
      <c r="W1736" s="7"/>
      <c r="X1736" s="4"/>
      <c r="Y1736" s="4"/>
      <c r="Z1736" s="4" t="s">
        <v>14</v>
      </c>
      <c r="AA1736" t="str">
        <f t="shared" ref="AA1736:AA1767" si="76">_xlfn.XLOOKUP(N1736,$N$3:$N$1734,$AA$3:$AA$1734)</f>
        <v>371056 MINERAL EXPLORATION &amp; DEVELOPMENT-TARAWANDA</v>
      </c>
      <c r="AB1736">
        <f t="shared" si="73"/>
        <v>0</v>
      </c>
      <c r="AC1736" s="22">
        <f t="shared" si="75"/>
        <v>959.79215686274506</v>
      </c>
      <c r="AD1736" s="23">
        <v>0</v>
      </c>
    </row>
    <row r="1737" spans="1:30" hidden="1" x14ac:dyDescent="0.35">
      <c r="A1737" s="7">
        <v>3</v>
      </c>
      <c r="B1737" s="24">
        <v>46056.564332253067</v>
      </c>
      <c r="C1737" s="24">
        <v>46056</v>
      </c>
      <c r="D1737" s="7" t="s">
        <v>3902</v>
      </c>
      <c r="E1737" s="7" t="s">
        <v>1819</v>
      </c>
      <c r="F1737" s="7" t="s">
        <v>3903</v>
      </c>
      <c r="G1737" s="7" t="s">
        <v>3904</v>
      </c>
      <c r="H1737" s="7"/>
      <c r="I1737" s="7"/>
      <c r="J1737" s="7" t="s">
        <v>1816</v>
      </c>
      <c r="K1737" s="7" t="s">
        <v>1815</v>
      </c>
      <c r="L1737" s="7" t="s">
        <v>1814</v>
      </c>
      <c r="M1737" s="7" t="s">
        <v>28</v>
      </c>
      <c r="N1737" s="7" t="s">
        <v>1825</v>
      </c>
      <c r="O1737" s="7" t="s">
        <v>1704</v>
      </c>
      <c r="P1737" s="7" t="s">
        <v>1703</v>
      </c>
      <c r="Q1737" s="9">
        <v>250000</v>
      </c>
      <c r="R1737" s="9">
        <v>0</v>
      </c>
      <c r="S1737" s="9">
        <f t="shared" si="74"/>
        <v>250000</v>
      </c>
      <c r="T1737" s="7" t="s">
        <v>53</v>
      </c>
      <c r="U1737" s="7"/>
      <c r="V1737" s="9">
        <v>1</v>
      </c>
      <c r="W1737" s="7"/>
      <c r="X1737" s="4"/>
      <c r="Y1737" s="4"/>
      <c r="Z1737" s="4" t="s">
        <v>14</v>
      </c>
      <c r="AA1737" t="str">
        <f t="shared" si="76"/>
        <v>371056 MINERAL EXPLORATION &amp; DEVELOPMENT-TARAWANDA</v>
      </c>
      <c r="AB1737">
        <f t="shared" si="73"/>
        <v>0</v>
      </c>
      <c r="AC1737" s="22">
        <f t="shared" si="75"/>
        <v>98.039215686274517</v>
      </c>
      <c r="AD1737" s="23">
        <v>0</v>
      </c>
    </row>
    <row r="1738" spans="1:30" hidden="1" x14ac:dyDescent="0.35">
      <c r="A1738" s="7">
        <v>4</v>
      </c>
      <c r="B1738" s="24">
        <v>46056.541295193412</v>
      </c>
      <c r="C1738" s="24">
        <v>46056</v>
      </c>
      <c r="D1738" s="7" t="s">
        <v>3905</v>
      </c>
      <c r="E1738" s="7" t="s">
        <v>714</v>
      </c>
      <c r="F1738" s="7"/>
      <c r="G1738" s="7" t="s">
        <v>3906</v>
      </c>
      <c r="H1738" s="7"/>
      <c r="I1738" s="7"/>
      <c r="J1738" s="7" t="s">
        <v>1816</v>
      </c>
      <c r="K1738" s="7" t="s">
        <v>1815</v>
      </c>
      <c r="L1738" s="7" t="s">
        <v>1814</v>
      </c>
      <c r="M1738" s="7" t="s">
        <v>28</v>
      </c>
      <c r="N1738" s="7" t="s">
        <v>1825</v>
      </c>
      <c r="O1738" s="7" t="s">
        <v>1703</v>
      </c>
      <c r="P1738" s="7" t="s">
        <v>1703</v>
      </c>
      <c r="Q1738" s="9">
        <v>30000</v>
      </c>
      <c r="R1738" s="9">
        <v>0</v>
      </c>
      <c r="S1738" s="9">
        <f t="shared" si="74"/>
        <v>30000</v>
      </c>
      <c r="T1738" s="7" t="s">
        <v>53</v>
      </c>
      <c r="U1738" s="7"/>
      <c r="V1738" s="9">
        <v>1</v>
      </c>
      <c r="W1738" s="7"/>
      <c r="X1738" s="4"/>
      <c r="Y1738" s="4"/>
      <c r="Z1738" s="4" t="s">
        <v>14</v>
      </c>
      <c r="AA1738" t="str">
        <f t="shared" si="76"/>
        <v>371056 MINERAL EXPLORATION &amp; DEVELOPMENT-TARAWANDA</v>
      </c>
      <c r="AB1738">
        <f t="shared" si="73"/>
        <v>0</v>
      </c>
      <c r="AC1738" s="22">
        <f t="shared" si="75"/>
        <v>11.764705882352942</v>
      </c>
      <c r="AD1738" s="23">
        <v>0</v>
      </c>
    </row>
    <row r="1739" spans="1:30" hidden="1" x14ac:dyDescent="0.35">
      <c r="A1739" s="7">
        <v>5</v>
      </c>
      <c r="B1739" s="24">
        <v>46057.553256261177</v>
      </c>
      <c r="C1739" s="24">
        <v>46057</v>
      </c>
      <c r="D1739" s="7" t="s">
        <v>3907</v>
      </c>
      <c r="E1739" s="7" t="s">
        <v>1331</v>
      </c>
      <c r="F1739" s="7" t="s">
        <v>3908</v>
      </c>
      <c r="G1739" s="7" t="s">
        <v>3909</v>
      </c>
      <c r="H1739" s="7" t="s">
        <v>1497</v>
      </c>
      <c r="I1739" s="7" t="s">
        <v>1496</v>
      </c>
      <c r="J1739" s="7" t="s">
        <v>1816</v>
      </c>
      <c r="K1739" s="7" t="s">
        <v>1815</v>
      </c>
      <c r="L1739" s="7" t="s">
        <v>1814</v>
      </c>
      <c r="M1739" s="7" t="s">
        <v>28</v>
      </c>
      <c r="N1739" s="7" t="s">
        <v>1813</v>
      </c>
      <c r="O1739" s="7" t="s">
        <v>1704</v>
      </c>
      <c r="P1739" s="7" t="s">
        <v>2001</v>
      </c>
      <c r="Q1739" s="9">
        <v>806896</v>
      </c>
      <c r="R1739" s="9">
        <v>0</v>
      </c>
      <c r="S1739" s="9">
        <f t="shared" si="74"/>
        <v>806896</v>
      </c>
      <c r="T1739" s="7" t="s">
        <v>2635</v>
      </c>
      <c r="U1739" s="7"/>
      <c r="V1739" s="9">
        <v>1</v>
      </c>
      <c r="W1739" s="7"/>
      <c r="X1739" s="4"/>
      <c r="Y1739" s="4"/>
      <c r="Z1739" s="4" t="s">
        <v>14</v>
      </c>
      <c r="AA1739" t="str">
        <f t="shared" si="76"/>
        <v>371056 MINERAL EXPLORATION &amp; DEVELOPMENT-TARAWANDA</v>
      </c>
      <c r="AB1739">
        <f t="shared" si="73"/>
        <v>0</v>
      </c>
      <c r="AC1739" s="22">
        <f t="shared" si="75"/>
        <v>316.42980392156863</v>
      </c>
      <c r="AD1739" s="23">
        <v>0</v>
      </c>
    </row>
    <row r="1740" spans="1:30" hidden="1" x14ac:dyDescent="0.35">
      <c r="A1740" s="7">
        <v>6</v>
      </c>
      <c r="B1740" s="24">
        <v>46057.548655247039</v>
      </c>
      <c r="C1740" s="24">
        <v>46057</v>
      </c>
      <c r="D1740" s="7" t="s">
        <v>3910</v>
      </c>
      <c r="E1740" s="7" t="s">
        <v>1331</v>
      </c>
      <c r="F1740" s="7" t="s">
        <v>1499</v>
      </c>
      <c r="G1740" s="7" t="s">
        <v>3911</v>
      </c>
      <c r="H1740" s="7" t="s">
        <v>1497</v>
      </c>
      <c r="I1740" s="7" t="s">
        <v>1496</v>
      </c>
      <c r="J1740" s="7" t="s">
        <v>1816</v>
      </c>
      <c r="K1740" s="7" t="s">
        <v>1815</v>
      </c>
      <c r="L1740" s="7" t="s">
        <v>1814</v>
      </c>
      <c r="M1740" s="7" t="s">
        <v>28</v>
      </c>
      <c r="N1740" s="7" t="s">
        <v>1825</v>
      </c>
      <c r="O1740" s="7" t="s">
        <v>1704</v>
      </c>
      <c r="P1740" s="7" t="s">
        <v>1703</v>
      </c>
      <c r="Q1740" s="9">
        <v>9415604</v>
      </c>
      <c r="R1740" s="9">
        <v>0</v>
      </c>
      <c r="S1740" s="9">
        <f t="shared" si="74"/>
        <v>9415604</v>
      </c>
      <c r="T1740" s="7" t="s">
        <v>2635</v>
      </c>
      <c r="U1740" s="7"/>
      <c r="V1740" s="9">
        <v>1</v>
      </c>
      <c r="W1740" s="7"/>
      <c r="X1740" s="4"/>
      <c r="Y1740" s="4"/>
      <c r="Z1740" s="4" t="s">
        <v>14</v>
      </c>
      <c r="AA1740" t="str">
        <f t="shared" si="76"/>
        <v>371056 MINERAL EXPLORATION &amp; DEVELOPMENT-TARAWANDA</v>
      </c>
      <c r="AB1740">
        <f t="shared" si="73"/>
        <v>0</v>
      </c>
      <c r="AC1740" s="22">
        <f t="shared" si="75"/>
        <v>3692.3937254901962</v>
      </c>
      <c r="AD1740" s="23">
        <v>0</v>
      </c>
    </row>
    <row r="1741" spans="1:30" hidden="1" x14ac:dyDescent="0.35">
      <c r="A1741" s="7">
        <v>7</v>
      </c>
      <c r="B1741" s="24">
        <v>46057.528716233857</v>
      </c>
      <c r="C1741" s="24">
        <v>46057</v>
      </c>
      <c r="D1741" s="7" t="s">
        <v>3912</v>
      </c>
      <c r="E1741" s="7" t="s">
        <v>1331</v>
      </c>
      <c r="F1741" s="7" t="s">
        <v>1499</v>
      </c>
      <c r="G1741" s="7" t="s">
        <v>3913</v>
      </c>
      <c r="H1741" s="7" t="s">
        <v>1497</v>
      </c>
      <c r="I1741" s="7" t="s">
        <v>1496</v>
      </c>
      <c r="J1741" s="7" t="s">
        <v>1816</v>
      </c>
      <c r="K1741" s="7" t="s">
        <v>1815</v>
      </c>
      <c r="L1741" s="7" t="s">
        <v>1814</v>
      </c>
      <c r="M1741" s="7" t="s">
        <v>28</v>
      </c>
      <c r="N1741" s="7" t="s">
        <v>1825</v>
      </c>
      <c r="O1741" s="7" t="s">
        <v>1704</v>
      </c>
      <c r="P1741" s="7" t="s">
        <v>1703</v>
      </c>
      <c r="Q1741" s="9">
        <v>1081404.2</v>
      </c>
      <c r="R1741" s="9">
        <v>0</v>
      </c>
      <c r="S1741" s="9">
        <f t="shared" si="74"/>
        <v>1081404.2</v>
      </c>
      <c r="T1741" s="7" t="s">
        <v>2635</v>
      </c>
      <c r="U1741" s="7"/>
      <c r="V1741" s="9">
        <v>1</v>
      </c>
      <c r="W1741" s="7"/>
      <c r="X1741" s="4"/>
      <c r="Y1741" s="4"/>
      <c r="Z1741" s="4" t="s">
        <v>14</v>
      </c>
      <c r="AA1741" t="str">
        <f t="shared" si="76"/>
        <v>371056 MINERAL EXPLORATION &amp; DEVELOPMENT-TARAWANDA</v>
      </c>
      <c r="AB1741">
        <f t="shared" si="73"/>
        <v>0</v>
      </c>
      <c r="AC1741" s="22">
        <f t="shared" si="75"/>
        <v>424.08007843137256</v>
      </c>
      <c r="AD1741" s="23">
        <v>0</v>
      </c>
    </row>
    <row r="1742" spans="1:30" hidden="1" x14ac:dyDescent="0.35">
      <c r="A1742" s="7">
        <v>8</v>
      </c>
      <c r="B1742" s="24">
        <v>46057.527000049813</v>
      </c>
      <c r="C1742" s="24">
        <v>46057</v>
      </c>
      <c r="D1742" s="7" t="s">
        <v>3914</v>
      </c>
      <c r="E1742" s="7" t="s">
        <v>1331</v>
      </c>
      <c r="F1742" s="7" t="s">
        <v>1499</v>
      </c>
      <c r="G1742" s="7" t="s">
        <v>3915</v>
      </c>
      <c r="H1742" s="7" t="s">
        <v>1497</v>
      </c>
      <c r="I1742" s="7" t="s">
        <v>1496</v>
      </c>
      <c r="J1742" s="7" t="s">
        <v>1816</v>
      </c>
      <c r="K1742" s="7" t="s">
        <v>1815</v>
      </c>
      <c r="L1742" s="7" t="s">
        <v>1814</v>
      </c>
      <c r="M1742" s="7" t="s">
        <v>28</v>
      </c>
      <c r="N1742" s="7" t="s">
        <v>1825</v>
      </c>
      <c r="O1742" s="7" t="s">
        <v>1704</v>
      </c>
      <c r="P1742" s="7" t="s">
        <v>1703</v>
      </c>
      <c r="Q1742" s="9">
        <v>2362924.06</v>
      </c>
      <c r="R1742" s="9">
        <v>0</v>
      </c>
      <c r="S1742" s="9">
        <f t="shared" si="74"/>
        <v>2362924.06</v>
      </c>
      <c r="T1742" s="7" t="s">
        <v>2635</v>
      </c>
      <c r="U1742" s="7"/>
      <c r="V1742" s="9">
        <v>1</v>
      </c>
      <c r="W1742" s="7"/>
      <c r="X1742" s="4"/>
      <c r="Y1742" s="4"/>
      <c r="Z1742" s="4" t="s">
        <v>14</v>
      </c>
      <c r="AA1742" t="str">
        <f t="shared" si="76"/>
        <v>371056 MINERAL EXPLORATION &amp; DEVELOPMENT-TARAWANDA</v>
      </c>
      <c r="AB1742">
        <f t="shared" si="73"/>
        <v>0</v>
      </c>
      <c r="AC1742" s="22">
        <f t="shared" si="75"/>
        <v>926.63688627450983</v>
      </c>
      <c r="AD1742" s="23">
        <v>0</v>
      </c>
    </row>
    <row r="1743" spans="1:30" x14ac:dyDescent="0.35">
      <c r="A1743" s="7">
        <v>9</v>
      </c>
      <c r="B1743" s="24">
        <v>46057.522159546977</v>
      </c>
      <c r="C1743" s="24">
        <v>46057</v>
      </c>
      <c r="D1743" s="7" t="s">
        <v>3916</v>
      </c>
      <c r="E1743" s="7" t="s">
        <v>1331</v>
      </c>
      <c r="F1743" s="7" t="s">
        <v>1499</v>
      </c>
      <c r="G1743" s="7" t="s">
        <v>3917</v>
      </c>
      <c r="H1743" s="7" t="s">
        <v>1497</v>
      </c>
      <c r="I1743" s="7" t="s">
        <v>1496</v>
      </c>
      <c r="J1743" s="7" t="s">
        <v>1816</v>
      </c>
      <c r="K1743" s="7" t="s">
        <v>1815</v>
      </c>
      <c r="L1743" s="7" t="s">
        <v>1915</v>
      </c>
      <c r="M1743" s="7" t="s">
        <v>20</v>
      </c>
      <c r="N1743" s="7" t="s">
        <v>1324</v>
      </c>
      <c r="O1743" s="7" t="s">
        <v>68</v>
      </c>
      <c r="P1743" s="7" t="s">
        <v>68</v>
      </c>
      <c r="Q1743" s="9">
        <v>2267241.46</v>
      </c>
      <c r="R1743" s="9">
        <v>0</v>
      </c>
      <c r="S1743" s="9">
        <f t="shared" si="74"/>
        <v>2267241.46</v>
      </c>
      <c r="T1743" s="7" t="s">
        <v>2635</v>
      </c>
      <c r="U1743" s="7"/>
      <c r="V1743" s="9">
        <v>1</v>
      </c>
      <c r="W1743" s="7"/>
      <c r="X1743" s="4"/>
      <c r="Y1743" s="4"/>
      <c r="Z1743" s="4" t="s">
        <v>14</v>
      </c>
      <c r="AA1743" t="str">
        <f t="shared" si="76"/>
        <v>371030 CWIP-PRE OPERATIVE EXPENSE</v>
      </c>
      <c r="AB1743" t="str">
        <f t="shared" si="73"/>
        <v>2200 TPD Commissioning</v>
      </c>
      <c r="AC1743" s="22">
        <f t="shared" si="75"/>
        <v>889.11429803921567</v>
      </c>
      <c r="AD1743" s="23">
        <v>0</v>
      </c>
    </row>
    <row r="1744" spans="1:30" x14ac:dyDescent="0.35">
      <c r="A1744" s="7">
        <v>10</v>
      </c>
      <c r="B1744" s="24">
        <v>46057.519359312253</v>
      </c>
      <c r="C1744" s="24">
        <v>46057</v>
      </c>
      <c r="D1744" s="7" t="s">
        <v>3918</v>
      </c>
      <c r="E1744" s="7" t="s">
        <v>1331</v>
      </c>
      <c r="F1744" s="7" t="s">
        <v>1499</v>
      </c>
      <c r="G1744" s="7" t="s">
        <v>3919</v>
      </c>
      <c r="H1744" s="7" t="s">
        <v>1497</v>
      </c>
      <c r="I1744" s="7" t="s">
        <v>1496</v>
      </c>
      <c r="J1744" s="7" t="s">
        <v>1816</v>
      </c>
      <c r="K1744" s="7" t="s">
        <v>1815</v>
      </c>
      <c r="L1744" s="7" t="s">
        <v>1915</v>
      </c>
      <c r="M1744" s="7" t="s">
        <v>20</v>
      </c>
      <c r="N1744" s="7" t="s">
        <v>1324</v>
      </c>
      <c r="O1744" s="7" t="s">
        <v>68</v>
      </c>
      <c r="P1744" s="7" t="s">
        <v>68</v>
      </c>
      <c r="Q1744" s="9">
        <v>835519</v>
      </c>
      <c r="R1744" s="9">
        <v>0</v>
      </c>
      <c r="S1744" s="9">
        <f t="shared" si="74"/>
        <v>835519</v>
      </c>
      <c r="T1744" s="7" t="s">
        <v>2635</v>
      </c>
      <c r="U1744" s="7"/>
      <c r="V1744" s="9">
        <v>1</v>
      </c>
      <c r="W1744" s="7"/>
      <c r="X1744" s="4"/>
      <c r="Y1744" s="4"/>
      <c r="Z1744" s="4" t="s">
        <v>14</v>
      </c>
      <c r="AA1744" t="str">
        <f t="shared" si="76"/>
        <v>371030 CWIP-PRE OPERATIVE EXPENSE</v>
      </c>
      <c r="AB1744" t="str">
        <f t="shared" si="73"/>
        <v>2200 TPD Commissioning</v>
      </c>
      <c r="AC1744" s="22">
        <f t="shared" si="75"/>
        <v>327.65450980392154</v>
      </c>
      <c r="AD1744" s="23">
        <v>0</v>
      </c>
    </row>
    <row r="1745" spans="1:30" x14ac:dyDescent="0.35">
      <c r="A1745" s="7">
        <v>11</v>
      </c>
      <c r="B1745" s="24">
        <v>46057.516672102072</v>
      </c>
      <c r="C1745" s="24">
        <v>46057</v>
      </c>
      <c r="D1745" s="7" t="s">
        <v>3920</v>
      </c>
      <c r="E1745" s="7" t="s">
        <v>1331</v>
      </c>
      <c r="F1745" s="7" t="s">
        <v>1499</v>
      </c>
      <c r="G1745" s="7" t="s">
        <v>3921</v>
      </c>
      <c r="H1745" s="7" t="s">
        <v>1497</v>
      </c>
      <c r="I1745" s="7" t="s">
        <v>1496</v>
      </c>
      <c r="J1745" s="7" t="s">
        <v>1816</v>
      </c>
      <c r="K1745" s="7" t="s">
        <v>1815</v>
      </c>
      <c r="L1745" s="7" t="s">
        <v>1915</v>
      </c>
      <c r="M1745" s="7" t="s">
        <v>20</v>
      </c>
      <c r="N1745" s="7" t="s">
        <v>1324</v>
      </c>
      <c r="O1745" s="7" t="s">
        <v>68</v>
      </c>
      <c r="P1745" s="7" t="s">
        <v>68</v>
      </c>
      <c r="Q1745" s="9">
        <v>209356.79999999999</v>
      </c>
      <c r="R1745" s="9">
        <v>0</v>
      </c>
      <c r="S1745" s="9">
        <f t="shared" si="74"/>
        <v>209356.79999999999</v>
      </c>
      <c r="T1745" s="7" t="s">
        <v>2635</v>
      </c>
      <c r="U1745" s="7"/>
      <c r="V1745" s="9">
        <v>1</v>
      </c>
      <c r="W1745" s="7"/>
      <c r="X1745" s="4"/>
      <c r="Y1745" s="4"/>
      <c r="Z1745" s="4" t="s">
        <v>14</v>
      </c>
      <c r="AA1745" t="str">
        <f t="shared" si="76"/>
        <v>371030 CWIP-PRE OPERATIVE EXPENSE</v>
      </c>
      <c r="AB1745" t="str">
        <f t="shared" si="73"/>
        <v>2200 TPD Commissioning</v>
      </c>
      <c r="AC1745" s="22">
        <f t="shared" si="75"/>
        <v>82.100705882352941</v>
      </c>
      <c r="AD1745" s="23">
        <v>0</v>
      </c>
    </row>
    <row r="1746" spans="1:30" x14ac:dyDescent="0.35">
      <c r="A1746" s="7">
        <v>12</v>
      </c>
      <c r="B1746" s="24">
        <v>46057.560862518607</v>
      </c>
      <c r="C1746" s="24">
        <v>46057</v>
      </c>
      <c r="D1746" s="7" t="s">
        <v>3922</v>
      </c>
      <c r="E1746" s="7" t="s">
        <v>1331</v>
      </c>
      <c r="F1746" s="7" t="s">
        <v>3923</v>
      </c>
      <c r="G1746" s="7" t="s">
        <v>3924</v>
      </c>
      <c r="H1746" s="7" t="s">
        <v>1497</v>
      </c>
      <c r="I1746" s="7" t="s">
        <v>1496</v>
      </c>
      <c r="J1746" s="7" t="s">
        <v>1816</v>
      </c>
      <c r="K1746" s="7" t="s">
        <v>1815</v>
      </c>
      <c r="L1746" s="7" t="s">
        <v>1915</v>
      </c>
      <c r="M1746" s="7" t="s">
        <v>20</v>
      </c>
      <c r="N1746" s="7" t="s">
        <v>1324</v>
      </c>
      <c r="O1746" s="7" t="s">
        <v>68</v>
      </c>
      <c r="P1746" s="7" t="s">
        <v>68</v>
      </c>
      <c r="Q1746" s="9">
        <v>0</v>
      </c>
      <c r="R1746" s="9">
        <v>2212721.46</v>
      </c>
      <c r="S1746" s="9">
        <f t="shared" si="74"/>
        <v>-2212721.46</v>
      </c>
      <c r="T1746" s="7" t="s">
        <v>2635</v>
      </c>
      <c r="U1746" s="7"/>
      <c r="V1746" s="9">
        <v>1</v>
      </c>
      <c r="W1746" s="7"/>
      <c r="X1746" s="4"/>
      <c r="Y1746" s="4"/>
      <c r="Z1746" s="4" t="s">
        <v>14</v>
      </c>
      <c r="AA1746" t="str">
        <f t="shared" si="76"/>
        <v>371030 CWIP-PRE OPERATIVE EXPENSE</v>
      </c>
      <c r="AB1746" t="str">
        <f t="shared" si="73"/>
        <v>2200 TPD Commissioning</v>
      </c>
      <c r="AC1746" s="22">
        <f t="shared" si="75"/>
        <v>-867.73390588235293</v>
      </c>
      <c r="AD1746" s="23">
        <v>0</v>
      </c>
    </row>
    <row r="1747" spans="1:30" hidden="1" x14ac:dyDescent="0.35">
      <c r="A1747" s="7">
        <v>13</v>
      </c>
      <c r="B1747" s="24">
        <v>46057.556156947452</v>
      </c>
      <c r="C1747" s="24">
        <v>46057</v>
      </c>
      <c r="D1747" s="7" t="s">
        <v>3925</v>
      </c>
      <c r="E1747" s="7" t="s">
        <v>1331</v>
      </c>
      <c r="F1747" s="7" t="s">
        <v>3923</v>
      </c>
      <c r="G1747" s="7" t="s">
        <v>3926</v>
      </c>
      <c r="H1747" s="7" t="s">
        <v>1497</v>
      </c>
      <c r="I1747" s="7" t="s">
        <v>1496</v>
      </c>
      <c r="J1747" s="7" t="s">
        <v>1816</v>
      </c>
      <c r="K1747" s="7" t="s">
        <v>1815</v>
      </c>
      <c r="L1747" s="7" t="s">
        <v>1814</v>
      </c>
      <c r="M1747" s="7" t="s">
        <v>28</v>
      </c>
      <c r="N1747" s="7" t="s">
        <v>1825</v>
      </c>
      <c r="O1747" s="7" t="s">
        <v>1704</v>
      </c>
      <c r="P1747" s="7" t="s">
        <v>1703</v>
      </c>
      <c r="Q1747" s="9">
        <v>0</v>
      </c>
      <c r="R1747" s="9">
        <v>2308404.06</v>
      </c>
      <c r="S1747" s="9">
        <f t="shared" si="74"/>
        <v>-2308404.06</v>
      </c>
      <c r="T1747" s="7" t="s">
        <v>2635</v>
      </c>
      <c r="U1747" s="7"/>
      <c r="V1747" s="9">
        <v>1</v>
      </c>
      <c r="W1747" s="7"/>
      <c r="X1747" s="4"/>
      <c r="Y1747" s="4"/>
      <c r="Z1747" s="4" t="s">
        <v>14</v>
      </c>
      <c r="AA1747" t="str">
        <f t="shared" si="76"/>
        <v>371056 MINERAL EXPLORATION &amp; DEVELOPMENT-TARAWANDA</v>
      </c>
      <c r="AB1747">
        <f t="shared" si="73"/>
        <v>0</v>
      </c>
      <c r="AC1747" s="22">
        <f t="shared" si="75"/>
        <v>-905.25649411764709</v>
      </c>
      <c r="AD1747" s="23">
        <v>0</v>
      </c>
    </row>
    <row r="1748" spans="1:30" hidden="1" x14ac:dyDescent="0.35">
      <c r="A1748" s="7">
        <v>14</v>
      </c>
      <c r="B1748" s="24">
        <v>46058.269345479443</v>
      </c>
      <c r="C1748" s="24">
        <v>46058</v>
      </c>
      <c r="D1748" s="7" t="s">
        <v>3927</v>
      </c>
      <c r="E1748" s="7" t="s">
        <v>1331</v>
      </c>
      <c r="F1748" s="7" t="s">
        <v>3928</v>
      </c>
      <c r="G1748" s="7" t="s">
        <v>3929</v>
      </c>
      <c r="H1748" s="7" t="s">
        <v>1832</v>
      </c>
      <c r="I1748" s="7" t="s">
        <v>1831</v>
      </c>
      <c r="J1748" s="7" t="s">
        <v>1816</v>
      </c>
      <c r="K1748" s="7" t="s">
        <v>1815</v>
      </c>
      <c r="L1748" s="7" t="s">
        <v>1814</v>
      </c>
      <c r="M1748" s="7" t="s">
        <v>28</v>
      </c>
      <c r="N1748" s="7" t="s">
        <v>1825</v>
      </c>
      <c r="O1748" s="7" t="s">
        <v>1704</v>
      </c>
      <c r="P1748" s="7" t="s">
        <v>1703</v>
      </c>
      <c r="Q1748" s="9">
        <v>1529.42</v>
      </c>
      <c r="R1748" s="9">
        <v>0</v>
      </c>
      <c r="S1748" s="9">
        <f t="shared" si="74"/>
        <v>1529.42</v>
      </c>
      <c r="T1748" s="7" t="s">
        <v>53</v>
      </c>
      <c r="U1748" s="7"/>
      <c r="V1748" s="9">
        <v>1</v>
      </c>
      <c r="W1748" s="7"/>
      <c r="X1748" s="4"/>
      <c r="Y1748" s="4"/>
      <c r="Z1748" s="4" t="s">
        <v>14</v>
      </c>
      <c r="AA1748" t="str">
        <f t="shared" si="76"/>
        <v>371056 MINERAL EXPLORATION &amp; DEVELOPMENT-TARAWANDA</v>
      </c>
      <c r="AB1748">
        <f t="shared" si="73"/>
        <v>0</v>
      </c>
      <c r="AC1748" s="22">
        <f t="shared" si="75"/>
        <v>0.59977254901960786</v>
      </c>
      <c r="AD1748" s="23">
        <v>0</v>
      </c>
    </row>
    <row r="1749" spans="1:30" hidden="1" x14ac:dyDescent="0.35">
      <c r="A1749" s="7">
        <v>15</v>
      </c>
      <c r="B1749" s="24">
        <v>46058.269345479443</v>
      </c>
      <c r="C1749" s="24">
        <v>46058</v>
      </c>
      <c r="D1749" s="7" t="s">
        <v>3927</v>
      </c>
      <c r="E1749" s="7" t="s">
        <v>1331</v>
      </c>
      <c r="F1749" s="7" t="s">
        <v>3928</v>
      </c>
      <c r="G1749" s="7" t="s">
        <v>3929</v>
      </c>
      <c r="H1749" s="7" t="s">
        <v>1832</v>
      </c>
      <c r="I1749" s="7" t="s">
        <v>1831</v>
      </c>
      <c r="J1749" s="7" t="s">
        <v>1816</v>
      </c>
      <c r="K1749" s="7" t="s">
        <v>1815</v>
      </c>
      <c r="L1749" s="7" t="s">
        <v>1814</v>
      </c>
      <c r="M1749" s="7" t="s">
        <v>28</v>
      </c>
      <c r="N1749" s="7" t="s">
        <v>1825</v>
      </c>
      <c r="O1749" s="7" t="s">
        <v>1704</v>
      </c>
      <c r="P1749" s="7" t="s">
        <v>1703</v>
      </c>
      <c r="Q1749" s="9">
        <v>152941.17000000001</v>
      </c>
      <c r="R1749" s="9">
        <v>0</v>
      </c>
      <c r="S1749" s="9">
        <f t="shared" si="74"/>
        <v>152941.17000000001</v>
      </c>
      <c r="T1749" s="7" t="s">
        <v>53</v>
      </c>
      <c r="U1749" s="7"/>
      <c r="V1749" s="9">
        <v>1</v>
      </c>
      <c r="W1749" s="7"/>
      <c r="X1749" s="4"/>
      <c r="Y1749" s="4"/>
      <c r="Z1749" s="4" t="s">
        <v>14</v>
      </c>
      <c r="AA1749" t="str">
        <f t="shared" si="76"/>
        <v>371056 MINERAL EXPLORATION &amp; DEVELOPMENT-TARAWANDA</v>
      </c>
      <c r="AB1749">
        <f t="shared" si="73"/>
        <v>0</v>
      </c>
      <c r="AC1749" s="22">
        <f t="shared" si="75"/>
        <v>59.976929411764708</v>
      </c>
      <c r="AD1749" s="23">
        <v>0</v>
      </c>
    </row>
    <row r="1750" spans="1:30" hidden="1" x14ac:dyDescent="0.35">
      <c r="A1750" s="7">
        <v>16</v>
      </c>
      <c r="B1750" s="24">
        <v>46058.265210380188</v>
      </c>
      <c r="C1750" s="24">
        <v>46058</v>
      </c>
      <c r="D1750" s="7" t="s">
        <v>3930</v>
      </c>
      <c r="E1750" s="7" t="s">
        <v>1331</v>
      </c>
      <c r="F1750" s="7" t="s">
        <v>3931</v>
      </c>
      <c r="G1750" s="7" t="s">
        <v>3932</v>
      </c>
      <c r="H1750" s="7" t="s">
        <v>1832</v>
      </c>
      <c r="I1750" s="7" t="s">
        <v>1831</v>
      </c>
      <c r="J1750" s="7" t="s">
        <v>1816</v>
      </c>
      <c r="K1750" s="7" t="s">
        <v>1815</v>
      </c>
      <c r="L1750" s="7" t="s">
        <v>1814</v>
      </c>
      <c r="M1750" s="7" t="s">
        <v>28</v>
      </c>
      <c r="N1750" s="7" t="s">
        <v>1825</v>
      </c>
      <c r="O1750" s="7" t="s">
        <v>1704</v>
      </c>
      <c r="P1750" s="7" t="s">
        <v>1703</v>
      </c>
      <c r="Q1750" s="9">
        <v>176670</v>
      </c>
      <c r="R1750" s="9">
        <v>0</v>
      </c>
      <c r="S1750" s="9">
        <f t="shared" si="74"/>
        <v>176670</v>
      </c>
      <c r="T1750" s="7" t="s">
        <v>53</v>
      </c>
      <c r="U1750" s="7"/>
      <c r="V1750" s="9">
        <v>1</v>
      </c>
      <c r="W1750" s="7"/>
      <c r="X1750" s="4"/>
      <c r="Y1750" s="4"/>
      <c r="Z1750" s="4" t="s">
        <v>14</v>
      </c>
      <c r="AA1750" t="str">
        <f t="shared" si="76"/>
        <v>371056 MINERAL EXPLORATION &amp; DEVELOPMENT-TARAWANDA</v>
      </c>
      <c r="AB1750">
        <f t="shared" si="73"/>
        <v>0</v>
      </c>
      <c r="AC1750" s="22">
        <f t="shared" si="75"/>
        <v>69.28235294117647</v>
      </c>
      <c r="AD1750" s="23">
        <v>0</v>
      </c>
    </row>
    <row r="1751" spans="1:30" hidden="1" x14ac:dyDescent="0.35">
      <c r="A1751" s="7">
        <v>17</v>
      </c>
      <c r="B1751" s="24">
        <v>46058.265210380188</v>
      </c>
      <c r="C1751" s="24">
        <v>46058</v>
      </c>
      <c r="D1751" s="7" t="s">
        <v>3930</v>
      </c>
      <c r="E1751" s="7" t="s">
        <v>1331</v>
      </c>
      <c r="F1751" s="7" t="s">
        <v>3931</v>
      </c>
      <c r="G1751" s="7" t="s">
        <v>3932</v>
      </c>
      <c r="H1751" s="7" t="s">
        <v>1832</v>
      </c>
      <c r="I1751" s="7" t="s">
        <v>1831</v>
      </c>
      <c r="J1751" s="7" t="s">
        <v>1816</v>
      </c>
      <c r="K1751" s="7" t="s">
        <v>1815</v>
      </c>
      <c r="L1751" s="7" t="s">
        <v>1814</v>
      </c>
      <c r="M1751" s="7" t="s">
        <v>28</v>
      </c>
      <c r="N1751" s="7" t="s">
        <v>1825</v>
      </c>
      <c r="O1751" s="7" t="s">
        <v>1704</v>
      </c>
      <c r="P1751" s="7" t="s">
        <v>1703</v>
      </c>
      <c r="Q1751" s="9">
        <v>1529.4</v>
      </c>
      <c r="R1751" s="9">
        <v>0</v>
      </c>
      <c r="S1751" s="9">
        <f t="shared" si="74"/>
        <v>1529.4</v>
      </c>
      <c r="T1751" s="7" t="s">
        <v>53</v>
      </c>
      <c r="U1751" s="7"/>
      <c r="V1751" s="9">
        <v>1</v>
      </c>
      <c r="W1751" s="7"/>
      <c r="X1751" s="4"/>
      <c r="Y1751" s="4"/>
      <c r="Z1751" s="4" t="s">
        <v>14</v>
      </c>
      <c r="AA1751" t="str">
        <f t="shared" si="76"/>
        <v>371056 MINERAL EXPLORATION &amp; DEVELOPMENT-TARAWANDA</v>
      </c>
      <c r="AB1751">
        <f t="shared" si="73"/>
        <v>0</v>
      </c>
      <c r="AC1751" s="22">
        <f t="shared" si="75"/>
        <v>0.59976470588235298</v>
      </c>
      <c r="AD1751" s="23">
        <v>0</v>
      </c>
    </row>
    <row r="1752" spans="1:30" hidden="1" x14ac:dyDescent="0.35">
      <c r="A1752" s="7">
        <v>18</v>
      </c>
      <c r="B1752" s="24">
        <v>46058.260010374463</v>
      </c>
      <c r="C1752" s="24">
        <v>46058</v>
      </c>
      <c r="D1752" s="7" t="s">
        <v>3933</v>
      </c>
      <c r="E1752" s="7" t="s">
        <v>1331</v>
      </c>
      <c r="F1752" s="7" t="s">
        <v>3928</v>
      </c>
      <c r="G1752" s="7" t="s">
        <v>3934</v>
      </c>
      <c r="H1752" s="7" t="s">
        <v>1832</v>
      </c>
      <c r="I1752" s="7" t="s">
        <v>1831</v>
      </c>
      <c r="J1752" s="7" t="s">
        <v>1816</v>
      </c>
      <c r="K1752" s="7" t="s">
        <v>1815</v>
      </c>
      <c r="L1752" s="7" t="s">
        <v>1814</v>
      </c>
      <c r="M1752" s="7" t="s">
        <v>28</v>
      </c>
      <c r="N1752" s="7" t="s">
        <v>1825</v>
      </c>
      <c r="O1752" s="7" t="s">
        <v>1704</v>
      </c>
      <c r="P1752" s="7" t="s">
        <v>1703</v>
      </c>
      <c r="Q1752" s="9">
        <v>1529.4</v>
      </c>
      <c r="R1752" s="9">
        <v>0</v>
      </c>
      <c r="S1752" s="9">
        <f t="shared" si="74"/>
        <v>1529.4</v>
      </c>
      <c r="T1752" s="7" t="s">
        <v>53</v>
      </c>
      <c r="U1752" s="7"/>
      <c r="V1752" s="9">
        <v>1</v>
      </c>
      <c r="W1752" s="7"/>
      <c r="X1752" s="4"/>
      <c r="Y1752" s="4"/>
      <c r="Z1752" s="4" t="s">
        <v>14</v>
      </c>
      <c r="AA1752" t="str">
        <f t="shared" si="76"/>
        <v>371056 MINERAL EXPLORATION &amp; DEVELOPMENT-TARAWANDA</v>
      </c>
      <c r="AB1752">
        <f t="shared" si="73"/>
        <v>0</v>
      </c>
      <c r="AC1752" s="22">
        <f t="shared" si="75"/>
        <v>0.59976470588235298</v>
      </c>
      <c r="AD1752" s="23">
        <v>0</v>
      </c>
    </row>
    <row r="1753" spans="1:30" hidden="1" x14ac:dyDescent="0.35">
      <c r="A1753" s="7">
        <v>19</v>
      </c>
      <c r="B1753" s="24">
        <v>46058.260010374463</v>
      </c>
      <c r="C1753" s="24">
        <v>46058</v>
      </c>
      <c r="D1753" s="7" t="s">
        <v>3933</v>
      </c>
      <c r="E1753" s="7" t="s">
        <v>1331</v>
      </c>
      <c r="F1753" s="7" t="s">
        <v>3928</v>
      </c>
      <c r="G1753" s="7" t="s">
        <v>3934</v>
      </c>
      <c r="H1753" s="7" t="s">
        <v>1832</v>
      </c>
      <c r="I1753" s="7" t="s">
        <v>1831</v>
      </c>
      <c r="J1753" s="7" t="s">
        <v>1816</v>
      </c>
      <c r="K1753" s="7" t="s">
        <v>1815</v>
      </c>
      <c r="L1753" s="7" t="s">
        <v>1814</v>
      </c>
      <c r="M1753" s="7" t="s">
        <v>28</v>
      </c>
      <c r="N1753" s="7" t="s">
        <v>1825</v>
      </c>
      <c r="O1753" s="7" t="s">
        <v>1704</v>
      </c>
      <c r="P1753" s="7" t="s">
        <v>1703</v>
      </c>
      <c r="Q1753" s="9">
        <v>158873.39000000001</v>
      </c>
      <c r="R1753" s="9">
        <v>0</v>
      </c>
      <c r="S1753" s="9">
        <f t="shared" si="74"/>
        <v>158873.39000000001</v>
      </c>
      <c r="T1753" s="7" t="s">
        <v>53</v>
      </c>
      <c r="U1753" s="7"/>
      <c r="V1753" s="9">
        <v>1</v>
      </c>
      <c r="W1753" s="7"/>
      <c r="X1753" s="4"/>
      <c r="Y1753" s="4"/>
      <c r="Z1753" s="4" t="s">
        <v>14</v>
      </c>
      <c r="AA1753" t="str">
        <f t="shared" si="76"/>
        <v>371056 MINERAL EXPLORATION &amp; DEVELOPMENT-TARAWANDA</v>
      </c>
      <c r="AB1753">
        <f t="shared" si="73"/>
        <v>0</v>
      </c>
      <c r="AC1753" s="22">
        <f t="shared" si="75"/>
        <v>62.303290196078436</v>
      </c>
      <c r="AD1753" s="23">
        <v>0</v>
      </c>
    </row>
    <row r="1754" spans="1:30" hidden="1" x14ac:dyDescent="0.35">
      <c r="A1754" s="7">
        <v>20</v>
      </c>
      <c r="B1754" s="24">
        <v>46058.255555699332</v>
      </c>
      <c r="C1754" s="24">
        <v>46058</v>
      </c>
      <c r="D1754" s="7" t="s">
        <v>3935</v>
      </c>
      <c r="E1754" s="7" t="s">
        <v>1331</v>
      </c>
      <c r="F1754" s="7" t="s">
        <v>1834</v>
      </c>
      <c r="G1754" s="7" t="s">
        <v>3936</v>
      </c>
      <c r="H1754" s="7" t="s">
        <v>1832</v>
      </c>
      <c r="I1754" s="7" t="s">
        <v>1831</v>
      </c>
      <c r="J1754" s="7" t="s">
        <v>1816</v>
      </c>
      <c r="K1754" s="7" t="s">
        <v>1815</v>
      </c>
      <c r="L1754" s="7" t="s">
        <v>1814</v>
      </c>
      <c r="M1754" s="7" t="s">
        <v>28</v>
      </c>
      <c r="N1754" s="7" t="s">
        <v>1825</v>
      </c>
      <c r="O1754" s="7" t="s">
        <v>1704</v>
      </c>
      <c r="P1754" s="7" t="s">
        <v>1703</v>
      </c>
      <c r="Q1754" s="9">
        <v>1529.38</v>
      </c>
      <c r="R1754" s="9">
        <v>0</v>
      </c>
      <c r="S1754" s="9">
        <f t="shared" si="74"/>
        <v>1529.38</v>
      </c>
      <c r="T1754" s="7" t="s">
        <v>53</v>
      </c>
      <c r="U1754" s="7"/>
      <c r="V1754" s="9">
        <v>1</v>
      </c>
      <c r="W1754" s="7"/>
      <c r="X1754" s="4"/>
      <c r="Y1754" s="4"/>
      <c r="Z1754" s="4" t="s">
        <v>14</v>
      </c>
      <c r="AA1754" t="str">
        <f t="shared" si="76"/>
        <v>371056 MINERAL EXPLORATION &amp; DEVELOPMENT-TARAWANDA</v>
      </c>
      <c r="AB1754">
        <f t="shared" si="73"/>
        <v>0</v>
      </c>
      <c r="AC1754" s="22">
        <f t="shared" si="75"/>
        <v>0.5997568627450981</v>
      </c>
      <c r="AD1754" s="23">
        <v>0</v>
      </c>
    </row>
    <row r="1755" spans="1:30" hidden="1" x14ac:dyDescent="0.35">
      <c r="A1755" s="7">
        <v>21</v>
      </c>
      <c r="B1755" s="24">
        <v>46058.255555699332</v>
      </c>
      <c r="C1755" s="24">
        <v>46058</v>
      </c>
      <c r="D1755" s="7" t="s">
        <v>3935</v>
      </c>
      <c r="E1755" s="7" t="s">
        <v>1331</v>
      </c>
      <c r="F1755" s="7" t="s">
        <v>1834</v>
      </c>
      <c r="G1755" s="7" t="s">
        <v>3936</v>
      </c>
      <c r="H1755" s="7" t="s">
        <v>1832</v>
      </c>
      <c r="I1755" s="7" t="s">
        <v>1831</v>
      </c>
      <c r="J1755" s="7" t="s">
        <v>1816</v>
      </c>
      <c r="K1755" s="7" t="s">
        <v>1815</v>
      </c>
      <c r="L1755" s="7" t="s">
        <v>1814</v>
      </c>
      <c r="M1755" s="7" t="s">
        <v>28</v>
      </c>
      <c r="N1755" s="7" t="s">
        <v>1825</v>
      </c>
      <c r="O1755" s="7" t="s">
        <v>1704</v>
      </c>
      <c r="P1755" s="7" t="s">
        <v>1703</v>
      </c>
      <c r="Q1755" s="9">
        <v>164805.60999999999</v>
      </c>
      <c r="R1755" s="9">
        <v>0</v>
      </c>
      <c r="S1755" s="9">
        <f t="shared" si="74"/>
        <v>164805.60999999999</v>
      </c>
      <c r="T1755" s="7" t="s">
        <v>53</v>
      </c>
      <c r="U1755" s="7"/>
      <c r="V1755" s="9">
        <v>1</v>
      </c>
      <c r="W1755" s="7"/>
      <c r="X1755" s="4"/>
      <c r="Y1755" s="4"/>
      <c r="Z1755" s="4" t="s">
        <v>14</v>
      </c>
      <c r="AA1755" t="str">
        <f t="shared" si="76"/>
        <v>371056 MINERAL EXPLORATION &amp; DEVELOPMENT-TARAWANDA</v>
      </c>
      <c r="AB1755">
        <f t="shared" si="73"/>
        <v>0</v>
      </c>
      <c r="AC1755" s="22">
        <f t="shared" si="75"/>
        <v>64.629650980392157</v>
      </c>
      <c r="AD1755" s="23">
        <v>0</v>
      </c>
    </row>
    <row r="1756" spans="1:30" x14ac:dyDescent="0.35">
      <c r="A1756" s="7">
        <v>22</v>
      </c>
      <c r="B1756" s="24">
        <v>46060.530862314801</v>
      </c>
      <c r="C1756" s="24">
        <v>46060</v>
      </c>
      <c r="D1756" s="7" t="s">
        <v>3937</v>
      </c>
      <c r="E1756" s="7" t="s">
        <v>61</v>
      </c>
      <c r="F1756" s="7" t="s">
        <v>3938</v>
      </c>
      <c r="G1756" s="7" t="s">
        <v>3938</v>
      </c>
      <c r="H1756" s="7"/>
      <c r="I1756" s="7"/>
      <c r="J1756" s="7" t="s">
        <v>1816</v>
      </c>
      <c r="K1756" s="7" t="s">
        <v>1815</v>
      </c>
      <c r="L1756" s="7" t="s">
        <v>1992</v>
      </c>
      <c r="M1756" s="7" t="s">
        <v>18</v>
      </c>
      <c r="N1756" s="7" t="s">
        <v>106</v>
      </c>
      <c r="O1756" s="7" t="s">
        <v>105</v>
      </c>
      <c r="P1756" s="7" t="s">
        <v>1064</v>
      </c>
      <c r="Q1756" s="11">
        <v>4368000</v>
      </c>
      <c r="R1756" s="9">
        <v>0</v>
      </c>
      <c r="S1756" s="9">
        <f t="shared" si="74"/>
        <v>4368000</v>
      </c>
      <c r="T1756" s="7" t="s">
        <v>53</v>
      </c>
      <c r="U1756" s="7" t="s">
        <v>3751</v>
      </c>
      <c r="V1756" s="9">
        <v>-208</v>
      </c>
      <c r="W1756" s="7" t="s">
        <v>94</v>
      </c>
      <c r="X1756" s="4"/>
      <c r="Y1756" s="4"/>
      <c r="Z1756" s="4" t="s">
        <v>14</v>
      </c>
      <c r="AA1756" t="str">
        <f t="shared" si="76"/>
        <v>371012 CWIP-QUARRY RAW MATERIAL SHED EXTENSION</v>
      </c>
      <c r="AB1756" t="str">
        <f t="shared" si="73"/>
        <v>RM SHED</v>
      </c>
      <c r="AC1756" s="22">
        <f t="shared" si="75"/>
        <v>1712.9411764705883</v>
      </c>
      <c r="AD1756" s="23">
        <v>0</v>
      </c>
    </row>
    <row r="1757" spans="1:30" hidden="1" x14ac:dyDescent="0.35">
      <c r="A1757" s="7">
        <v>23</v>
      </c>
      <c r="B1757" s="24">
        <v>46072.520782160384</v>
      </c>
      <c r="C1757" s="24">
        <v>46072</v>
      </c>
      <c r="D1757" s="7" t="s">
        <v>3939</v>
      </c>
      <c r="E1757" s="7" t="s">
        <v>714</v>
      </c>
      <c r="F1757" s="7"/>
      <c r="G1757" s="7" t="s">
        <v>3940</v>
      </c>
      <c r="H1757" s="7" t="s">
        <v>3941</v>
      </c>
      <c r="I1757" s="7" t="s">
        <v>3942</v>
      </c>
      <c r="J1757" s="7" t="s">
        <v>1816</v>
      </c>
      <c r="K1757" s="7" t="s">
        <v>1815</v>
      </c>
      <c r="L1757" s="7" t="s">
        <v>1814</v>
      </c>
      <c r="M1757" s="7" t="s">
        <v>28</v>
      </c>
      <c r="N1757" s="7" t="s">
        <v>1825</v>
      </c>
      <c r="O1757" s="7" t="s">
        <v>2463</v>
      </c>
      <c r="P1757" s="7" t="s">
        <v>2463</v>
      </c>
      <c r="Q1757" s="9">
        <v>17000</v>
      </c>
      <c r="R1757" s="9">
        <v>0</v>
      </c>
      <c r="S1757" s="9">
        <f t="shared" si="74"/>
        <v>17000</v>
      </c>
      <c r="T1757" s="7" t="s">
        <v>53</v>
      </c>
      <c r="U1757" s="7"/>
      <c r="V1757" s="9">
        <v>1</v>
      </c>
      <c r="W1757" s="7"/>
      <c r="X1757" s="4"/>
      <c r="Y1757" s="4"/>
      <c r="Z1757" s="4" t="s">
        <v>14</v>
      </c>
      <c r="AA1757" t="str">
        <f t="shared" si="76"/>
        <v>371056 MINERAL EXPLORATION &amp; DEVELOPMENT-TARAWANDA</v>
      </c>
      <c r="AB1757">
        <f t="shared" si="73"/>
        <v>0</v>
      </c>
      <c r="AC1757" s="22">
        <f t="shared" si="75"/>
        <v>6.666666666666667</v>
      </c>
      <c r="AD1757" s="23">
        <v>0</v>
      </c>
    </row>
    <row r="1758" spans="1:30" hidden="1" x14ac:dyDescent="0.35">
      <c r="A1758" s="7">
        <v>24</v>
      </c>
      <c r="B1758" s="24">
        <v>46072.510770047928</v>
      </c>
      <c r="C1758" s="24">
        <v>46072</v>
      </c>
      <c r="D1758" s="7" t="s">
        <v>3943</v>
      </c>
      <c r="E1758" s="7" t="s">
        <v>1981</v>
      </c>
      <c r="F1758" s="7" t="s">
        <v>3549</v>
      </c>
      <c r="G1758" s="7" t="s">
        <v>3944</v>
      </c>
      <c r="H1758" s="7" t="s">
        <v>1984</v>
      </c>
      <c r="I1758" s="7" t="s">
        <v>1983</v>
      </c>
      <c r="J1758" s="7" t="s">
        <v>1816</v>
      </c>
      <c r="K1758" s="7" t="s">
        <v>1815</v>
      </c>
      <c r="L1758" s="7" t="s">
        <v>1814</v>
      </c>
      <c r="M1758" s="7" t="s">
        <v>28</v>
      </c>
      <c r="N1758" s="7" t="s">
        <v>1825</v>
      </c>
      <c r="O1758" s="7" t="s">
        <v>1704</v>
      </c>
      <c r="P1758" s="7" t="s">
        <v>1703</v>
      </c>
      <c r="Q1758" s="9">
        <v>700000</v>
      </c>
      <c r="R1758" s="9">
        <v>0</v>
      </c>
      <c r="S1758" s="9">
        <f t="shared" si="74"/>
        <v>700000</v>
      </c>
      <c r="T1758" s="7" t="s">
        <v>53</v>
      </c>
      <c r="U1758" s="7"/>
      <c r="V1758" s="9">
        <v>1</v>
      </c>
      <c r="W1758" s="7"/>
      <c r="X1758" s="4"/>
      <c r="Y1758" s="4"/>
      <c r="Z1758" s="4" t="s">
        <v>14</v>
      </c>
      <c r="AA1758" t="str">
        <f t="shared" si="76"/>
        <v>371056 MINERAL EXPLORATION &amp; DEVELOPMENT-TARAWANDA</v>
      </c>
      <c r="AB1758">
        <f t="shared" si="73"/>
        <v>0</v>
      </c>
      <c r="AC1758" s="22">
        <f t="shared" si="75"/>
        <v>274.50980392156862</v>
      </c>
      <c r="AD1758" s="23">
        <v>0</v>
      </c>
    </row>
    <row r="1759" spans="1:30" hidden="1" x14ac:dyDescent="0.35">
      <c r="A1759" s="7">
        <v>25</v>
      </c>
      <c r="B1759" s="24">
        <v>46072.510770047928</v>
      </c>
      <c r="C1759" s="24">
        <v>46072</v>
      </c>
      <c r="D1759" s="7" t="s">
        <v>3943</v>
      </c>
      <c r="E1759" s="7" t="s">
        <v>1981</v>
      </c>
      <c r="F1759" s="7" t="s">
        <v>3549</v>
      </c>
      <c r="G1759" s="7" t="s">
        <v>3944</v>
      </c>
      <c r="H1759" s="7" t="s">
        <v>3945</v>
      </c>
      <c r="I1759" s="7" t="s">
        <v>3946</v>
      </c>
      <c r="J1759" s="7" t="s">
        <v>1816</v>
      </c>
      <c r="K1759" s="7" t="s">
        <v>1815</v>
      </c>
      <c r="L1759" s="7" t="s">
        <v>1814</v>
      </c>
      <c r="M1759" s="7" t="s">
        <v>28</v>
      </c>
      <c r="N1759" s="7" t="s">
        <v>1825</v>
      </c>
      <c r="O1759" s="7" t="s">
        <v>1703</v>
      </c>
      <c r="P1759" s="7" t="s">
        <v>1712</v>
      </c>
      <c r="Q1759" s="9">
        <v>360000</v>
      </c>
      <c r="R1759" s="9">
        <v>0</v>
      </c>
      <c r="S1759" s="9">
        <f t="shared" si="74"/>
        <v>360000</v>
      </c>
      <c r="T1759" s="7" t="s">
        <v>53</v>
      </c>
      <c r="U1759" s="7"/>
      <c r="V1759" s="9">
        <v>1</v>
      </c>
      <c r="W1759" s="7"/>
      <c r="X1759" s="4"/>
      <c r="Y1759" s="4"/>
      <c r="Z1759" s="4" t="s">
        <v>14</v>
      </c>
      <c r="AA1759" t="str">
        <f t="shared" si="76"/>
        <v>371056 MINERAL EXPLORATION &amp; DEVELOPMENT-TARAWANDA</v>
      </c>
      <c r="AB1759">
        <f t="shared" si="73"/>
        <v>0</v>
      </c>
      <c r="AC1759" s="22">
        <f t="shared" si="75"/>
        <v>141.1764705882353</v>
      </c>
      <c r="AD1759" s="23">
        <v>0</v>
      </c>
    </row>
    <row r="1760" spans="1:30" hidden="1" x14ac:dyDescent="0.35">
      <c r="A1760" s="7">
        <v>26</v>
      </c>
      <c r="B1760" s="24">
        <v>46072.510770047928</v>
      </c>
      <c r="C1760" s="24">
        <v>46072</v>
      </c>
      <c r="D1760" s="7" t="s">
        <v>3943</v>
      </c>
      <c r="E1760" s="7" t="s">
        <v>1981</v>
      </c>
      <c r="F1760" s="7" t="s">
        <v>3947</v>
      </c>
      <c r="G1760" s="7" t="s">
        <v>3944</v>
      </c>
      <c r="H1760" s="7"/>
      <c r="I1760" s="7"/>
      <c r="J1760" s="7" t="s">
        <v>1816</v>
      </c>
      <c r="K1760" s="7" t="s">
        <v>1815</v>
      </c>
      <c r="L1760" s="7" t="s">
        <v>1814</v>
      </c>
      <c r="M1760" s="7" t="s">
        <v>28</v>
      </c>
      <c r="N1760" s="7" t="s">
        <v>1825</v>
      </c>
      <c r="O1760" s="7" t="s">
        <v>1704</v>
      </c>
      <c r="P1760" s="7" t="s">
        <v>1703</v>
      </c>
      <c r="Q1760" s="9">
        <v>300000</v>
      </c>
      <c r="R1760" s="9">
        <v>0</v>
      </c>
      <c r="S1760" s="9">
        <f t="shared" si="74"/>
        <v>300000</v>
      </c>
      <c r="T1760" s="7" t="s">
        <v>53</v>
      </c>
      <c r="U1760" s="7"/>
      <c r="V1760" s="9">
        <v>1</v>
      </c>
      <c r="W1760" s="7"/>
      <c r="X1760" s="4"/>
      <c r="Y1760" s="4"/>
      <c r="Z1760" s="4" t="s">
        <v>14</v>
      </c>
      <c r="AA1760" t="str">
        <f t="shared" si="76"/>
        <v>371056 MINERAL EXPLORATION &amp; DEVELOPMENT-TARAWANDA</v>
      </c>
      <c r="AB1760">
        <f t="shared" si="73"/>
        <v>0</v>
      </c>
      <c r="AC1760" s="22">
        <f t="shared" si="75"/>
        <v>117.64705882352941</v>
      </c>
      <c r="AD1760" s="23">
        <v>0</v>
      </c>
    </row>
    <row r="1761" spans="1:30" hidden="1" x14ac:dyDescent="0.35">
      <c r="A1761" s="7">
        <v>27</v>
      </c>
      <c r="B1761" s="24">
        <v>46072.510770047928</v>
      </c>
      <c r="C1761" s="24">
        <v>46072</v>
      </c>
      <c r="D1761" s="7" t="s">
        <v>3943</v>
      </c>
      <c r="E1761" s="7" t="s">
        <v>1981</v>
      </c>
      <c r="F1761" s="7" t="s">
        <v>3948</v>
      </c>
      <c r="G1761" s="7" t="s">
        <v>3944</v>
      </c>
      <c r="H1761" s="7"/>
      <c r="I1761" s="7"/>
      <c r="J1761" s="7" t="s">
        <v>1816</v>
      </c>
      <c r="K1761" s="7" t="s">
        <v>1815</v>
      </c>
      <c r="L1761" s="7" t="s">
        <v>1814</v>
      </c>
      <c r="M1761" s="7" t="s">
        <v>28</v>
      </c>
      <c r="N1761" s="7" t="s">
        <v>1825</v>
      </c>
      <c r="O1761" s="7" t="s">
        <v>1704</v>
      </c>
      <c r="P1761" s="7" t="s">
        <v>1703</v>
      </c>
      <c r="Q1761" s="9">
        <v>1650000</v>
      </c>
      <c r="R1761" s="9">
        <v>0</v>
      </c>
      <c r="S1761" s="9">
        <f t="shared" si="74"/>
        <v>1650000</v>
      </c>
      <c r="T1761" s="7" t="s">
        <v>53</v>
      </c>
      <c r="U1761" s="7"/>
      <c r="V1761" s="9">
        <v>1</v>
      </c>
      <c r="W1761" s="7"/>
      <c r="X1761" s="4"/>
      <c r="Y1761" s="4"/>
      <c r="Z1761" s="4" t="s">
        <v>14</v>
      </c>
      <c r="AA1761" t="str">
        <f t="shared" si="76"/>
        <v>371056 MINERAL EXPLORATION &amp; DEVELOPMENT-TARAWANDA</v>
      </c>
      <c r="AB1761">
        <f t="shared" si="73"/>
        <v>0</v>
      </c>
      <c r="AC1761" s="22">
        <f t="shared" si="75"/>
        <v>647.05882352941171</v>
      </c>
      <c r="AD1761" s="23">
        <v>0</v>
      </c>
    </row>
    <row r="1762" spans="1:30" hidden="1" x14ac:dyDescent="0.35">
      <c r="A1762" s="7">
        <v>28</v>
      </c>
      <c r="B1762" s="24">
        <v>46072.510770047928</v>
      </c>
      <c r="C1762" s="24">
        <v>46072</v>
      </c>
      <c r="D1762" s="7" t="s">
        <v>3943</v>
      </c>
      <c r="E1762" s="7" t="s">
        <v>1981</v>
      </c>
      <c r="F1762" s="7" t="s">
        <v>3551</v>
      </c>
      <c r="G1762" s="7" t="s">
        <v>3944</v>
      </c>
      <c r="H1762" s="7"/>
      <c r="I1762" s="7"/>
      <c r="J1762" s="7" t="s">
        <v>1816</v>
      </c>
      <c r="K1762" s="7" t="s">
        <v>1815</v>
      </c>
      <c r="L1762" s="7" t="s">
        <v>1814</v>
      </c>
      <c r="M1762" s="7" t="s">
        <v>28</v>
      </c>
      <c r="N1762" s="7" t="s">
        <v>1825</v>
      </c>
      <c r="O1762" s="7" t="s">
        <v>1704</v>
      </c>
      <c r="P1762" s="7" t="s">
        <v>1703</v>
      </c>
      <c r="Q1762" s="9">
        <v>450000</v>
      </c>
      <c r="R1762" s="9">
        <v>0</v>
      </c>
      <c r="S1762" s="9">
        <f t="shared" si="74"/>
        <v>450000</v>
      </c>
      <c r="T1762" s="7" t="s">
        <v>53</v>
      </c>
      <c r="U1762" s="7"/>
      <c r="V1762" s="9">
        <v>1</v>
      </c>
      <c r="W1762" s="7"/>
      <c r="X1762" s="4"/>
      <c r="Y1762" s="4"/>
      <c r="Z1762" s="4" t="s">
        <v>14</v>
      </c>
      <c r="AA1762" t="str">
        <f t="shared" si="76"/>
        <v>371056 MINERAL EXPLORATION &amp; DEVELOPMENT-TARAWANDA</v>
      </c>
      <c r="AB1762">
        <f t="shared" si="73"/>
        <v>0</v>
      </c>
      <c r="AC1762" s="22">
        <f t="shared" si="75"/>
        <v>176.47058823529412</v>
      </c>
      <c r="AD1762" s="23">
        <v>0</v>
      </c>
    </row>
    <row r="1763" spans="1:30" x14ac:dyDescent="0.35">
      <c r="A1763" s="7">
        <v>29</v>
      </c>
      <c r="B1763" s="24">
        <v>46076.259952790941</v>
      </c>
      <c r="C1763" s="24">
        <v>46076</v>
      </c>
      <c r="D1763" s="7" t="s">
        <v>3949</v>
      </c>
      <c r="E1763" s="7" t="s">
        <v>1331</v>
      </c>
      <c r="F1763" s="7" t="s">
        <v>3950</v>
      </c>
      <c r="G1763" s="7" t="s">
        <v>3951</v>
      </c>
      <c r="H1763" s="7" t="s">
        <v>1885</v>
      </c>
      <c r="I1763" s="7" t="s">
        <v>1884</v>
      </c>
      <c r="J1763" s="7" t="s">
        <v>1816</v>
      </c>
      <c r="K1763" s="7" t="s">
        <v>1815</v>
      </c>
      <c r="L1763" s="7" t="s">
        <v>1883</v>
      </c>
      <c r="M1763" s="7" t="s">
        <v>17</v>
      </c>
      <c r="N1763" s="7" t="s">
        <v>1504</v>
      </c>
      <c r="O1763" s="7" t="s">
        <v>68</v>
      </c>
      <c r="P1763" s="7" t="s">
        <v>54</v>
      </c>
      <c r="Q1763" s="9">
        <v>11889000</v>
      </c>
      <c r="R1763" s="9">
        <v>0</v>
      </c>
      <c r="S1763" s="9">
        <f t="shared" si="74"/>
        <v>11889000</v>
      </c>
      <c r="T1763" s="7" t="s">
        <v>53</v>
      </c>
      <c r="U1763" s="7" t="s">
        <v>1882</v>
      </c>
      <c r="V1763" s="9">
        <v>396.3</v>
      </c>
      <c r="W1763" s="7" t="s">
        <v>1881</v>
      </c>
      <c r="X1763" s="4"/>
      <c r="Y1763" s="4"/>
      <c r="Z1763" s="4" t="s">
        <v>14</v>
      </c>
      <c r="AA1763" t="str">
        <f t="shared" si="76"/>
        <v>371021 CWIP-PYRO UPGRADATION</v>
      </c>
      <c r="AB1763" t="str">
        <f t="shared" si="73"/>
        <v>2200 TPD Commissioning</v>
      </c>
      <c r="AC1763" s="22">
        <f t="shared" si="75"/>
        <v>4662.3529411764703</v>
      </c>
      <c r="AD1763" s="23">
        <v>0</v>
      </c>
    </row>
    <row r="1764" spans="1:30" x14ac:dyDescent="0.35">
      <c r="A1764" s="7">
        <v>30</v>
      </c>
      <c r="B1764" s="24">
        <v>46078.227087730869</v>
      </c>
      <c r="C1764" s="24">
        <v>46076</v>
      </c>
      <c r="D1764" s="7" t="s">
        <v>3952</v>
      </c>
      <c r="E1764" s="7" t="s">
        <v>1331</v>
      </c>
      <c r="F1764" s="7"/>
      <c r="G1764" s="7" t="s">
        <v>3951</v>
      </c>
      <c r="H1764" s="7" t="s">
        <v>1885</v>
      </c>
      <c r="I1764" s="7" t="s">
        <v>1884</v>
      </c>
      <c r="J1764" s="7" t="s">
        <v>1816</v>
      </c>
      <c r="K1764" s="7" t="s">
        <v>1815</v>
      </c>
      <c r="L1764" s="7" t="s">
        <v>1883</v>
      </c>
      <c r="M1764" s="7" t="s">
        <v>17</v>
      </c>
      <c r="N1764" s="7" t="s">
        <v>1504</v>
      </c>
      <c r="O1764" s="7" t="s">
        <v>68</v>
      </c>
      <c r="P1764" s="7" t="s">
        <v>54</v>
      </c>
      <c r="Q1764" s="9">
        <v>0</v>
      </c>
      <c r="R1764" s="9">
        <v>400000</v>
      </c>
      <c r="S1764" s="9">
        <f t="shared" si="74"/>
        <v>-400000</v>
      </c>
      <c r="T1764" s="7" t="s">
        <v>53</v>
      </c>
      <c r="U1764" s="7"/>
      <c r="V1764" s="9">
        <v>1</v>
      </c>
      <c r="W1764" s="7"/>
      <c r="X1764" s="4"/>
      <c r="Y1764" s="4"/>
      <c r="Z1764" s="4" t="s">
        <v>14</v>
      </c>
      <c r="AA1764" t="str">
        <f t="shared" si="76"/>
        <v>371021 CWIP-PYRO UPGRADATION</v>
      </c>
      <c r="AB1764" t="str">
        <f t="shared" si="73"/>
        <v>2200 TPD Commissioning</v>
      </c>
      <c r="AC1764" s="22">
        <f t="shared" si="75"/>
        <v>-156.86274509803923</v>
      </c>
      <c r="AD1764" s="23">
        <v>0</v>
      </c>
    </row>
    <row r="1765" spans="1:30" x14ac:dyDescent="0.35">
      <c r="A1765" s="7">
        <v>31</v>
      </c>
      <c r="B1765" s="24">
        <v>46081.351193145638</v>
      </c>
      <c r="C1765" s="24">
        <v>46081</v>
      </c>
      <c r="D1765" s="7" t="s">
        <v>3953</v>
      </c>
      <c r="E1765" s="7" t="s">
        <v>1331</v>
      </c>
      <c r="F1765" s="7" t="s">
        <v>3954</v>
      </c>
      <c r="G1765" s="7" t="s">
        <v>3955</v>
      </c>
      <c r="H1765" s="7" t="s">
        <v>3956</v>
      </c>
      <c r="I1765" s="7" t="s">
        <v>3957</v>
      </c>
      <c r="J1765" s="7" t="s">
        <v>1816</v>
      </c>
      <c r="K1765" s="7" t="s">
        <v>1815</v>
      </c>
      <c r="L1765" s="7" t="s">
        <v>3958</v>
      </c>
      <c r="M1765" s="7" t="s">
        <v>31</v>
      </c>
      <c r="N1765" s="7" t="s">
        <v>114</v>
      </c>
      <c r="O1765" s="7" t="s">
        <v>68</v>
      </c>
      <c r="P1765" s="7" t="s">
        <v>1064</v>
      </c>
      <c r="Q1765" s="9">
        <v>702000</v>
      </c>
      <c r="R1765" s="9">
        <v>0</v>
      </c>
      <c r="S1765" s="9">
        <f t="shared" si="74"/>
        <v>702000</v>
      </c>
      <c r="T1765" s="7" t="s">
        <v>53</v>
      </c>
      <c r="U1765" s="7" t="s">
        <v>2357</v>
      </c>
      <c r="V1765" s="9">
        <v>18</v>
      </c>
      <c r="W1765" s="7" t="s">
        <v>94</v>
      </c>
      <c r="X1765" s="4"/>
      <c r="Y1765" s="4"/>
      <c r="Z1765" s="4" t="s">
        <v>14</v>
      </c>
      <c r="AA1765" t="str">
        <f t="shared" si="76"/>
        <v>371059 CWIP-CONSTRUCTION OF PLANT BOUNDARY WALL</v>
      </c>
      <c r="AB1765" t="str">
        <f t="shared" si="73"/>
        <v>WALL</v>
      </c>
      <c r="AC1765" s="22">
        <f t="shared" si="75"/>
        <v>275.29411764705884</v>
      </c>
      <c r="AD1765" s="23">
        <v>0</v>
      </c>
    </row>
    <row r="1766" spans="1:30" x14ac:dyDescent="0.35">
      <c r="A1766" s="7">
        <v>32</v>
      </c>
      <c r="B1766" s="24">
        <v>46081.351193145638</v>
      </c>
      <c r="C1766" s="24">
        <v>46081</v>
      </c>
      <c r="D1766" s="7" t="s">
        <v>3953</v>
      </c>
      <c r="E1766" s="7" t="s">
        <v>1331</v>
      </c>
      <c r="F1766" s="7" t="s">
        <v>3959</v>
      </c>
      <c r="G1766" s="7" t="s">
        <v>3955</v>
      </c>
      <c r="H1766" s="7" t="s">
        <v>3956</v>
      </c>
      <c r="I1766" s="7" t="s">
        <v>3957</v>
      </c>
      <c r="J1766" s="7" t="s">
        <v>1816</v>
      </c>
      <c r="K1766" s="7" t="s">
        <v>1815</v>
      </c>
      <c r="L1766" s="7" t="s">
        <v>3958</v>
      </c>
      <c r="M1766" s="7" t="s">
        <v>31</v>
      </c>
      <c r="N1766" s="7" t="s">
        <v>114</v>
      </c>
      <c r="O1766" s="7" t="s">
        <v>68</v>
      </c>
      <c r="P1766" s="7" t="s">
        <v>1064</v>
      </c>
      <c r="Q1766" s="9">
        <v>135000</v>
      </c>
      <c r="R1766" s="9">
        <v>0</v>
      </c>
      <c r="S1766" s="9">
        <f t="shared" si="74"/>
        <v>135000</v>
      </c>
      <c r="T1766" s="7" t="s">
        <v>53</v>
      </c>
      <c r="U1766" s="7" t="s">
        <v>2357</v>
      </c>
      <c r="V1766" s="9">
        <v>3</v>
      </c>
      <c r="W1766" s="7" t="s">
        <v>94</v>
      </c>
      <c r="X1766" s="4"/>
      <c r="Y1766" s="4"/>
      <c r="Z1766" s="4" t="s">
        <v>14</v>
      </c>
      <c r="AA1766" t="str">
        <f t="shared" si="76"/>
        <v>371059 CWIP-CONSTRUCTION OF PLANT BOUNDARY WALL</v>
      </c>
      <c r="AB1766" t="str">
        <f t="shared" si="73"/>
        <v>WALL</v>
      </c>
      <c r="AC1766" s="22">
        <f t="shared" si="75"/>
        <v>52.941176470588232</v>
      </c>
      <c r="AD1766" s="23">
        <v>0</v>
      </c>
    </row>
    <row r="1767" spans="1:30" hidden="1" x14ac:dyDescent="0.35">
      <c r="A1767" s="7">
        <v>33</v>
      </c>
      <c r="B1767" s="24">
        <v>46081.370951848832</v>
      </c>
      <c r="C1767" s="24">
        <v>46081</v>
      </c>
      <c r="D1767" s="7" t="s">
        <v>3960</v>
      </c>
      <c r="E1767" s="7" t="s">
        <v>714</v>
      </c>
      <c r="F1767" s="7"/>
      <c r="G1767" s="7" t="s">
        <v>3961</v>
      </c>
      <c r="H1767" s="7"/>
      <c r="I1767" s="7"/>
      <c r="J1767" s="7" t="s">
        <v>1816</v>
      </c>
      <c r="K1767" s="7" t="s">
        <v>1815</v>
      </c>
      <c r="L1767" s="7" t="s">
        <v>3962</v>
      </c>
      <c r="M1767" s="7" t="s">
        <v>28</v>
      </c>
      <c r="N1767" s="7" t="s">
        <v>1825</v>
      </c>
      <c r="O1767" s="7" t="s">
        <v>68</v>
      </c>
      <c r="P1767" s="7" t="s">
        <v>68</v>
      </c>
      <c r="Q1767" s="9">
        <v>2412900</v>
      </c>
      <c r="R1767" s="9">
        <v>0</v>
      </c>
      <c r="S1767" s="9">
        <f t="shared" si="74"/>
        <v>2412900</v>
      </c>
      <c r="T1767" s="7" t="s">
        <v>53</v>
      </c>
      <c r="U1767" s="7"/>
      <c r="V1767" s="9">
        <v>1</v>
      </c>
      <c r="W1767" s="7"/>
      <c r="X1767" s="4"/>
      <c r="Y1767" s="4"/>
      <c r="Z1767" s="4" t="s">
        <v>14</v>
      </c>
      <c r="AA1767" t="str">
        <f t="shared" si="76"/>
        <v>371056 MINERAL EXPLORATION &amp; DEVELOPMENT-TARAWANDA</v>
      </c>
      <c r="AB1767">
        <f t="shared" si="73"/>
        <v>0</v>
      </c>
      <c r="AC1767" s="22">
        <f t="shared" si="75"/>
        <v>946.23529411764707</v>
      </c>
      <c r="AD1767" s="23">
        <v>0</v>
      </c>
    </row>
    <row r="1768" spans="1:30" x14ac:dyDescent="0.35">
      <c r="A1768" s="4">
        <v>56348</v>
      </c>
      <c r="B1768" s="6">
        <v>46080.579293981478</v>
      </c>
      <c r="C1768" s="6">
        <v>46080</v>
      </c>
      <c r="D1768" s="4" t="s">
        <v>3963</v>
      </c>
      <c r="E1768" s="4" t="s">
        <v>61</v>
      </c>
      <c r="F1768" s="4" t="s">
        <v>3964</v>
      </c>
      <c r="G1768" s="4" t="s">
        <v>3964</v>
      </c>
      <c r="H1768" s="4"/>
      <c r="I1768" s="4"/>
      <c r="J1768" s="4" t="s">
        <v>59</v>
      </c>
      <c r="K1768" s="4" t="s">
        <v>58</v>
      </c>
      <c r="L1768" s="4" t="s">
        <v>57</v>
      </c>
      <c r="M1768" s="4" t="s">
        <v>32</v>
      </c>
      <c r="N1768" s="4" t="s">
        <v>114</v>
      </c>
      <c r="O1768" s="4" t="s">
        <v>68</v>
      </c>
      <c r="P1768" s="4" t="s">
        <v>1064</v>
      </c>
      <c r="Q1768" s="5">
        <v>142015.46</v>
      </c>
      <c r="R1768" s="10">
        <v>0</v>
      </c>
      <c r="S1768" s="9">
        <f t="shared" si="74"/>
        <v>142015.46</v>
      </c>
      <c r="T1768" s="4" t="s">
        <v>53</v>
      </c>
      <c r="U1768" s="4" t="s">
        <v>130</v>
      </c>
      <c r="V1768" s="4">
        <v>-10</v>
      </c>
      <c r="W1768" s="4" t="s">
        <v>129</v>
      </c>
      <c r="X1768" s="4"/>
      <c r="Y1768" s="4"/>
      <c r="Z1768" s="4" t="s">
        <v>14</v>
      </c>
      <c r="AA1768" s="36" t="str">
        <f t="shared" ref="AA1768:AA1812" si="77">_xlfn.XLOOKUP(N1768,$N$3:$N$1734,$AA$3:$AA$1734)</f>
        <v>371059 CWIP-CONSTRUCTION OF PLANT BOUNDARY WALL</v>
      </c>
      <c r="AB1768" s="4" t="str">
        <f t="shared" ref="AB1768:AB1812" si="78">_xlfn.XLOOKUP(AA1768,$AA$3:$AA$1643,$AB$3:$AB$1643)</f>
        <v>WALL</v>
      </c>
      <c r="AC1768" s="22">
        <f t="shared" ref="AC1768:AC1812" si="79">+S1768/$AC$1</f>
        <v>55.692337254901958</v>
      </c>
      <c r="AD1768" s="23">
        <v>0</v>
      </c>
    </row>
    <row r="1769" spans="1:30" x14ac:dyDescent="0.35">
      <c r="A1769" s="4">
        <v>56346</v>
      </c>
      <c r="B1769" s="6">
        <v>46080.580925925926</v>
      </c>
      <c r="C1769" s="6">
        <v>46080</v>
      </c>
      <c r="D1769" s="4" t="s">
        <v>3965</v>
      </c>
      <c r="E1769" s="4" t="s">
        <v>61</v>
      </c>
      <c r="F1769" s="4" t="s">
        <v>3966</v>
      </c>
      <c r="G1769" s="4" t="s">
        <v>3966</v>
      </c>
      <c r="H1769" s="4"/>
      <c r="I1769" s="4"/>
      <c r="J1769" s="4" t="s">
        <v>59</v>
      </c>
      <c r="K1769" s="4" t="s">
        <v>58</v>
      </c>
      <c r="L1769" s="4" t="s">
        <v>57</v>
      </c>
      <c r="M1769" s="4" t="s">
        <v>32</v>
      </c>
      <c r="N1769" s="4" t="s">
        <v>114</v>
      </c>
      <c r="O1769" s="4" t="s">
        <v>68</v>
      </c>
      <c r="P1769" s="4" t="s">
        <v>1064</v>
      </c>
      <c r="Q1769" s="5">
        <v>57000</v>
      </c>
      <c r="R1769" s="10">
        <v>0</v>
      </c>
      <c r="S1769" s="9">
        <f t="shared" si="74"/>
        <v>57000</v>
      </c>
      <c r="T1769" s="4" t="s">
        <v>53</v>
      </c>
      <c r="U1769" s="4" t="s">
        <v>154</v>
      </c>
      <c r="V1769" s="4">
        <v>-10</v>
      </c>
      <c r="W1769" s="4" t="s">
        <v>124</v>
      </c>
      <c r="X1769" s="4"/>
      <c r="Y1769" s="4"/>
      <c r="Z1769" s="4" t="s">
        <v>14</v>
      </c>
      <c r="AA1769" s="36" t="str">
        <f t="shared" si="77"/>
        <v>371059 CWIP-CONSTRUCTION OF PLANT BOUNDARY WALL</v>
      </c>
      <c r="AB1769" s="4" t="str">
        <f t="shared" si="78"/>
        <v>WALL</v>
      </c>
      <c r="AC1769" s="22">
        <f t="shared" si="79"/>
        <v>22.352941176470587</v>
      </c>
      <c r="AD1769" s="23">
        <v>0</v>
      </c>
    </row>
    <row r="1770" spans="1:30" x14ac:dyDescent="0.35">
      <c r="A1770" s="4">
        <v>56343</v>
      </c>
      <c r="B1770" s="6">
        <v>46080.580925925926</v>
      </c>
      <c r="C1770" s="6">
        <v>46080</v>
      </c>
      <c r="D1770" s="4" t="s">
        <v>3967</v>
      </c>
      <c r="E1770" s="4" t="s">
        <v>61</v>
      </c>
      <c r="F1770" s="4" t="s">
        <v>3968</v>
      </c>
      <c r="G1770" s="4" t="s">
        <v>3968</v>
      </c>
      <c r="H1770" s="4"/>
      <c r="I1770" s="4"/>
      <c r="J1770" s="4" t="s">
        <v>59</v>
      </c>
      <c r="K1770" s="4" t="s">
        <v>58</v>
      </c>
      <c r="L1770" s="4" t="s">
        <v>57</v>
      </c>
      <c r="M1770" s="4" t="s">
        <v>32</v>
      </c>
      <c r="N1770" s="4" t="s">
        <v>114</v>
      </c>
      <c r="O1770" s="4" t="s">
        <v>68</v>
      </c>
      <c r="P1770" s="4" t="s">
        <v>1064</v>
      </c>
      <c r="Q1770" s="5">
        <v>710077.29</v>
      </c>
      <c r="R1770" s="10">
        <v>0</v>
      </c>
      <c r="S1770" s="9">
        <f t="shared" si="74"/>
        <v>710077.29</v>
      </c>
      <c r="T1770" s="4" t="s">
        <v>53</v>
      </c>
      <c r="U1770" s="4" t="s">
        <v>130</v>
      </c>
      <c r="V1770" s="4">
        <v>-50</v>
      </c>
      <c r="W1770" s="4" t="s">
        <v>129</v>
      </c>
      <c r="X1770" s="4"/>
      <c r="Y1770" s="4"/>
      <c r="Z1770" s="4" t="s">
        <v>14</v>
      </c>
      <c r="AA1770" s="36" t="str">
        <f t="shared" si="77"/>
        <v>371059 CWIP-CONSTRUCTION OF PLANT BOUNDARY WALL</v>
      </c>
      <c r="AB1770" s="4" t="str">
        <f t="shared" si="78"/>
        <v>WALL</v>
      </c>
      <c r="AC1770" s="22">
        <f t="shared" si="79"/>
        <v>278.46168235294118</v>
      </c>
      <c r="AD1770" s="23">
        <v>0</v>
      </c>
    </row>
    <row r="1771" spans="1:30" x14ac:dyDescent="0.35">
      <c r="A1771" s="4">
        <v>56341</v>
      </c>
      <c r="B1771" s="6">
        <v>46080.580925925926</v>
      </c>
      <c r="C1771" s="6">
        <v>46080</v>
      </c>
      <c r="D1771" s="4" t="s">
        <v>3969</v>
      </c>
      <c r="E1771" s="4" t="s">
        <v>61</v>
      </c>
      <c r="F1771" s="4" t="s">
        <v>3970</v>
      </c>
      <c r="G1771" s="4" t="s">
        <v>3970</v>
      </c>
      <c r="H1771" s="4"/>
      <c r="I1771" s="4"/>
      <c r="J1771" s="4" t="s">
        <v>59</v>
      </c>
      <c r="K1771" s="4" t="s">
        <v>58</v>
      </c>
      <c r="L1771" s="4" t="s">
        <v>57</v>
      </c>
      <c r="M1771" s="4" t="s">
        <v>32</v>
      </c>
      <c r="N1771" s="4" t="s">
        <v>114</v>
      </c>
      <c r="O1771" s="4" t="s">
        <v>68</v>
      </c>
      <c r="P1771" s="4" t="s">
        <v>1064</v>
      </c>
      <c r="Q1771" s="5">
        <v>427118.58</v>
      </c>
      <c r="R1771" s="10">
        <v>0</v>
      </c>
      <c r="S1771" s="9">
        <f t="shared" si="74"/>
        <v>427118.58</v>
      </c>
      <c r="T1771" s="4" t="s">
        <v>53</v>
      </c>
      <c r="U1771" s="4" t="s">
        <v>175</v>
      </c>
      <c r="V1771" s="4">
        <v>-21</v>
      </c>
      <c r="W1771" s="4" t="s">
        <v>129</v>
      </c>
      <c r="X1771" s="4"/>
      <c r="Y1771" s="4"/>
      <c r="Z1771" s="4" t="s">
        <v>14</v>
      </c>
      <c r="AA1771" s="36" t="str">
        <f t="shared" si="77"/>
        <v>371059 CWIP-CONSTRUCTION OF PLANT BOUNDARY WALL</v>
      </c>
      <c r="AB1771" s="4" t="str">
        <f t="shared" si="78"/>
        <v>WALL</v>
      </c>
      <c r="AC1771" s="22">
        <f t="shared" si="79"/>
        <v>167.49748235294118</v>
      </c>
      <c r="AD1771" s="23">
        <v>0</v>
      </c>
    </row>
    <row r="1772" spans="1:30" x14ac:dyDescent="0.35">
      <c r="A1772" s="4">
        <v>56340</v>
      </c>
      <c r="B1772" s="6">
        <v>46080.580925925926</v>
      </c>
      <c r="C1772" s="6">
        <v>46080</v>
      </c>
      <c r="D1772" s="4" t="s">
        <v>3971</v>
      </c>
      <c r="E1772" s="4" t="s">
        <v>61</v>
      </c>
      <c r="F1772" s="4" t="s">
        <v>3972</v>
      </c>
      <c r="G1772" s="4" t="s">
        <v>3972</v>
      </c>
      <c r="H1772" s="4"/>
      <c r="I1772" s="4"/>
      <c r="J1772" s="4" t="s">
        <v>59</v>
      </c>
      <c r="K1772" s="4" t="s">
        <v>58</v>
      </c>
      <c r="L1772" s="4" t="s">
        <v>57</v>
      </c>
      <c r="M1772" s="4" t="s">
        <v>32</v>
      </c>
      <c r="N1772" s="4" t="s">
        <v>114</v>
      </c>
      <c r="O1772" s="4" t="s">
        <v>68</v>
      </c>
      <c r="P1772" s="4" t="s">
        <v>1064</v>
      </c>
      <c r="Q1772" s="5">
        <v>144342.97</v>
      </c>
      <c r="R1772" s="10">
        <v>0</v>
      </c>
      <c r="S1772" s="9">
        <f t="shared" si="74"/>
        <v>144342.97</v>
      </c>
      <c r="T1772" s="4" t="s">
        <v>53</v>
      </c>
      <c r="U1772" s="4" t="s">
        <v>172</v>
      </c>
      <c r="V1772" s="4">
        <v>-4</v>
      </c>
      <c r="W1772" s="4" t="s">
        <v>129</v>
      </c>
      <c r="X1772" s="4"/>
      <c r="Y1772" s="4"/>
      <c r="Z1772" s="4" t="s">
        <v>14</v>
      </c>
      <c r="AA1772" s="36" t="str">
        <f t="shared" si="77"/>
        <v>371059 CWIP-CONSTRUCTION OF PLANT BOUNDARY WALL</v>
      </c>
      <c r="AB1772" s="4" t="str">
        <f t="shared" si="78"/>
        <v>WALL</v>
      </c>
      <c r="AC1772" s="22">
        <f t="shared" si="79"/>
        <v>56.605086274509802</v>
      </c>
      <c r="AD1772" s="23">
        <v>0</v>
      </c>
    </row>
    <row r="1773" spans="1:30" x14ac:dyDescent="0.35">
      <c r="A1773" s="4">
        <v>56151</v>
      </c>
      <c r="B1773" s="6">
        <v>46080.592604166668</v>
      </c>
      <c r="C1773" s="6">
        <v>46080</v>
      </c>
      <c r="D1773" s="4" t="s">
        <v>3973</v>
      </c>
      <c r="E1773" s="4" t="s">
        <v>61</v>
      </c>
      <c r="F1773" s="4" t="s">
        <v>3974</v>
      </c>
      <c r="G1773" s="4" t="s">
        <v>3974</v>
      </c>
      <c r="H1773" s="4"/>
      <c r="I1773" s="4"/>
      <c r="J1773" s="4" t="s">
        <v>59</v>
      </c>
      <c r="K1773" s="4" t="s">
        <v>58</v>
      </c>
      <c r="L1773" s="4" t="s">
        <v>57</v>
      </c>
      <c r="M1773" s="4" t="s">
        <v>32</v>
      </c>
      <c r="N1773" s="4" t="s">
        <v>114</v>
      </c>
      <c r="O1773" s="4" t="s">
        <v>68</v>
      </c>
      <c r="P1773" s="4" t="s">
        <v>1064</v>
      </c>
      <c r="Q1773" s="5">
        <v>2211864.48</v>
      </c>
      <c r="R1773" s="10">
        <v>0</v>
      </c>
      <c r="S1773" s="9">
        <f t="shared" si="74"/>
        <v>2211864.48</v>
      </c>
      <c r="T1773" s="4" t="s">
        <v>53</v>
      </c>
      <c r="U1773" s="4" t="s">
        <v>3975</v>
      </c>
      <c r="V1773" s="4">
        <v>-18</v>
      </c>
      <c r="W1773" s="4" t="s">
        <v>94</v>
      </c>
      <c r="X1773" s="4"/>
      <c r="Y1773" s="4"/>
      <c r="Z1773" s="4" t="s">
        <v>14</v>
      </c>
      <c r="AA1773" s="36" t="str">
        <f t="shared" si="77"/>
        <v>371059 CWIP-CONSTRUCTION OF PLANT BOUNDARY WALL</v>
      </c>
      <c r="AB1773" s="4" t="str">
        <f t="shared" si="78"/>
        <v>WALL</v>
      </c>
      <c r="AC1773" s="22">
        <f t="shared" si="79"/>
        <v>867.39783529411761</v>
      </c>
      <c r="AD1773" s="23">
        <v>0</v>
      </c>
    </row>
    <row r="1774" spans="1:30" x14ac:dyDescent="0.35">
      <c r="A1774" s="4">
        <v>56150</v>
      </c>
      <c r="B1774" s="6">
        <v>46080.592604166668</v>
      </c>
      <c r="C1774" s="6">
        <v>46080</v>
      </c>
      <c r="D1774" s="4" t="s">
        <v>3976</v>
      </c>
      <c r="E1774" s="4" t="s">
        <v>61</v>
      </c>
      <c r="F1774" s="4" t="s">
        <v>3977</v>
      </c>
      <c r="G1774" s="4" t="s">
        <v>3977</v>
      </c>
      <c r="H1774" s="4"/>
      <c r="I1774" s="4"/>
      <c r="J1774" s="4" t="s">
        <v>59</v>
      </c>
      <c r="K1774" s="4" t="s">
        <v>58</v>
      </c>
      <c r="L1774" s="4" t="s">
        <v>57</v>
      </c>
      <c r="M1774" s="4" t="s">
        <v>32</v>
      </c>
      <c r="N1774" s="4" t="s">
        <v>114</v>
      </c>
      <c r="O1774" s="4" t="s">
        <v>68</v>
      </c>
      <c r="P1774" s="4" t="s">
        <v>1064</v>
      </c>
      <c r="Q1774" s="5">
        <v>584745.75</v>
      </c>
      <c r="R1774" s="10">
        <v>0</v>
      </c>
      <c r="S1774" s="9">
        <f t="shared" si="74"/>
        <v>584745.75</v>
      </c>
      <c r="T1774" s="4" t="s">
        <v>53</v>
      </c>
      <c r="U1774" s="4" t="s">
        <v>3978</v>
      </c>
      <c r="V1774" s="4">
        <v>-3</v>
      </c>
      <c r="W1774" s="4" t="s">
        <v>94</v>
      </c>
      <c r="X1774" s="4"/>
      <c r="Y1774" s="4"/>
      <c r="Z1774" s="4" t="s">
        <v>14</v>
      </c>
      <c r="AA1774" s="36" t="str">
        <f t="shared" si="77"/>
        <v>371059 CWIP-CONSTRUCTION OF PLANT BOUNDARY WALL</v>
      </c>
      <c r="AB1774" s="4" t="str">
        <f t="shared" si="78"/>
        <v>WALL</v>
      </c>
      <c r="AC1774" s="22">
        <f t="shared" si="79"/>
        <v>229.31205882352941</v>
      </c>
      <c r="AD1774" s="23">
        <v>0</v>
      </c>
    </row>
    <row r="1775" spans="1:30" x14ac:dyDescent="0.35">
      <c r="A1775" s="4">
        <v>40706</v>
      </c>
      <c r="B1775" s="6">
        <v>46074.484490740739</v>
      </c>
      <c r="C1775" s="6">
        <v>46074</v>
      </c>
      <c r="D1775" s="4" t="s">
        <v>3979</v>
      </c>
      <c r="E1775" s="4" t="s">
        <v>61</v>
      </c>
      <c r="F1775" s="4" t="s">
        <v>3980</v>
      </c>
      <c r="G1775" s="4" t="s">
        <v>3980</v>
      </c>
      <c r="H1775" s="4"/>
      <c r="I1775" s="4"/>
      <c r="J1775" s="4" t="s">
        <v>59</v>
      </c>
      <c r="K1775" s="4" t="s">
        <v>58</v>
      </c>
      <c r="L1775" s="4" t="s">
        <v>57</v>
      </c>
      <c r="M1775" s="4" t="s">
        <v>32</v>
      </c>
      <c r="N1775" s="4" t="s">
        <v>114</v>
      </c>
      <c r="O1775" s="4" t="s">
        <v>68</v>
      </c>
      <c r="P1775" s="4" t="s">
        <v>1064</v>
      </c>
      <c r="Q1775" s="5">
        <v>22800</v>
      </c>
      <c r="R1775" s="10">
        <v>0</v>
      </c>
      <c r="S1775" s="9">
        <f t="shared" si="74"/>
        <v>22800</v>
      </c>
      <c r="T1775" s="4" t="s">
        <v>53</v>
      </c>
      <c r="U1775" s="4" t="s">
        <v>151</v>
      </c>
      <c r="V1775" s="4">
        <v>-4</v>
      </c>
      <c r="W1775" s="4" t="s">
        <v>124</v>
      </c>
      <c r="X1775" s="4"/>
      <c r="Y1775" s="4"/>
      <c r="Z1775" s="4" t="s">
        <v>14</v>
      </c>
      <c r="AA1775" s="36" t="str">
        <f t="shared" si="77"/>
        <v>371059 CWIP-CONSTRUCTION OF PLANT BOUNDARY WALL</v>
      </c>
      <c r="AB1775" s="4" t="str">
        <f t="shared" si="78"/>
        <v>WALL</v>
      </c>
      <c r="AC1775" s="22">
        <f t="shared" si="79"/>
        <v>8.9411764705882355</v>
      </c>
      <c r="AD1775" s="23">
        <v>0</v>
      </c>
    </row>
    <row r="1776" spans="1:30" x14ac:dyDescent="0.35">
      <c r="A1776" s="4">
        <v>40705</v>
      </c>
      <c r="B1776" s="6">
        <v>46074.484490740739</v>
      </c>
      <c r="C1776" s="6">
        <v>46074</v>
      </c>
      <c r="D1776" s="4" t="s">
        <v>3981</v>
      </c>
      <c r="E1776" s="4" t="s">
        <v>61</v>
      </c>
      <c r="F1776" s="4" t="s">
        <v>3982</v>
      </c>
      <c r="G1776" s="4" t="s">
        <v>3982</v>
      </c>
      <c r="H1776" s="4"/>
      <c r="I1776" s="4"/>
      <c r="J1776" s="4" t="s">
        <v>59</v>
      </c>
      <c r="K1776" s="4" t="s">
        <v>58</v>
      </c>
      <c r="L1776" s="4" t="s">
        <v>57</v>
      </c>
      <c r="M1776" s="4" t="s">
        <v>32</v>
      </c>
      <c r="N1776" s="4" t="s">
        <v>114</v>
      </c>
      <c r="O1776" s="4" t="s">
        <v>68</v>
      </c>
      <c r="P1776" s="4" t="s">
        <v>1064</v>
      </c>
      <c r="Q1776" s="5">
        <v>75000</v>
      </c>
      <c r="R1776" s="10">
        <v>0</v>
      </c>
      <c r="S1776" s="9">
        <f t="shared" si="74"/>
        <v>75000</v>
      </c>
      <c r="T1776" s="4" t="s">
        <v>53</v>
      </c>
      <c r="U1776" s="4" t="s">
        <v>133</v>
      </c>
      <c r="V1776" s="4">
        <v>-15</v>
      </c>
      <c r="W1776" s="4" t="s">
        <v>124</v>
      </c>
      <c r="X1776" s="4"/>
      <c r="Y1776" s="4"/>
      <c r="Z1776" s="4" t="s">
        <v>14</v>
      </c>
      <c r="AA1776" s="36" t="str">
        <f t="shared" si="77"/>
        <v>371059 CWIP-CONSTRUCTION OF PLANT BOUNDARY WALL</v>
      </c>
      <c r="AB1776" s="4" t="str">
        <f t="shared" si="78"/>
        <v>WALL</v>
      </c>
      <c r="AC1776" s="22">
        <f t="shared" si="79"/>
        <v>29.411764705882351</v>
      </c>
      <c r="AD1776" s="23">
        <v>0</v>
      </c>
    </row>
    <row r="1777" spans="1:30" x14ac:dyDescent="0.35">
      <c r="A1777" s="4">
        <v>40703</v>
      </c>
      <c r="B1777" s="6">
        <v>46074.484490740739</v>
      </c>
      <c r="C1777" s="6">
        <v>46074</v>
      </c>
      <c r="D1777" s="4" t="s">
        <v>3983</v>
      </c>
      <c r="E1777" s="4" t="s">
        <v>61</v>
      </c>
      <c r="F1777" s="4" t="s">
        <v>3984</v>
      </c>
      <c r="G1777" s="4" t="s">
        <v>3984</v>
      </c>
      <c r="H1777" s="4"/>
      <c r="I1777" s="4"/>
      <c r="J1777" s="4" t="s">
        <v>59</v>
      </c>
      <c r="K1777" s="4" t="s">
        <v>58</v>
      </c>
      <c r="L1777" s="4" t="s">
        <v>57</v>
      </c>
      <c r="M1777" s="4" t="s">
        <v>32</v>
      </c>
      <c r="N1777" s="4" t="s">
        <v>114</v>
      </c>
      <c r="O1777" s="4" t="s">
        <v>68</v>
      </c>
      <c r="P1777" s="4" t="s">
        <v>1064</v>
      </c>
      <c r="Q1777" s="5">
        <v>40677.96</v>
      </c>
      <c r="R1777" s="10">
        <v>0</v>
      </c>
      <c r="S1777" s="9">
        <f t="shared" si="74"/>
        <v>40677.96</v>
      </c>
      <c r="T1777" s="4" t="s">
        <v>53</v>
      </c>
      <c r="U1777" s="4" t="s">
        <v>175</v>
      </c>
      <c r="V1777" s="4">
        <v>-2</v>
      </c>
      <c r="W1777" s="4" t="s">
        <v>129</v>
      </c>
      <c r="X1777" s="4"/>
      <c r="Y1777" s="4"/>
      <c r="Z1777" s="4" t="s">
        <v>14</v>
      </c>
      <c r="AA1777" s="36" t="str">
        <f t="shared" si="77"/>
        <v>371059 CWIP-CONSTRUCTION OF PLANT BOUNDARY WALL</v>
      </c>
      <c r="AB1777" s="4" t="str">
        <f t="shared" si="78"/>
        <v>WALL</v>
      </c>
      <c r="AC1777" s="22">
        <f t="shared" si="79"/>
        <v>15.952141176470588</v>
      </c>
      <c r="AD1777" s="23">
        <v>0</v>
      </c>
    </row>
    <row r="1778" spans="1:30" x14ac:dyDescent="0.35">
      <c r="A1778" s="4">
        <v>40701</v>
      </c>
      <c r="B1778" s="6">
        <v>46074.484490740739</v>
      </c>
      <c r="C1778" s="6">
        <v>46074</v>
      </c>
      <c r="D1778" s="4" t="s">
        <v>3985</v>
      </c>
      <c r="E1778" s="4" t="s">
        <v>61</v>
      </c>
      <c r="F1778" s="4" t="s">
        <v>3986</v>
      </c>
      <c r="G1778" s="4" t="s">
        <v>3986</v>
      </c>
      <c r="H1778" s="4"/>
      <c r="I1778" s="4"/>
      <c r="J1778" s="4" t="s">
        <v>59</v>
      </c>
      <c r="K1778" s="4" t="s">
        <v>58</v>
      </c>
      <c r="L1778" s="4" t="s">
        <v>57</v>
      </c>
      <c r="M1778" s="4" t="s">
        <v>32</v>
      </c>
      <c r="N1778" s="4" t="s">
        <v>114</v>
      </c>
      <c r="O1778" s="4" t="s">
        <v>68</v>
      </c>
      <c r="P1778" s="4" t="s">
        <v>1064</v>
      </c>
      <c r="Q1778" s="5">
        <v>16101.71</v>
      </c>
      <c r="R1778" s="10">
        <v>0</v>
      </c>
      <c r="S1778" s="9">
        <f t="shared" si="74"/>
        <v>16101.71</v>
      </c>
      <c r="T1778" s="4" t="s">
        <v>53</v>
      </c>
      <c r="U1778" s="4" t="s">
        <v>117</v>
      </c>
      <c r="V1778" s="4">
        <v>-5</v>
      </c>
      <c r="W1778" s="4" t="s">
        <v>94</v>
      </c>
      <c r="X1778" s="4"/>
      <c r="Y1778" s="4"/>
      <c r="Z1778" s="4" t="s">
        <v>14</v>
      </c>
      <c r="AA1778" s="36" t="str">
        <f t="shared" si="77"/>
        <v>371059 CWIP-CONSTRUCTION OF PLANT BOUNDARY WALL</v>
      </c>
      <c r="AB1778" s="4" t="str">
        <f t="shared" si="78"/>
        <v>WALL</v>
      </c>
      <c r="AC1778" s="22">
        <f t="shared" si="79"/>
        <v>6.314396078431372</v>
      </c>
      <c r="AD1778" s="23">
        <v>0</v>
      </c>
    </row>
    <row r="1779" spans="1:30" x14ac:dyDescent="0.35">
      <c r="A1779" s="4">
        <v>36742</v>
      </c>
      <c r="B1779" s="6">
        <v>46072.61210648148</v>
      </c>
      <c r="C1779" s="6">
        <v>46072</v>
      </c>
      <c r="D1779" s="4" t="s">
        <v>3987</v>
      </c>
      <c r="E1779" s="4" t="s">
        <v>61</v>
      </c>
      <c r="F1779" s="4" t="s">
        <v>3988</v>
      </c>
      <c r="G1779" s="4" t="s">
        <v>3988</v>
      </c>
      <c r="H1779" s="4"/>
      <c r="I1779" s="4"/>
      <c r="J1779" s="4" t="s">
        <v>59</v>
      </c>
      <c r="K1779" s="4" t="s">
        <v>58</v>
      </c>
      <c r="L1779" s="4" t="s">
        <v>57</v>
      </c>
      <c r="M1779" s="4" t="s">
        <v>32</v>
      </c>
      <c r="N1779" s="4" t="s">
        <v>114</v>
      </c>
      <c r="O1779" s="4" t="s">
        <v>68</v>
      </c>
      <c r="P1779" s="4" t="s">
        <v>1064</v>
      </c>
      <c r="Q1779" s="5">
        <v>28500</v>
      </c>
      <c r="R1779" s="10">
        <v>0</v>
      </c>
      <c r="S1779" s="9">
        <f t="shared" si="74"/>
        <v>28500</v>
      </c>
      <c r="T1779" s="4" t="s">
        <v>53</v>
      </c>
      <c r="U1779" s="4" t="s">
        <v>154</v>
      </c>
      <c r="V1779" s="4">
        <v>-5</v>
      </c>
      <c r="W1779" s="4" t="s">
        <v>124</v>
      </c>
      <c r="X1779" s="4"/>
      <c r="Y1779" s="4"/>
      <c r="Z1779" s="4" t="s">
        <v>14</v>
      </c>
      <c r="AA1779" s="36" t="str">
        <f t="shared" si="77"/>
        <v>371059 CWIP-CONSTRUCTION OF PLANT BOUNDARY WALL</v>
      </c>
      <c r="AB1779" s="4" t="str">
        <f t="shared" si="78"/>
        <v>WALL</v>
      </c>
      <c r="AC1779" s="22">
        <f t="shared" si="79"/>
        <v>11.176470588235293</v>
      </c>
      <c r="AD1779" s="23">
        <v>0</v>
      </c>
    </row>
    <row r="1780" spans="1:30" x14ac:dyDescent="0.35">
      <c r="A1780" s="4">
        <v>27510</v>
      </c>
      <c r="B1780" s="6">
        <v>46067.529641203706</v>
      </c>
      <c r="C1780" s="6">
        <v>46067</v>
      </c>
      <c r="D1780" s="4" t="s">
        <v>3989</v>
      </c>
      <c r="E1780" s="4" t="s">
        <v>61</v>
      </c>
      <c r="F1780" s="4" t="s">
        <v>3990</v>
      </c>
      <c r="G1780" s="4" t="s">
        <v>3990</v>
      </c>
      <c r="H1780" s="4"/>
      <c r="I1780" s="4"/>
      <c r="J1780" s="4" t="s">
        <v>59</v>
      </c>
      <c r="K1780" s="4" t="s">
        <v>58</v>
      </c>
      <c r="L1780" s="4" t="s">
        <v>57</v>
      </c>
      <c r="M1780" s="4" t="s">
        <v>32</v>
      </c>
      <c r="N1780" s="4" t="s">
        <v>114</v>
      </c>
      <c r="O1780" s="4" t="s">
        <v>68</v>
      </c>
      <c r="P1780" s="4" t="s">
        <v>1064</v>
      </c>
      <c r="Q1780" s="5">
        <v>568061.81999999995</v>
      </c>
      <c r="R1780" s="10">
        <v>0</v>
      </c>
      <c r="S1780" s="9">
        <f t="shared" si="74"/>
        <v>568061.81999999995</v>
      </c>
      <c r="T1780" s="4" t="s">
        <v>53</v>
      </c>
      <c r="U1780" s="4" t="s">
        <v>130</v>
      </c>
      <c r="V1780" s="4">
        <v>-40</v>
      </c>
      <c r="W1780" s="4" t="s">
        <v>129</v>
      </c>
      <c r="X1780" s="4"/>
      <c r="Y1780" s="4"/>
      <c r="Z1780" s="4" t="s">
        <v>14</v>
      </c>
      <c r="AA1780" s="36" t="str">
        <f t="shared" si="77"/>
        <v>371059 CWIP-CONSTRUCTION OF PLANT BOUNDARY WALL</v>
      </c>
      <c r="AB1780" s="4" t="str">
        <f t="shared" si="78"/>
        <v>WALL</v>
      </c>
      <c r="AC1780" s="22">
        <f t="shared" si="79"/>
        <v>222.76934117647056</v>
      </c>
      <c r="AD1780" s="23">
        <v>0</v>
      </c>
    </row>
    <row r="1781" spans="1:30" x14ac:dyDescent="0.35">
      <c r="A1781" s="4">
        <v>23319</v>
      </c>
      <c r="B1781" s="6">
        <v>46065.605775462966</v>
      </c>
      <c r="C1781" s="6">
        <v>46065</v>
      </c>
      <c r="D1781" s="4" t="s">
        <v>3991</v>
      </c>
      <c r="E1781" s="4" t="s">
        <v>61</v>
      </c>
      <c r="F1781" s="4" t="s">
        <v>3992</v>
      </c>
      <c r="G1781" s="4" t="s">
        <v>3992</v>
      </c>
      <c r="H1781" s="4"/>
      <c r="I1781" s="4"/>
      <c r="J1781" s="4" t="s">
        <v>59</v>
      </c>
      <c r="K1781" s="4" t="s">
        <v>58</v>
      </c>
      <c r="L1781" s="4" t="s">
        <v>57</v>
      </c>
      <c r="M1781" s="4" t="s">
        <v>32</v>
      </c>
      <c r="N1781" s="4" t="s">
        <v>114</v>
      </c>
      <c r="O1781" s="4" t="s">
        <v>68</v>
      </c>
      <c r="P1781" s="4" t="s">
        <v>1064</v>
      </c>
      <c r="Q1781" s="5">
        <v>45600</v>
      </c>
      <c r="R1781" s="10">
        <v>0</v>
      </c>
      <c r="S1781" s="9">
        <f t="shared" si="74"/>
        <v>45600</v>
      </c>
      <c r="T1781" s="4" t="s">
        <v>53</v>
      </c>
      <c r="U1781" s="4" t="s">
        <v>154</v>
      </c>
      <c r="V1781" s="4">
        <v>-8</v>
      </c>
      <c r="W1781" s="4" t="s">
        <v>124</v>
      </c>
      <c r="X1781" s="4"/>
      <c r="Y1781" s="4"/>
      <c r="Z1781" s="4" t="s">
        <v>14</v>
      </c>
      <c r="AA1781" s="36" t="str">
        <f t="shared" si="77"/>
        <v>371059 CWIP-CONSTRUCTION OF PLANT BOUNDARY WALL</v>
      </c>
      <c r="AB1781" s="4" t="str">
        <f t="shared" si="78"/>
        <v>WALL</v>
      </c>
      <c r="AC1781" s="22">
        <f t="shared" si="79"/>
        <v>17.882352941176471</v>
      </c>
      <c r="AD1781" s="23">
        <v>0</v>
      </c>
    </row>
    <row r="1782" spans="1:30" x14ac:dyDescent="0.35">
      <c r="A1782" s="4">
        <v>23316</v>
      </c>
      <c r="B1782" s="6">
        <v>46065.605775462966</v>
      </c>
      <c r="C1782" s="6">
        <v>46065</v>
      </c>
      <c r="D1782" s="4" t="s">
        <v>3993</v>
      </c>
      <c r="E1782" s="4" t="s">
        <v>61</v>
      </c>
      <c r="F1782" s="4" t="s">
        <v>3994</v>
      </c>
      <c r="G1782" s="4" t="s">
        <v>3994</v>
      </c>
      <c r="H1782" s="4"/>
      <c r="I1782" s="4"/>
      <c r="J1782" s="4" t="s">
        <v>59</v>
      </c>
      <c r="K1782" s="4" t="s">
        <v>58</v>
      </c>
      <c r="L1782" s="4" t="s">
        <v>57</v>
      </c>
      <c r="M1782" s="4" t="s">
        <v>32</v>
      </c>
      <c r="N1782" s="4" t="s">
        <v>114</v>
      </c>
      <c r="O1782" s="4" t="s">
        <v>68</v>
      </c>
      <c r="P1782" s="4" t="s">
        <v>1064</v>
      </c>
      <c r="Q1782" s="5">
        <v>17903.22</v>
      </c>
      <c r="R1782" s="10">
        <v>0</v>
      </c>
      <c r="S1782" s="9">
        <f t="shared" si="74"/>
        <v>17903.22</v>
      </c>
      <c r="T1782" s="4" t="s">
        <v>53</v>
      </c>
      <c r="U1782" s="4" t="s">
        <v>214</v>
      </c>
      <c r="V1782" s="4">
        <v>-4</v>
      </c>
      <c r="W1782" s="4" t="s">
        <v>51</v>
      </c>
      <c r="X1782" s="4"/>
      <c r="Y1782" s="4"/>
      <c r="Z1782" s="4" t="s">
        <v>14</v>
      </c>
      <c r="AA1782" s="36" t="str">
        <f t="shared" si="77"/>
        <v>371059 CWIP-CONSTRUCTION OF PLANT BOUNDARY WALL</v>
      </c>
      <c r="AB1782" s="4" t="str">
        <f t="shared" si="78"/>
        <v>WALL</v>
      </c>
      <c r="AC1782" s="22">
        <f t="shared" si="79"/>
        <v>7.0208705882352946</v>
      </c>
      <c r="AD1782" s="23">
        <v>0</v>
      </c>
    </row>
    <row r="1783" spans="1:30" x14ac:dyDescent="0.35">
      <c r="A1783" s="4">
        <v>14584</v>
      </c>
      <c r="B1783" s="6">
        <v>46062.608078703706</v>
      </c>
      <c r="C1783" s="6">
        <v>46062</v>
      </c>
      <c r="D1783" s="4" t="s">
        <v>3995</v>
      </c>
      <c r="E1783" s="4" t="s">
        <v>61</v>
      </c>
      <c r="F1783" s="4" t="s">
        <v>3996</v>
      </c>
      <c r="G1783" s="4" t="s">
        <v>3996</v>
      </c>
      <c r="H1783" s="4"/>
      <c r="I1783" s="4"/>
      <c r="J1783" s="4" t="s">
        <v>59</v>
      </c>
      <c r="K1783" s="4" t="s">
        <v>58</v>
      </c>
      <c r="L1783" s="4" t="s">
        <v>57</v>
      </c>
      <c r="M1783" s="4" t="s">
        <v>32</v>
      </c>
      <c r="N1783" s="4" t="s">
        <v>114</v>
      </c>
      <c r="O1783" s="4" t="s">
        <v>68</v>
      </c>
      <c r="P1783" s="4" t="s">
        <v>1064</v>
      </c>
      <c r="Q1783" s="5">
        <v>284030.92</v>
      </c>
      <c r="R1783" s="10">
        <v>0</v>
      </c>
      <c r="S1783" s="9">
        <f t="shared" si="74"/>
        <v>284030.92</v>
      </c>
      <c r="T1783" s="4" t="s">
        <v>53</v>
      </c>
      <c r="U1783" s="4" t="s">
        <v>130</v>
      </c>
      <c r="V1783" s="4">
        <v>-20</v>
      </c>
      <c r="W1783" s="4" t="s">
        <v>129</v>
      </c>
      <c r="X1783" s="4"/>
      <c r="Y1783" s="4"/>
      <c r="Z1783" s="4" t="s">
        <v>14</v>
      </c>
      <c r="AA1783" s="36" t="str">
        <f t="shared" si="77"/>
        <v>371059 CWIP-CONSTRUCTION OF PLANT BOUNDARY WALL</v>
      </c>
      <c r="AB1783" s="4" t="str">
        <f t="shared" si="78"/>
        <v>WALL</v>
      </c>
      <c r="AC1783" s="22">
        <f t="shared" si="79"/>
        <v>111.38467450980392</v>
      </c>
      <c r="AD1783" s="23">
        <v>0</v>
      </c>
    </row>
    <row r="1784" spans="1:30" x14ac:dyDescent="0.35">
      <c r="A1784" s="4">
        <v>2665</v>
      </c>
      <c r="B1784" s="6">
        <v>46056.628298611111</v>
      </c>
      <c r="C1784" s="6">
        <v>46056</v>
      </c>
      <c r="D1784" s="4" t="s">
        <v>3997</v>
      </c>
      <c r="E1784" s="4" t="s">
        <v>61</v>
      </c>
      <c r="F1784" s="4" t="s">
        <v>3998</v>
      </c>
      <c r="G1784" s="4" t="s">
        <v>3998</v>
      </c>
      <c r="H1784" s="4"/>
      <c r="I1784" s="4"/>
      <c r="J1784" s="4" t="s">
        <v>59</v>
      </c>
      <c r="K1784" s="4" t="s">
        <v>58</v>
      </c>
      <c r="L1784" s="4" t="s">
        <v>57</v>
      </c>
      <c r="M1784" s="4" t="s">
        <v>32</v>
      </c>
      <c r="N1784" s="4" t="s">
        <v>114</v>
      </c>
      <c r="O1784" s="4" t="s">
        <v>68</v>
      </c>
      <c r="P1784" s="4" t="s">
        <v>1064</v>
      </c>
      <c r="Q1784" s="5">
        <v>7751000</v>
      </c>
      <c r="R1784" s="10">
        <v>0</v>
      </c>
      <c r="S1784" s="9">
        <f t="shared" si="74"/>
        <v>7751000</v>
      </c>
      <c r="T1784" s="4" t="s">
        <v>53</v>
      </c>
      <c r="U1784" s="4" t="s">
        <v>184</v>
      </c>
      <c r="V1784" s="4">
        <v>-155020</v>
      </c>
      <c r="W1784" s="4" t="s">
        <v>124</v>
      </c>
      <c r="X1784" s="4"/>
      <c r="Y1784" s="4"/>
      <c r="Z1784" s="4" t="s">
        <v>14</v>
      </c>
      <c r="AA1784" s="36" t="str">
        <f t="shared" si="77"/>
        <v>371059 CWIP-CONSTRUCTION OF PLANT BOUNDARY WALL</v>
      </c>
      <c r="AB1784" s="4" t="str">
        <f t="shared" si="78"/>
        <v>WALL</v>
      </c>
      <c r="AC1784" s="22">
        <f t="shared" si="79"/>
        <v>3039.6078431372548</v>
      </c>
      <c r="AD1784" s="23">
        <v>0</v>
      </c>
    </row>
    <row r="1785" spans="1:30" x14ac:dyDescent="0.35">
      <c r="A1785" s="4">
        <v>1205</v>
      </c>
      <c r="B1785" s="6">
        <v>46055.590960648151</v>
      </c>
      <c r="C1785" s="6">
        <v>46055</v>
      </c>
      <c r="D1785" s="4" t="s">
        <v>3999</v>
      </c>
      <c r="E1785" s="4" t="s">
        <v>61</v>
      </c>
      <c r="F1785" s="4" t="s">
        <v>4000</v>
      </c>
      <c r="G1785" s="4" t="s">
        <v>4000</v>
      </c>
      <c r="H1785" s="4"/>
      <c r="I1785" s="4"/>
      <c r="J1785" s="4" t="s">
        <v>59</v>
      </c>
      <c r="K1785" s="4" t="s">
        <v>58</v>
      </c>
      <c r="L1785" s="4" t="s">
        <v>57</v>
      </c>
      <c r="M1785" s="4" t="s">
        <v>32</v>
      </c>
      <c r="N1785" s="4" t="s">
        <v>114</v>
      </c>
      <c r="O1785" s="4" t="s">
        <v>68</v>
      </c>
      <c r="P1785" s="4" t="s">
        <v>1064</v>
      </c>
      <c r="Q1785" s="5">
        <v>9612000</v>
      </c>
      <c r="R1785" s="10">
        <v>0</v>
      </c>
      <c r="S1785" s="9">
        <f t="shared" si="74"/>
        <v>9612000</v>
      </c>
      <c r="T1785" s="4" t="s">
        <v>53</v>
      </c>
      <c r="U1785" s="4" t="s">
        <v>339</v>
      </c>
      <c r="V1785" s="4">
        <v>-89</v>
      </c>
      <c r="W1785" s="4" t="s">
        <v>338</v>
      </c>
      <c r="X1785" s="4"/>
      <c r="Y1785" s="4"/>
      <c r="Z1785" s="4" t="s">
        <v>14</v>
      </c>
      <c r="AA1785" s="36" t="str">
        <f t="shared" si="77"/>
        <v>371059 CWIP-CONSTRUCTION OF PLANT BOUNDARY WALL</v>
      </c>
      <c r="AB1785" s="4" t="str">
        <f t="shared" si="78"/>
        <v>WALL</v>
      </c>
      <c r="AC1785" s="22">
        <f t="shared" si="79"/>
        <v>3769.4117647058824</v>
      </c>
      <c r="AD1785" s="23">
        <v>0</v>
      </c>
    </row>
    <row r="1786" spans="1:30" x14ac:dyDescent="0.35">
      <c r="A1786" s="4">
        <v>56354</v>
      </c>
      <c r="B1786" s="6">
        <v>46080.577060185184</v>
      </c>
      <c r="C1786" s="6">
        <v>46080</v>
      </c>
      <c r="D1786" s="4" t="s">
        <v>4001</v>
      </c>
      <c r="E1786" s="4" t="s">
        <v>61</v>
      </c>
      <c r="F1786" s="4" t="s">
        <v>4002</v>
      </c>
      <c r="G1786" s="4" t="s">
        <v>4002</v>
      </c>
      <c r="H1786" s="4"/>
      <c r="I1786" s="4"/>
      <c r="J1786" s="4" t="s">
        <v>59</v>
      </c>
      <c r="K1786" s="4" t="s">
        <v>58</v>
      </c>
      <c r="L1786" s="4" t="s">
        <v>57</v>
      </c>
      <c r="M1786" s="4" t="s">
        <v>32</v>
      </c>
      <c r="N1786" s="4" t="s">
        <v>106</v>
      </c>
      <c r="O1786" s="4" t="s">
        <v>105</v>
      </c>
      <c r="P1786" s="4" t="s">
        <v>1064</v>
      </c>
      <c r="Q1786" s="5">
        <v>30000</v>
      </c>
      <c r="R1786" s="10">
        <v>0</v>
      </c>
      <c r="S1786" s="9">
        <f t="shared" si="74"/>
        <v>30000</v>
      </c>
      <c r="T1786" s="4" t="s">
        <v>53</v>
      </c>
      <c r="U1786" s="4" t="s">
        <v>739</v>
      </c>
      <c r="V1786" s="4">
        <v>-3</v>
      </c>
      <c r="W1786" s="4" t="s">
        <v>124</v>
      </c>
      <c r="X1786" s="4"/>
      <c r="Y1786" s="4"/>
      <c r="Z1786" s="4" t="s">
        <v>14</v>
      </c>
      <c r="AA1786" s="36" t="str">
        <f t="shared" si="77"/>
        <v>371012 CWIP-QUARRY RAW MATERIAL SHED EXTENSION</v>
      </c>
      <c r="AB1786" s="4" t="str">
        <f t="shared" si="78"/>
        <v>RM SHED</v>
      </c>
      <c r="AC1786" s="22">
        <f t="shared" si="79"/>
        <v>11.764705882352942</v>
      </c>
      <c r="AD1786" s="23">
        <v>0</v>
      </c>
    </row>
    <row r="1787" spans="1:30" x14ac:dyDescent="0.35">
      <c r="A1787" s="4">
        <v>56352</v>
      </c>
      <c r="B1787" s="6">
        <v>46080.577060185184</v>
      </c>
      <c r="C1787" s="6">
        <v>46080</v>
      </c>
      <c r="D1787" s="4" t="s">
        <v>4003</v>
      </c>
      <c r="E1787" s="4" t="s">
        <v>61</v>
      </c>
      <c r="F1787" s="4" t="s">
        <v>4004</v>
      </c>
      <c r="G1787" s="4" t="s">
        <v>4004</v>
      </c>
      <c r="H1787" s="4"/>
      <c r="I1787" s="4"/>
      <c r="J1787" s="4" t="s">
        <v>59</v>
      </c>
      <c r="K1787" s="4" t="s">
        <v>58</v>
      </c>
      <c r="L1787" s="4" t="s">
        <v>57</v>
      </c>
      <c r="M1787" s="4" t="s">
        <v>32</v>
      </c>
      <c r="N1787" s="4" t="s">
        <v>106</v>
      </c>
      <c r="O1787" s="4" t="s">
        <v>105</v>
      </c>
      <c r="P1787" s="4" t="s">
        <v>1064</v>
      </c>
      <c r="Q1787" s="5">
        <v>2372881.2799999998</v>
      </c>
      <c r="R1787" s="10">
        <v>0</v>
      </c>
      <c r="S1787" s="9">
        <f t="shared" si="74"/>
        <v>2372881.2799999998</v>
      </c>
      <c r="T1787" s="4" t="s">
        <v>53</v>
      </c>
      <c r="U1787" s="4" t="s">
        <v>3271</v>
      </c>
      <c r="V1787" s="4">
        <v>-28</v>
      </c>
      <c r="W1787" s="4" t="s">
        <v>94</v>
      </c>
      <c r="X1787" s="4"/>
      <c r="Y1787" s="4"/>
      <c r="Z1787" s="4" t="s">
        <v>14</v>
      </c>
      <c r="AA1787" s="36" t="str">
        <f t="shared" si="77"/>
        <v>371012 CWIP-QUARRY RAW MATERIAL SHED EXTENSION</v>
      </c>
      <c r="AB1787" s="4" t="str">
        <f t="shared" si="78"/>
        <v>RM SHED</v>
      </c>
      <c r="AC1787" s="22">
        <f t="shared" si="79"/>
        <v>930.54167843137247</v>
      </c>
      <c r="AD1787" s="23">
        <v>0</v>
      </c>
    </row>
    <row r="1788" spans="1:30" x14ac:dyDescent="0.35">
      <c r="A1788" s="4">
        <v>52199</v>
      </c>
      <c r="B1788" s="6">
        <v>46078.602881944447</v>
      </c>
      <c r="C1788" s="6">
        <v>46078</v>
      </c>
      <c r="D1788" s="4" t="s">
        <v>4005</v>
      </c>
      <c r="E1788" s="4" t="s">
        <v>61</v>
      </c>
      <c r="F1788" s="4" t="s">
        <v>4006</v>
      </c>
      <c r="G1788" s="4" t="s">
        <v>4006</v>
      </c>
      <c r="H1788" s="4"/>
      <c r="I1788" s="4"/>
      <c r="J1788" s="4" t="s">
        <v>59</v>
      </c>
      <c r="K1788" s="4" t="s">
        <v>58</v>
      </c>
      <c r="L1788" s="4" t="s">
        <v>57</v>
      </c>
      <c r="M1788" s="4" t="s">
        <v>32</v>
      </c>
      <c r="N1788" s="4" t="s">
        <v>106</v>
      </c>
      <c r="O1788" s="4" t="s">
        <v>105</v>
      </c>
      <c r="P1788" s="4" t="s">
        <v>1064</v>
      </c>
      <c r="Q1788" s="5">
        <v>28500</v>
      </c>
      <c r="R1788" s="10">
        <v>0</v>
      </c>
      <c r="S1788" s="9">
        <f t="shared" si="74"/>
        <v>28500</v>
      </c>
      <c r="T1788" s="4" t="s">
        <v>53</v>
      </c>
      <c r="U1788" s="4" t="s">
        <v>154</v>
      </c>
      <c r="V1788" s="4">
        <v>-5</v>
      </c>
      <c r="W1788" s="4" t="s">
        <v>124</v>
      </c>
      <c r="X1788" s="4"/>
      <c r="Y1788" s="4"/>
      <c r="Z1788" s="4" t="s">
        <v>14</v>
      </c>
      <c r="AA1788" s="36" t="str">
        <f t="shared" si="77"/>
        <v>371012 CWIP-QUARRY RAW MATERIAL SHED EXTENSION</v>
      </c>
      <c r="AB1788" s="4" t="str">
        <f t="shared" si="78"/>
        <v>RM SHED</v>
      </c>
      <c r="AC1788" s="22">
        <f t="shared" si="79"/>
        <v>11.176470588235293</v>
      </c>
      <c r="AD1788" s="23">
        <v>0</v>
      </c>
    </row>
    <row r="1789" spans="1:30" x14ac:dyDescent="0.35">
      <c r="A1789" s="4">
        <v>52198</v>
      </c>
      <c r="B1789" s="6">
        <v>46078.602881944447</v>
      </c>
      <c r="C1789" s="6">
        <v>46078</v>
      </c>
      <c r="D1789" s="4" t="s">
        <v>4007</v>
      </c>
      <c r="E1789" s="4" t="s">
        <v>61</v>
      </c>
      <c r="F1789" s="4" t="s">
        <v>4008</v>
      </c>
      <c r="G1789" s="4" t="s">
        <v>4008</v>
      </c>
      <c r="H1789" s="4"/>
      <c r="I1789" s="4"/>
      <c r="J1789" s="4" t="s">
        <v>59</v>
      </c>
      <c r="K1789" s="4" t="s">
        <v>58</v>
      </c>
      <c r="L1789" s="4" t="s">
        <v>57</v>
      </c>
      <c r="M1789" s="4" t="s">
        <v>32</v>
      </c>
      <c r="N1789" s="4" t="s">
        <v>106</v>
      </c>
      <c r="O1789" s="4" t="s">
        <v>105</v>
      </c>
      <c r="P1789" s="4" t="s">
        <v>1064</v>
      </c>
      <c r="Q1789" s="5">
        <v>114000</v>
      </c>
      <c r="R1789" s="10">
        <v>0</v>
      </c>
      <c r="S1789" s="9">
        <f t="shared" si="74"/>
        <v>114000</v>
      </c>
      <c r="T1789" s="4" t="s">
        <v>53</v>
      </c>
      <c r="U1789" s="4" t="s">
        <v>151</v>
      </c>
      <c r="V1789" s="4">
        <v>-20</v>
      </c>
      <c r="W1789" s="4" t="s">
        <v>124</v>
      </c>
      <c r="X1789" s="4"/>
      <c r="Y1789" s="4"/>
      <c r="Z1789" s="4" t="s">
        <v>14</v>
      </c>
      <c r="AA1789" s="36" t="str">
        <f t="shared" si="77"/>
        <v>371012 CWIP-QUARRY RAW MATERIAL SHED EXTENSION</v>
      </c>
      <c r="AB1789" s="4" t="str">
        <f t="shared" si="78"/>
        <v>RM SHED</v>
      </c>
      <c r="AC1789" s="22">
        <f t="shared" si="79"/>
        <v>44.705882352941174</v>
      </c>
      <c r="AD1789" s="23">
        <v>0</v>
      </c>
    </row>
    <row r="1790" spans="1:30" x14ac:dyDescent="0.35">
      <c r="A1790" s="4">
        <v>52196</v>
      </c>
      <c r="B1790" s="6">
        <v>46078.602881944447</v>
      </c>
      <c r="C1790" s="6">
        <v>46078</v>
      </c>
      <c r="D1790" s="4" t="s">
        <v>4009</v>
      </c>
      <c r="E1790" s="4" t="s">
        <v>61</v>
      </c>
      <c r="F1790" s="4" t="s">
        <v>4010</v>
      </c>
      <c r="G1790" s="4" t="s">
        <v>4010</v>
      </c>
      <c r="H1790" s="4"/>
      <c r="I1790" s="4"/>
      <c r="J1790" s="4" t="s">
        <v>59</v>
      </c>
      <c r="K1790" s="4" t="s">
        <v>58</v>
      </c>
      <c r="L1790" s="4" t="s">
        <v>57</v>
      </c>
      <c r="M1790" s="4" t="s">
        <v>32</v>
      </c>
      <c r="N1790" s="4" t="s">
        <v>106</v>
      </c>
      <c r="O1790" s="4" t="s">
        <v>105</v>
      </c>
      <c r="P1790" s="4" t="s">
        <v>1064</v>
      </c>
      <c r="Q1790" s="5">
        <v>700000</v>
      </c>
      <c r="R1790" s="10">
        <v>0</v>
      </c>
      <c r="S1790" s="9">
        <f t="shared" si="74"/>
        <v>700000</v>
      </c>
      <c r="T1790" s="4" t="s">
        <v>53</v>
      </c>
      <c r="U1790" s="4" t="s">
        <v>148</v>
      </c>
      <c r="V1790" s="4">
        <v>-100</v>
      </c>
      <c r="W1790" s="4" t="s">
        <v>94</v>
      </c>
      <c r="X1790" s="4"/>
      <c r="Y1790" s="4"/>
      <c r="Z1790" s="4" t="s">
        <v>14</v>
      </c>
      <c r="AA1790" s="36" t="str">
        <f t="shared" si="77"/>
        <v>371012 CWIP-QUARRY RAW MATERIAL SHED EXTENSION</v>
      </c>
      <c r="AB1790" s="4" t="str">
        <f t="shared" si="78"/>
        <v>RM SHED</v>
      </c>
      <c r="AC1790" s="22">
        <f t="shared" si="79"/>
        <v>274.50980392156862</v>
      </c>
      <c r="AD1790" s="23">
        <v>0</v>
      </c>
    </row>
    <row r="1791" spans="1:30" x14ac:dyDescent="0.35">
      <c r="A1791" s="4">
        <v>52194</v>
      </c>
      <c r="B1791" s="6">
        <v>46078.602881944447</v>
      </c>
      <c r="C1791" s="6">
        <v>46078</v>
      </c>
      <c r="D1791" s="4" t="s">
        <v>4011</v>
      </c>
      <c r="E1791" s="4" t="s">
        <v>61</v>
      </c>
      <c r="F1791" s="4" t="s">
        <v>4012</v>
      </c>
      <c r="G1791" s="4" t="s">
        <v>4012</v>
      </c>
      <c r="H1791" s="4"/>
      <c r="I1791" s="4"/>
      <c r="J1791" s="4" t="s">
        <v>59</v>
      </c>
      <c r="K1791" s="4" t="s">
        <v>58</v>
      </c>
      <c r="L1791" s="4" t="s">
        <v>57</v>
      </c>
      <c r="M1791" s="4" t="s">
        <v>32</v>
      </c>
      <c r="N1791" s="4" t="s">
        <v>106</v>
      </c>
      <c r="O1791" s="4" t="s">
        <v>105</v>
      </c>
      <c r="P1791" s="4" t="s">
        <v>1064</v>
      </c>
      <c r="Q1791" s="5">
        <v>844067.76</v>
      </c>
      <c r="R1791" s="10">
        <v>0</v>
      </c>
      <c r="S1791" s="9">
        <f t="shared" si="74"/>
        <v>844067.76</v>
      </c>
      <c r="T1791" s="4" t="s">
        <v>53</v>
      </c>
      <c r="U1791" s="4" t="s">
        <v>165</v>
      </c>
      <c r="V1791" s="4">
        <v>-24</v>
      </c>
      <c r="W1791" s="4" t="s">
        <v>94</v>
      </c>
      <c r="X1791" s="4"/>
      <c r="Y1791" s="4"/>
      <c r="Z1791" s="4" t="s">
        <v>14</v>
      </c>
      <c r="AA1791" s="36" t="str">
        <f t="shared" si="77"/>
        <v>371012 CWIP-QUARRY RAW MATERIAL SHED EXTENSION</v>
      </c>
      <c r="AB1791" s="4" t="str">
        <f t="shared" si="78"/>
        <v>RM SHED</v>
      </c>
      <c r="AC1791" s="22">
        <f t="shared" si="79"/>
        <v>331.00696470588235</v>
      </c>
      <c r="AD1791" s="23">
        <v>0</v>
      </c>
    </row>
    <row r="1792" spans="1:30" x14ac:dyDescent="0.35">
      <c r="A1792" s="4">
        <v>47081</v>
      </c>
      <c r="B1792" s="6">
        <v>46077.593680555554</v>
      </c>
      <c r="C1792" s="6">
        <v>46077</v>
      </c>
      <c r="D1792" s="4" t="s">
        <v>4013</v>
      </c>
      <c r="E1792" s="4" t="s">
        <v>61</v>
      </c>
      <c r="F1792" s="4" t="s">
        <v>4014</v>
      </c>
      <c r="G1792" s="4" t="s">
        <v>4014</v>
      </c>
      <c r="H1792" s="4"/>
      <c r="I1792" s="4"/>
      <c r="J1792" s="4" t="s">
        <v>59</v>
      </c>
      <c r="K1792" s="4" t="s">
        <v>58</v>
      </c>
      <c r="L1792" s="4" t="s">
        <v>57</v>
      </c>
      <c r="M1792" s="4" t="s">
        <v>32</v>
      </c>
      <c r="N1792" s="4" t="s">
        <v>106</v>
      </c>
      <c r="O1792" s="4" t="s">
        <v>105</v>
      </c>
      <c r="P1792" s="4" t="s">
        <v>1064</v>
      </c>
      <c r="Q1792" s="5">
        <v>5000</v>
      </c>
      <c r="R1792" s="10">
        <v>0</v>
      </c>
      <c r="S1792" s="9">
        <f t="shared" si="74"/>
        <v>5000</v>
      </c>
      <c r="T1792" s="4" t="s">
        <v>53</v>
      </c>
      <c r="U1792" s="4" t="s">
        <v>4015</v>
      </c>
      <c r="V1792" s="4">
        <v>-2</v>
      </c>
      <c r="W1792" s="4" t="s">
        <v>94</v>
      </c>
      <c r="X1792" s="4"/>
      <c r="Y1792" s="4"/>
      <c r="Z1792" s="4" t="s">
        <v>14</v>
      </c>
      <c r="AA1792" s="36" t="str">
        <f t="shared" si="77"/>
        <v>371012 CWIP-QUARRY RAW MATERIAL SHED EXTENSION</v>
      </c>
      <c r="AB1792" s="4" t="str">
        <f t="shared" si="78"/>
        <v>RM SHED</v>
      </c>
      <c r="AC1792" s="22">
        <f t="shared" si="79"/>
        <v>1.9607843137254901</v>
      </c>
      <c r="AD1792" s="23">
        <v>0</v>
      </c>
    </row>
    <row r="1793" spans="1:30" x14ac:dyDescent="0.35">
      <c r="A1793" s="4">
        <v>47079</v>
      </c>
      <c r="B1793" s="6">
        <v>46077.593680555554</v>
      </c>
      <c r="C1793" s="6">
        <v>46077</v>
      </c>
      <c r="D1793" s="4" t="s">
        <v>4016</v>
      </c>
      <c r="E1793" s="4" t="s">
        <v>61</v>
      </c>
      <c r="F1793" s="4" t="s">
        <v>4017</v>
      </c>
      <c r="G1793" s="4" t="s">
        <v>4017</v>
      </c>
      <c r="H1793" s="4"/>
      <c r="I1793" s="4"/>
      <c r="J1793" s="4" t="s">
        <v>59</v>
      </c>
      <c r="K1793" s="4" t="s">
        <v>58</v>
      </c>
      <c r="L1793" s="4" t="s">
        <v>57</v>
      </c>
      <c r="M1793" s="4" t="s">
        <v>32</v>
      </c>
      <c r="N1793" s="4" t="s">
        <v>106</v>
      </c>
      <c r="O1793" s="4" t="s">
        <v>105</v>
      </c>
      <c r="P1793" s="4" t="s">
        <v>1064</v>
      </c>
      <c r="Q1793" s="5">
        <v>3968.1</v>
      </c>
      <c r="R1793" s="10">
        <v>0</v>
      </c>
      <c r="S1793" s="9">
        <f t="shared" si="74"/>
        <v>3968.1</v>
      </c>
      <c r="T1793" s="4" t="s">
        <v>53</v>
      </c>
      <c r="U1793" s="4" t="s">
        <v>4018</v>
      </c>
      <c r="V1793" s="4">
        <v>-2</v>
      </c>
      <c r="W1793" s="4" t="s">
        <v>4019</v>
      </c>
      <c r="X1793" s="4"/>
      <c r="Y1793" s="4"/>
      <c r="Z1793" s="4" t="s">
        <v>14</v>
      </c>
      <c r="AA1793" s="36" t="str">
        <f t="shared" si="77"/>
        <v>371012 CWIP-QUARRY RAW MATERIAL SHED EXTENSION</v>
      </c>
      <c r="AB1793" s="4" t="str">
        <f t="shared" si="78"/>
        <v>RM SHED</v>
      </c>
      <c r="AC1793" s="22">
        <f t="shared" si="79"/>
        <v>1.5561176470588234</v>
      </c>
      <c r="AD1793" s="23">
        <v>0</v>
      </c>
    </row>
    <row r="1794" spans="1:30" x14ac:dyDescent="0.35">
      <c r="A1794" s="4">
        <v>36741</v>
      </c>
      <c r="B1794" s="6">
        <v>46072.614571759259</v>
      </c>
      <c r="C1794" s="6">
        <v>46072</v>
      </c>
      <c r="D1794" s="4" t="s">
        <v>4020</v>
      </c>
      <c r="E1794" s="4" t="s">
        <v>61</v>
      </c>
      <c r="F1794" s="4" t="s">
        <v>4021</v>
      </c>
      <c r="G1794" s="4" t="s">
        <v>4021</v>
      </c>
      <c r="H1794" s="4"/>
      <c r="I1794" s="4"/>
      <c r="J1794" s="4" t="s">
        <v>59</v>
      </c>
      <c r="K1794" s="4" t="s">
        <v>58</v>
      </c>
      <c r="L1794" s="4" t="s">
        <v>57</v>
      </c>
      <c r="M1794" s="4" t="s">
        <v>32</v>
      </c>
      <c r="N1794" s="4" t="s">
        <v>106</v>
      </c>
      <c r="O1794" s="4" t="s">
        <v>105</v>
      </c>
      <c r="P1794" s="4" t="s">
        <v>1064</v>
      </c>
      <c r="Q1794" s="5">
        <v>28500</v>
      </c>
      <c r="R1794" s="10">
        <v>0</v>
      </c>
      <c r="S1794" s="9">
        <f t="shared" si="74"/>
        <v>28500</v>
      </c>
      <c r="T1794" s="4" t="s">
        <v>53</v>
      </c>
      <c r="U1794" s="4" t="s">
        <v>154</v>
      </c>
      <c r="V1794" s="4">
        <v>-5</v>
      </c>
      <c r="W1794" s="4" t="s">
        <v>124</v>
      </c>
      <c r="X1794" s="4"/>
      <c r="Y1794" s="4"/>
      <c r="Z1794" s="4" t="s">
        <v>14</v>
      </c>
      <c r="AA1794" s="36" t="str">
        <f t="shared" si="77"/>
        <v>371012 CWIP-QUARRY RAW MATERIAL SHED EXTENSION</v>
      </c>
      <c r="AB1794" s="4" t="str">
        <f t="shared" si="78"/>
        <v>RM SHED</v>
      </c>
      <c r="AC1794" s="22">
        <f t="shared" si="79"/>
        <v>11.176470588235293</v>
      </c>
      <c r="AD1794" s="23">
        <v>0</v>
      </c>
    </row>
    <row r="1795" spans="1:30" x14ac:dyDescent="0.35">
      <c r="A1795" s="4">
        <v>36739</v>
      </c>
      <c r="B1795" s="6">
        <v>46072.614571759259</v>
      </c>
      <c r="C1795" s="6">
        <v>46072</v>
      </c>
      <c r="D1795" s="4" t="s">
        <v>4022</v>
      </c>
      <c r="E1795" s="4" t="s">
        <v>61</v>
      </c>
      <c r="F1795" s="4" t="s">
        <v>4023</v>
      </c>
      <c r="G1795" s="4" t="s">
        <v>4023</v>
      </c>
      <c r="H1795" s="4"/>
      <c r="I1795" s="4"/>
      <c r="J1795" s="4" t="s">
        <v>59</v>
      </c>
      <c r="K1795" s="4" t="s">
        <v>58</v>
      </c>
      <c r="L1795" s="4" t="s">
        <v>57</v>
      </c>
      <c r="M1795" s="4" t="s">
        <v>32</v>
      </c>
      <c r="N1795" s="4" t="s">
        <v>106</v>
      </c>
      <c r="O1795" s="4" t="s">
        <v>105</v>
      </c>
      <c r="P1795" s="4" t="s">
        <v>1064</v>
      </c>
      <c r="Q1795" s="5">
        <v>21923.16</v>
      </c>
      <c r="R1795" s="10">
        <v>0</v>
      </c>
      <c r="S1795" s="9">
        <f t="shared" ref="S1795:S1812" si="80">+Q1795-R1795</f>
        <v>21923.16</v>
      </c>
      <c r="T1795" s="4" t="s">
        <v>53</v>
      </c>
      <c r="U1795" s="4" t="s">
        <v>703</v>
      </c>
      <c r="V1795" s="4">
        <v>-5</v>
      </c>
      <c r="W1795" s="4" t="s">
        <v>124</v>
      </c>
      <c r="X1795" s="4"/>
      <c r="Y1795" s="4"/>
      <c r="Z1795" s="4" t="s">
        <v>14</v>
      </c>
      <c r="AA1795" s="36" t="str">
        <f t="shared" si="77"/>
        <v>371012 CWIP-QUARRY RAW MATERIAL SHED EXTENSION</v>
      </c>
      <c r="AB1795" s="4" t="str">
        <f t="shared" si="78"/>
        <v>RM SHED</v>
      </c>
      <c r="AC1795" s="22">
        <f t="shared" si="79"/>
        <v>8.5973176470588228</v>
      </c>
      <c r="AD1795" s="23">
        <v>0</v>
      </c>
    </row>
    <row r="1796" spans="1:30" x14ac:dyDescent="0.35">
      <c r="A1796" s="4">
        <v>27477</v>
      </c>
      <c r="B1796" s="6">
        <v>46067.534745370373</v>
      </c>
      <c r="C1796" s="6">
        <v>46067</v>
      </c>
      <c r="D1796" s="4" t="s">
        <v>4024</v>
      </c>
      <c r="E1796" s="4" t="s">
        <v>61</v>
      </c>
      <c r="F1796" s="4" t="s">
        <v>4025</v>
      </c>
      <c r="G1796" s="4" t="s">
        <v>4025</v>
      </c>
      <c r="H1796" s="4"/>
      <c r="I1796" s="4"/>
      <c r="J1796" s="4" t="s">
        <v>59</v>
      </c>
      <c r="K1796" s="4" t="s">
        <v>58</v>
      </c>
      <c r="L1796" s="4" t="s">
        <v>57</v>
      </c>
      <c r="M1796" s="4" t="s">
        <v>32</v>
      </c>
      <c r="N1796" s="4" t="s">
        <v>106</v>
      </c>
      <c r="O1796" s="4" t="s">
        <v>105</v>
      </c>
      <c r="P1796" s="4" t="s">
        <v>1064</v>
      </c>
      <c r="Q1796" s="5">
        <v>57000</v>
      </c>
      <c r="R1796" s="10">
        <v>0</v>
      </c>
      <c r="S1796" s="9">
        <f t="shared" si="80"/>
        <v>57000</v>
      </c>
      <c r="T1796" s="4" t="s">
        <v>53</v>
      </c>
      <c r="U1796" s="4" t="s">
        <v>151</v>
      </c>
      <c r="V1796" s="4">
        <v>-10</v>
      </c>
      <c r="W1796" s="4" t="s">
        <v>124</v>
      </c>
      <c r="X1796" s="4"/>
      <c r="Y1796" s="4"/>
      <c r="Z1796" s="4" t="s">
        <v>14</v>
      </c>
      <c r="AA1796" s="36" t="str">
        <f t="shared" si="77"/>
        <v>371012 CWIP-QUARRY RAW MATERIAL SHED EXTENSION</v>
      </c>
      <c r="AB1796" s="4" t="str">
        <f t="shared" si="78"/>
        <v>RM SHED</v>
      </c>
      <c r="AC1796" s="22">
        <f t="shared" si="79"/>
        <v>22.352941176470587</v>
      </c>
      <c r="AD1796" s="23">
        <v>0</v>
      </c>
    </row>
    <row r="1797" spans="1:30" x14ac:dyDescent="0.35">
      <c r="A1797" s="4">
        <v>27476</v>
      </c>
      <c r="B1797" s="6">
        <v>46067.534745370373</v>
      </c>
      <c r="C1797" s="6">
        <v>46067</v>
      </c>
      <c r="D1797" s="4" t="s">
        <v>4026</v>
      </c>
      <c r="E1797" s="4" t="s">
        <v>61</v>
      </c>
      <c r="F1797" s="4" t="s">
        <v>4027</v>
      </c>
      <c r="G1797" s="4" t="s">
        <v>4027</v>
      </c>
      <c r="H1797" s="4"/>
      <c r="I1797" s="4"/>
      <c r="J1797" s="4" t="s">
        <v>59</v>
      </c>
      <c r="K1797" s="4" t="s">
        <v>58</v>
      </c>
      <c r="L1797" s="4" t="s">
        <v>57</v>
      </c>
      <c r="M1797" s="4" t="s">
        <v>32</v>
      </c>
      <c r="N1797" s="4" t="s">
        <v>106</v>
      </c>
      <c r="O1797" s="4" t="s">
        <v>105</v>
      </c>
      <c r="P1797" s="4" t="s">
        <v>1064</v>
      </c>
      <c r="Q1797" s="5">
        <v>350000</v>
      </c>
      <c r="R1797" s="10">
        <v>0</v>
      </c>
      <c r="S1797" s="9">
        <f t="shared" si="80"/>
        <v>350000</v>
      </c>
      <c r="T1797" s="4" t="s">
        <v>53</v>
      </c>
      <c r="U1797" s="4" t="s">
        <v>148</v>
      </c>
      <c r="V1797" s="4">
        <v>-50</v>
      </c>
      <c r="W1797" s="4" t="s">
        <v>94</v>
      </c>
      <c r="X1797" s="4"/>
      <c r="Y1797" s="4"/>
      <c r="Z1797" s="4" t="s">
        <v>14</v>
      </c>
      <c r="AA1797" s="36" t="str">
        <f t="shared" si="77"/>
        <v>371012 CWIP-QUARRY RAW MATERIAL SHED EXTENSION</v>
      </c>
      <c r="AB1797" s="4" t="str">
        <f t="shared" si="78"/>
        <v>RM SHED</v>
      </c>
      <c r="AC1797" s="22">
        <f t="shared" si="79"/>
        <v>137.25490196078431</v>
      </c>
      <c r="AD1797" s="23">
        <v>0</v>
      </c>
    </row>
    <row r="1798" spans="1:30" x14ac:dyDescent="0.35">
      <c r="A1798" s="4">
        <v>27473</v>
      </c>
      <c r="B1798" s="6">
        <v>46067.534745370373</v>
      </c>
      <c r="C1798" s="6">
        <v>46067</v>
      </c>
      <c r="D1798" s="4" t="s">
        <v>4028</v>
      </c>
      <c r="E1798" s="4" t="s">
        <v>61</v>
      </c>
      <c r="F1798" s="4" t="s">
        <v>4029</v>
      </c>
      <c r="G1798" s="4" t="s">
        <v>4029</v>
      </c>
      <c r="H1798" s="4"/>
      <c r="I1798" s="4"/>
      <c r="J1798" s="4" t="s">
        <v>59</v>
      </c>
      <c r="K1798" s="4" t="s">
        <v>58</v>
      </c>
      <c r="L1798" s="4" t="s">
        <v>57</v>
      </c>
      <c r="M1798" s="4" t="s">
        <v>32</v>
      </c>
      <c r="N1798" s="4" t="s">
        <v>106</v>
      </c>
      <c r="O1798" s="4" t="s">
        <v>105</v>
      </c>
      <c r="P1798" s="4" t="s">
        <v>1064</v>
      </c>
      <c r="Q1798" s="5">
        <v>21923.16</v>
      </c>
      <c r="R1798" s="10">
        <v>0</v>
      </c>
      <c r="S1798" s="9">
        <f t="shared" si="80"/>
        <v>21923.16</v>
      </c>
      <c r="T1798" s="4" t="s">
        <v>53</v>
      </c>
      <c r="U1798" s="4" t="s">
        <v>703</v>
      </c>
      <c r="V1798" s="4">
        <v>-5</v>
      </c>
      <c r="W1798" s="4" t="s">
        <v>124</v>
      </c>
      <c r="X1798" s="4"/>
      <c r="Y1798" s="4"/>
      <c r="Z1798" s="4" t="s">
        <v>14</v>
      </c>
      <c r="AA1798" s="36" t="str">
        <f t="shared" si="77"/>
        <v>371012 CWIP-QUARRY RAW MATERIAL SHED EXTENSION</v>
      </c>
      <c r="AB1798" s="4" t="str">
        <f t="shared" si="78"/>
        <v>RM SHED</v>
      </c>
      <c r="AC1798" s="22">
        <f t="shared" si="79"/>
        <v>8.5973176470588228</v>
      </c>
      <c r="AD1798" s="23">
        <v>0</v>
      </c>
    </row>
    <row r="1799" spans="1:30" x14ac:dyDescent="0.35">
      <c r="A1799" s="4">
        <v>12064</v>
      </c>
      <c r="B1799" s="6">
        <v>46060.530868055554</v>
      </c>
      <c r="C1799" s="6">
        <v>46060</v>
      </c>
      <c r="D1799" s="4" t="s">
        <v>4030</v>
      </c>
      <c r="E1799" s="4" t="s">
        <v>61</v>
      </c>
      <c r="F1799" s="4" t="s">
        <v>4031</v>
      </c>
      <c r="G1799" s="4" t="s">
        <v>4031</v>
      </c>
      <c r="H1799" s="4"/>
      <c r="I1799" s="4"/>
      <c r="J1799" s="4" t="s">
        <v>59</v>
      </c>
      <c r="K1799" s="4" t="s">
        <v>58</v>
      </c>
      <c r="L1799" s="4" t="s">
        <v>57</v>
      </c>
      <c r="M1799" s="4" t="s">
        <v>32</v>
      </c>
      <c r="N1799" s="4" t="s">
        <v>106</v>
      </c>
      <c r="O1799" s="4" t="s">
        <v>105</v>
      </c>
      <c r="P1799" s="4" t="s">
        <v>1064</v>
      </c>
      <c r="Q1799" s="5">
        <v>114000</v>
      </c>
      <c r="R1799" s="10">
        <v>0</v>
      </c>
      <c r="S1799" s="9">
        <f t="shared" si="80"/>
        <v>114000</v>
      </c>
      <c r="T1799" s="4" t="s">
        <v>53</v>
      </c>
      <c r="U1799" s="4" t="s">
        <v>151</v>
      </c>
      <c r="V1799" s="4">
        <v>-20</v>
      </c>
      <c r="W1799" s="4" t="s">
        <v>124</v>
      </c>
      <c r="X1799" s="4"/>
      <c r="Y1799" s="4"/>
      <c r="Z1799" s="4" t="s">
        <v>14</v>
      </c>
      <c r="AA1799" s="36" t="str">
        <f t="shared" si="77"/>
        <v>371012 CWIP-QUARRY RAW MATERIAL SHED EXTENSION</v>
      </c>
      <c r="AB1799" s="4" t="str">
        <f t="shared" si="78"/>
        <v>RM SHED</v>
      </c>
      <c r="AC1799" s="22">
        <f t="shared" si="79"/>
        <v>44.705882352941174</v>
      </c>
      <c r="AD1799" s="23">
        <v>0</v>
      </c>
    </row>
    <row r="1800" spans="1:30" x14ac:dyDescent="0.35">
      <c r="A1800" s="4">
        <v>12062</v>
      </c>
      <c r="B1800" s="6">
        <v>46060.530868055554</v>
      </c>
      <c r="C1800" s="6">
        <v>46060</v>
      </c>
      <c r="D1800" s="4" t="s">
        <v>4032</v>
      </c>
      <c r="E1800" s="4" t="s">
        <v>61</v>
      </c>
      <c r="F1800" s="4" t="s">
        <v>4033</v>
      </c>
      <c r="G1800" s="4" t="s">
        <v>4033</v>
      </c>
      <c r="H1800" s="4"/>
      <c r="I1800" s="4"/>
      <c r="J1800" s="4" t="s">
        <v>59</v>
      </c>
      <c r="K1800" s="4" t="s">
        <v>58</v>
      </c>
      <c r="L1800" s="4" t="s">
        <v>57</v>
      </c>
      <c r="M1800" s="4" t="s">
        <v>32</v>
      </c>
      <c r="N1800" s="4" t="s">
        <v>106</v>
      </c>
      <c r="O1800" s="4" t="s">
        <v>105</v>
      </c>
      <c r="P1800" s="4" t="s">
        <v>1064</v>
      </c>
      <c r="Q1800" s="5">
        <v>504000</v>
      </c>
      <c r="R1800" s="10">
        <v>0</v>
      </c>
      <c r="S1800" s="9">
        <f t="shared" si="80"/>
        <v>504000</v>
      </c>
      <c r="T1800" s="4" t="s">
        <v>53</v>
      </c>
      <c r="U1800" s="4" t="s">
        <v>148</v>
      </c>
      <c r="V1800" s="4">
        <v>-72</v>
      </c>
      <c r="W1800" s="4" t="s">
        <v>94</v>
      </c>
      <c r="X1800" s="4"/>
      <c r="Y1800" s="4"/>
      <c r="Z1800" s="4" t="s">
        <v>14</v>
      </c>
      <c r="AA1800" s="36" t="str">
        <f t="shared" si="77"/>
        <v>371012 CWIP-QUARRY RAW MATERIAL SHED EXTENSION</v>
      </c>
      <c r="AB1800" s="4" t="str">
        <f t="shared" si="78"/>
        <v>RM SHED</v>
      </c>
      <c r="AC1800" s="22">
        <f t="shared" si="79"/>
        <v>197.64705882352942</v>
      </c>
      <c r="AD1800" s="23">
        <v>0</v>
      </c>
    </row>
    <row r="1801" spans="1:30" x14ac:dyDescent="0.35">
      <c r="A1801" s="4">
        <v>12060</v>
      </c>
      <c r="B1801" s="6">
        <v>46060.530868055554</v>
      </c>
      <c r="C1801" s="6">
        <v>46060</v>
      </c>
      <c r="D1801" s="4" t="s">
        <v>4034</v>
      </c>
      <c r="E1801" s="4" t="s">
        <v>61</v>
      </c>
      <c r="F1801" s="4" t="s">
        <v>4035</v>
      </c>
      <c r="G1801" s="4" t="s">
        <v>4035</v>
      </c>
      <c r="H1801" s="4"/>
      <c r="I1801" s="4"/>
      <c r="J1801" s="4" t="s">
        <v>59</v>
      </c>
      <c r="K1801" s="4" t="s">
        <v>58</v>
      </c>
      <c r="L1801" s="4" t="s">
        <v>57</v>
      </c>
      <c r="M1801" s="4" t="s">
        <v>32</v>
      </c>
      <c r="N1801" s="4" t="s">
        <v>106</v>
      </c>
      <c r="O1801" s="4" t="s">
        <v>105</v>
      </c>
      <c r="P1801" s="4" t="s">
        <v>1064</v>
      </c>
      <c r="Q1801" s="5">
        <v>633050.81999999995</v>
      </c>
      <c r="R1801" s="10">
        <v>0</v>
      </c>
      <c r="S1801" s="9">
        <f t="shared" si="80"/>
        <v>633050.81999999995</v>
      </c>
      <c r="T1801" s="4" t="s">
        <v>53</v>
      </c>
      <c r="U1801" s="4" t="s">
        <v>165</v>
      </c>
      <c r="V1801" s="4">
        <v>-18</v>
      </c>
      <c r="W1801" s="4" t="s">
        <v>94</v>
      </c>
      <c r="X1801" s="4"/>
      <c r="Y1801" s="4"/>
      <c r="Z1801" s="4" t="s">
        <v>14</v>
      </c>
      <c r="AA1801" s="36" t="str">
        <f t="shared" si="77"/>
        <v>371012 CWIP-QUARRY RAW MATERIAL SHED EXTENSION</v>
      </c>
      <c r="AB1801" s="4" t="str">
        <f t="shared" si="78"/>
        <v>RM SHED</v>
      </c>
      <c r="AC1801" s="22">
        <f t="shared" si="79"/>
        <v>248.25522352941175</v>
      </c>
      <c r="AD1801" s="23">
        <v>0</v>
      </c>
    </row>
    <row r="1802" spans="1:30" x14ac:dyDescent="0.35">
      <c r="A1802" s="4">
        <v>12057</v>
      </c>
      <c r="B1802" s="6">
        <v>46060.530868055554</v>
      </c>
      <c r="C1802" s="6">
        <v>46060</v>
      </c>
      <c r="D1802" s="4" t="s">
        <v>4036</v>
      </c>
      <c r="E1802" s="4" t="s">
        <v>61</v>
      </c>
      <c r="F1802" s="4" t="s">
        <v>4037</v>
      </c>
      <c r="G1802" s="4" t="s">
        <v>4037</v>
      </c>
      <c r="H1802" s="4"/>
      <c r="I1802" s="4"/>
      <c r="J1802" s="4" t="s">
        <v>59</v>
      </c>
      <c r="K1802" s="4" t="s">
        <v>58</v>
      </c>
      <c r="L1802" s="4" t="s">
        <v>57</v>
      </c>
      <c r="M1802" s="4" t="s">
        <v>32</v>
      </c>
      <c r="N1802" s="4" t="s">
        <v>106</v>
      </c>
      <c r="O1802" s="4" t="s">
        <v>105</v>
      </c>
      <c r="P1802" s="4" t="s">
        <v>1064</v>
      </c>
      <c r="Q1802" s="5">
        <v>25000</v>
      </c>
      <c r="R1802" s="10">
        <v>0</v>
      </c>
      <c r="S1802" s="9">
        <f t="shared" si="80"/>
        <v>25000</v>
      </c>
      <c r="T1802" s="4" t="s">
        <v>53</v>
      </c>
      <c r="U1802" s="4" t="s">
        <v>3823</v>
      </c>
      <c r="V1802" s="4">
        <v>-5</v>
      </c>
      <c r="W1802" s="4" t="s">
        <v>124</v>
      </c>
      <c r="X1802" s="4"/>
      <c r="Y1802" s="4"/>
      <c r="Z1802" s="4" t="s">
        <v>14</v>
      </c>
      <c r="AA1802" s="36" t="str">
        <f t="shared" si="77"/>
        <v>371012 CWIP-QUARRY RAW MATERIAL SHED EXTENSION</v>
      </c>
      <c r="AB1802" s="4" t="str">
        <f t="shared" si="78"/>
        <v>RM SHED</v>
      </c>
      <c r="AC1802" s="22">
        <f t="shared" si="79"/>
        <v>9.8039215686274517</v>
      </c>
      <c r="AD1802" s="23">
        <v>0</v>
      </c>
    </row>
    <row r="1803" spans="1:30" x14ac:dyDescent="0.35">
      <c r="A1803" s="4">
        <v>9693</v>
      </c>
      <c r="B1803" s="6">
        <v>46059.599120370367</v>
      </c>
      <c r="C1803" s="6">
        <v>46059</v>
      </c>
      <c r="D1803" s="4" t="s">
        <v>4038</v>
      </c>
      <c r="E1803" s="4" t="s">
        <v>61</v>
      </c>
      <c r="F1803" s="4" t="s">
        <v>4039</v>
      </c>
      <c r="G1803" s="4" t="s">
        <v>4039</v>
      </c>
      <c r="H1803" s="4"/>
      <c r="I1803" s="4"/>
      <c r="J1803" s="4" t="s">
        <v>59</v>
      </c>
      <c r="K1803" s="4" t="s">
        <v>58</v>
      </c>
      <c r="L1803" s="4" t="s">
        <v>57</v>
      </c>
      <c r="M1803" s="4" t="s">
        <v>32</v>
      </c>
      <c r="N1803" s="4" t="s">
        <v>106</v>
      </c>
      <c r="O1803" s="4" t="s">
        <v>105</v>
      </c>
      <c r="P1803" s="4" t="s">
        <v>1064</v>
      </c>
      <c r="Q1803" s="5">
        <v>27366</v>
      </c>
      <c r="R1803" s="10">
        <v>0</v>
      </c>
      <c r="S1803" s="9">
        <f t="shared" si="80"/>
        <v>27366</v>
      </c>
      <c r="T1803" s="4" t="s">
        <v>53</v>
      </c>
      <c r="U1803" s="4" t="s">
        <v>739</v>
      </c>
      <c r="V1803" s="4">
        <v>-2.75</v>
      </c>
      <c r="W1803" s="4" t="s">
        <v>124</v>
      </c>
      <c r="X1803" s="4"/>
      <c r="Y1803" s="4"/>
      <c r="Z1803" s="4" t="s">
        <v>14</v>
      </c>
      <c r="AA1803" s="36" t="str">
        <f t="shared" si="77"/>
        <v>371012 CWIP-QUARRY RAW MATERIAL SHED EXTENSION</v>
      </c>
      <c r="AB1803" s="4" t="str">
        <f t="shared" si="78"/>
        <v>RM SHED</v>
      </c>
      <c r="AC1803" s="22">
        <f t="shared" si="79"/>
        <v>10.731764705882354</v>
      </c>
      <c r="AD1803" s="23">
        <v>0</v>
      </c>
    </row>
    <row r="1804" spans="1:30" x14ac:dyDescent="0.35">
      <c r="A1804" s="4">
        <v>2680</v>
      </c>
      <c r="B1804" s="6">
        <v>46056.625914351855</v>
      </c>
      <c r="C1804" s="6">
        <v>46056</v>
      </c>
      <c r="D1804" s="4" t="s">
        <v>4040</v>
      </c>
      <c r="E1804" s="4" t="s">
        <v>61</v>
      </c>
      <c r="F1804" s="4" t="s">
        <v>4041</v>
      </c>
      <c r="G1804" s="4" t="s">
        <v>4041</v>
      </c>
      <c r="H1804" s="4"/>
      <c r="I1804" s="4"/>
      <c r="J1804" s="4" t="s">
        <v>59</v>
      </c>
      <c r="K1804" s="4" t="s">
        <v>58</v>
      </c>
      <c r="L1804" s="4" t="s">
        <v>57</v>
      </c>
      <c r="M1804" s="4" t="s">
        <v>32</v>
      </c>
      <c r="N1804" s="4" t="s">
        <v>106</v>
      </c>
      <c r="O1804" s="4" t="s">
        <v>105</v>
      </c>
      <c r="P1804" s="4" t="s">
        <v>1064</v>
      </c>
      <c r="Q1804" s="5">
        <v>57000</v>
      </c>
      <c r="R1804" s="10">
        <v>0</v>
      </c>
      <c r="S1804" s="9">
        <f t="shared" si="80"/>
        <v>57000</v>
      </c>
      <c r="T1804" s="4" t="s">
        <v>53</v>
      </c>
      <c r="U1804" s="4" t="s">
        <v>151</v>
      </c>
      <c r="V1804" s="4">
        <v>-10</v>
      </c>
      <c r="W1804" s="4" t="s">
        <v>124</v>
      </c>
      <c r="X1804" s="4"/>
      <c r="Y1804" s="4"/>
      <c r="Z1804" s="4" t="s">
        <v>14</v>
      </c>
      <c r="AA1804" s="36" t="str">
        <f t="shared" si="77"/>
        <v>371012 CWIP-QUARRY RAW MATERIAL SHED EXTENSION</v>
      </c>
      <c r="AB1804" s="4" t="str">
        <f t="shared" si="78"/>
        <v>RM SHED</v>
      </c>
      <c r="AC1804" s="22">
        <f t="shared" si="79"/>
        <v>22.352941176470587</v>
      </c>
      <c r="AD1804" s="23">
        <v>0</v>
      </c>
    </row>
    <row r="1805" spans="1:30" x14ac:dyDescent="0.35">
      <c r="A1805" s="4">
        <v>2678</v>
      </c>
      <c r="B1805" s="6">
        <v>46056.625914351855</v>
      </c>
      <c r="C1805" s="6">
        <v>46056</v>
      </c>
      <c r="D1805" s="4" t="s">
        <v>4042</v>
      </c>
      <c r="E1805" s="4" t="s">
        <v>61</v>
      </c>
      <c r="F1805" s="4" t="s">
        <v>4043</v>
      </c>
      <c r="G1805" s="4" t="s">
        <v>4043</v>
      </c>
      <c r="H1805" s="4"/>
      <c r="I1805" s="4"/>
      <c r="J1805" s="4" t="s">
        <v>59</v>
      </c>
      <c r="K1805" s="4" t="s">
        <v>58</v>
      </c>
      <c r="L1805" s="4" t="s">
        <v>57</v>
      </c>
      <c r="M1805" s="4" t="s">
        <v>32</v>
      </c>
      <c r="N1805" s="4" t="s">
        <v>106</v>
      </c>
      <c r="O1805" s="4" t="s">
        <v>105</v>
      </c>
      <c r="P1805" s="4" t="s">
        <v>1064</v>
      </c>
      <c r="Q1805" s="5">
        <v>25000</v>
      </c>
      <c r="R1805" s="10">
        <v>0</v>
      </c>
      <c r="S1805" s="9">
        <f t="shared" si="80"/>
        <v>25000</v>
      </c>
      <c r="T1805" s="4" t="s">
        <v>53</v>
      </c>
      <c r="U1805" s="4" t="s">
        <v>3823</v>
      </c>
      <c r="V1805" s="4">
        <v>-5</v>
      </c>
      <c r="W1805" s="4" t="s">
        <v>124</v>
      </c>
      <c r="X1805" s="4"/>
      <c r="Y1805" s="4"/>
      <c r="Z1805" s="4" t="s">
        <v>14</v>
      </c>
      <c r="AA1805" s="36" t="str">
        <f t="shared" si="77"/>
        <v>371012 CWIP-QUARRY RAW MATERIAL SHED EXTENSION</v>
      </c>
      <c r="AB1805" s="4" t="str">
        <f t="shared" si="78"/>
        <v>RM SHED</v>
      </c>
      <c r="AC1805" s="22">
        <f t="shared" si="79"/>
        <v>9.8039215686274517</v>
      </c>
      <c r="AD1805" s="23">
        <v>0</v>
      </c>
    </row>
    <row r="1806" spans="1:30" x14ac:dyDescent="0.35">
      <c r="A1806" s="4">
        <v>2670</v>
      </c>
      <c r="B1806" s="6">
        <v>46056.62771990741</v>
      </c>
      <c r="C1806" s="6">
        <v>46056</v>
      </c>
      <c r="D1806" s="4" t="s">
        <v>4044</v>
      </c>
      <c r="E1806" s="4" t="s">
        <v>61</v>
      </c>
      <c r="F1806" s="4" t="s">
        <v>4045</v>
      </c>
      <c r="G1806" s="4" t="s">
        <v>4045</v>
      </c>
      <c r="H1806" s="4"/>
      <c r="I1806" s="4"/>
      <c r="J1806" s="4" t="s">
        <v>59</v>
      </c>
      <c r="K1806" s="4" t="s">
        <v>58</v>
      </c>
      <c r="L1806" s="4" t="s">
        <v>57</v>
      </c>
      <c r="M1806" s="4" t="s">
        <v>32</v>
      </c>
      <c r="N1806" s="4" t="s">
        <v>106</v>
      </c>
      <c r="O1806" s="4" t="s">
        <v>105</v>
      </c>
      <c r="P1806" s="4" t="s">
        <v>1064</v>
      </c>
      <c r="Q1806" s="5">
        <v>10851400</v>
      </c>
      <c r="R1806" s="10">
        <v>0</v>
      </c>
      <c r="S1806" s="9">
        <f t="shared" si="80"/>
        <v>10851400</v>
      </c>
      <c r="T1806" s="4" t="s">
        <v>53</v>
      </c>
      <c r="U1806" s="4" t="s">
        <v>184</v>
      </c>
      <c r="V1806" s="4">
        <v>-217028</v>
      </c>
      <c r="W1806" s="4" t="s">
        <v>124</v>
      </c>
      <c r="X1806" s="4"/>
      <c r="Y1806" s="4"/>
      <c r="Z1806" s="4" t="s">
        <v>14</v>
      </c>
      <c r="AA1806" s="36" t="str">
        <f t="shared" si="77"/>
        <v>371012 CWIP-QUARRY RAW MATERIAL SHED EXTENSION</v>
      </c>
      <c r="AB1806" s="4" t="str">
        <f t="shared" si="78"/>
        <v>RM SHED</v>
      </c>
      <c r="AC1806" s="22">
        <f t="shared" si="79"/>
        <v>4255.4509803921565</v>
      </c>
      <c r="AD1806" s="23">
        <v>0</v>
      </c>
    </row>
    <row r="1807" spans="1:30" x14ac:dyDescent="0.35">
      <c r="A1807" s="4">
        <v>1234</v>
      </c>
      <c r="B1807" s="6">
        <v>46055.584363425929</v>
      </c>
      <c r="C1807" s="6">
        <v>46055</v>
      </c>
      <c r="D1807" s="4" t="s">
        <v>4046</v>
      </c>
      <c r="E1807" s="4" t="s">
        <v>61</v>
      </c>
      <c r="F1807" s="4" t="s">
        <v>4047</v>
      </c>
      <c r="G1807" s="4" t="s">
        <v>4047</v>
      </c>
      <c r="H1807" s="4"/>
      <c r="I1807" s="4"/>
      <c r="J1807" s="4" t="s">
        <v>59</v>
      </c>
      <c r="K1807" s="4" t="s">
        <v>58</v>
      </c>
      <c r="L1807" s="4" t="s">
        <v>57</v>
      </c>
      <c r="M1807" s="4" t="s">
        <v>32</v>
      </c>
      <c r="N1807" s="4" t="s">
        <v>106</v>
      </c>
      <c r="O1807" s="4" t="s">
        <v>105</v>
      </c>
      <c r="P1807" s="4" t="s">
        <v>1064</v>
      </c>
      <c r="Q1807" s="5">
        <v>34200</v>
      </c>
      <c r="R1807" s="10">
        <v>0</v>
      </c>
      <c r="S1807" s="9">
        <f t="shared" si="80"/>
        <v>34200</v>
      </c>
      <c r="T1807" s="4" t="s">
        <v>53</v>
      </c>
      <c r="U1807" s="4" t="s">
        <v>154</v>
      </c>
      <c r="V1807" s="4">
        <v>-6</v>
      </c>
      <c r="W1807" s="4" t="s">
        <v>124</v>
      </c>
      <c r="X1807" s="4"/>
      <c r="Y1807" s="4"/>
      <c r="Z1807" s="4" t="s">
        <v>14</v>
      </c>
      <c r="AA1807" s="36" t="str">
        <f t="shared" si="77"/>
        <v>371012 CWIP-QUARRY RAW MATERIAL SHED EXTENSION</v>
      </c>
      <c r="AB1807" s="4" t="str">
        <f t="shared" si="78"/>
        <v>RM SHED</v>
      </c>
      <c r="AC1807" s="22">
        <f t="shared" si="79"/>
        <v>13.411764705882353</v>
      </c>
      <c r="AD1807" s="23">
        <v>0</v>
      </c>
    </row>
    <row r="1808" spans="1:30" x14ac:dyDescent="0.35">
      <c r="A1808" s="4">
        <v>1231</v>
      </c>
      <c r="B1808" s="6">
        <v>46055.584363425929</v>
      </c>
      <c r="C1808" s="6">
        <v>46055</v>
      </c>
      <c r="D1808" s="4" t="s">
        <v>4048</v>
      </c>
      <c r="E1808" s="4" t="s">
        <v>61</v>
      </c>
      <c r="F1808" s="4" t="s">
        <v>4049</v>
      </c>
      <c r="G1808" s="4" t="s">
        <v>4049</v>
      </c>
      <c r="H1808" s="4"/>
      <c r="I1808" s="4"/>
      <c r="J1808" s="4" t="s">
        <v>59</v>
      </c>
      <c r="K1808" s="4" t="s">
        <v>58</v>
      </c>
      <c r="L1808" s="4" t="s">
        <v>57</v>
      </c>
      <c r="M1808" s="4" t="s">
        <v>32</v>
      </c>
      <c r="N1808" s="4" t="s">
        <v>106</v>
      </c>
      <c r="O1808" s="4" t="s">
        <v>105</v>
      </c>
      <c r="P1808" s="4" t="s">
        <v>1064</v>
      </c>
      <c r="Q1808" s="5">
        <v>350000</v>
      </c>
      <c r="R1808" s="10">
        <v>0</v>
      </c>
      <c r="S1808" s="9">
        <f t="shared" si="80"/>
        <v>350000</v>
      </c>
      <c r="T1808" s="4" t="s">
        <v>53</v>
      </c>
      <c r="U1808" s="4" t="s">
        <v>148</v>
      </c>
      <c r="V1808" s="4">
        <v>-50</v>
      </c>
      <c r="W1808" s="4" t="s">
        <v>94</v>
      </c>
      <c r="X1808" s="4"/>
      <c r="Y1808" s="4"/>
      <c r="Z1808" s="4" t="s">
        <v>14</v>
      </c>
      <c r="AA1808" s="36" t="str">
        <f t="shared" si="77"/>
        <v>371012 CWIP-QUARRY RAW MATERIAL SHED EXTENSION</v>
      </c>
      <c r="AB1808" s="4" t="str">
        <f t="shared" si="78"/>
        <v>RM SHED</v>
      </c>
      <c r="AC1808" s="22">
        <f t="shared" si="79"/>
        <v>137.25490196078431</v>
      </c>
      <c r="AD1808" s="23">
        <v>0</v>
      </c>
    </row>
    <row r="1809" spans="1:30" x14ac:dyDescent="0.35">
      <c r="A1809" s="4">
        <v>1207</v>
      </c>
      <c r="B1809" s="6">
        <v>46055.590254629627</v>
      </c>
      <c r="C1809" s="6">
        <v>46055</v>
      </c>
      <c r="D1809" s="4" t="s">
        <v>4050</v>
      </c>
      <c r="E1809" s="4" t="s">
        <v>61</v>
      </c>
      <c r="F1809" s="4" t="s">
        <v>4051</v>
      </c>
      <c r="G1809" s="4" t="s">
        <v>4051</v>
      </c>
      <c r="H1809" s="4"/>
      <c r="I1809" s="4"/>
      <c r="J1809" s="4" t="s">
        <v>59</v>
      </c>
      <c r="K1809" s="4" t="s">
        <v>58</v>
      </c>
      <c r="L1809" s="4" t="s">
        <v>57</v>
      </c>
      <c r="M1809" s="4" t="s">
        <v>32</v>
      </c>
      <c r="N1809" s="4" t="s">
        <v>106</v>
      </c>
      <c r="O1809" s="4" t="s">
        <v>105</v>
      </c>
      <c r="P1809" s="4" t="s">
        <v>1064</v>
      </c>
      <c r="Q1809" s="5">
        <v>9720000</v>
      </c>
      <c r="R1809" s="10">
        <v>0</v>
      </c>
      <c r="S1809" s="9">
        <f t="shared" si="80"/>
        <v>9720000</v>
      </c>
      <c r="T1809" s="4" t="s">
        <v>53</v>
      </c>
      <c r="U1809" s="4" t="s">
        <v>339</v>
      </c>
      <c r="V1809" s="4">
        <v>-90</v>
      </c>
      <c r="W1809" s="4" t="s">
        <v>338</v>
      </c>
      <c r="X1809" s="4"/>
      <c r="Y1809" s="4"/>
      <c r="Z1809" s="4" t="s">
        <v>14</v>
      </c>
      <c r="AA1809" s="36" t="str">
        <f t="shared" si="77"/>
        <v>371012 CWIP-QUARRY RAW MATERIAL SHED EXTENSION</v>
      </c>
      <c r="AB1809" s="4" t="str">
        <f t="shared" si="78"/>
        <v>RM SHED</v>
      </c>
      <c r="AC1809" s="22">
        <f t="shared" si="79"/>
        <v>3811.7647058823532</v>
      </c>
      <c r="AD1809" s="23">
        <v>0</v>
      </c>
    </row>
    <row r="1810" spans="1:30" x14ac:dyDescent="0.35">
      <c r="A1810" s="4">
        <v>40738</v>
      </c>
      <c r="B1810" s="6">
        <v>46074.475439814814</v>
      </c>
      <c r="C1810" s="6">
        <v>46074</v>
      </c>
      <c r="D1810" s="4" t="s">
        <v>4052</v>
      </c>
      <c r="E1810" s="4" t="s">
        <v>61</v>
      </c>
      <c r="F1810" s="4" t="s">
        <v>4053</v>
      </c>
      <c r="G1810" s="4" t="s">
        <v>4053</v>
      </c>
      <c r="H1810" s="4"/>
      <c r="I1810" s="4"/>
      <c r="J1810" s="4" t="s">
        <v>59</v>
      </c>
      <c r="K1810" s="4" t="s">
        <v>58</v>
      </c>
      <c r="L1810" s="4" t="s">
        <v>57</v>
      </c>
      <c r="M1810" s="4" t="s">
        <v>32</v>
      </c>
      <c r="N1810" s="4" t="s">
        <v>96</v>
      </c>
      <c r="O1810" s="4" t="s">
        <v>68</v>
      </c>
      <c r="P1810" s="4" t="s">
        <v>1064</v>
      </c>
      <c r="Q1810" s="5">
        <v>213023.18</v>
      </c>
      <c r="R1810" s="10">
        <v>0</v>
      </c>
      <c r="S1810" s="9">
        <f t="shared" si="80"/>
        <v>213023.18</v>
      </c>
      <c r="T1810" s="4" t="s">
        <v>53</v>
      </c>
      <c r="U1810" s="4" t="s">
        <v>130</v>
      </c>
      <c r="V1810" s="4">
        <v>-15</v>
      </c>
      <c r="W1810" s="4" t="s">
        <v>129</v>
      </c>
      <c r="X1810" s="4"/>
      <c r="Y1810" s="4"/>
      <c r="Z1810" s="4" t="s">
        <v>14</v>
      </c>
      <c r="AA1810" s="36" t="str">
        <f t="shared" si="77"/>
        <v>371052 CWIP-ROAD PHASE 07</v>
      </c>
      <c r="AB1810" s="4" t="str">
        <f t="shared" si="78"/>
        <v>ROADS</v>
      </c>
      <c r="AC1810" s="22">
        <f t="shared" si="79"/>
        <v>83.538501960784316</v>
      </c>
      <c r="AD1810" s="23">
        <v>0</v>
      </c>
    </row>
    <row r="1811" spans="1:30" x14ac:dyDescent="0.35">
      <c r="A1811" s="4">
        <v>2667</v>
      </c>
      <c r="B1811" s="6">
        <v>46056.627974537034</v>
      </c>
      <c r="C1811" s="6">
        <v>46056</v>
      </c>
      <c r="D1811" s="4" t="s">
        <v>4054</v>
      </c>
      <c r="E1811" s="4" t="s">
        <v>61</v>
      </c>
      <c r="F1811" s="4" t="s">
        <v>4055</v>
      </c>
      <c r="G1811" s="4" t="s">
        <v>4055</v>
      </c>
      <c r="H1811" s="4"/>
      <c r="I1811" s="4"/>
      <c r="J1811" s="4" t="s">
        <v>59</v>
      </c>
      <c r="K1811" s="4" t="s">
        <v>58</v>
      </c>
      <c r="L1811" s="4" t="s">
        <v>57</v>
      </c>
      <c r="M1811" s="4" t="s">
        <v>32</v>
      </c>
      <c r="N1811" s="4" t="s">
        <v>96</v>
      </c>
      <c r="O1811" s="4" t="s">
        <v>68</v>
      </c>
      <c r="P1811" s="4" t="s">
        <v>1064</v>
      </c>
      <c r="Q1811" s="5">
        <v>12401600</v>
      </c>
      <c r="R1811" s="10">
        <v>0</v>
      </c>
      <c r="S1811" s="9">
        <f t="shared" si="80"/>
        <v>12401600</v>
      </c>
      <c r="T1811" s="4" t="s">
        <v>53</v>
      </c>
      <c r="U1811" s="4" t="s">
        <v>184</v>
      </c>
      <c r="V1811" s="4">
        <v>-248032</v>
      </c>
      <c r="W1811" s="4" t="s">
        <v>124</v>
      </c>
      <c r="X1811" s="4"/>
      <c r="Y1811" s="4"/>
      <c r="Z1811" s="4" t="s">
        <v>14</v>
      </c>
      <c r="AA1811" s="36" t="str">
        <f t="shared" si="77"/>
        <v>371052 CWIP-ROAD PHASE 07</v>
      </c>
      <c r="AB1811" s="4" t="str">
        <f t="shared" si="78"/>
        <v>ROADS</v>
      </c>
      <c r="AC1811" s="22">
        <f t="shared" si="79"/>
        <v>4863.3725490196075</v>
      </c>
      <c r="AD1811" s="23">
        <v>0</v>
      </c>
    </row>
    <row r="1812" spans="1:30" x14ac:dyDescent="0.35">
      <c r="A1812" s="4">
        <v>1209</v>
      </c>
      <c r="B1812" s="6">
        <v>46055.589282407411</v>
      </c>
      <c r="C1812" s="6">
        <v>46055</v>
      </c>
      <c r="D1812" s="4" t="s">
        <v>4056</v>
      </c>
      <c r="E1812" s="4" t="s">
        <v>61</v>
      </c>
      <c r="F1812" s="4" t="s">
        <v>4057</v>
      </c>
      <c r="G1812" s="4" t="s">
        <v>4057</v>
      </c>
      <c r="H1812" s="4"/>
      <c r="I1812" s="4"/>
      <c r="J1812" s="4" t="s">
        <v>59</v>
      </c>
      <c r="K1812" s="4" t="s">
        <v>58</v>
      </c>
      <c r="L1812" s="4" t="s">
        <v>57</v>
      </c>
      <c r="M1812" s="4" t="s">
        <v>32</v>
      </c>
      <c r="N1812" s="4" t="s">
        <v>96</v>
      </c>
      <c r="O1812" s="4" t="s">
        <v>68</v>
      </c>
      <c r="P1812" s="4" t="s">
        <v>1064</v>
      </c>
      <c r="Q1812" s="5">
        <v>10869120</v>
      </c>
      <c r="R1812" s="10">
        <v>0</v>
      </c>
      <c r="S1812" s="9">
        <f t="shared" si="80"/>
        <v>10869120</v>
      </c>
      <c r="T1812" s="4" t="s">
        <v>53</v>
      </c>
      <c r="U1812" s="4" t="s">
        <v>339</v>
      </c>
      <c r="V1812" s="4">
        <v>-100.64</v>
      </c>
      <c r="W1812" s="4" t="s">
        <v>338</v>
      </c>
      <c r="X1812" s="4"/>
      <c r="Y1812" s="4"/>
      <c r="Z1812" s="4" t="s">
        <v>14</v>
      </c>
      <c r="AA1812" s="36" t="str">
        <f t="shared" si="77"/>
        <v>371052 CWIP-ROAD PHASE 07</v>
      </c>
      <c r="AB1812" s="4" t="str">
        <f t="shared" si="78"/>
        <v>ROADS</v>
      </c>
      <c r="AC1812" s="22">
        <f t="shared" si="79"/>
        <v>4262.3999999999996</v>
      </c>
      <c r="AD1812" s="23">
        <v>0</v>
      </c>
    </row>
  </sheetData>
  <autoFilter ref="A2:AD1812" xr:uid="{2CD144D7-8A75-4031-948A-5DE317A7F203}">
    <filterColumn colId="27">
      <filters>
        <filter val="2200 TPD Commissioning"/>
        <filter val="MINING LAND"/>
        <filter val="OPC Project"/>
        <filter val="OTHERS"/>
        <filter val="RM SHED"/>
        <filter val="ROADS"/>
        <filter val="WALL"/>
      </filters>
    </filterColumn>
  </autoFilter>
  <conditionalFormatting sqref="D969 D368:D831">
    <cfRule type="duplicateValues" dxfId="50" priority="8"/>
  </conditionalFormatting>
  <conditionalFormatting sqref="D1058:D1067">
    <cfRule type="duplicateValues" dxfId="49" priority="7"/>
  </conditionalFormatting>
  <conditionalFormatting sqref="D1068:D1070">
    <cfRule type="duplicateValues" dxfId="48" priority="6"/>
  </conditionalFormatting>
  <conditionalFormatting sqref="D1386:D1492">
    <cfRule type="duplicateValues" dxfId="47" priority="12"/>
  </conditionalFormatting>
  <conditionalFormatting sqref="D1578:D1639">
    <cfRule type="duplicateValues" dxfId="46" priority="3"/>
  </conditionalFormatting>
  <conditionalFormatting sqref="D1677:D1734">
    <cfRule type="duplicateValues" dxfId="45" priority="2"/>
  </conditionalFormatting>
  <conditionalFormatting sqref="D1768:D1812">
    <cfRule type="duplicateValues" dxfId="44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 vs Actual</vt:lpstr>
      <vt:lpstr>Summary</vt:lpstr>
      <vt:lpstr>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 Dogra</dc:creator>
  <cp:lastModifiedBy>Sankalp Jaithalia</cp:lastModifiedBy>
  <cp:lastPrinted>2025-12-04T13:07:57Z</cp:lastPrinted>
  <dcterms:created xsi:type="dcterms:W3CDTF">2025-10-11T06:32:53Z</dcterms:created>
  <dcterms:modified xsi:type="dcterms:W3CDTF">2026-03-09T16:44:27Z</dcterms:modified>
</cp:coreProperties>
</file>