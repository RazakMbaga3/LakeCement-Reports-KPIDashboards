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onthly reports\2026\Feb 2026\"/>
    </mc:Choice>
  </mc:AlternateContent>
  <xr:revisionPtr revIDLastSave="0" documentId="13_ncr:1_{04615D2A-8888-4EDC-A3BD-F0E3975E78AF}" xr6:coauthVersionLast="36" xr6:coauthVersionMax="47" xr10:uidLastSave="{00000000-0000-0000-0000-000000000000}"/>
  <bookViews>
    <workbookView xWindow="0" yWindow="0" windowWidth="20490" windowHeight="6945" activeTab="2" xr2:uid="{00000000-000D-0000-FFFF-FFFF00000000}"/>
  </bookViews>
  <sheets>
    <sheet name="KIMBIJI" sheetId="1" r:id="rId1"/>
    <sheet name="HO" sheetId="2" r:id="rId2"/>
    <sheet name="STATUS" sheetId="3" r:id="rId3"/>
  </sheets>
  <definedNames>
    <definedName name="_xlnm._FilterDatabase" localSheetId="1" hidden="1">HO!$A$1:$J$5</definedName>
    <definedName name="_xlnm._FilterDatabase" localSheetId="0" hidden="1">KIMBIJI!$A$1:$J$261</definedName>
  </definedNames>
  <calcPr calcId="191029"/>
</workbook>
</file>

<file path=xl/calcChain.xml><?xml version="1.0" encoding="utf-8"?>
<calcChain xmlns="http://schemas.openxmlformats.org/spreadsheetml/2006/main">
  <c r="E8" i="3" l="1"/>
  <c r="L6" i="3"/>
  <c r="E18" i="3" l="1"/>
  <c r="I18" i="3" l="1"/>
  <c r="H18" i="3"/>
  <c r="D18" i="3"/>
  <c r="C18" i="3"/>
  <c r="C22" i="3" s="1"/>
  <c r="M17" i="3"/>
  <c r="L17" i="3"/>
  <c r="M16" i="3"/>
  <c r="L16" i="3"/>
  <c r="M14" i="3"/>
  <c r="L14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M4" i="3"/>
  <c r="L4" i="3"/>
  <c r="L18" i="3" l="1"/>
  <c r="M18" i="3"/>
  <c r="D22" i="3"/>
</calcChain>
</file>

<file path=xl/sharedStrings.xml><?xml version="1.0" encoding="utf-8"?>
<sst xmlns="http://schemas.openxmlformats.org/spreadsheetml/2006/main" count="2023" uniqueCount="806">
  <si>
    <t>EMPNO</t>
  </si>
  <si>
    <t>EMPNAME</t>
  </si>
  <si>
    <t>SEX</t>
  </si>
  <si>
    <t>DATEOFJOINING</t>
  </si>
  <si>
    <t>BRANCH NAME</t>
  </si>
  <si>
    <t>DEPARTMENT NAME</t>
  </si>
  <si>
    <t>CATEGORY NAME</t>
  </si>
  <si>
    <t>DESIGNATION NAME</t>
  </si>
  <si>
    <t>LCL/KIMB/831</t>
  </si>
  <si>
    <t>GRASIANA BERNARD TARIMO</t>
  </si>
  <si>
    <t>F</t>
  </si>
  <si>
    <t>KIMBIJI</t>
  </si>
  <si>
    <t>HR</t>
  </si>
  <si>
    <t>LOCAL</t>
  </si>
  <si>
    <t>HR OFFICER</t>
  </si>
  <si>
    <t>LCL/KIMB/1199</t>
  </si>
  <si>
    <t>FRED JOHN KIRESIA</t>
  </si>
  <si>
    <t>M</t>
  </si>
  <si>
    <t>LCL/KIMB/1343</t>
  </si>
  <si>
    <t>BENEDICT TIBELIUS KIMBUSU</t>
  </si>
  <si>
    <t>LCL/KIMB/1358</t>
  </si>
  <si>
    <t>LUCAS SYLVESTER  BANZI</t>
  </si>
  <si>
    <t>ELECTRICAL</t>
  </si>
  <si>
    <t>SENIOR TECHNICIAN</t>
  </si>
  <si>
    <t>LCL/KIMB/667</t>
  </si>
  <si>
    <t>SIMONI C. MWANAMWANI</t>
  </si>
  <si>
    <t>MECHANICAL</t>
  </si>
  <si>
    <t>LCL/KIMB/184</t>
  </si>
  <si>
    <t>HAMIS ZAKARIA WILLIAM</t>
  </si>
  <si>
    <t>LCL/KIMB/185</t>
  </si>
  <si>
    <t>ERASTO LUBINZA</t>
  </si>
  <si>
    <t>LCL/KIMB/306</t>
  </si>
  <si>
    <t>SAID MBINJE</t>
  </si>
  <si>
    <t>CAPTIVE  POWER PLANT</t>
  </si>
  <si>
    <t>LCL/KIMB/367</t>
  </si>
  <si>
    <t>EMMANUEL  MBIRO</t>
  </si>
  <si>
    <t>LCL/KIMB/278</t>
  </si>
  <si>
    <t>SYDNEY KALENGO</t>
  </si>
  <si>
    <t>LCL/KIMB/532</t>
  </si>
  <si>
    <t>JABIRI J. AMANI</t>
  </si>
  <si>
    <t>CIVIL</t>
  </si>
  <si>
    <t>ENGINEER</t>
  </si>
  <si>
    <t>LCL/KIMB/1077</t>
  </si>
  <si>
    <t>BARAKA INNOCENT KEYA</t>
  </si>
  <si>
    <t>QUARRYING</t>
  </si>
  <si>
    <t>LCL/KIMB/1304</t>
  </si>
  <si>
    <t>ABDULKARIM JUMA SULEIMAN</t>
  </si>
  <si>
    <t>QUALITY CONTROL[LAB]</t>
  </si>
  <si>
    <t>CHEMIST</t>
  </si>
  <si>
    <t>LCL/KIMB/1308</t>
  </si>
  <si>
    <t>KAIMU ATHUMANI MUKSINI</t>
  </si>
  <si>
    <t>LCL/KIMB/1309</t>
  </si>
  <si>
    <t>ELLY EBEN MUNUO</t>
  </si>
  <si>
    <t>LCL/KIMB/1331</t>
  </si>
  <si>
    <t>MATHAYO RICHARD KAYOMBO</t>
  </si>
  <si>
    <t>LCL/KIMB/1361</t>
  </si>
  <si>
    <t>ARON ODILO KARUGABA</t>
  </si>
  <si>
    <t>LCL/KIMB/995</t>
  </si>
  <si>
    <t>SAID B. HAMIS</t>
  </si>
  <si>
    <t>LCL/KIMB/416</t>
  </si>
  <si>
    <t>EDINA NZIKU</t>
  </si>
  <si>
    <t>LCL/KIMB/631</t>
  </si>
  <si>
    <t>SAIDI    HASANI SAID</t>
  </si>
  <si>
    <t>LCL/KIMB/309</t>
  </si>
  <si>
    <t>NORBERT MONDO</t>
  </si>
  <si>
    <t>LCL/KIMB/433</t>
  </si>
  <si>
    <t>WINNERS KANYAMHANYA</t>
  </si>
  <si>
    <t>WELDER</t>
  </si>
  <si>
    <t>LCL/KIMB/176</t>
  </si>
  <si>
    <t>PASCHAL NDILANA</t>
  </si>
  <si>
    <t>PLUMBER</t>
  </si>
  <si>
    <t>LCL/KIMB/835</t>
  </si>
  <si>
    <t>JATINDER SINGH DOGRA</t>
  </si>
  <si>
    <t>DISPATCH</t>
  </si>
  <si>
    <t>MANAGER</t>
  </si>
  <si>
    <t>LCL/HO/153</t>
  </si>
  <si>
    <t>ANKUSH CHAUDHARY</t>
  </si>
  <si>
    <t>HEAD OFFICE</t>
  </si>
  <si>
    <t>PURCHASE</t>
  </si>
  <si>
    <t>EXPAT</t>
  </si>
  <si>
    <t>LCL/KIMB/1367</t>
  </si>
  <si>
    <t>KHALFANI  ATHUMAN  KHALFANI</t>
  </si>
  <si>
    <t xml:space="preserve">TECHNICIAN </t>
  </si>
  <si>
    <t>LCL/KIMB/897</t>
  </si>
  <si>
    <t>MIRWARD B GAMA</t>
  </si>
  <si>
    <t>LCL/KIMB/914</t>
  </si>
  <si>
    <t>JOSEPH F. KARATA</t>
  </si>
  <si>
    <t>LCL/KIMB/728</t>
  </si>
  <si>
    <t>PIUS  MALUNDE</t>
  </si>
  <si>
    <t>LCL/KIMB/974</t>
  </si>
  <si>
    <t>ABDALLAH B. MOHAMED</t>
  </si>
  <si>
    <t>LCL/KIMB/931</t>
  </si>
  <si>
    <t>BAKARI B. MPEJE</t>
  </si>
  <si>
    <t>LCL/KIMB/378</t>
  </si>
  <si>
    <t>JOSEPH BATISTA NYEMBEKE</t>
  </si>
  <si>
    <t>LCL/KIMB/577</t>
  </si>
  <si>
    <t>HAMISI   MAHADHI</t>
  </si>
  <si>
    <t>LOADER</t>
  </si>
  <si>
    <t>LCL/KIMB/870</t>
  </si>
  <si>
    <t>JUMA I. NKONINGO</t>
  </si>
  <si>
    <t>LCL/KIMB/197</t>
  </si>
  <si>
    <t>STEPHEN PETER DAMALU</t>
  </si>
  <si>
    <t>DRIVER</t>
  </si>
  <si>
    <t>ADMIN</t>
  </si>
  <si>
    <t>LCL/KIMB/1065</t>
  </si>
  <si>
    <t>RAMADHANI H. SAID</t>
  </si>
  <si>
    <t>WEIGHT BRIDGE OFFICER</t>
  </si>
  <si>
    <t>LCL/KIMB/1094</t>
  </si>
  <si>
    <t>ABDUL-AZIZ H. PILLY</t>
  </si>
  <si>
    <t>LCL/KIMB/1095</t>
  </si>
  <si>
    <t>SHAN H. RAMADHANI</t>
  </si>
  <si>
    <t>LCL/KIMB/661</t>
  </si>
  <si>
    <t>MAULIDI S. NGOMILE</t>
  </si>
  <si>
    <t>LCL/KIMB/935</t>
  </si>
  <si>
    <t>REHEMA A. MWAFULA</t>
  </si>
  <si>
    <t>LCL/KIMB/1028</t>
  </si>
  <si>
    <t>JOYCE H. KILEO</t>
  </si>
  <si>
    <t>LCL/KIMB/600</t>
  </si>
  <si>
    <t>AWENA SHABANI HARUNA</t>
  </si>
  <si>
    <t>RECEPTIONIST</t>
  </si>
  <si>
    <t>LCL/KIMB/964</t>
  </si>
  <si>
    <t>SHABAN J. MASOUD</t>
  </si>
  <si>
    <t>LOGISTICS SUPERVISOR</t>
  </si>
  <si>
    <t>LCL/KIMB/765</t>
  </si>
  <si>
    <t>MAURICE CYRILL CHIFWILA</t>
  </si>
  <si>
    <t>BOILER OPERATOR</t>
  </si>
  <si>
    <t>LCL/KIMB/604</t>
  </si>
  <si>
    <t>FRANCIS  MWAIHOLA</t>
  </si>
  <si>
    <t>LCL/KIMB/1194</t>
  </si>
  <si>
    <t>GODFREY N. MPONDA</t>
  </si>
  <si>
    <t>LCL/HO/137</t>
  </si>
  <si>
    <t>LAURENT DEUSDEDIT KADEGE</t>
  </si>
  <si>
    <t>SALES &amp; MARKETING</t>
  </si>
  <si>
    <t>SALES OFFICER</t>
  </si>
  <si>
    <t>LCL/HO/110</t>
  </si>
  <si>
    <t>KAELA B. MARTIN</t>
  </si>
  <si>
    <t>LCL/HO/013</t>
  </si>
  <si>
    <t>ELIZA ANDREW  KIHWELE</t>
  </si>
  <si>
    <t>OFFICE ATTENDANT</t>
  </si>
  <si>
    <t>LCL/KIMB/535</t>
  </si>
  <si>
    <t>FRANK MAIMU</t>
  </si>
  <si>
    <t>PRODUCTION</t>
  </si>
  <si>
    <t>CCR OFFICER</t>
  </si>
  <si>
    <t>LCL/KIMB/194</t>
  </si>
  <si>
    <t>DANIEL NYANGELA</t>
  </si>
  <si>
    <t>LCL/KIMB/311</t>
  </si>
  <si>
    <t>EDWARD GABRIEL</t>
  </si>
  <si>
    <t>LCL/KIMB/219</t>
  </si>
  <si>
    <t>EZRA NTARE</t>
  </si>
  <si>
    <t>LCL/KIMB/1105</t>
  </si>
  <si>
    <t>PASCHAL HADLEHEM</t>
  </si>
  <si>
    <t>LCL/KIMB/1315</t>
  </si>
  <si>
    <t>SHIJA SHIGELA DARUSHI</t>
  </si>
  <si>
    <t>LCL/HO/086</t>
  </si>
  <si>
    <t>CASTOR J.  MBEHO</t>
  </si>
  <si>
    <t>ACCOUNTS</t>
  </si>
  <si>
    <t>ASSISTANT ACCOUNTS OFFICER</t>
  </si>
  <si>
    <t>LCL/KIMB/065</t>
  </si>
  <si>
    <t>SALEHE MOHAMED LUPAPURO</t>
  </si>
  <si>
    <t>STORE</t>
  </si>
  <si>
    <t>STORES CLERK</t>
  </si>
  <si>
    <t>LCL/KIMB/290</t>
  </si>
  <si>
    <t>SALUMU MADALA</t>
  </si>
  <si>
    <t>JUNIOR TECHNICIAN</t>
  </si>
  <si>
    <t>LCL/KIMB/701</t>
  </si>
  <si>
    <t>ELIASI MBWALE</t>
  </si>
  <si>
    <t>LCL/KIMB/1296</t>
  </si>
  <si>
    <t>RASHID MUSSA ABDALLAH</t>
  </si>
  <si>
    <t>LCL/KIMB/1340</t>
  </si>
  <si>
    <t>MSAMI KURIA KASSIM</t>
  </si>
  <si>
    <t>SECURITY OFFICER</t>
  </si>
  <si>
    <t>LCL/KIMB/921</t>
  </si>
  <si>
    <t>HALIMA H. MOHAMED</t>
  </si>
  <si>
    <t>LCL/KIMB/169</t>
  </si>
  <si>
    <t>ESAU JOHN CHENELA</t>
  </si>
  <si>
    <t>CRUSHER OPERATOR</t>
  </si>
  <si>
    <t>LCL/KIMB/192</t>
  </si>
  <si>
    <t>STEVEN MWITA</t>
  </si>
  <si>
    <t>PACKERS</t>
  </si>
  <si>
    <t>LCL/KIMB/400</t>
  </si>
  <si>
    <t>SAIDI BUNGARA</t>
  </si>
  <si>
    <t>LCL/KIMB/415</t>
  </si>
  <si>
    <t>PHILEMON MWAKYUSA</t>
  </si>
  <si>
    <t>LCL/KIMB/868</t>
  </si>
  <si>
    <t>JOHN M. MASEMO</t>
  </si>
  <si>
    <t>LCL/KIMB/869</t>
  </si>
  <si>
    <t>ISMAIL B. MAUYANGA</t>
  </si>
  <si>
    <t>LCL/KIMB/1312</t>
  </si>
  <si>
    <t>NORBERT CONSTANTINE SWAI</t>
  </si>
  <si>
    <t>ASS/MANAGER</t>
  </si>
  <si>
    <t>LCL/KIMB/119</t>
  </si>
  <si>
    <t>CARLOS NGATUNGA</t>
  </si>
  <si>
    <t>INSTRUMENTATION</t>
  </si>
  <si>
    <t>JUNIOR FOREMAN</t>
  </si>
  <si>
    <t>LCL/KIMB/223</t>
  </si>
  <si>
    <t>FRANK AMOSI</t>
  </si>
  <si>
    <t>LCL/KIMB/610</t>
  </si>
  <si>
    <t>YUDATHADEI MACHUMILANE</t>
  </si>
  <si>
    <t>ASSISTANT MANAGER</t>
  </si>
  <si>
    <t>LCL/KIMB/636</t>
  </si>
  <si>
    <t>SILVIA KITALY</t>
  </si>
  <si>
    <t>LCL/HO/139</t>
  </si>
  <si>
    <t>ANTHONY W. HIZZA</t>
  </si>
  <si>
    <t>LCL/KIMB/1002</t>
  </si>
  <si>
    <t>AMAN F. DAUDI</t>
  </si>
  <si>
    <t>LCL/KIMB/623</t>
  </si>
  <si>
    <t>BITIA F. KAIZA</t>
  </si>
  <si>
    <t>STATISTICAL ASSISTANT</t>
  </si>
  <si>
    <t>LCL/KIMB/579</t>
  </si>
  <si>
    <t>FREDY   G. MKUNDI</t>
  </si>
  <si>
    <t>ASS/STORE KEEPER</t>
  </si>
  <si>
    <t>LCL/KIMB/251</t>
  </si>
  <si>
    <t>GNVSVPRASADA RAO</t>
  </si>
  <si>
    <t>MILL OPERATOR</t>
  </si>
  <si>
    <t>LCL/KIMB/732</t>
  </si>
  <si>
    <t>PANKAJ KUMAR SINGH</t>
  </si>
  <si>
    <t>SHIFT ENGINEER  TURBINE</t>
  </si>
  <si>
    <t>LCL/LOG/1107</t>
  </si>
  <si>
    <t>SELEMAN S. MBAWALA</t>
  </si>
  <si>
    <t>SURFACE MINER OPERATOR</t>
  </si>
  <si>
    <t>LCL/KIMB/1351</t>
  </si>
  <si>
    <t>PETER JOHN CHIENELLA</t>
  </si>
  <si>
    <t>LCL/KIMB/051</t>
  </si>
  <si>
    <t>RAMAN. ANBARASAN</t>
  </si>
  <si>
    <t>MANAGER POWER PLANT</t>
  </si>
  <si>
    <t>LCL/KIMB/622</t>
  </si>
  <si>
    <t>NEMA MWAKIPANGA</t>
  </si>
  <si>
    <t>RECLAIMER OPERATOR</t>
  </si>
  <si>
    <t>LCL/KIMB/381</t>
  </si>
  <si>
    <t>MICHAEL KITUNDU</t>
  </si>
  <si>
    <t>SHIFT MANAGER</t>
  </si>
  <si>
    <t>LCL/KIMB/753</t>
  </si>
  <si>
    <t>SABINUS DANIEL LUDOTA</t>
  </si>
  <si>
    <t>FILTER MECHANICS</t>
  </si>
  <si>
    <t>LCL/KIMB/1332</t>
  </si>
  <si>
    <t>FIDES ISSAH TUMPALE</t>
  </si>
  <si>
    <t>TRAINEE CHEMIST</t>
  </si>
  <si>
    <t>LCL/KIMB/1378</t>
  </si>
  <si>
    <t>DIONIZ DICKSON</t>
  </si>
  <si>
    <t>LCL/KIMB/741</t>
  </si>
  <si>
    <t>VITALIS KAIZER</t>
  </si>
  <si>
    <t>MINES &amp; CRAUSHER OPERATOR</t>
  </si>
  <si>
    <t>LCL/KIMB/215</t>
  </si>
  <si>
    <t>MOSES MADOGO</t>
  </si>
  <si>
    <t>SENIOR OFFICER STORE</t>
  </si>
  <si>
    <t>LCL/KIMB/181</t>
  </si>
  <si>
    <t>AZIZI M. SANZEY</t>
  </si>
  <si>
    <t>DM PLANT OPERATOR</t>
  </si>
  <si>
    <t>LCL/KIMB/885</t>
  </si>
  <si>
    <t>KISHORKUMAR M. JADAV</t>
  </si>
  <si>
    <t>MANAGER OPRATION AND PLANNING</t>
  </si>
  <si>
    <t>LCL/KIMB/692</t>
  </si>
  <si>
    <t>CECILIA WAYA</t>
  </si>
  <si>
    <t>ASSISTANT ACCOUNTANT</t>
  </si>
  <si>
    <t>LCL/HO/084</t>
  </si>
  <si>
    <t>SHADRACK SANGA</t>
  </si>
  <si>
    <t>JUNIOR OFFICER- SOURCING</t>
  </si>
  <si>
    <t>LCL/KIMB/1139</t>
  </si>
  <si>
    <t>DAUD JOHN CHARLES</t>
  </si>
  <si>
    <t>HANDYMAN</t>
  </si>
  <si>
    <t>LCL/KIMB/746</t>
  </si>
  <si>
    <t>AMINA HAMADI SIWA</t>
  </si>
  <si>
    <t>SENIOR HR OFFICER</t>
  </si>
  <si>
    <t>LCL/KIMB/971</t>
  </si>
  <si>
    <t>RAVI UPPU</t>
  </si>
  <si>
    <t>CCR TECHNICIAN CLINKER COAL PROCESSING AND PREPARA</t>
  </si>
  <si>
    <t>LCL/HO/098</t>
  </si>
  <si>
    <t>PUNIT R. ASAWLA</t>
  </si>
  <si>
    <t>SR. ACCOUNTANT</t>
  </si>
  <si>
    <t>LCL/HO/104</t>
  </si>
  <si>
    <t>NIRAV H. OZA</t>
  </si>
  <si>
    <t>TECHNICAL CEMENT ROLLING MANAGER</t>
  </si>
  <si>
    <t>LCL/KIMB/1231</t>
  </si>
  <si>
    <t>GILBERT ALBERT LIMBUMBA</t>
  </si>
  <si>
    <t>PACKING PLANT SUPERVISOR</t>
  </si>
  <si>
    <t>LCL/KIMB/1278</t>
  </si>
  <si>
    <t>JOSEPH THOBIAS  LYIMO</t>
  </si>
  <si>
    <t>LCL/KIMB/1313</t>
  </si>
  <si>
    <t>MUNNA KATIKE</t>
  </si>
  <si>
    <t>CCR OPERATOR</t>
  </si>
  <si>
    <t>LCL/KIMB/968</t>
  </si>
  <si>
    <t>EDWARD G. BAKEBULA</t>
  </si>
  <si>
    <t>MECHANICS</t>
  </si>
  <si>
    <t>LCL/KIMB/125</t>
  </si>
  <si>
    <t>OMARY LUGENDO</t>
  </si>
  <si>
    <t>TURBEN FIELD OPERATOR</t>
  </si>
  <si>
    <t>LCL/KIMB/293</t>
  </si>
  <si>
    <t>PETER WANCHOKE MARIBA</t>
  </si>
  <si>
    <t>LCL/KIMB/071</t>
  </si>
  <si>
    <t>ARNOLD KADURI</t>
  </si>
  <si>
    <t>GEOLOGIST</t>
  </si>
  <si>
    <t>LCL/KIMB/212</t>
  </si>
  <si>
    <t>ACKLEY CHIWANGA</t>
  </si>
  <si>
    <t>WELDER CUM FITTER</t>
  </si>
  <si>
    <t>LCL/HO/154</t>
  </si>
  <si>
    <t>KARIM  HAKIM  MATAULA</t>
  </si>
  <si>
    <t>BACK OFFICE COORDINATOR</t>
  </si>
  <si>
    <t>LCL/HO/155</t>
  </si>
  <si>
    <t>ROBERT ELIUD JOB</t>
  </si>
  <si>
    <t>LCL/HO/156</t>
  </si>
  <si>
    <t>CARITAS ANANIA NZOWA</t>
  </si>
  <si>
    <t>LCL/HO/142</t>
  </si>
  <si>
    <t>KARALA G.  MLANDO</t>
  </si>
  <si>
    <t>LCL/HO/006</t>
  </si>
  <si>
    <t>INDRA PRATAP NARAIN  PATHAK</t>
  </si>
  <si>
    <t>CORPORATE</t>
  </si>
  <si>
    <t>STRATEGIC BUSINESS HEAD</t>
  </si>
  <si>
    <t>LCL/HO/007</t>
  </si>
  <si>
    <t>RAHUL CHANDRAKANT CHAUHAN</t>
  </si>
  <si>
    <t>COMPANY BUSINES SUPERVISION AND OPERATION MGT CONT</t>
  </si>
  <si>
    <t>LCL/KIMB/1037</t>
  </si>
  <si>
    <t>NICHOLAUS G.  KIHUMBE</t>
  </si>
  <si>
    <t>SENIOR SECURITY OFFICER</t>
  </si>
  <si>
    <t>LCL/KIMB/1040</t>
  </si>
  <si>
    <t>BISWAJEET MALLIK</t>
  </si>
  <si>
    <t>CHIEF PLANT OPERATIONS OFFICER</t>
  </si>
  <si>
    <t>LCL/KIMB/1041</t>
  </si>
  <si>
    <t>VIJAI S. CHOUHAN</t>
  </si>
  <si>
    <t>ELECTRICAL AND ELECTRONICS TECHNICIAN</t>
  </si>
  <si>
    <t>LCL/KIMB/1119</t>
  </si>
  <si>
    <t>AZIZ H. LINGILA</t>
  </si>
  <si>
    <t>STACKER/RECLAIMER OPERATOR</t>
  </si>
  <si>
    <t>ADMINISTRATION OFFICER</t>
  </si>
  <si>
    <t>LCL/HO/039</t>
  </si>
  <si>
    <t>ZAKIA BUSHIRI</t>
  </si>
  <si>
    <t>LCL/HO/004</t>
  </si>
  <si>
    <t>SARASWATHY S PALISERI</t>
  </si>
  <si>
    <t>GENERAL MANAGER</t>
  </si>
  <si>
    <t>LCL/KIMB/1063</t>
  </si>
  <si>
    <t>IBRAHIM NYAKIBOHA</t>
  </si>
  <si>
    <t>GEOLOGICAL TECHNICIAN</t>
  </si>
  <si>
    <t>LCL/KIMB/041</t>
  </si>
  <si>
    <t>TMADHUSUDHAN REDDY</t>
  </si>
  <si>
    <t xml:space="preserve">CEMENT QUALITY CONTROL SPECIALIST </t>
  </si>
  <si>
    <t>LCL/KIMB/1067</t>
  </si>
  <si>
    <t>SHEIK AHAMED GULAM</t>
  </si>
  <si>
    <t>POWER- PLANT HIGH PRESSURE BOILER TECHNICIAN</t>
  </si>
  <si>
    <t>LCL/KIMB/1225</t>
  </si>
  <si>
    <t>MALICK SOSTENESS SUNGU</t>
  </si>
  <si>
    <t>ELECTRICAL ENGINEER</t>
  </si>
  <si>
    <t>LCL/KIMB/1318</t>
  </si>
  <si>
    <t>ADAM ANDERSON DAUDI</t>
  </si>
  <si>
    <t>LCL/KIMB/1382</t>
  </si>
  <si>
    <t>ZAKARIA ZAKAYO LISSU</t>
  </si>
  <si>
    <t>MECHANICAL ENGINEER</t>
  </si>
  <si>
    <t>LCL/KIMB/1093</t>
  </si>
  <si>
    <t>LUKELO Z. MHAPA</t>
  </si>
  <si>
    <t>LCL/KIMB/1071</t>
  </si>
  <si>
    <t>MARTIN FAUSTIN NGALIKA</t>
  </si>
  <si>
    <t>WATER TREATMENT PLANT OPERATOR</t>
  </si>
  <si>
    <t>LCL/KIMB/1080</t>
  </si>
  <si>
    <t>VITAEL ELIKESENI MRINGO</t>
  </si>
  <si>
    <t>SENIOR ELECTRICAL TECHNICIAN</t>
  </si>
  <si>
    <t>LCL/KIMB/1169</t>
  </si>
  <si>
    <t>ABDI RAMADHANI ABDALLAH</t>
  </si>
  <si>
    <t>LCL/KIMB/1228</t>
  </si>
  <si>
    <t>DANIEL MAJEE PALMET</t>
  </si>
  <si>
    <t>LCL/KIMB/250</t>
  </si>
  <si>
    <t>CLAUS NYAHENGE</t>
  </si>
  <si>
    <t>LCL/KIMB/382</t>
  </si>
  <si>
    <t>HALPHANI NYANGASI</t>
  </si>
  <si>
    <t>LCL/KIMB/658</t>
  </si>
  <si>
    <t>MKUDE LUJELI</t>
  </si>
  <si>
    <t>LCL/HO/089</t>
  </si>
  <si>
    <t>FADHILI  YUSTAS</t>
  </si>
  <si>
    <t>SENIOR SALES EXCUTIVE</t>
  </si>
  <si>
    <t>LCL/LOG/998</t>
  </si>
  <si>
    <t>RAJABU A. MHAGAMA</t>
  </si>
  <si>
    <t>LOGISTIC DIVISION</t>
  </si>
  <si>
    <t>HEAVY VEHICLE DRIVER</t>
  </si>
  <si>
    <t>LCL/LOG/760</t>
  </si>
  <si>
    <t>SHABANI KAMBI SALUM</t>
  </si>
  <si>
    <t>LCL/LOG/830</t>
  </si>
  <si>
    <t>JUMA S. RAJABU</t>
  </si>
  <si>
    <t>LCL/LOG/799</t>
  </si>
  <si>
    <t>SADALA M. MSECHU</t>
  </si>
  <si>
    <t>LCL/LOG/802</t>
  </si>
  <si>
    <t>FRANKI W. SINGANO</t>
  </si>
  <si>
    <t>LCL/LOG/803</t>
  </si>
  <si>
    <t>SELEMANI R. CHALACHALA</t>
  </si>
  <si>
    <t>LCL/LOG/1289</t>
  </si>
  <si>
    <t>MWINSHEHE MOHAMED MWINSHEHE</t>
  </si>
  <si>
    <t>LCL/LOG/1259</t>
  </si>
  <si>
    <t>HAMAD HATUJUANI MANENO</t>
  </si>
  <si>
    <t>LCL/LOG/1156</t>
  </si>
  <si>
    <t>PASCHAL MAGANGA MAYUNGA</t>
  </si>
  <si>
    <t>LCL/LOG/1168</t>
  </si>
  <si>
    <t>RAYFAS G. LUTUMO</t>
  </si>
  <si>
    <t>LCL/LOG/1128</t>
  </si>
  <si>
    <t>DAUDI M. MBARAKA</t>
  </si>
  <si>
    <t>LCL/LOG/1131</t>
  </si>
  <si>
    <t>SALUM S. ULINGO</t>
  </si>
  <si>
    <t>LCL/LOG/1271</t>
  </si>
  <si>
    <t>MAXON STEPHANO MAGWAI</t>
  </si>
  <si>
    <t>LCL/LOG/1327</t>
  </si>
  <si>
    <t>JOHN RAPHAEL  KAWELA</t>
  </si>
  <si>
    <t>LCL/LOG/1354</t>
  </si>
  <si>
    <t>STANSILAUS RAIFOZI NZUNDA</t>
  </si>
  <si>
    <t>LCL/LOG/1341</t>
  </si>
  <si>
    <t>ABDALLAH OMARY MAPANDE</t>
  </si>
  <si>
    <t>LCL/LOG/1337</t>
  </si>
  <si>
    <t>WILLIAM FABIAN BALOLE</t>
  </si>
  <si>
    <t>LCL/LOG/1345</t>
  </si>
  <si>
    <t>JOELI JEMSI SARAKIKYA</t>
  </si>
  <si>
    <t>LCL/LOG/1346</t>
  </si>
  <si>
    <t>ATHUMAN RAJABU KAPENDA</t>
  </si>
  <si>
    <t>LCL/LOG/1349</t>
  </si>
  <si>
    <t>HEMEDI ABDALLAH KAUNDU</t>
  </si>
  <si>
    <t>LCL/KIMB/726</t>
  </si>
  <si>
    <t>RAM BABU RAWAT</t>
  </si>
  <si>
    <t>CEMENT PLANT TECHNICAL MANAGER</t>
  </si>
  <si>
    <t>LCL/KIMB/1333</t>
  </si>
  <si>
    <t>NEERAJ  RAJAK</t>
  </si>
  <si>
    <t>SENIOR CHEMIST</t>
  </si>
  <si>
    <t>LCL/KIMB/1090</t>
  </si>
  <si>
    <t>BRIJ  K. PANDEY</t>
  </si>
  <si>
    <t>CAPTIVE POWER PLANT  HIGH PRESSURE TURBINE TECHNIC</t>
  </si>
  <si>
    <t>LCL/KIMB/313</t>
  </si>
  <si>
    <t>AMADA SALEHE</t>
  </si>
  <si>
    <t>SITE OPERATOR</t>
  </si>
  <si>
    <t>LCL/KIMB/201</t>
  </si>
  <si>
    <t>EMILE F. MBABILANYI</t>
  </si>
  <si>
    <t>LCL/HO/052</t>
  </si>
  <si>
    <t>SIXTO GIBSON  MWENDA</t>
  </si>
  <si>
    <t>DEPUTY MANAGER</t>
  </si>
  <si>
    <t>LCL/KIMB/1116</t>
  </si>
  <si>
    <t>JOSEPH S. URIO</t>
  </si>
  <si>
    <t>SENIOR WELDING TECHNICIAN</t>
  </si>
  <si>
    <t>LCL/HO/020</t>
  </si>
  <si>
    <t>NAKAZZI JULIAN MARINA</t>
  </si>
  <si>
    <t>OFFICER-ADMIN AND SOURCING</t>
  </si>
  <si>
    <t>LCL/HO/100</t>
  </si>
  <si>
    <t>DEVOTHA  MUSOKE</t>
  </si>
  <si>
    <t>ACCOUNTS ASSISTANT</t>
  </si>
  <si>
    <t>LCL/HO/158</t>
  </si>
  <si>
    <t>ADEHELMA EVARISTO MKINGA</t>
  </si>
  <si>
    <t>CEMENT EXPORT DOCUMENTATION &amp; COORDINATION OFFICER</t>
  </si>
  <si>
    <t>LCL/HO/113</t>
  </si>
  <si>
    <t>ROBERT C. MGOMBELO</t>
  </si>
  <si>
    <t>SOURCING OFFICER LOGISTICS</t>
  </si>
  <si>
    <t>LCL/HO/066</t>
  </si>
  <si>
    <t>BHAVNESH S. VALAND</t>
  </si>
  <si>
    <t>SENIOR SALES COORDINATOR EXECUTIVE</t>
  </si>
  <si>
    <t>LCL/KIMB/1359</t>
  </si>
  <si>
    <t>MUKESH AGRAWAL</t>
  </si>
  <si>
    <t xml:space="preserve">HOD - MINING </t>
  </si>
  <si>
    <t>LCL/KIMB/1150</t>
  </si>
  <si>
    <t>FRANK A. LUKIO</t>
  </si>
  <si>
    <t>JUNIOR ELECTRICAL TECHNICIAN</t>
  </si>
  <si>
    <t>LCL/KIMB/1155</t>
  </si>
  <si>
    <t>PETRO MASIGAN</t>
  </si>
  <si>
    <t>JUNIOR ENGINEER (CIVIL)</t>
  </si>
  <si>
    <t>LCL/KIMB/1008</t>
  </si>
  <si>
    <t>RAMSON J. CHIRIMI</t>
  </si>
  <si>
    <t>SENIOR MECHANICS</t>
  </si>
  <si>
    <t>LCL/KIMB/007</t>
  </si>
  <si>
    <t>BALU POG</t>
  </si>
  <si>
    <t xml:space="preserve">RAW AND CEMENT MILL SPECIALIST </t>
  </si>
  <si>
    <t>LCL/KIMB/1101</t>
  </si>
  <si>
    <t>HAMIS J. MDACHI</t>
  </si>
  <si>
    <t>LCL/HO/034</t>
  </si>
  <si>
    <t>DULLAH KILUVIA</t>
  </si>
  <si>
    <t xml:space="preserve">SENIOR PURCHASE OFFICER </t>
  </si>
  <si>
    <t>LCL/KIMB/1192</t>
  </si>
  <si>
    <t>MOHAMED A. MAHUTYA</t>
  </si>
  <si>
    <t>WEIGHBRIDGE OFFICER</t>
  </si>
  <si>
    <t>LCL/KIMB/1263</t>
  </si>
  <si>
    <t>CHRISTINA STANLEY NGOWO</t>
  </si>
  <si>
    <t>LCL/KIMB/1193</t>
  </si>
  <si>
    <t>NICHOLAUS B. MASSAWE</t>
  </si>
  <si>
    <t>FITTER CUM TURNER</t>
  </si>
  <si>
    <t>LCL/KIMB/1202</t>
  </si>
  <si>
    <t>CHETAN SINGH RAWAT</t>
  </si>
  <si>
    <t>ELECTRICAL INSTRUMENT  TECHNICIAN</t>
  </si>
  <si>
    <t>LCL/KIMB/1189</t>
  </si>
  <si>
    <t>MUNEESH KUMAR</t>
  </si>
  <si>
    <t>HEAD BUSINESS SUPERVISION AND OPERATIONS</t>
  </si>
  <si>
    <t>LCL/KIMB/1329</t>
  </si>
  <si>
    <t>KATHIBERTH ROBERT BINGORA</t>
  </si>
  <si>
    <t>JUNIOR CHEMIST</t>
  </si>
  <si>
    <t>LCL/KIMB/1205</t>
  </si>
  <si>
    <t>RAMESHBHAI VALLABHBHAI PATEL</t>
  </si>
  <si>
    <t>HOD - E &amp; I</t>
  </si>
  <si>
    <t>LCL/KIMB/1238</t>
  </si>
  <si>
    <t>ADAM RASHID  MFAUME</t>
  </si>
  <si>
    <t>SENIOR MECHANICAL - UTILITIES</t>
  </si>
  <si>
    <t>LCL/KIMB/1370</t>
  </si>
  <si>
    <t>JUMA MAULID KABWEBWE</t>
  </si>
  <si>
    <t>INSTRUMENT TECHNICIAN</t>
  </si>
  <si>
    <t>LCL/KIMB/606</t>
  </si>
  <si>
    <t>LEONCE COSTANTINE</t>
  </si>
  <si>
    <t>LCL/KIMB/186</t>
  </si>
  <si>
    <t>SIKUJUA JUMA</t>
  </si>
  <si>
    <t>LCL/KIMB/735</t>
  </si>
  <si>
    <t>NICHOLAUS NGALYA</t>
  </si>
  <si>
    <t>LCL/KIMB/632</t>
  </si>
  <si>
    <t>PAUL SALU</t>
  </si>
  <si>
    <t>ELECTRICAL TECHNICIAN</t>
  </si>
  <si>
    <t>LCL/KIMB/446</t>
  </si>
  <si>
    <t>JOHN DAUDI</t>
  </si>
  <si>
    <t>LCL/KIMB/1373</t>
  </si>
  <si>
    <t>HUSSEIN SULEIMAN MWENDA</t>
  </si>
  <si>
    <t>LCL/KIMB/566</t>
  </si>
  <si>
    <t>BENEDICT KIPANGULA</t>
  </si>
  <si>
    <t>ELECTRICAL WELDER</t>
  </si>
  <si>
    <t>LCL/KIMB/489</t>
  </si>
  <si>
    <t>MASHAURI GEORGE</t>
  </si>
  <si>
    <t>SENIOR INSTRUMENT TECHNICIAN</t>
  </si>
  <si>
    <t>LCL/KIMB/723</t>
  </si>
  <si>
    <t>DEMETELIUS TITUS MTUNDU</t>
  </si>
  <si>
    <t>LCL/KIMB/1110</t>
  </si>
  <si>
    <t>JAMES D. CHALULA</t>
  </si>
  <si>
    <t>LCL/KIMB/1015</t>
  </si>
  <si>
    <t>MIRAJI K. MOHAMEDI</t>
  </si>
  <si>
    <t>IT TECHNICIAN</t>
  </si>
  <si>
    <t>LCL/KIMB/1151</t>
  </si>
  <si>
    <t>SIMON MAGANGA SIMON</t>
  </si>
  <si>
    <t>JUNIOR INSTRUMENT TECHNICIAN</t>
  </si>
  <si>
    <t>LCL/KIMB/1230</t>
  </si>
  <si>
    <t>STEPHEN LEONARD KILAWE</t>
  </si>
  <si>
    <t>SENIOR INSTRUMENT ENGINEER</t>
  </si>
  <si>
    <t>LCL/KIMB/274</t>
  </si>
  <si>
    <t>GILBERT JOSIAH</t>
  </si>
  <si>
    <t>SENIOR SITE OPERATOR</t>
  </si>
  <si>
    <t>LCL/KIMB/275</t>
  </si>
  <si>
    <t>JOSEPH NDUNGURU</t>
  </si>
  <si>
    <t>LCL/KIMB/738</t>
  </si>
  <si>
    <t>HEZRON KIVAMBA</t>
  </si>
  <si>
    <t>MATERIAL HANDLING SUPERVISOR</t>
  </si>
  <si>
    <t>LCL/KIMB/811</t>
  </si>
  <si>
    <t>JACQUELINE D. URONU</t>
  </si>
  <si>
    <t>SENIOR STORE OFFICER</t>
  </si>
  <si>
    <t>LCL/KIMB/1262</t>
  </si>
  <si>
    <t>ABILAH MUSTAPHA  NUNGU</t>
  </si>
  <si>
    <t>MINING ENGINEER</t>
  </si>
  <si>
    <t>LCL/KIMB/1322</t>
  </si>
  <si>
    <t>LEONARD M LUSATO</t>
  </si>
  <si>
    <t>LCL/KIMB/1353</t>
  </si>
  <si>
    <t>SHADRACK JACKSON KAMGISHA</t>
  </si>
  <si>
    <t>LCL/KIMB/1266</t>
  </si>
  <si>
    <t>BHARATH KUMAR MANDLA</t>
  </si>
  <si>
    <t>CCR OPERATOR TECHNICIAN</t>
  </si>
  <si>
    <t>LCL/KIMB/1224</t>
  </si>
  <si>
    <t>ANIMESH KUMAR</t>
  </si>
  <si>
    <t>SHIFT INCHARGE POWER PLANT</t>
  </si>
  <si>
    <t>LCL/HO/151</t>
  </si>
  <si>
    <t>AJIT RANJAN SINGH</t>
  </si>
  <si>
    <t>CEMENT BUSINESS MANAGER</t>
  </si>
  <si>
    <t>LCL/KIMB/1270</t>
  </si>
  <si>
    <t>RAJABU PIUS MBUGI</t>
  </si>
  <si>
    <t>ASSISTANT MANAGER PROCESS</t>
  </si>
  <si>
    <t>LCL/KIMB/1293</t>
  </si>
  <si>
    <t>GOVIND SINGH TANWAR</t>
  </si>
  <si>
    <t>CEMENT &amp; RAW MATERIAL HANDLING TECHNICIAN</t>
  </si>
  <si>
    <t>TRAINEE CCR OFFICER</t>
  </si>
  <si>
    <t>LCL/HO/143</t>
  </si>
  <si>
    <t>CHRISTOPHER I. MATENGA</t>
  </si>
  <si>
    <t>ASSISTANT SALES OFFICER</t>
  </si>
  <si>
    <t>LCL/KIMB/1323</t>
  </si>
  <si>
    <t>SYLIVESTER RICHARD MSHONGOLE</t>
  </si>
  <si>
    <t>TRAINEE MECHANICAL ENGINEER</t>
  </si>
  <si>
    <t>LCL/KIMB/1366</t>
  </si>
  <si>
    <t>YOHANE JACKSON MDIBULE</t>
  </si>
  <si>
    <t>TRAINEE DCS ENGINEER</t>
  </si>
  <si>
    <t>LCL/KIMB/1334</t>
  </si>
  <si>
    <t>SOPHIA GEORGE MKASSI</t>
  </si>
  <si>
    <t>MANAGER - HR &amp; ADMINISTRATION</t>
  </si>
  <si>
    <t>LCL/KIMB/1335</t>
  </si>
  <si>
    <t>ELADIUS GORDIAN RUGAIMUKAM</t>
  </si>
  <si>
    <t>CRUSHER - CUM - STACKER OPERATOR</t>
  </si>
  <si>
    <t>LCL/KIMB/1339</t>
  </si>
  <si>
    <t>GERALD MICHAEL KITUNDU</t>
  </si>
  <si>
    <t>TRAINEE TURBINE FIELD OPERATOR</t>
  </si>
  <si>
    <t>LCL/KIMB/1344</t>
  </si>
  <si>
    <t>MAHESH PAZHAYARAMBATH</t>
  </si>
  <si>
    <t>MANAGER - POWER PLANT INSTRUMENTATION</t>
  </si>
  <si>
    <t>LCL/KIMB/1357</t>
  </si>
  <si>
    <t>MARTIN PETER MWAKANYAGA</t>
  </si>
  <si>
    <t>SENIOR MINING ENGINEER</t>
  </si>
  <si>
    <t>LCL/KIMB/1360</t>
  </si>
  <si>
    <t>JAFARI AHMAD JAFARI</t>
  </si>
  <si>
    <t>TRAINEE INSTRUMENTATION TECHNICIAN</t>
  </si>
  <si>
    <t>LCL/KIMB/1362</t>
  </si>
  <si>
    <t>IBRAHIM MWINYIMANI MKANDA</t>
  </si>
  <si>
    <t>ENGINEER - WORKSHOP</t>
  </si>
  <si>
    <t>LCL/LOG/1365</t>
  </si>
  <si>
    <t>PRADEEP KUMAR KURRA</t>
  </si>
  <si>
    <t>HEAD CEMENT TRANSPORTATION</t>
  </si>
  <si>
    <t>LCL/KIMB/1372</t>
  </si>
  <si>
    <t>GLORIA RICHARD MAKULU</t>
  </si>
  <si>
    <t>HR OFFICER - TRAINING</t>
  </si>
  <si>
    <t>LCL/HO/161</t>
  </si>
  <si>
    <t>CHIRAG  K PATEL</t>
  </si>
  <si>
    <t>HEAD CEMENT PROJECT SALES</t>
  </si>
  <si>
    <t>LCL/KIMB/1376</t>
  </si>
  <si>
    <t>NATHA MALDE GODHANIA</t>
  </si>
  <si>
    <t>HEAD CEMENT PRODUCTION &amp; QUALITY</t>
  </si>
  <si>
    <t>LCL/HO/162</t>
  </si>
  <si>
    <t>AILETH CORNEL LUCAS</t>
  </si>
  <si>
    <t>SENIOR TECHNICAL SALES COORDINATOR EXECUTIVE</t>
  </si>
  <si>
    <t>LCL/KIMB/1320</t>
  </si>
  <si>
    <t>HAJI ALLY JUMA</t>
  </si>
  <si>
    <t>BOILER AND TURBINE FIELD OPERATOR</t>
  </si>
  <si>
    <t>LCL/KIMB/1380</t>
  </si>
  <si>
    <t>YOGESHKUMAR NARENDRAKUMAR MISHRA</t>
  </si>
  <si>
    <t>SURFACE MINER AND HEAVY EQUIPMENT MAINTENANCE MANAGER</t>
  </si>
  <si>
    <t>INSTRUMENTATION TECHNICIAN</t>
  </si>
  <si>
    <t>LCL/KIMB/526</t>
  </si>
  <si>
    <t>HASSAN BAKKI</t>
  </si>
  <si>
    <t>FOREMAN</t>
  </si>
  <si>
    <t>LCL/KIMB/529</t>
  </si>
  <si>
    <t>MANHARD G. MPANDUKA</t>
  </si>
  <si>
    <t>LCL/KIMB/439</t>
  </si>
  <si>
    <t>BETELA HASSANI MIRAJI</t>
  </si>
  <si>
    <t>SN</t>
  </si>
  <si>
    <t>DEPT. NO</t>
  </si>
  <si>
    <t>TOTAL KIMBIJI</t>
  </si>
  <si>
    <t>LCL/KIMB/1383</t>
  </si>
  <si>
    <t>LCL/KIMB/1384</t>
  </si>
  <si>
    <t>LINNA FULGENS NCHIMBI</t>
  </si>
  <si>
    <t>SHARIFA ABDALAH MNURU</t>
  </si>
  <si>
    <t>ASSISTANT STORE OFFICER</t>
  </si>
  <si>
    <t>LCL/KIMB/1385</t>
  </si>
  <si>
    <t>HAPPINESS ELINIPENDA SHISHIRA</t>
  </si>
  <si>
    <t>LCL/LOG/1387</t>
  </si>
  <si>
    <t>PASCAL METHOD NGONYANI</t>
  </si>
  <si>
    <t>LCL/KIMB/1386</t>
  </si>
  <si>
    <t>THIRULOK CHANDAR KRISHNAKUMAR</t>
  </si>
  <si>
    <t>CEMENT PRODUCTION MANAGER</t>
  </si>
  <si>
    <t>LCL/HO/163</t>
  </si>
  <si>
    <t>FABIAN FAUSTIN RWABULEKE</t>
  </si>
  <si>
    <t>*** This cloumn to be updated</t>
  </si>
  <si>
    <t>Sl. No.</t>
  </si>
  <si>
    <t>Department</t>
  </si>
  <si>
    <t xml:space="preserve">Target Onroll Strength </t>
  </si>
  <si>
    <t xml:space="preserve">Current Onroll Status </t>
  </si>
  <si>
    <t>Break up of company manpower</t>
  </si>
  <si>
    <t>Target Contractor Strength</t>
  </si>
  <si>
    <t>Current Contractor Status</t>
  </si>
  <si>
    <t>Break up of Contractor Manpower</t>
  </si>
  <si>
    <t>Target Total</t>
  </si>
  <si>
    <t>Current Total</t>
  </si>
  <si>
    <t>Remarks</t>
  </si>
  <si>
    <t>Accounts</t>
  </si>
  <si>
    <t>HR (Admin/Safety/Training/Security)</t>
  </si>
  <si>
    <t>1 - Security Officer
3 - Gate Security</t>
  </si>
  <si>
    <t>Civil</t>
  </si>
  <si>
    <t>CPP</t>
  </si>
  <si>
    <t>Dispatch</t>
  </si>
  <si>
    <t xml:space="preserve">E &amp; I </t>
  </si>
  <si>
    <t xml:space="preserve">
Workforce- 16
AC Mechanic - 1
Helpers- 15
</t>
  </si>
  <si>
    <t xml:space="preserve">Logistics </t>
  </si>
  <si>
    <t>1- Supervisor
2 - Tracking Assistantrs
1- Store Keeper
1- Truck fuelling Attendant
2- Mechanics
1- Auto Electrician
1-Pneumatic Technicisn
1- Tyre man
3-Helpers
3- Security staff</t>
  </si>
  <si>
    <t>Mechanical</t>
  </si>
  <si>
    <t xml:space="preserve">Workforce - 
Helpers - 27
Belt Technician - 1
Lubricator - 2
Tool room attendant - 2
</t>
  </si>
  <si>
    <t>Mines &amp; Workshop</t>
  </si>
  <si>
    <t>10- Crusher &amp; Stacker Belt Attendants - (5D+5 N), 
2- Helpers For Surface Miner operation, 
5 - Helpers for Tarpaulin handling (Seasonal)
2- Helpers for Mining Garage
4 - Loader Operators (2 Mining + 2 Plant)
1 - Excavator operator
2 - Hydra Operator
1 - Operator for Crane / Compactor/ Road Sweeper
7- Tipper Operators (for 5 Tippers)
1- Backhoe operator
1-Fork Lift Operator
1- Auto Electrician
1- Tyre fitter
1- Store Keeper / Data entry</t>
  </si>
  <si>
    <t>5 Helpers will be utilized for tarpaulin handling during monsoon period</t>
  </si>
  <si>
    <t>Production</t>
  </si>
  <si>
    <t>24 Helpers (Gido)
43 Attendants (Workforce)</t>
  </si>
  <si>
    <t>Quality Control</t>
  </si>
  <si>
    <t>Sample Boys - 4 (Gido)
Workforce - 12</t>
  </si>
  <si>
    <t>Stores</t>
  </si>
  <si>
    <t xml:space="preserve">Plant Total </t>
  </si>
  <si>
    <t xml:space="preserve"> </t>
  </si>
  <si>
    <t>Projects</t>
  </si>
  <si>
    <t xml:space="preserve">Plant + Project </t>
  </si>
  <si>
    <t>HR OFFICER - PAYROLL</t>
  </si>
  <si>
    <t>LCL/KIMB/1389</t>
  </si>
  <si>
    <t>ELFASI EZROMU ISAYA</t>
  </si>
  <si>
    <t>LCL/KIMB/1390</t>
  </si>
  <si>
    <t>EVANCE ALFA YONA</t>
  </si>
  <si>
    <t>LCL/LOG/1391</t>
  </si>
  <si>
    <t>SELEMANI ALLY CHALACHALA</t>
  </si>
  <si>
    <t>LCL/LOG/1392</t>
  </si>
  <si>
    <t>HAMISI RAJABU SAFUMBILI</t>
  </si>
  <si>
    <t>LCL/HO/164</t>
  </si>
  <si>
    <t>RAZAK NDOILE MBAGA</t>
  </si>
  <si>
    <t xml:space="preserve">SOCIAL MEDIA CORDINATOR </t>
  </si>
  <si>
    <t xml:space="preserve"> TRAINEE DCS OPERATOR</t>
  </si>
  <si>
    <t>Supervisor - 1 Mason -1,  Plumber-3, 
Attendants -2,  Helpers-6</t>
  </si>
  <si>
    <t>PROCESS ENGINEER</t>
  </si>
  <si>
    <t xml:space="preserve">MECHANICAL </t>
  </si>
  <si>
    <t xml:space="preserve">ELECTICAL </t>
  </si>
  <si>
    <t>LCL/KIMB/1398</t>
  </si>
  <si>
    <t>DAVID FRANCIS LUKINDO</t>
  </si>
  <si>
    <t>LCL/KIMB/1396</t>
  </si>
  <si>
    <t>JESCA AMON MERTAROY</t>
  </si>
  <si>
    <t>ACCOUNTS OFFICER</t>
  </si>
  <si>
    <t>TRAINEE ACCOUNTS OFFICER</t>
  </si>
  <si>
    <t>LCL/KIMB/1393</t>
  </si>
  <si>
    <t>STEVEN RICHARD ANANIA</t>
  </si>
  <si>
    <t>LCL/KIMB/1399</t>
  </si>
  <si>
    <t>GLORYJOY JABIRI MKOMBOZI</t>
  </si>
  <si>
    <t>LCL/KIMB/1395</t>
  </si>
  <si>
    <t>FAUSTA ESSA MWAKABAGA</t>
  </si>
  <si>
    <t xml:space="preserve">SAFETY OFFICER </t>
  </si>
  <si>
    <t>LCL/KIMB/1397</t>
  </si>
  <si>
    <t>ISAYA JOSEPH MUSYANI</t>
  </si>
  <si>
    <t xml:space="preserve">SURFACE MINER OPERATOR </t>
  </si>
  <si>
    <t>LCL/LOG/1400</t>
  </si>
  <si>
    <t>ERNEST METHOD NGONYANI</t>
  </si>
  <si>
    <t>LCL/KIMB/1402</t>
  </si>
  <si>
    <t>EMMANUEL ELIAS LUSANZA</t>
  </si>
  <si>
    <t xml:space="preserve">AUTO ELECTRICIAN </t>
  </si>
  <si>
    <t>Helpers - 2
Workforce - 2
Gido - 2 Stores Clerks (Temp)</t>
  </si>
  <si>
    <t>LCL/KIMB/1407</t>
  </si>
  <si>
    <t>EMMANUEL GUNDA MWENDO</t>
  </si>
  <si>
    <t xml:space="preserve">M </t>
  </si>
  <si>
    <t>LCL/KIMB/1404</t>
  </si>
  <si>
    <t>RAPHAEL PETER HAULE</t>
  </si>
  <si>
    <t xml:space="preserve">MECHANICAL TECHNICIAN </t>
  </si>
  <si>
    <t>LCL/KIMB/1405</t>
  </si>
  <si>
    <t>GANESH KUMAR CHITTIBOINA</t>
  </si>
  <si>
    <t xml:space="preserve">PROCESS MANAGER </t>
  </si>
  <si>
    <t>PAVEN GANDHI</t>
  </si>
  <si>
    <t xml:space="preserve">DIRECTOR </t>
  </si>
  <si>
    <t>LCL/KIMB/1415</t>
  </si>
  <si>
    <t>LCL/KIMB/1410</t>
  </si>
  <si>
    <t>DAMIAN RESPICIUS DAMIAN</t>
  </si>
  <si>
    <t>LCL/KIMB/1411</t>
  </si>
  <si>
    <t>RAJABU WAZIRI KIMAYA</t>
  </si>
  <si>
    <t>LCL/KIMB/1414</t>
  </si>
  <si>
    <t>JAMES DANIEL MSAGHAA</t>
  </si>
  <si>
    <t>LCL/KIMB/1412</t>
  </si>
  <si>
    <t>JUSTICE JUBLATHE SWAI</t>
  </si>
  <si>
    <t>LCL/KIMB/1418</t>
  </si>
  <si>
    <t>BHASKAR MANI</t>
  </si>
  <si>
    <t xml:space="preserve">ELECTRICAL &amp; ELECTRONICS TECHNICIAN </t>
  </si>
  <si>
    <t>LCL/KIMB/1416</t>
  </si>
  <si>
    <t>SAURABH BHATTACHARYA</t>
  </si>
  <si>
    <t xml:space="preserve">ERP ENGINEER </t>
  </si>
  <si>
    <t>LCL/LOG/1413</t>
  </si>
  <si>
    <t>THOMAS WAMBURA ALPHONCE</t>
  </si>
  <si>
    <t>LCL/KIMB/1417</t>
  </si>
  <si>
    <t>PAVAN KALYAN BANDELA</t>
  </si>
  <si>
    <t xml:space="preserve">HEAD MECHANICAL DRAFTSMAN </t>
  </si>
  <si>
    <t xml:space="preserve">TRAINEE LABORATORY ASSISTANT </t>
  </si>
  <si>
    <t>LCL/KIMB/1409</t>
  </si>
  <si>
    <t>THEREZA MWANDU WILLIAM</t>
  </si>
  <si>
    <t>LCL/HO/166</t>
  </si>
  <si>
    <t>GABRIEL LAZARO MBELE</t>
  </si>
  <si>
    <t xml:space="preserve">SALES OFFICER </t>
  </si>
  <si>
    <t xml:space="preserve">1 - Specialist (Expat)
8- Lab Techinicians
2- Trainee Chemist                                                1- laboratory Assistant </t>
  </si>
  <si>
    <t xml:space="preserve">Engiuneer -,
Handyman - 1 </t>
  </si>
  <si>
    <t xml:space="preserve">Head - Factory Accounts -1 ( Expat) 
Accountants  Assistant- 1
Acounts Officer -1                                                         Accounts Trainee - 1                                              HR Payroll - 1                                                      </t>
  </si>
  <si>
    <t>1 - HOD, ( Expat)
1 - Process Engineer (Expat)
1- Process Engineer (Local) 
8 - CCR Operators (Local)
2- Trainee CCR Officer (Local)
3- CCR Operators  (Expat),
4-Field Operators
1- Mill Operator (Expat)
1-Reclaimer Operator
1- Material Handling Supervisor
1- Statistical Assistant</t>
  </si>
  <si>
    <t>1- HOD ( Expat)
1 Asst Manager
2- Stores Officers
4- Stores Clerks</t>
  </si>
  <si>
    <t>LCL/KIMB/1419</t>
  </si>
  <si>
    <t>WINGOD DOUGLAS MASSAWE</t>
  </si>
  <si>
    <t>LCL/LOG/1422</t>
  </si>
  <si>
    <t xml:space="preserve">YUSUFU HASHIMU RAMADHANI </t>
  </si>
  <si>
    <t>LCL/KIMB/1420</t>
  </si>
  <si>
    <t>ABDALLAH SADICK RISALA</t>
  </si>
  <si>
    <t>LCL/KIMB/1421</t>
  </si>
  <si>
    <t>INNOCENT PETER SHIRIMA</t>
  </si>
  <si>
    <t>LCL/KIMB/1423</t>
  </si>
  <si>
    <t>OSCAR LUSAJO MWANGOMILE</t>
  </si>
  <si>
    <t xml:space="preserve">TRAINEE TECHNICIAN </t>
  </si>
  <si>
    <t>1 - HOD, (Expat)
1 - Shift Manager/ Raw &amp; Cement mill specialist ( Expat)
5 - Engineers,
4 - Foreman,                                                             1 - Raw Mill technician ( Expat) 
16- Technicians,                                                       1 - Trainee Technician 
6- Helpers                                                                  1 - Mechanical Draftsman ( Expat)</t>
  </si>
  <si>
    <t>LCL/KIMB/1245</t>
  </si>
  <si>
    <t>FREDRICK PAULO TEOPHANO</t>
  </si>
  <si>
    <t>LCL/KIMB/1426</t>
  </si>
  <si>
    <t>SIMON LONGINO SIMON</t>
  </si>
  <si>
    <t>LCL/KIMB/1427</t>
  </si>
  <si>
    <t>EMMANUEL GESONKO MARWA</t>
  </si>
  <si>
    <t xml:space="preserve">1 - HOD ( Expat)
3- Electrical Engineer (Expat)
2 - Electrical Engineer (local)
1- Instrument Engineer (Local)
1- Foreman
22 - Local Technicians
2 - Expat Technician
1- IT Technician                                                       1- ERP Engineer (Expat)                                                     1- Electronics Engineer (Expat) 
   </t>
  </si>
  <si>
    <t xml:space="preserve">Workforce -1 </t>
  </si>
  <si>
    <t>LCL/HO/165</t>
  </si>
  <si>
    <t>SANKALP JAITHALIA</t>
  </si>
  <si>
    <t xml:space="preserve">CHIEF FINANCE OFFICER </t>
  </si>
  <si>
    <t>LCL/KIMB/1429</t>
  </si>
  <si>
    <t>ZAKAYO JULIAS KIBITANYI</t>
  </si>
  <si>
    <t>TOTAL HO - 33</t>
  </si>
  <si>
    <t>Workforce - 8 (Supervisor and  operators)                                                                               Gido -(28)                                                                               Packer Operator - 6 (3 D + 3 N)
Loaders - 14 (7 D + 7 N)
Big Bag Loading - 2</t>
  </si>
  <si>
    <t xml:space="preserve">Additional As per approval </t>
  </si>
  <si>
    <t>LCL/KIMB/1436</t>
  </si>
  <si>
    <t>JUMANNE WENSESLAUS JUMA</t>
  </si>
  <si>
    <t>LCL/KIMB/1433</t>
  </si>
  <si>
    <t>PATRICK NICODEMU MBOWE</t>
  </si>
  <si>
    <t>LCL/KIMB/1434</t>
  </si>
  <si>
    <t>KELVIN MOSES MASAWE</t>
  </si>
  <si>
    <t>LCL/LOG/1430</t>
  </si>
  <si>
    <t>HASSANI HUSSEIN CHAGGE</t>
  </si>
  <si>
    <t>LCL/LOG/1435</t>
  </si>
  <si>
    <t>RAJABU NASORO CHAMJINGA</t>
  </si>
  <si>
    <t>LCL/KIMB/1431</t>
  </si>
  <si>
    <t>HITESH RANCHHODBHAI BHALSOD</t>
  </si>
  <si>
    <t>PURCHASES</t>
  </si>
  <si>
    <t xml:space="preserve">INTERNATIONAL IMPORTS CONTROL MANAGER </t>
  </si>
  <si>
    <t>LCL/KIMB/1432</t>
  </si>
  <si>
    <t>SANJIV CHAUDHARY</t>
  </si>
  <si>
    <r>
      <t xml:space="preserve">HOD-1 (Expat)
7- DCS Engineers ( Trainees)
1 - Maintenance Engrs
4- Turbine Field Operator, 
3 - Boiler Operator, 
7- Technician
1 - Senior Chemist,
1- Trainee Chemist
1 - DM Plant Operator
1- WTP Operator
</t>
    </r>
    <r>
      <rPr>
        <b/>
        <sz val="11"/>
        <rFont val="Calibri"/>
        <family val="2"/>
        <scheme val="minor"/>
      </rPr>
      <t>Expats - 5 (4 Shift incharge + 1 WTP Senior chemist)                                                                    2</t>
    </r>
    <r>
      <rPr>
        <sz val="11"/>
        <rFont val="Calibri"/>
        <family val="2"/>
        <scheme val="minor"/>
      </rPr>
      <t xml:space="preserve"> - DCs Operators (trainees)</t>
    </r>
  </si>
  <si>
    <t>1- HOD
4 - Packing &amp; Loading Supervisors
10 - Weigh Bridge Operators
5 - Packer Operators
2- Loaders</t>
  </si>
  <si>
    <t>Purchases</t>
  </si>
  <si>
    <t xml:space="preserve">1 - International  Imports control Manager </t>
  </si>
  <si>
    <t>NAME</t>
  </si>
  <si>
    <t>Attendants for Turbine and ACC circuit, Coal handling circuit and Ash handling 
Workforce - 11
(Covers all sifts including General Shift)
Tractor driver for water sprinkling - 1</t>
  </si>
  <si>
    <r>
      <t xml:space="preserve">1-HOD, ( Expat)
1 Asst. Manager, 
2-Geologist,
5- Shift Engineers                                                 1-Workshop Engineer 
1- Asst Manager (Crusher)
</t>
    </r>
    <r>
      <rPr>
        <b/>
        <sz val="11"/>
        <rFont val="Calibri"/>
        <family val="2"/>
        <scheme val="minor"/>
      </rPr>
      <t>6- Crusher/Stacker Operators</t>
    </r>
    <r>
      <rPr>
        <sz val="11"/>
        <rFont val="Calibri"/>
        <family val="2"/>
        <scheme val="minor"/>
      </rPr>
      <t xml:space="preserve">
3- Surface Miner Operators                                                    
1 - Surface Minner and heavy Equipment Maintenance Engineer - ( Expat)
2- Technicians
1 - Welder                                                                 1- Mechanics                                                             </t>
    </r>
  </si>
  <si>
    <t xml:space="preserve">Age  - 26(Housekeeping)= 26(26) 
Workforce - 1 Urban Garden - 8 </t>
  </si>
  <si>
    <t>Sine Security 67 (67)</t>
  </si>
  <si>
    <t>LCL/KIMB/1437</t>
  </si>
  <si>
    <t>ELIAS ERASTO RUVOMA</t>
  </si>
  <si>
    <t>PROJECT</t>
  </si>
  <si>
    <t>1- Head of transportation/ Fleet Opertaions Manager ( Expat)                                               
28 - Heavy Vehicle Drivers</t>
  </si>
  <si>
    <r>
      <rPr>
        <b/>
        <sz val="11"/>
        <rFont val="Calibri"/>
        <family val="2"/>
        <scheme val="minor"/>
      </rPr>
      <t xml:space="preserve">1- Director  ( Expat)   </t>
    </r>
    <r>
      <rPr>
        <sz val="11"/>
        <rFont val="Calibri"/>
        <family val="2"/>
        <scheme val="minor"/>
      </rPr>
      <t xml:space="preserve">                                          1- Unit Head ( Expat) 
1-HR Head, 
1 - Safety Officer
2 - Training Officer
HR Officers - 3,                                                         
Driver - 1, 
Receptionist - 1                                      Assistant HSE Manager -1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</si>
</sst>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m/yyyy"/>
  </numFmts>
  <fonts count="19" x14ac:knownFonts="1">
    <font>
      <sz val="8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0000"/>
      <name val="Verdana"/>
      <family val="2"/>
    </font>
    <font>
      <b/>
      <sz val="9"/>
      <color theme="1"/>
      <name val="Verdan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8"/>
      <color theme="1"/>
      <name val="Verdan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Times New Roman"/>
      <family val="2"/>
    </font>
    <font>
      <sz val="11"/>
      <color indexed="64"/>
      <name val="Calibri"/>
      <family val="2"/>
    </font>
    <font>
      <sz val="8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88">
    <xf numFmtId="0" fontId="0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1" fillId="0" borderId="0" applyFont="0" applyFill="0" applyBorder="0" applyAlignment="0" applyProtection="0"/>
    <xf numFmtId="0" fontId="12" fillId="0" borderId="0"/>
    <xf numFmtId="0" fontId="13" fillId="0" borderId="0"/>
    <xf numFmtId="0" fontId="14" fillId="0" borderId="0"/>
    <xf numFmtId="0" fontId="14" fillId="0" borderId="0"/>
    <xf numFmtId="0" fontId="3" fillId="0" borderId="0"/>
    <xf numFmtId="43" fontId="3" fillId="0" borderId="0" applyFont="0" applyFill="0" applyBorder="0" applyAlignment="0" applyProtection="0"/>
    <xf numFmtId="0" fontId="10" fillId="0" borderId="0"/>
    <xf numFmtId="0" fontId="10" fillId="0" borderId="0"/>
    <xf numFmtId="0" fontId="3" fillId="0" borderId="0"/>
    <xf numFmtId="43" fontId="1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49" fontId="0" fillId="0" borderId="1" xfId="0" applyNumberFormat="1" applyFill="1" applyBorder="1" applyAlignment="1">
      <alignment horizontal="left"/>
    </xf>
    <xf numFmtId="0" fontId="0" fillId="0" borderId="0" xfId="0" applyFill="1" applyAlignment="1"/>
    <xf numFmtId="164" fontId="0" fillId="0" borderId="1" xfId="0" applyNumberFormat="1" applyFill="1" applyBorder="1" applyAlignment="1"/>
    <xf numFmtId="0" fontId="0" fillId="0" borderId="1" xfId="0" applyFill="1" applyBorder="1" applyAlignment="1"/>
    <xf numFmtId="0" fontId="6" fillId="0" borderId="2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1" xfId="0" quotePrefix="1" applyFont="1" applyFill="1" applyBorder="1" applyAlignment="1"/>
    <xf numFmtId="49" fontId="4" fillId="0" borderId="1" xfId="0" quotePrefix="1" applyNumberFormat="1" applyFont="1" applyFill="1" applyBorder="1" applyAlignment="1"/>
    <xf numFmtId="0" fontId="4" fillId="0" borderId="1" xfId="0" applyFont="1" applyFill="1" applyBorder="1" applyAlignment="1"/>
    <xf numFmtId="49" fontId="0" fillId="0" borderId="1" xfId="0" applyNumberFormat="1" applyFill="1" applyBorder="1" applyAlignment="1"/>
    <xf numFmtId="49" fontId="10" fillId="0" borderId="1" xfId="0" applyNumberFormat="1" applyFont="1" applyFill="1" applyBorder="1" applyAlignment="1"/>
    <xf numFmtId="49" fontId="10" fillId="0" borderId="1" xfId="0" applyNumberFormat="1" applyFont="1" applyFill="1" applyBorder="1" applyAlignment="1">
      <alignment horizontal="left"/>
    </xf>
    <xf numFmtId="0" fontId="15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 wrapText="1"/>
    </xf>
    <xf numFmtId="49" fontId="15" fillId="0" borderId="1" xfId="0" applyNumberFormat="1" applyFont="1" applyFill="1" applyBorder="1" applyAlignment="1">
      <alignment vertical="center"/>
    </xf>
    <xf numFmtId="0" fontId="15" fillId="0" borderId="1" xfId="0" applyFont="1" applyFill="1" applyBorder="1" applyAlignment="1">
      <alignment vertical="center"/>
    </xf>
    <xf numFmtId="0" fontId="15" fillId="0" borderId="0" xfId="0" applyFont="1" applyFill="1" applyAlignment="1">
      <alignment vertical="center"/>
    </xf>
    <xf numFmtId="164" fontId="15" fillId="0" borderId="1" xfId="0" applyNumberFormat="1" applyFont="1" applyFill="1" applyBorder="1" applyAlignment="1">
      <alignment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 wrapText="1"/>
    </xf>
    <xf numFmtId="49" fontId="15" fillId="0" borderId="1" xfId="35" applyNumberFormat="1" applyFont="1" applyFill="1" applyBorder="1" applyAlignment="1">
      <alignment vertical="center"/>
    </xf>
    <xf numFmtId="164" fontId="15" fillId="0" borderId="1" xfId="0" applyNumberFormat="1" applyFont="1" applyFill="1" applyBorder="1" applyAlignment="1">
      <alignment horizontal="right" vertical="center"/>
    </xf>
    <xf numFmtId="0" fontId="15" fillId="0" borderId="1" xfId="20" applyFont="1" applyFill="1" applyBorder="1" applyAlignment="1">
      <alignment vertical="center"/>
    </xf>
    <xf numFmtId="0" fontId="15" fillId="0" borderId="1" xfId="32" applyFont="1" applyFill="1" applyBorder="1" applyAlignment="1">
      <alignment horizontal="left" vertical="center"/>
    </xf>
    <xf numFmtId="0" fontId="15" fillId="0" borderId="1" xfId="32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vertical="center" wrapText="1"/>
    </xf>
    <xf numFmtId="49" fontId="15" fillId="0" borderId="0" xfId="0" applyNumberFormat="1" applyFont="1" applyFill="1" applyAlignment="1">
      <alignment vertical="center"/>
    </xf>
    <xf numFmtId="164" fontId="15" fillId="0" borderId="0" xfId="0" applyNumberFormat="1" applyFont="1" applyFill="1" applyAlignment="1">
      <alignment vertical="center"/>
    </xf>
    <xf numFmtId="0" fontId="15" fillId="0" borderId="2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15" fillId="0" borderId="1" xfId="0" quotePrefix="1" applyFont="1" applyFill="1" applyBorder="1" applyAlignment="1">
      <alignment vertical="center"/>
    </xf>
    <xf numFmtId="49" fontId="15" fillId="0" borderId="1" xfId="0" quotePrefix="1" applyNumberFormat="1" applyFont="1" applyFill="1" applyBorder="1" applyAlignment="1">
      <alignment vertical="center"/>
    </xf>
    <xf numFmtId="0" fontId="15" fillId="0" borderId="1" xfId="61" applyFont="1" applyFill="1" applyBorder="1" applyAlignment="1">
      <alignment vertical="center"/>
    </xf>
    <xf numFmtId="0" fontId="18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vertical="center"/>
    </xf>
    <xf numFmtId="0" fontId="18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/>
    </xf>
  </cellXfs>
  <cellStyles count="88">
    <cellStyle name="Comma 12" xfId="13" xr:uid="{00000000-0005-0000-0000-000000000000}"/>
    <cellStyle name="Comma 12 2" xfId="23" xr:uid="{00000000-0005-0000-0000-000001000000}"/>
    <cellStyle name="Comma 12 3" xfId="46" xr:uid="{00000000-0005-0000-0000-000000000000}"/>
    <cellStyle name="Comma 12 4" xfId="72" xr:uid="{00000000-0005-0000-0000-000000000000}"/>
    <cellStyle name="Comma 2" xfId="19" xr:uid="{00000000-0005-0000-0000-000002000000}"/>
    <cellStyle name="Comma 2 2" xfId="48" xr:uid="{00000000-0005-0000-0000-000002000000}"/>
    <cellStyle name="Comma 2 2 2" xfId="87" xr:uid="{00000000-0005-0000-0000-000002000000}"/>
    <cellStyle name="Comma 2 3" xfId="74" xr:uid="{00000000-0005-0000-0000-000002000000}"/>
    <cellStyle name="Comma 3" xfId="25" xr:uid="{00000000-0005-0000-0000-000003000000}"/>
    <cellStyle name="Comma 3 2" xfId="51" xr:uid="{00000000-0005-0000-0000-000003000000}"/>
    <cellStyle name="Comma 3 3" xfId="77" xr:uid="{00000000-0005-0000-0000-000003000000}"/>
    <cellStyle name="Comma 4" xfId="28" xr:uid="{00000000-0005-0000-0000-000004000000}"/>
    <cellStyle name="Comma 4 2" xfId="54" xr:uid="{00000000-0005-0000-0000-000004000000}"/>
    <cellStyle name="Comma 4 3" xfId="80" xr:uid="{00000000-0005-0000-0000-000004000000}"/>
    <cellStyle name="Comma 5" xfId="31" xr:uid="{00000000-0005-0000-0000-000005000000}"/>
    <cellStyle name="Comma 5 2" xfId="57" xr:uid="{00000000-0005-0000-0000-000005000000}"/>
    <cellStyle name="Comma 5 3" xfId="83" xr:uid="{00000000-0005-0000-0000-000005000000}"/>
    <cellStyle name="Comma 6" xfId="34" xr:uid="{00000000-0005-0000-0000-000006000000}"/>
    <cellStyle name="Comma 6 2" xfId="60" xr:uid="{00000000-0005-0000-0000-000006000000}"/>
    <cellStyle name="Comma 6 3" xfId="86" xr:uid="{00000000-0005-0000-0000-000006000000}"/>
    <cellStyle name="Normal" xfId="0" builtinId="0"/>
    <cellStyle name="Normal 10" xfId="32" xr:uid="{00000000-0005-0000-0000-000008000000}"/>
    <cellStyle name="Normal 10 2" xfId="58" xr:uid="{00000000-0005-0000-0000-000008000000}"/>
    <cellStyle name="Normal 10 3" xfId="84" xr:uid="{00000000-0005-0000-0000-000008000000}"/>
    <cellStyle name="Normal 101" xfId="16" xr:uid="{00000000-0005-0000-0000-000009000000}"/>
    <cellStyle name="Normal 102" xfId="17" xr:uid="{00000000-0005-0000-0000-00000A000000}"/>
    <cellStyle name="Normal 11" xfId="4" xr:uid="{00000000-0005-0000-0000-00000B000000}"/>
    <cellStyle name="Normal 11 2" xfId="37" xr:uid="{00000000-0005-0000-0000-00000B000000}"/>
    <cellStyle name="Normal 11 3" xfId="63" xr:uid="{00000000-0005-0000-0000-00000B000000}"/>
    <cellStyle name="Normal 12" xfId="5" xr:uid="{00000000-0005-0000-0000-00000C000000}"/>
    <cellStyle name="Normal 12 2" xfId="38" xr:uid="{00000000-0005-0000-0000-00000C000000}"/>
    <cellStyle name="Normal 12 3" xfId="64" xr:uid="{00000000-0005-0000-0000-00000C000000}"/>
    <cellStyle name="Normal 13" xfId="2" xr:uid="{00000000-0005-0000-0000-00000D000000}"/>
    <cellStyle name="Normal 14" xfId="1" xr:uid="{00000000-0005-0000-0000-000036000000}"/>
    <cellStyle name="Normal 15" xfId="35" xr:uid="{00000000-0005-0000-0000-000057000000}"/>
    <cellStyle name="Normal 16" xfId="61" xr:uid="{00000000-0005-0000-0000-000072000000}"/>
    <cellStyle name="Normal 18" xfId="6" xr:uid="{00000000-0005-0000-0000-00000E000000}"/>
    <cellStyle name="Normal 18 2" xfId="39" xr:uid="{00000000-0005-0000-0000-00000E000000}"/>
    <cellStyle name="Normal 18 3" xfId="65" xr:uid="{00000000-0005-0000-0000-00000E000000}"/>
    <cellStyle name="Normal 19" xfId="7" xr:uid="{00000000-0005-0000-0000-00000F000000}"/>
    <cellStyle name="Normal 19 2" xfId="40" xr:uid="{00000000-0005-0000-0000-00000F000000}"/>
    <cellStyle name="Normal 19 3" xfId="66" xr:uid="{00000000-0005-0000-0000-00000F000000}"/>
    <cellStyle name="Normal 2" xfId="12" xr:uid="{00000000-0005-0000-0000-000010000000}"/>
    <cellStyle name="Normal 2 2" xfId="45" xr:uid="{00000000-0005-0000-0000-000010000000}"/>
    <cellStyle name="Normal 2 3" xfId="71" xr:uid="{00000000-0005-0000-0000-000010000000}"/>
    <cellStyle name="Normal 20" xfId="8" xr:uid="{00000000-0005-0000-0000-000011000000}"/>
    <cellStyle name="Normal 20 2" xfId="41" xr:uid="{00000000-0005-0000-0000-000011000000}"/>
    <cellStyle name="Normal 20 3" xfId="67" xr:uid="{00000000-0005-0000-0000-000011000000}"/>
    <cellStyle name="Normal 22" xfId="9" xr:uid="{00000000-0005-0000-0000-000012000000}"/>
    <cellStyle name="Normal 22 2" xfId="42" xr:uid="{00000000-0005-0000-0000-000012000000}"/>
    <cellStyle name="Normal 22 3" xfId="68" xr:uid="{00000000-0005-0000-0000-000012000000}"/>
    <cellStyle name="Normal 23" xfId="10" xr:uid="{00000000-0005-0000-0000-000013000000}"/>
    <cellStyle name="Normal 23 2" xfId="43" xr:uid="{00000000-0005-0000-0000-000013000000}"/>
    <cellStyle name="Normal 23 3" xfId="69" xr:uid="{00000000-0005-0000-0000-000013000000}"/>
    <cellStyle name="Normal 24" xfId="11" xr:uid="{00000000-0005-0000-0000-000014000000}"/>
    <cellStyle name="Normal 24 2" xfId="44" xr:uid="{00000000-0005-0000-0000-000014000000}"/>
    <cellStyle name="Normal 24 3" xfId="70" xr:uid="{00000000-0005-0000-0000-000014000000}"/>
    <cellStyle name="Normal 29" xfId="15" xr:uid="{00000000-0005-0000-0000-000015000000}"/>
    <cellStyle name="Normal 3" xfId="20" xr:uid="{00000000-0005-0000-0000-000016000000}"/>
    <cellStyle name="Normal 4" xfId="18" xr:uid="{00000000-0005-0000-0000-000017000000}"/>
    <cellStyle name="Normal 4 2" xfId="24" xr:uid="{00000000-0005-0000-0000-000018000000}"/>
    <cellStyle name="Normal 4 2 2" xfId="50" xr:uid="{00000000-0005-0000-0000-000018000000}"/>
    <cellStyle name="Normal 4 2 3" xfId="76" xr:uid="{00000000-0005-0000-0000-000018000000}"/>
    <cellStyle name="Normal 4 3" xfId="27" xr:uid="{00000000-0005-0000-0000-000019000000}"/>
    <cellStyle name="Normal 4 3 2" xfId="53" xr:uid="{00000000-0005-0000-0000-000019000000}"/>
    <cellStyle name="Normal 4 3 3" xfId="79" xr:uid="{00000000-0005-0000-0000-000019000000}"/>
    <cellStyle name="Normal 4 4" xfId="30" xr:uid="{00000000-0005-0000-0000-00001A000000}"/>
    <cellStyle name="Normal 4 4 2" xfId="56" xr:uid="{00000000-0005-0000-0000-00001A000000}"/>
    <cellStyle name="Normal 4 4 3" xfId="82" xr:uid="{00000000-0005-0000-0000-00001A000000}"/>
    <cellStyle name="Normal 4 5" xfId="33" xr:uid="{00000000-0005-0000-0000-00001B000000}"/>
    <cellStyle name="Normal 4 5 2" xfId="59" xr:uid="{00000000-0005-0000-0000-00001B000000}"/>
    <cellStyle name="Normal 4 5 3" xfId="85" xr:uid="{00000000-0005-0000-0000-00001B000000}"/>
    <cellStyle name="Normal 4 6" xfId="47" xr:uid="{00000000-0005-0000-0000-000017000000}"/>
    <cellStyle name="Normal 4 7" xfId="73" xr:uid="{00000000-0005-0000-0000-000017000000}"/>
    <cellStyle name="Normal 5" xfId="21" xr:uid="{00000000-0005-0000-0000-00001C000000}"/>
    <cellStyle name="Normal 6" xfId="22" xr:uid="{00000000-0005-0000-0000-00001D000000}"/>
    <cellStyle name="Normal 6 2" xfId="49" xr:uid="{00000000-0005-0000-0000-00001D000000}"/>
    <cellStyle name="Normal 6 3" xfId="75" xr:uid="{00000000-0005-0000-0000-00001D000000}"/>
    <cellStyle name="Normal 7" xfId="26" xr:uid="{00000000-0005-0000-0000-00001E000000}"/>
    <cellStyle name="Normal 7 2" xfId="52" xr:uid="{00000000-0005-0000-0000-00001E000000}"/>
    <cellStyle name="Normal 7 3" xfId="78" xr:uid="{00000000-0005-0000-0000-00001E000000}"/>
    <cellStyle name="Normal 8" xfId="29" xr:uid="{00000000-0005-0000-0000-00001F000000}"/>
    <cellStyle name="Normal 8 2" xfId="55" xr:uid="{00000000-0005-0000-0000-00001F000000}"/>
    <cellStyle name="Normal 8 3" xfId="81" xr:uid="{00000000-0005-0000-0000-00001F000000}"/>
    <cellStyle name="Normal 9" xfId="3" xr:uid="{00000000-0005-0000-0000-000020000000}"/>
    <cellStyle name="Normal 9 2" xfId="36" xr:uid="{00000000-0005-0000-0000-000020000000}"/>
    <cellStyle name="Normal 9 3" xfId="62" xr:uid="{00000000-0005-0000-0000-000020000000}"/>
    <cellStyle name="Normal 95" xfId="14" xr:uid="{00000000-0005-0000-0000-00002100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3"/>
  <sheetViews>
    <sheetView topLeftCell="B211" zoomScaleNormal="100" workbookViewId="0">
      <selection activeCell="B223" sqref="B223"/>
    </sheetView>
  </sheetViews>
  <sheetFormatPr defaultRowHeight="20.100000000000001" customHeight="1" x14ac:dyDescent="0.15"/>
  <cols>
    <col min="1" max="1" width="5.28515625" style="60" customWidth="1"/>
    <col min="2" max="2" width="16.5703125" style="70" customWidth="1"/>
    <col min="3" max="3" width="37.28515625" style="60" bestFit="1" customWidth="1"/>
    <col min="4" max="4" width="5.28515625" style="60" customWidth="1"/>
    <col min="5" max="5" width="16.140625" style="60" bestFit="1" customWidth="1"/>
    <col min="6" max="6" width="14.140625" style="60" bestFit="1" customWidth="1"/>
    <col min="7" max="7" width="23.85546875" style="60" customWidth="1"/>
    <col min="8" max="8" width="16.42578125" style="60" bestFit="1" customWidth="1"/>
    <col min="9" max="9" width="57.28515625" style="60" customWidth="1"/>
    <col min="10" max="16384" width="9.140625" style="60"/>
  </cols>
  <sheetData>
    <row r="1" spans="1:10" ht="20.100000000000001" customHeight="1" x14ac:dyDescent="0.15">
      <c r="A1" s="74" t="s">
        <v>614</v>
      </c>
      <c r="B1" s="75" t="s">
        <v>0</v>
      </c>
      <c r="C1" s="74" t="s">
        <v>796</v>
      </c>
      <c r="D1" s="74" t="s">
        <v>2</v>
      </c>
      <c r="E1" s="74" t="s">
        <v>3</v>
      </c>
      <c r="F1" s="74" t="s">
        <v>4</v>
      </c>
      <c r="G1" s="74" t="s">
        <v>5</v>
      </c>
      <c r="H1" s="74" t="s">
        <v>6</v>
      </c>
      <c r="I1" s="74" t="s">
        <v>7</v>
      </c>
      <c r="J1" s="59" t="s">
        <v>615</v>
      </c>
    </row>
    <row r="2" spans="1:10" ht="20.100000000000001" customHeight="1" x14ac:dyDescent="0.15">
      <c r="A2" s="59">
        <v>1</v>
      </c>
      <c r="B2" s="58" t="s">
        <v>251</v>
      </c>
      <c r="C2" s="59" t="s">
        <v>252</v>
      </c>
      <c r="D2" s="59" t="s">
        <v>10</v>
      </c>
      <c r="E2" s="61">
        <v>42423</v>
      </c>
      <c r="F2" s="59" t="s">
        <v>11</v>
      </c>
      <c r="G2" s="59" t="s">
        <v>155</v>
      </c>
      <c r="H2" s="59" t="s">
        <v>13</v>
      </c>
      <c r="I2" s="59" t="s">
        <v>253</v>
      </c>
      <c r="J2" s="59">
        <v>1</v>
      </c>
    </row>
    <row r="3" spans="1:10" ht="20.100000000000001" customHeight="1" x14ac:dyDescent="0.15">
      <c r="A3" s="59">
        <v>2</v>
      </c>
      <c r="B3" s="58" t="s">
        <v>474</v>
      </c>
      <c r="C3" s="59" t="s">
        <v>475</v>
      </c>
      <c r="D3" s="59" t="s">
        <v>17</v>
      </c>
      <c r="E3" s="61">
        <v>44666</v>
      </c>
      <c r="F3" s="59" t="s">
        <v>11</v>
      </c>
      <c r="G3" s="59" t="s">
        <v>155</v>
      </c>
      <c r="H3" s="59" t="s">
        <v>79</v>
      </c>
      <c r="I3" s="59" t="s">
        <v>476</v>
      </c>
      <c r="J3" s="59">
        <v>2</v>
      </c>
    </row>
    <row r="4" spans="1:10" ht="20.100000000000001" customHeight="1" x14ac:dyDescent="0.15">
      <c r="A4" s="59">
        <v>3</v>
      </c>
      <c r="B4" s="56" t="s">
        <v>684</v>
      </c>
      <c r="C4" s="57" t="s">
        <v>685</v>
      </c>
      <c r="D4" s="59" t="s">
        <v>17</v>
      </c>
      <c r="E4" s="61">
        <v>45825</v>
      </c>
      <c r="F4" s="59" t="s">
        <v>11</v>
      </c>
      <c r="G4" s="59" t="s">
        <v>155</v>
      </c>
      <c r="H4" s="59" t="s">
        <v>13</v>
      </c>
      <c r="I4" s="59" t="s">
        <v>688</v>
      </c>
      <c r="J4" s="59">
        <v>3</v>
      </c>
    </row>
    <row r="5" spans="1:10" ht="20.100000000000001" customHeight="1" x14ac:dyDescent="0.15">
      <c r="A5" s="59">
        <v>4</v>
      </c>
      <c r="B5" s="56" t="s">
        <v>686</v>
      </c>
      <c r="C5" s="57" t="s">
        <v>687</v>
      </c>
      <c r="D5" s="59" t="s">
        <v>10</v>
      </c>
      <c r="E5" s="61">
        <v>45825</v>
      </c>
      <c r="F5" s="59" t="s">
        <v>11</v>
      </c>
      <c r="G5" s="59" t="s">
        <v>155</v>
      </c>
      <c r="H5" s="59" t="s">
        <v>13</v>
      </c>
      <c r="I5" s="59" t="s">
        <v>689</v>
      </c>
      <c r="J5" s="59">
        <v>4</v>
      </c>
    </row>
    <row r="6" spans="1:10" ht="20.100000000000001" customHeight="1" x14ac:dyDescent="0.15">
      <c r="A6" s="59">
        <v>5</v>
      </c>
      <c r="B6" s="58" t="s">
        <v>8</v>
      </c>
      <c r="C6" s="59" t="s">
        <v>9</v>
      </c>
      <c r="D6" s="59" t="s">
        <v>10</v>
      </c>
      <c r="E6" s="61">
        <v>42657</v>
      </c>
      <c r="F6" s="59" t="s">
        <v>11</v>
      </c>
      <c r="G6" s="59" t="s">
        <v>12</v>
      </c>
      <c r="H6" s="59" t="s">
        <v>13</v>
      </c>
      <c r="I6" s="59" t="s">
        <v>667</v>
      </c>
      <c r="J6" s="59">
        <v>5</v>
      </c>
    </row>
    <row r="7" spans="1:10" ht="20.100000000000001" customHeight="1" x14ac:dyDescent="0.15">
      <c r="A7" s="59"/>
      <c r="B7" s="58"/>
      <c r="C7" s="59"/>
      <c r="D7" s="59"/>
      <c r="E7" s="61"/>
      <c r="F7" s="59"/>
      <c r="G7" s="59"/>
      <c r="H7" s="59"/>
      <c r="I7" s="59"/>
      <c r="J7" s="59"/>
    </row>
    <row r="8" spans="1:10" ht="20.100000000000001" customHeight="1" x14ac:dyDescent="0.15">
      <c r="A8" s="59">
        <v>6</v>
      </c>
      <c r="B8" s="58" t="s">
        <v>31</v>
      </c>
      <c r="C8" s="59" t="s">
        <v>32</v>
      </c>
      <c r="D8" s="59" t="s">
        <v>17</v>
      </c>
      <c r="E8" s="61">
        <v>41744</v>
      </c>
      <c r="F8" s="59" t="s">
        <v>11</v>
      </c>
      <c r="G8" s="59" t="s">
        <v>33</v>
      </c>
      <c r="H8" s="59" t="s">
        <v>13</v>
      </c>
      <c r="I8" s="59" t="s">
        <v>23</v>
      </c>
      <c r="J8" s="59">
        <v>1</v>
      </c>
    </row>
    <row r="9" spans="1:10" ht="20.100000000000001" customHeight="1" x14ac:dyDescent="0.15">
      <c r="A9" s="59">
        <v>7</v>
      </c>
      <c r="B9" s="58" t="s">
        <v>55</v>
      </c>
      <c r="C9" s="59" t="s">
        <v>56</v>
      </c>
      <c r="D9" s="59" t="s">
        <v>17</v>
      </c>
      <c r="E9" s="61">
        <v>45546</v>
      </c>
      <c r="F9" s="59" t="s">
        <v>11</v>
      </c>
      <c r="G9" s="59" t="s">
        <v>33</v>
      </c>
      <c r="H9" s="59" t="s">
        <v>13</v>
      </c>
      <c r="I9" s="59" t="s">
        <v>48</v>
      </c>
      <c r="J9" s="59">
        <v>2</v>
      </c>
    </row>
    <row r="10" spans="1:10" ht="20.100000000000001" customHeight="1" x14ac:dyDescent="0.15">
      <c r="A10" s="59">
        <v>8</v>
      </c>
      <c r="B10" s="58" t="s">
        <v>87</v>
      </c>
      <c r="C10" s="59" t="s">
        <v>88</v>
      </c>
      <c r="D10" s="59" t="s">
        <v>17</v>
      </c>
      <c r="E10" s="61">
        <v>42520</v>
      </c>
      <c r="F10" s="59" t="s">
        <v>11</v>
      </c>
      <c r="G10" s="59" t="s">
        <v>33</v>
      </c>
      <c r="H10" s="59" t="s">
        <v>13</v>
      </c>
      <c r="I10" s="59" t="s">
        <v>82</v>
      </c>
      <c r="J10" s="59">
        <v>3</v>
      </c>
    </row>
    <row r="11" spans="1:10" ht="20.100000000000001" customHeight="1" x14ac:dyDescent="0.15">
      <c r="A11" s="59">
        <v>9</v>
      </c>
      <c r="B11" s="58" t="s">
        <v>89</v>
      </c>
      <c r="C11" s="59" t="s">
        <v>90</v>
      </c>
      <c r="D11" s="59" t="s">
        <v>17</v>
      </c>
      <c r="E11" s="61">
        <v>43158</v>
      </c>
      <c r="F11" s="59" t="s">
        <v>11</v>
      </c>
      <c r="G11" s="59" t="s">
        <v>33</v>
      </c>
      <c r="H11" s="59" t="s">
        <v>13</v>
      </c>
      <c r="I11" s="59" t="s">
        <v>82</v>
      </c>
      <c r="J11" s="59">
        <v>4</v>
      </c>
    </row>
    <row r="12" spans="1:10" ht="20.100000000000001" customHeight="1" x14ac:dyDescent="0.15">
      <c r="A12" s="59">
        <v>10</v>
      </c>
      <c r="B12" s="58" t="s">
        <v>91</v>
      </c>
      <c r="C12" s="59" t="s">
        <v>92</v>
      </c>
      <c r="D12" s="59" t="s">
        <v>17</v>
      </c>
      <c r="E12" s="61">
        <v>43011</v>
      </c>
      <c r="F12" s="59" t="s">
        <v>11</v>
      </c>
      <c r="G12" s="59" t="s">
        <v>33</v>
      </c>
      <c r="H12" s="59" t="s">
        <v>13</v>
      </c>
      <c r="I12" s="59" t="s">
        <v>82</v>
      </c>
      <c r="J12" s="59">
        <v>5</v>
      </c>
    </row>
    <row r="13" spans="1:10" ht="20.100000000000001" customHeight="1" x14ac:dyDescent="0.15">
      <c r="A13" s="59">
        <v>11</v>
      </c>
      <c r="B13" s="58" t="s">
        <v>93</v>
      </c>
      <c r="C13" s="59" t="s">
        <v>94</v>
      </c>
      <c r="D13" s="59" t="s">
        <v>17</v>
      </c>
      <c r="E13" s="61">
        <v>41814</v>
      </c>
      <c r="F13" s="59" t="s">
        <v>11</v>
      </c>
      <c r="G13" s="59" t="s">
        <v>33</v>
      </c>
      <c r="H13" s="59" t="s">
        <v>13</v>
      </c>
      <c r="I13" s="59" t="s">
        <v>82</v>
      </c>
      <c r="J13" s="59">
        <v>6</v>
      </c>
    </row>
    <row r="14" spans="1:10" ht="20.100000000000001" customHeight="1" x14ac:dyDescent="0.15">
      <c r="A14" s="59">
        <v>12</v>
      </c>
      <c r="B14" s="58" t="s">
        <v>123</v>
      </c>
      <c r="C14" s="59" t="s">
        <v>124</v>
      </c>
      <c r="D14" s="59" t="s">
        <v>17</v>
      </c>
      <c r="E14" s="61">
        <v>42630</v>
      </c>
      <c r="F14" s="59" t="s">
        <v>11</v>
      </c>
      <c r="G14" s="59" t="s">
        <v>33</v>
      </c>
      <c r="H14" s="59" t="s">
        <v>13</v>
      </c>
      <c r="I14" s="59" t="s">
        <v>125</v>
      </c>
      <c r="J14" s="59">
        <v>7</v>
      </c>
    </row>
    <row r="15" spans="1:10" ht="20.100000000000001" customHeight="1" x14ac:dyDescent="0.15">
      <c r="A15" s="59">
        <v>13</v>
      </c>
      <c r="B15" s="58" t="s">
        <v>126</v>
      </c>
      <c r="C15" s="59" t="s">
        <v>127</v>
      </c>
      <c r="D15" s="59" t="s">
        <v>17</v>
      </c>
      <c r="E15" s="61">
        <v>42167</v>
      </c>
      <c r="F15" s="59" t="s">
        <v>11</v>
      </c>
      <c r="G15" s="59" t="s">
        <v>33</v>
      </c>
      <c r="H15" s="59" t="s">
        <v>13</v>
      </c>
      <c r="I15" s="59" t="s">
        <v>125</v>
      </c>
      <c r="J15" s="59">
        <v>8</v>
      </c>
    </row>
    <row r="16" spans="1:10" ht="20.100000000000001" customHeight="1" x14ac:dyDescent="0.15">
      <c r="A16" s="59">
        <v>14</v>
      </c>
      <c r="B16" s="58" t="s">
        <v>128</v>
      </c>
      <c r="C16" s="59" t="s">
        <v>129</v>
      </c>
      <c r="D16" s="59" t="s">
        <v>17</v>
      </c>
      <c r="E16" s="61">
        <v>44698</v>
      </c>
      <c r="F16" s="59" t="s">
        <v>11</v>
      </c>
      <c r="G16" s="59" t="s">
        <v>33</v>
      </c>
      <c r="H16" s="59" t="s">
        <v>13</v>
      </c>
      <c r="I16" s="59" t="s">
        <v>125</v>
      </c>
      <c r="J16" s="59">
        <v>9</v>
      </c>
    </row>
    <row r="17" spans="1:10" ht="20.100000000000001" customHeight="1" x14ac:dyDescent="0.15">
      <c r="A17" s="59">
        <v>15</v>
      </c>
      <c r="B17" s="58" t="s">
        <v>214</v>
      </c>
      <c r="C17" s="59" t="s">
        <v>215</v>
      </c>
      <c r="D17" s="59" t="s">
        <v>17</v>
      </c>
      <c r="E17" s="61">
        <v>42531</v>
      </c>
      <c r="F17" s="59" t="s">
        <v>11</v>
      </c>
      <c r="G17" s="59" t="s">
        <v>33</v>
      </c>
      <c r="H17" s="59" t="s">
        <v>79</v>
      </c>
      <c r="I17" s="59" t="s">
        <v>216</v>
      </c>
      <c r="J17" s="59">
        <v>10</v>
      </c>
    </row>
    <row r="18" spans="1:10" ht="20.100000000000001" customHeight="1" x14ac:dyDescent="0.15">
      <c r="A18" s="59">
        <v>16</v>
      </c>
      <c r="B18" s="58" t="s">
        <v>222</v>
      </c>
      <c r="C18" s="59" t="s">
        <v>223</v>
      </c>
      <c r="D18" s="59" t="s">
        <v>17</v>
      </c>
      <c r="E18" s="61">
        <v>41678</v>
      </c>
      <c r="F18" s="59" t="s">
        <v>11</v>
      </c>
      <c r="G18" s="59" t="s">
        <v>33</v>
      </c>
      <c r="H18" s="59" t="s">
        <v>79</v>
      </c>
      <c r="I18" s="59" t="s">
        <v>224</v>
      </c>
      <c r="J18" s="59">
        <v>11</v>
      </c>
    </row>
    <row r="19" spans="1:10" ht="20.100000000000001" customHeight="1" x14ac:dyDescent="0.15">
      <c r="A19" s="59">
        <v>17</v>
      </c>
      <c r="B19" s="58" t="s">
        <v>234</v>
      </c>
      <c r="C19" s="59" t="s">
        <v>235</v>
      </c>
      <c r="D19" s="59" t="s">
        <v>10</v>
      </c>
      <c r="E19" s="61">
        <v>45378</v>
      </c>
      <c r="F19" s="59" t="s">
        <v>11</v>
      </c>
      <c r="G19" s="59" t="s">
        <v>33</v>
      </c>
      <c r="H19" s="59" t="s">
        <v>13</v>
      </c>
      <c r="I19" s="59" t="s">
        <v>236</v>
      </c>
      <c r="J19" s="59">
        <v>12</v>
      </c>
    </row>
    <row r="20" spans="1:10" ht="20.100000000000001" customHeight="1" x14ac:dyDescent="0.15">
      <c r="A20" s="59">
        <v>18</v>
      </c>
      <c r="B20" s="58" t="s">
        <v>245</v>
      </c>
      <c r="C20" s="59" t="s">
        <v>246</v>
      </c>
      <c r="D20" s="59" t="s">
        <v>17</v>
      </c>
      <c r="E20" s="61">
        <v>41680</v>
      </c>
      <c r="F20" s="59" t="s">
        <v>11</v>
      </c>
      <c r="G20" s="59" t="s">
        <v>33</v>
      </c>
      <c r="H20" s="59" t="s">
        <v>13</v>
      </c>
      <c r="I20" s="59" t="s">
        <v>247</v>
      </c>
      <c r="J20" s="59">
        <v>13</v>
      </c>
    </row>
    <row r="21" spans="1:10" ht="20.100000000000001" customHeight="1" x14ac:dyDescent="0.15">
      <c r="A21" s="59">
        <v>19</v>
      </c>
      <c r="B21" s="58" t="s">
        <v>283</v>
      </c>
      <c r="C21" s="59" t="s">
        <v>284</v>
      </c>
      <c r="D21" s="59" t="s">
        <v>17</v>
      </c>
      <c r="E21" s="61">
        <v>41660</v>
      </c>
      <c r="F21" s="59" t="s">
        <v>11</v>
      </c>
      <c r="G21" s="59" t="s">
        <v>33</v>
      </c>
      <c r="H21" s="59" t="s">
        <v>13</v>
      </c>
      <c r="I21" s="59" t="s">
        <v>285</v>
      </c>
      <c r="J21" s="59">
        <v>14</v>
      </c>
    </row>
    <row r="22" spans="1:10" ht="20.100000000000001" customHeight="1" x14ac:dyDescent="0.15">
      <c r="A22" s="59">
        <v>20</v>
      </c>
      <c r="B22" s="58" t="s">
        <v>286</v>
      </c>
      <c r="C22" s="59" t="s">
        <v>287</v>
      </c>
      <c r="D22" s="59" t="s">
        <v>17</v>
      </c>
      <c r="E22" s="61">
        <v>41750</v>
      </c>
      <c r="F22" s="59" t="s">
        <v>11</v>
      </c>
      <c r="G22" s="59" t="s">
        <v>33</v>
      </c>
      <c r="H22" s="59" t="s">
        <v>13</v>
      </c>
      <c r="I22" s="59" t="s">
        <v>285</v>
      </c>
      <c r="J22" s="59">
        <v>15</v>
      </c>
    </row>
    <row r="23" spans="1:10" ht="20.100000000000001" customHeight="1" x14ac:dyDescent="0.15">
      <c r="A23" s="59">
        <v>21</v>
      </c>
      <c r="B23" s="58" t="s">
        <v>334</v>
      </c>
      <c r="C23" s="59" t="s">
        <v>335</v>
      </c>
      <c r="D23" s="59" t="s">
        <v>17</v>
      </c>
      <c r="E23" s="61">
        <v>43897</v>
      </c>
      <c r="F23" s="59" t="s">
        <v>11</v>
      </c>
      <c r="G23" s="59" t="s">
        <v>33</v>
      </c>
      <c r="H23" s="59" t="s">
        <v>79</v>
      </c>
      <c r="I23" s="59" t="s">
        <v>336</v>
      </c>
      <c r="J23" s="59">
        <v>16</v>
      </c>
    </row>
    <row r="24" spans="1:10" ht="20.100000000000001" customHeight="1" x14ac:dyDescent="0.15">
      <c r="A24" s="59">
        <v>22</v>
      </c>
      <c r="B24" s="58" t="s">
        <v>345</v>
      </c>
      <c r="C24" s="59" t="s">
        <v>346</v>
      </c>
      <c r="D24" s="59" t="s">
        <v>17</v>
      </c>
      <c r="E24" s="61">
        <v>44105</v>
      </c>
      <c r="F24" s="59" t="s">
        <v>11</v>
      </c>
      <c r="G24" s="59" t="s">
        <v>33</v>
      </c>
      <c r="H24" s="59" t="s">
        <v>13</v>
      </c>
      <c r="I24" s="59" t="s">
        <v>344</v>
      </c>
      <c r="J24" s="59">
        <v>17</v>
      </c>
    </row>
    <row r="25" spans="1:10" ht="20.100000000000001" customHeight="1" x14ac:dyDescent="0.15">
      <c r="A25" s="59">
        <v>23</v>
      </c>
      <c r="B25" s="58" t="s">
        <v>347</v>
      </c>
      <c r="C25" s="59" t="s">
        <v>348</v>
      </c>
      <c r="D25" s="59" t="s">
        <v>17</v>
      </c>
      <c r="E25" s="61">
        <v>43914</v>
      </c>
      <c r="F25" s="59" t="s">
        <v>11</v>
      </c>
      <c r="G25" s="59" t="s">
        <v>33</v>
      </c>
      <c r="H25" s="59" t="s">
        <v>13</v>
      </c>
      <c r="I25" s="59" t="s">
        <v>349</v>
      </c>
      <c r="J25" s="59">
        <v>18</v>
      </c>
    </row>
    <row r="26" spans="1:10" ht="20.100000000000001" customHeight="1" x14ac:dyDescent="0.15">
      <c r="A26" s="59">
        <v>24</v>
      </c>
      <c r="B26" s="58" t="s">
        <v>411</v>
      </c>
      <c r="C26" s="59" t="s">
        <v>412</v>
      </c>
      <c r="D26" s="59" t="s">
        <v>17</v>
      </c>
      <c r="E26" s="61">
        <v>45306</v>
      </c>
      <c r="F26" s="59" t="s">
        <v>11</v>
      </c>
      <c r="G26" s="59" t="s">
        <v>33</v>
      </c>
      <c r="H26" s="59" t="s">
        <v>79</v>
      </c>
      <c r="I26" s="59" t="s">
        <v>413</v>
      </c>
      <c r="J26" s="59">
        <v>19</v>
      </c>
    </row>
    <row r="27" spans="1:10" ht="20.100000000000001" customHeight="1" x14ac:dyDescent="0.15">
      <c r="A27" s="59">
        <v>25</v>
      </c>
      <c r="B27" s="58" t="s">
        <v>414</v>
      </c>
      <c r="C27" s="59" t="s">
        <v>415</v>
      </c>
      <c r="D27" s="59" t="s">
        <v>17</v>
      </c>
      <c r="E27" s="61">
        <v>44090</v>
      </c>
      <c r="F27" s="59" t="s">
        <v>11</v>
      </c>
      <c r="G27" s="59" t="s">
        <v>33</v>
      </c>
      <c r="H27" s="59" t="s">
        <v>79</v>
      </c>
      <c r="I27" s="59" t="s">
        <v>416</v>
      </c>
      <c r="J27" s="59">
        <v>20</v>
      </c>
    </row>
    <row r="28" spans="1:10" ht="20.100000000000001" customHeight="1" x14ac:dyDescent="0.15">
      <c r="A28" s="59">
        <v>26</v>
      </c>
      <c r="B28" s="58" t="s">
        <v>425</v>
      </c>
      <c r="C28" s="59" t="s">
        <v>426</v>
      </c>
      <c r="D28" s="59" t="s">
        <v>17</v>
      </c>
      <c r="E28" s="61">
        <v>44209</v>
      </c>
      <c r="F28" s="59" t="s">
        <v>11</v>
      </c>
      <c r="G28" s="59" t="s">
        <v>33</v>
      </c>
      <c r="H28" s="59" t="s">
        <v>13</v>
      </c>
      <c r="I28" s="59" t="s">
        <v>427</v>
      </c>
      <c r="J28" s="59">
        <v>21</v>
      </c>
    </row>
    <row r="29" spans="1:10" ht="20.100000000000001" customHeight="1" x14ac:dyDescent="0.15">
      <c r="A29" s="59">
        <v>27</v>
      </c>
      <c r="B29" s="58" t="s">
        <v>542</v>
      </c>
      <c r="C29" s="59" t="s">
        <v>543</v>
      </c>
      <c r="D29" s="59" t="s">
        <v>17</v>
      </c>
      <c r="E29" s="61">
        <v>44834</v>
      </c>
      <c r="F29" s="59" t="s">
        <v>11</v>
      </c>
      <c r="G29" s="59" t="s">
        <v>33</v>
      </c>
      <c r="H29" s="59" t="s">
        <v>79</v>
      </c>
      <c r="I29" s="59" t="s">
        <v>544</v>
      </c>
      <c r="J29" s="59">
        <v>22</v>
      </c>
    </row>
    <row r="30" spans="1:10" ht="20.100000000000001" customHeight="1" x14ac:dyDescent="0.15">
      <c r="A30" s="59">
        <v>28</v>
      </c>
      <c r="B30" s="58" t="s">
        <v>570</v>
      </c>
      <c r="C30" s="59" t="s">
        <v>571</v>
      </c>
      <c r="D30" s="59" t="s">
        <v>17</v>
      </c>
      <c r="E30" s="61">
        <v>45419</v>
      </c>
      <c r="F30" s="59" t="s">
        <v>11</v>
      </c>
      <c r="G30" s="59" t="s">
        <v>33</v>
      </c>
      <c r="H30" s="59" t="s">
        <v>13</v>
      </c>
      <c r="I30" s="59" t="s">
        <v>572</v>
      </c>
      <c r="J30" s="59">
        <v>23</v>
      </c>
    </row>
    <row r="31" spans="1:10" ht="20.100000000000001" customHeight="1" x14ac:dyDescent="0.15">
      <c r="A31" s="59">
        <v>29</v>
      </c>
      <c r="B31" s="58" t="s">
        <v>600</v>
      </c>
      <c r="C31" s="59" t="s">
        <v>601</v>
      </c>
      <c r="D31" s="59" t="s">
        <v>17</v>
      </c>
      <c r="E31" s="61">
        <v>45349</v>
      </c>
      <c r="F31" s="59" t="s">
        <v>11</v>
      </c>
      <c r="G31" s="59" t="s">
        <v>33</v>
      </c>
      <c r="H31" s="59" t="s">
        <v>13</v>
      </c>
      <c r="I31" s="59" t="s">
        <v>602</v>
      </c>
      <c r="J31" s="59">
        <v>24</v>
      </c>
    </row>
    <row r="32" spans="1:10" ht="20.100000000000001" customHeight="1" x14ac:dyDescent="0.15">
      <c r="A32" s="59">
        <v>30</v>
      </c>
      <c r="B32" s="56" t="s">
        <v>670</v>
      </c>
      <c r="C32" s="57" t="s">
        <v>671</v>
      </c>
      <c r="D32" s="59" t="s">
        <v>17</v>
      </c>
      <c r="E32" s="61">
        <v>45776</v>
      </c>
      <c r="F32" s="59" t="s">
        <v>11</v>
      </c>
      <c r="G32" s="59" t="s">
        <v>33</v>
      </c>
      <c r="H32" s="59" t="s">
        <v>13</v>
      </c>
      <c r="I32" s="59" t="s">
        <v>679</v>
      </c>
      <c r="J32" s="59">
        <v>25</v>
      </c>
    </row>
    <row r="33" spans="1:10" ht="20.100000000000001" customHeight="1" x14ac:dyDescent="0.15">
      <c r="A33" s="59">
        <v>31</v>
      </c>
      <c r="B33" s="56" t="s">
        <v>690</v>
      </c>
      <c r="C33" s="57" t="s">
        <v>691</v>
      </c>
      <c r="D33" s="59" t="s">
        <v>17</v>
      </c>
      <c r="E33" s="61">
        <v>45797</v>
      </c>
      <c r="F33" s="59" t="s">
        <v>11</v>
      </c>
      <c r="G33" s="59" t="s">
        <v>33</v>
      </c>
      <c r="H33" s="59" t="s">
        <v>13</v>
      </c>
      <c r="I33" s="59" t="s">
        <v>679</v>
      </c>
      <c r="J33" s="59">
        <v>26</v>
      </c>
    </row>
    <row r="34" spans="1:10" ht="20.100000000000001" customHeight="1" x14ac:dyDescent="0.15">
      <c r="A34" s="59">
        <v>32</v>
      </c>
      <c r="B34" s="56" t="s">
        <v>706</v>
      </c>
      <c r="C34" s="57" t="s">
        <v>707</v>
      </c>
      <c r="D34" s="59" t="s">
        <v>708</v>
      </c>
      <c r="E34" s="61">
        <v>45888</v>
      </c>
      <c r="F34" s="59" t="s">
        <v>11</v>
      </c>
      <c r="G34" s="59" t="s">
        <v>33</v>
      </c>
      <c r="H34" s="59" t="s">
        <v>13</v>
      </c>
      <c r="I34" s="59" t="s">
        <v>563</v>
      </c>
      <c r="J34" s="59">
        <v>27</v>
      </c>
    </row>
    <row r="35" spans="1:10" ht="20.100000000000001" customHeight="1" x14ac:dyDescent="0.15">
      <c r="A35" s="59">
        <v>33</v>
      </c>
      <c r="B35" s="56" t="s">
        <v>718</v>
      </c>
      <c r="C35" s="57" t="s">
        <v>719</v>
      </c>
      <c r="D35" s="59" t="s">
        <v>708</v>
      </c>
      <c r="E35" s="61">
        <v>45902</v>
      </c>
      <c r="F35" s="59" t="s">
        <v>11</v>
      </c>
      <c r="G35" s="59" t="s">
        <v>33</v>
      </c>
      <c r="H35" s="59" t="s">
        <v>13</v>
      </c>
      <c r="I35" s="59" t="s">
        <v>563</v>
      </c>
      <c r="J35" s="59">
        <v>28</v>
      </c>
    </row>
    <row r="36" spans="1:10" ht="20.100000000000001" customHeight="1" x14ac:dyDescent="0.15">
      <c r="A36" s="59">
        <v>34</v>
      </c>
      <c r="B36" s="56" t="s">
        <v>720</v>
      </c>
      <c r="C36" s="57" t="s">
        <v>721</v>
      </c>
      <c r="D36" s="59" t="s">
        <v>708</v>
      </c>
      <c r="E36" s="61">
        <v>45902</v>
      </c>
      <c r="F36" s="59" t="s">
        <v>11</v>
      </c>
      <c r="G36" s="59" t="s">
        <v>33</v>
      </c>
      <c r="H36" s="59" t="s">
        <v>13</v>
      </c>
      <c r="I36" s="59" t="s">
        <v>563</v>
      </c>
      <c r="J36" s="59">
        <v>29</v>
      </c>
    </row>
    <row r="37" spans="1:10" ht="20.100000000000001" customHeight="1" x14ac:dyDescent="0.15">
      <c r="A37" s="59">
        <v>35</v>
      </c>
      <c r="B37" s="56" t="s">
        <v>722</v>
      </c>
      <c r="C37" s="57" t="s">
        <v>723</v>
      </c>
      <c r="D37" s="59" t="s">
        <v>708</v>
      </c>
      <c r="E37" s="61">
        <v>45909</v>
      </c>
      <c r="F37" s="59" t="s">
        <v>11</v>
      </c>
      <c r="G37" s="59" t="s">
        <v>33</v>
      </c>
      <c r="H37" s="59" t="s">
        <v>13</v>
      </c>
      <c r="I37" s="59" t="s">
        <v>563</v>
      </c>
      <c r="J37" s="59">
        <v>30</v>
      </c>
    </row>
    <row r="38" spans="1:10" ht="20.100000000000001" customHeight="1" x14ac:dyDescent="0.15">
      <c r="A38" s="59">
        <v>36</v>
      </c>
      <c r="B38" s="62" t="s">
        <v>748</v>
      </c>
      <c r="C38" s="63" t="s">
        <v>749</v>
      </c>
      <c r="D38" s="59" t="s">
        <v>708</v>
      </c>
      <c r="E38" s="61">
        <v>45923</v>
      </c>
      <c r="F38" s="59" t="s">
        <v>11</v>
      </c>
      <c r="G38" s="59" t="s">
        <v>33</v>
      </c>
      <c r="H38" s="59" t="s">
        <v>13</v>
      </c>
      <c r="I38" s="59" t="s">
        <v>563</v>
      </c>
      <c r="J38" s="59">
        <v>31</v>
      </c>
    </row>
    <row r="39" spans="1:10" ht="20.100000000000001" customHeight="1" x14ac:dyDescent="0.15">
      <c r="A39" s="59">
        <v>37</v>
      </c>
      <c r="B39" s="76" t="s">
        <v>771</v>
      </c>
      <c r="C39" s="76" t="s">
        <v>772</v>
      </c>
      <c r="D39" s="59" t="s">
        <v>708</v>
      </c>
      <c r="E39" s="61">
        <v>45993</v>
      </c>
      <c r="F39" s="59" t="s">
        <v>11</v>
      </c>
      <c r="G39" s="59" t="s">
        <v>33</v>
      </c>
      <c r="H39" s="59" t="s">
        <v>13</v>
      </c>
      <c r="I39" s="59" t="s">
        <v>563</v>
      </c>
      <c r="J39" s="59">
        <v>32</v>
      </c>
    </row>
    <row r="40" spans="1:10" ht="20.100000000000001" customHeight="1" x14ac:dyDescent="0.15">
      <c r="A40" s="59">
        <v>38</v>
      </c>
      <c r="B40" s="77" t="s">
        <v>776</v>
      </c>
      <c r="C40" s="78" t="s">
        <v>777</v>
      </c>
      <c r="D40" s="59" t="s">
        <v>708</v>
      </c>
      <c r="E40" s="61">
        <v>46036</v>
      </c>
      <c r="F40" s="59" t="s">
        <v>11</v>
      </c>
      <c r="G40" s="59" t="s">
        <v>33</v>
      </c>
      <c r="H40" s="59" t="s">
        <v>13</v>
      </c>
      <c r="I40" s="59" t="s">
        <v>82</v>
      </c>
      <c r="J40" s="59">
        <v>33</v>
      </c>
    </row>
    <row r="41" spans="1:10" ht="20.100000000000001" customHeight="1" x14ac:dyDescent="0.15">
      <c r="A41" s="59"/>
      <c r="B41" s="76"/>
      <c r="C41" s="76"/>
      <c r="D41" s="59"/>
      <c r="E41" s="61"/>
      <c r="F41" s="59"/>
      <c r="G41" s="59"/>
      <c r="H41" s="59"/>
      <c r="I41" s="59"/>
      <c r="J41" s="59"/>
    </row>
    <row r="42" spans="1:10" ht="20.100000000000001" customHeight="1" x14ac:dyDescent="0.15">
      <c r="A42" s="59"/>
      <c r="B42" s="58"/>
      <c r="C42" s="59"/>
      <c r="D42" s="59"/>
      <c r="E42" s="61"/>
      <c r="F42" s="59"/>
      <c r="G42" s="59"/>
      <c r="H42" s="59"/>
      <c r="I42" s="59"/>
      <c r="J42" s="59"/>
    </row>
    <row r="43" spans="1:10" ht="20.100000000000001" customHeight="1" x14ac:dyDescent="0.15">
      <c r="A43" s="59">
        <v>39</v>
      </c>
      <c r="B43" s="58" t="s">
        <v>257</v>
      </c>
      <c r="C43" s="59" t="s">
        <v>258</v>
      </c>
      <c r="D43" s="59" t="s">
        <v>17</v>
      </c>
      <c r="E43" s="61">
        <v>44341</v>
      </c>
      <c r="F43" s="59" t="s">
        <v>11</v>
      </c>
      <c r="G43" s="59" t="s">
        <v>40</v>
      </c>
      <c r="H43" s="59" t="s">
        <v>13</v>
      </c>
      <c r="I43" s="59" t="s">
        <v>259</v>
      </c>
      <c r="J43" s="59">
        <v>1</v>
      </c>
    </row>
    <row r="44" spans="1:10" ht="20.100000000000001" customHeight="1" x14ac:dyDescent="0.15">
      <c r="A44" s="59"/>
      <c r="B44" s="58"/>
      <c r="C44" s="59"/>
      <c r="D44" s="59"/>
      <c r="E44" s="61"/>
      <c r="F44" s="59"/>
      <c r="G44" s="59"/>
      <c r="H44" s="59"/>
      <c r="I44" s="59"/>
      <c r="J44" s="59"/>
    </row>
    <row r="45" spans="1:10" ht="20.100000000000001" customHeight="1" x14ac:dyDescent="0.15">
      <c r="A45" s="59">
        <v>40</v>
      </c>
      <c r="B45" s="58" t="s">
        <v>313</v>
      </c>
      <c r="C45" s="59" t="s">
        <v>314</v>
      </c>
      <c r="D45" s="59" t="s">
        <v>17</v>
      </c>
      <c r="E45" s="61">
        <v>43776</v>
      </c>
      <c r="F45" s="59" t="s">
        <v>11</v>
      </c>
      <c r="G45" s="59" t="s">
        <v>305</v>
      </c>
      <c r="H45" s="59" t="s">
        <v>79</v>
      </c>
      <c r="I45" s="59" t="s">
        <v>716</v>
      </c>
      <c r="J45" s="59">
        <v>1</v>
      </c>
    </row>
    <row r="46" spans="1:10" ht="20.100000000000001" customHeight="1" x14ac:dyDescent="0.15">
      <c r="A46" s="59">
        <v>41</v>
      </c>
      <c r="B46" s="64" t="s">
        <v>717</v>
      </c>
      <c r="C46" s="59" t="s">
        <v>715</v>
      </c>
      <c r="D46" s="59" t="s">
        <v>17</v>
      </c>
      <c r="E46" s="61">
        <v>45905</v>
      </c>
      <c r="F46" s="59" t="s">
        <v>11</v>
      </c>
      <c r="G46" s="59" t="s">
        <v>305</v>
      </c>
      <c r="H46" s="59" t="s">
        <v>79</v>
      </c>
      <c r="I46" s="59" t="s">
        <v>315</v>
      </c>
      <c r="J46" s="59">
        <v>2</v>
      </c>
    </row>
    <row r="47" spans="1:10" ht="20.100000000000001" customHeight="1" x14ac:dyDescent="0.15">
      <c r="A47" s="59"/>
      <c r="B47" s="58"/>
      <c r="C47" s="59"/>
      <c r="D47" s="59"/>
      <c r="E47" s="61"/>
      <c r="F47" s="59"/>
      <c r="G47" s="59"/>
      <c r="H47" s="59"/>
      <c r="I47" s="59"/>
      <c r="J47" s="59"/>
    </row>
    <row r="48" spans="1:10" ht="20.100000000000001" customHeight="1" x14ac:dyDescent="0.15">
      <c r="A48" s="59">
        <v>42</v>
      </c>
      <c r="B48" s="58" t="s">
        <v>71</v>
      </c>
      <c r="C48" s="59" t="s">
        <v>72</v>
      </c>
      <c r="D48" s="59" t="s">
        <v>17</v>
      </c>
      <c r="E48" s="61">
        <v>42675</v>
      </c>
      <c r="F48" s="59" t="s">
        <v>11</v>
      </c>
      <c r="G48" s="59" t="s">
        <v>73</v>
      </c>
      <c r="H48" s="59" t="s">
        <v>13</v>
      </c>
      <c r="I48" s="59" t="s">
        <v>74</v>
      </c>
      <c r="J48" s="59">
        <v>1</v>
      </c>
    </row>
    <row r="49" spans="1:10" ht="20.100000000000001" customHeight="1" x14ac:dyDescent="0.15">
      <c r="A49" s="59">
        <v>43</v>
      </c>
      <c r="B49" s="58" t="s">
        <v>95</v>
      </c>
      <c r="C49" s="59" t="s">
        <v>96</v>
      </c>
      <c r="D49" s="59" t="s">
        <v>17</v>
      </c>
      <c r="E49" s="61">
        <v>42128</v>
      </c>
      <c r="F49" s="59" t="s">
        <v>11</v>
      </c>
      <c r="G49" s="59" t="s">
        <v>73</v>
      </c>
      <c r="H49" s="59" t="s">
        <v>13</v>
      </c>
      <c r="I49" s="59" t="s">
        <v>97</v>
      </c>
      <c r="J49" s="59">
        <v>2</v>
      </c>
    </row>
    <row r="50" spans="1:10" ht="20.100000000000001" customHeight="1" x14ac:dyDescent="0.15">
      <c r="A50" s="59">
        <v>44</v>
      </c>
      <c r="B50" s="58" t="s">
        <v>98</v>
      </c>
      <c r="C50" s="59" t="s">
        <v>99</v>
      </c>
      <c r="D50" s="59" t="s">
        <v>17</v>
      </c>
      <c r="E50" s="61">
        <v>42746</v>
      </c>
      <c r="F50" s="59" t="s">
        <v>11</v>
      </c>
      <c r="G50" s="59" t="s">
        <v>73</v>
      </c>
      <c r="H50" s="59" t="s">
        <v>13</v>
      </c>
      <c r="I50" s="59" t="s">
        <v>97</v>
      </c>
      <c r="J50" s="59">
        <v>3</v>
      </c>
    </row>
    <row r="51" spans="1:10" ht="20.100000000000001" customHeight="1" x14ac:dyDescent="0.15">
      <c r="A51" s="59">
        <v>45</v>
      </c>
      <c r="B51" s="58" t="s">
        <v>104</v>
      </c>
      <c r="C51" s="59" t="s">
        <v>105</v>
      </c>
      <c r="D51" s="59" t="s">
        <v>17</v>
      </c>
      <c r="E51" s="61">
        <v>43893</v>
      </c>
      <c r="F51" s="59" t="s">
        <v>11</v>
      </c>
      <c r="G51" s="59" t="s">
        <v>73</v>
      </c>
      <c r="H51" s="59" t="s">
        <v>13</v>
      </c>
      <c r="I51" s="59" t="s">
        <v>106</v>
      </c>
      <c r="J51" s="59">
        <v>4</v>
      </c>
    </row>
    <row r="52" spans="1:10" ht="20.100000000000001" customHeight="1" x14ac:dyDescent="0.15">
      <c r="A52" s="59">
        <v>46</v>
      </c>
      <c r="B52" s="58" t="s">
        <v>107</v>
      </c>
      <c r="C52" s="59" t="s">
        <v>108</v>
      </c>
      <c r="D52" s="59" t="s">
        <v>17</v>
      </c>
      <c r="E52" s="61">
        <v>44117</v>
      </c>
      <c r="F52" s="59" t="s">
        <v>11</v>
      </c>
      <c r="G52" s="59" t="s">
        <v>73</v>
      </c>
      <c r="H52" s="59" t="s">
        <v>13</v>
      </c>
      <c r="I52" s="59" t="s">
        <v>106</v>
      </c>
      <c r="J52" s="59">
        <v>5</v>
      </c>
    </row>
    <row r="53" spans="1:10" ht="20.100000000000001" customHeight="1" x14ac:dyDescent="0.15">
      <c r="A53" s="59">
        <v>47</v>
      </c>
      <c r="B53" s="58" t="s">
        <v>109</v>
      </c>
      <c r="C53" s="59" t="s">
        <v>110</v>
      </c>
      <c r="D53" s="59" t="s">
        <v>10</v>
      </c>
      <c r="E53" s="61">
        <v>44117</v>
      </c>
      <c r="F53" s="59" t="s">
        <v>11</v>
      </c>
      <c r="G53" s="59" t="s">
        <v>73</v>
      </c>
      <c r="H53" s="59" t="s">
        <v>13</v>
      </c>
      <c r="I53" s="59" t="s">
        <v>106</v>
      </c>
      <c r="J53" s="59">
        <v>6</v>
      </c>
    </row>
    <row r="54" spans="1:10" ht="20.100000000000001" customHeight="1" x14ac:dyDescent="0.15">
      <c r="A54" s="59">
        <v>48</v>
      </c>
      <c r="B54" s="58" t="s">
        <v>111</v>
      </c>
      <c r="C54" s="59" t="s">
        <v>112</v>
      </c>
      <c r="D54" s="59" t="s">
        <v>17</v>
      </c>
      <c r="E54" s="61">
        <v>42340</v>
      </c>
      <c r="F54" s="59" t="s">
        <v>11</v>
      </c>
      <c r="G54" s="59" t="s">
        <v>73</v>
      </c>
      <c r="H54" s="59" t="s">
        <v>13</v>
      </c>
      <c r="I54" s="59" t="s">
        <v>106</v>
      </c>
      <c r="J54" s="59">
        <v>7</v>
      </c>
    </row>
    <row r="55" spans="1:10" ht="20.100000000000001" customHeight="1" x14ac:dyDescent="0.15">
      <c r="A55" s="59">
        <v>49</v>
      </c>
      <c r="B55" s="58" t="s">
        <v>113</v>
      </c>
      <c r="C55" s="59" t="s">
        <v>114</v>
      </c>
      <c r="D55" s="59" t="s">
        <v>10</v>
      </c>
      <c r="E55" s="61">
        <v>43018</v>
      </c>
      <c r="F55" s="59" t="s">
        <v>11</v>
      </c>
      <c r="G55" s="59" t="s">
        <v>73</v>
      </c>
      <c r="H55" s="59" t="s">
        <v>13</v>
      </c>
      <c r="I55" s="59" t="s">
        <v>106</v>
      </c>
      <c r="J55" s="59">
        <v>8</v>
      </c>
    </row>
    <row r="56" spans="1:10" ht="20.100000000000001" customHeight="1" x14ac:dyDescent="0.15">
      <c r="A56" s="59">
        <v>50</v>
      </c>
      <c r="B56" s="58" t="s">
        <v>115</v>
      </c>
      <c r="C56" s="59" t="s">
        <v>116</v>
      </c>
      <c r="D56" s="59" t="s">
        <v>10</v>
      </c>
      <c r="E56" s="61">
        <v>43720</v>
      </c>
      <c r="F56" s="59" t="s">
        <v>11</v>
      </c>
      <c r="G56" s="59" t="s">
        <v>73</v>
      </c>
      <c r="H56" s="59" t="s">
        <v>13</v>
      </c>
      <c r="I56" s="59" t="s">
        <v>106</v>
      </c>
      <c r="J56" s="59">
        <v>9</v>
      </c>
    </row>
    <row r="57" spans="1:10" ht="20.100000000000001" customHeight="1" x14ac:dyDescent="0.15">
      <c r="A57" s="59">
        <v>51</v>
      </c>
      <c r="B57" s="58" t="s">
        <v>120</v>
      </c>
      <c r="C57" s="59" t="s">
        <v>121</v>
      </c>
      <c r="D57" s="59" t="s">
        <v>17</v>
      </c>
      <c r="E57" s="61">
        <v>43109</v>
      </c>
      <c r="F57" s="59" t="s">
        <v>11</v>
      </c>
      <c r="G57" s="59" t="s">
        <v>73</v>
      </c>
      <c r="H57" s="59" t="s">
        <v>13</v>
      </c>
      <c r="I57" s="59" t="s">
        <v>122</v>
      </c>
      <c r="J57" s="59">
        <v>10</v>
      </c>
    </row>
    <row r="58" spans="1:10" ht="20.100000000000001" customHeight="1" x14ac:dyDescent="0.15">
      <c r="A58" s="59">
        <v>52</v>
      </c>
      <c r="B58" s="58" t="s">
        <v>179</v>
      </c>
      <c r="C58" s="59" t="s">
        <v>180</v>
      </c>
      <c r="D58" s="59" t="s">
        <v>17</v>
      </c>
      <c r="E58" s="61">
        <v>41824</v>
      </c>
      <c r="F58" s="59" t="s">
        <v>11</v>
      </c>
      <c r="G58" s="59" t="s">
        <v>73</v>
      </c>
      <c r="H58" s="59" t="s">
        <v>13</v>
      </c>
      <c r="I58" s="59" t="s">
        <v>178</v>
      </c>
      <c r="J58" s="59">
        <v>11</v>
      </c>
    </row>
    <row r="59" spans="1:10" ht="20.100000000000001" customHeight="1" x14ac:dyDescent="0.15">
      <c r="A59" s="59">
        <v>53</v>
      </c>
      <c r="B59" s="58" t="s">
        <v>181</v>
      </c>
      <c r="C59" s="59" t="s">
        <v>182</v>
      </c>
      <c r="D59" s="59" t="s">
        <v>17</v>
      </c>
      <c r="E59" s="61">
        <v>41836</v>
      </c>
      <c r="F59" s="59" t="s">
        <v>11</v>
      </c>
      <c r="G59" s="59" t="s">
        <v>73</v>
      </c>
      <c r="H59" s="59" t="s">
        <v>13</v>
      </c>
      <c r="I59" s="59" t="s">
        <v>178</v>
      </c>
      <c r="J59" s="59">
        <v>12</v>
      </c>
    </row>
    <row r="60" spans="1:10" ht="20.100000000000001" customHeight="1" x14ac:dyDescent="0.15">
      <c r="A60" s="59">
        <v>54</v>
      </c>
      <c r="B60" s="58" t="s">
        <v>183</v>
      </c>
      <c r="C60" s="59" t="s">
        <v>184</v>
      </c>
      <c r="D60" s="59" t="s">
        <v>17</v>
      </c>
      <c r="E60" s="61">
        <v>42746</v>
      </c>
      <c r="F60" s="59" t="s">
        <v>11</v>
      </c>
      <c r="G60" s="59" t="s">
        <v>73</v>
      </c>
      <c r="H60" s="59" t="s">
        <v>13</v>
      </c>
      <c r="I60" s="59" t="s">
        <v>178</v>
      </c>
      <c r="J60" s="59">
        <v>13</v>
      </c>
    </row>
    <row r="61" spans="1:10" ht="20.100000000000001" customHeight="1" x14ac:dyDescent="0.15">
      <c r="A61" s="59">
        <v>55</v>
      </c>
      <c r="B61" s="58" t="s">
        <v>185</v>
      </c>
      <c r="C61" s="59" t="s">
        <v>186</v>
      </c>
      <c r="D61" s="59" t="s">
        <v>17</v>
      </c>
      <c r="E61" s="61">
        <v>42746</v>
      </c>
      <c r="F61" s="59" t="s">
        <v>11</v>
      </c>
      <c r="G61" s="59" t="s">
        <v>73</v>
      </c>
      <c r="H61" s="59" t="s">
        <v>13</v>
      </c>
      <c r="I61" s="59" t="s">
        <v>178</v>
      </c>
      <c r="J61" s="59">
        <v>14</v>
      </c>
    </row>
    <row r="62" spans="1:10" ht="20.100000000000001" customHeight="1" x14ac:dyDescent="0.15">
      <c r="A62" s="59">
        <v>56</v>
      </c>
      <c r="B62" s="58" t="s">
        <v>272</v>
      </c>
      <c r="C62" s="59" t="s">
        <v>273</v>
      </c>
      <c r="D62" s="59" t="s">
        <v>17</v>
      </c>
      <c r="E62" s="61">
        <v>44845</v>
      </c>
      <c r="F62" s="59" t="s">
        <v>11</v>
      </c>
      <c r="G62" s="59" t="s">
        <v>73</v>
      </c>
      <c r="H62" s="59" t="s">
        <v>13</v>
      </c>
      <c r="I62" s="59" t="s">
        <v>274</v>
      </c>
      <c r="J62" s="59">
        <v>15</v>
      </c>
    </row>
    <row r="63" spans="1:10" ht="20.100000000000001" customHeight="1" x14ac:dyDescent="0.15">
      <c r="A63" s="59">
        <v>57</v>
      </c>
      <c r="B63" s="58" t="s">
        <v>275</v>
      </c>
      <c r="C63" s="59" t="s">
        <v>276</v>
      </c>
      <c r="D63" s="59" t="s">
        <v>17</v>
      </c>
      <c r="E63" s="61">
        <v>45147</v>
      </c>
      <c r="F63" s="59" t="s">
        <v>11</v>
      </c>
      <c r="G63" s="59" t="s">
        <v>73</v>
      </c>
      <c r="H63" s="59" t="s">
        <v>13</v>
      </c>
      <c r="I63" s="59" t="s">
        <v>274</v>
      </c>
      <c r="J63" s="59">
        <v>16</v>
      </c>
    </row>
    <row r="64" spans="1:10" ht="20.100000000000001" customHeight="1" x14ac:dyDescent="0.15">
      <c r="A64" s="59">
        <v>58</v>
      </c>
      <c r="B64" s="58" t="s">
        <v>463</v>
      </c>
      <c r="C64" s="59" t="s">
        <v>464</v>
      </c>
      <c r="D64" s="59" t="s">
        <v>17</v>
      </c>
      <c r="E64" s="61">
        <v>44686</v>
      </c>
      <c r="F64" s="59" t="s">
        <v>11</v>
      </c>
      <c r="G64" s="59" t="s">
        <v>73</v>
      </c>
      <c r="H64" s="59" t="s">
        <v>13</v>
      </c>
      <c r="I64" s="59" t="s">
        <v>465</v>
      </c>
      <c r="J64" s="59">
        <v>17</v>
      </c>
    </row>
    <row r="65" spans="1:10" ht="20.100000000000001" customHeight="1" x14ac:dyDescent="0.15">
      <c r="A65" s="59">
        <v>59</v>
      </c>
      <c r="B65" s="58" t="s">
        <v>466</v>
      </c>
      <c r="C65" s="59" t="s">
        <v>467</v>
      </c>
      <c r="D65" s="59" t="s">
        <v>10</v>
      </c>
      <c r="E65" s="61">
        <v>45055</v>
      </c>
      <c r="F65" s="59" t="s">
        <v>11</v>
      </c>
      <c r="G65" s="59" t="s">
        <v>73</v>
      </c>
      <c r="H65" s="59" t="s">
        <v>13</v>
      </c>
      <c r="I65" s="59" t="s">
        <v>465</v>
      </c>
      <c r="J65" s="59">
        <v>18</v>
      </c>
    </row>
    <row r="66" spans="1:10" ht="20.100000000000001" customHeight="1" x14ac:dyDescent="0.15">
      <c r="A66" s="59">
        <v>60</v>
      </c>
      <c r="B66" s="56" t="s">
        <v>622</v>
      </c>
      <c r="C66" s="57" t="s">
        <v>623</v>
      </c>
      <c r="D66" s="59" t="s">
        <v>10</v>
      </c>
      <c r="E66" s="61">
        <v>45729</v>
      </c>
      <c r="F66" s="59" t="s">
        <v>11</v>
      </c>
      <c r="G66" s="59" t="s">
        <v>73</v>
      </c>
      <c r="H66" s="59" t="s">
        <v>13</v>
      </c>
      <c r="I66" s="59" t="s">
        <v>465</v>
      </c>
      <c r="J66" s="59">
        <v>19</v>
      </c>
    </row>
    <row r="67" spans="1:10" ht="20.100000000000001" customHeight="1" x14ac:dyDescent="0.15">
      <c r="A67" s="59">
        <v>61</v>
      </c>
      <c r="B67" s="56" t="s">
        <v>692</v>
      </c>
      <c r="C67" s="57" t="s">
        <v>693</v>
      </c>
      <c r="D67" s="59" t="s">
        <v>10</v>
      </c>
      <c r="E67" s="65">
        <v>45825</v>
      </c>
      <c r="F67" s="59" t="s">
        <v>11</v>
      </c>
      <c r="G67" s="59" t="s">
        <v>73</v>
      </c>
      <c r="H67" s="59" t="s">
        <v>13</v>
      </c>
      <c r="I67" s="59" t="s">
        <v>465</v>
      </c>
      <c r="J67" s="59">
        <v>20</v>
      </c>
    </row>
    <row r="68" spans="1:10" ht="20.100000000000001" customHeight="1" x14ac:dyDescent="0.15">
      <c r="A68" s="59">
        <v>62</v>
      </c>
      <c r="B68" s="56" t="s">
        <v>724</v>
      </c>
      <c r="C68" s="57" t="s">
        <v>725</v>
      </c>
      <c r="D68" s="59" t="s">
        <v>17</v>
      </c>
      <c r="E68" s="65">
        <v>45902</v>
      </c>
      <c r="F68" s="59" t="s">
        <v>11</v>
      </c>
      <c r="G68" s="59" t="s">
        <v>73</v>
      </c>
      <c r="H68" s="59" t="s">
        <v>13</v>
      </c>
      <c r="I68" s="59" t="s">
        <v>274</v>
      </c>
      <c r="J68" s="59">
        <v>21</v>
      </c>
    </row>
    <row r="69" spans="1:10" ht="20.100000000000001" customHeight="1" x14ac:dyDescent="0.15">
      <c r="A69" s="59">
        <v>63</v>
      </c>
      <c r="B69" s="81" t="s">
        <v>801</v>
      </c>
      <c r="C69" s="82" t="s">
        <v>802</v>
      </c>
      <c r="D69" s="59" t="s">
        <v>17</v>
      </c>
      <c r="E69" s="65">
        <v>46049</v>
      </c>
      <c r="F69" s="59" t="s">
        <v>11</v>
      </c>
      <c r="G69" s="59" t="s">
        <v>73</v>
      </c>
      <c r="H69" s="59" t="s">
        <v>13</v>
      </c>
      <c r="I69" s="59" t="s">
        <v>274</v>
      </c>
      <c r="J69" s="59">
        <v>22</v>
      </c>
    </row>
    <row r="70" spans="1:10" ht="20.100000000000001" customHeight="1" x14ac:dyDescent="0.15">
      <c r="A70" s="59"/>
      <c r="B70" s="58"/>
      <c r="C70" s="59"/>
      <c r="D70" s="59"/>
      <c r="E70" s="61"/>
      <c r="F70" s="59"/>
      <c r="G70" s="59"/>
      <c r="H70" s="59"/>
      <c r="I70" s="59"/>
      <c r="J70" s="59"/>
    </row>
    <row r="71" spans="1:10" ht="20.100000000000001" customHeight="1" x14ac:dyDescent="0.15">
      <c r="A71" s="59">
        <v>64</v>
      </c>
      <c r="B71" s="58" t="s">
        <v>20</v>
      </c>
      <c r="C71" s="59" t="s">
        <v>21</v>
      </c>
      <c r="D71" s="59" t="s">
        <v>17</v>
      </c>
      <c r="E71" s="61">
        <v>45517</v>
      </c>
      <c r="F71" s="59" t="s">
        <v>11</v>
      </c>
      <c r="G71" s="59" t="s">
        <v>22</v>
      </c>
      <c r="H71" s="59" t="s">
        <v>13</v>
      </c>
      <c r="I71" s="59" t="s">
        <v>23</v>
      </c>
      <c r="J71" s="59">
        <v>1</v>
      </c>
    </row>
    <row r="72" spans="1:10" ht="20.100000000000001" customHeight="1" x14ac:dyDescent="0.15">
      <c r="A72" s="59">
        <v>65</v>
      </c>
      <c r="B72" s="58" t="s">
        <v>337</v>
      </c>
      <c r="C72" s="59" t="s">
        <v>338</v>
      </c>
      <c r="D72" s="59" t="s">
        <v>17</v>
      </c>
      <c r="E72" s="61">
        <v>44838</v>
      </c>
      <c r="F72" s="59" t="s">
        <v>11</v>
      </c>
      <c r="G72" s="59" t="s">
        <v>22</v>
      </c>
      <c r="H72" s="59" t="s">
        <v>13</v>
      </c>
      <c r="I72" s="59" t="s">
        <v>339</v>
      </c>
      <c r="J72" s="59">
        <v>2</v>
      </c>
    </row>
    <row r="73" spans="1:10" ht="20.100000000000001" customHeight="1" x14ac:dyDescent="0.15">
      <c r="A73" s="59">
        <v>66</v>
      </c>
      <c r="B73" s="58" t="s">
        <v>340</v>
      </c>
      <c r="C73" s="59" t="s">
        <v>341</v>
      </c>
      <c r="D73" s="59" t="s">
        <v>17</v>
      </c>
      <c r="E73" s="61">
        <v>45328</v>
      </c>
      <c r="F73" s="59" t="s">
        <v>11</v>
      </c>
      <c r="G73" s="59" t="s">
        <v>22</v>
      </c>
      <c r="H73" s="59" t="s">
        <v>13</v>
      </c>
      <c r="I73" s="59" t="s">
        <v>339</v>
      </c>
      <c r="J73" s="59">
        <v>3</v>
      </c>
    </row>
    <row r="74" spans="1:10" ht="20.100000000000001" customHeight="1" x14ac:dyDescent="0.15">
      <c r="A74" s="59">
        <v>67</v>
      </c>
      <c r="B74" s="58" t="s">
        <v>350</v>
      </c>
      <c r="C74" s="59" t="s">
        <v>351</v>
      </c>
      <c r="D74" s="59" t="s">
        <v>17</v>
      </c>
      <c r="E74" s="61">
        <v>43970</v>
      </c>
      <c r="F74" s="59" t="s">
        <v>11</v>
      </c>
      <c r="G74" s="59" t="s">
        <v>22</v>
      </c>
      <c r="H74" s="59" t="s">
        <v>13</v>
      </c>
      <c r="I74" s="59" t="s">
        <v>352</v>
      </c>
      <c r="J74" s="59">
        <v>4</v>
      </c>
    </row>
    <row r="75" spans="1:10" ht="20.100000000000001" customHeight="1" x14ac:dyDescent="0.15">
      <c r="A75" s="59">
        <v>68</v>
      </c>
      <c r="B75" s="58" t="s">
        <v>353</v>
      </c>
      <c r="C75" s="59" t="s">
        <v>354</v>
      </c>
      <c r="D75" s="59" t="s">
        <v>17</v>
      </c>
      <c r="E75" s="61">
        <v>44523</v>
      </c>
      <c r="F75" s="59" t="s">
        <v>11</v>
      </c>
      <c r="G75" s="59" t="s">
        <v>22</v>
      </c>
      <c r="H75" s="59" t="s">
        <v>13</v>
      </c>
      <c r="I75" s="59" t="s">
        <v>352</v>
      </c>
      <c r="J75" s="59">
        <v>5</v>
      </c>
    </row>
    <row r="76" spans="1:10" ht="20.100000000000001" customHeight="1" x14ac:dyDescent="0.15">
      <c r="A76" s="59">
        <v>69</v>
      </c>
      <c r="B76" s="58" t="s">
        <v>355</v>
      </c>
      <c r="C76" s="59" t="s">
        <v>356</v>
      </c>
      <c r="D76" s="59" t="s">
        <v>17</v>
      </c>
      <c r="E76" s="61">
        <v>44840</v>
      </c>
      <c r="F76" s="59" t="s">
        <v>11</v>
      </c>
      <c r="G76" s="59" t="s">
        <v>22</v>
      </c>
      <c r="H76" s="59" t="s">
        <v>13</v>
      </c>
      <c r="I76" s="59" t="s">
        <v>352</v>
      </c>
      <c r="J76" s="59">
        <v>6</v>
      </c>
    </row>
    <row r="77" spans="1:10" ht="20.100000000000001" customHeight="1" x14ac:dyDescent="0.15">
      <c r="A77" s="59">
        <v>70</v>
      </c>
      <c r="B77" s="58" t="s">
        <v>357</v>
      </c>
      <c r="C77" s="59" t="s">
        <v>358</v>
      </c>
      <c r="D77" s="59" t="s">
        <v>17</v>
      </c>
      <c r="E77" s="61">
        <v>41654</v>
      </c>
      <c r="F77" s="59" t="s">
        <v>11</v>
      </c>
      <c r="G77" s="59" t="s">
        <v>22</v>
      </c>
      <c r="H77" s="59" t="s">
        <v>13</v>
      </c>
      <c r="I77" s="59" t="s">
        <v>352</v>
      </c>
      <c r="J77" s="59">
        <v>7</v>
      </c>
    </row>
    <row r="78" spans="1:10" ht="20.100000000000001" customHeight="1" x14ac:dyDescent="0.15">
      <c r="A78" s="59">
        <v>71</v>
      </c>
      <c r="B78" s="58" t="s">
        <v>359</v>
      </c>
      <c r="C78" s="59" t="s">
        <v>360</v>
      </c>
      <c r="D78" s="59" t="s">
        <v>17</v>
      </c>
      <c r="E78" s="61">
        <v>41828</v>
      </c>
      <c r="F78" s="59" t="s">
        <v>11</v>
      </c>
      <c r="G78" s="59" t="s">
        <v>22</v>
      </c>
      <c r="H78" s="59" t="s">
        <v>13</v>
      </c>
      <c r="I78" s="59" t="s">
        <v>352</v>
      </c>
      <c r="J78" s="59">
        <v>8</v>
      </c>
    </row>
    <row r="79" spans="1:10" ht="20.100000000000001" customHeight="1" x14ac:dyDescent="0.15">
      <c r="A79" s="59">
        <v>72</v>
      </c>
      <c r="B79" s="58" t="s">
        <v>361</v>
      </c>
      <c r="C79" s="59" t="s">
        <v>362</v>
      </c>
      <c r="D79" s="59" t="s">
        <v>17</v>
      </c>
      <c r="E79" s="61">
        <v>42332</v>
      </c>
      <c r="F79" s="59" t="s">
        <v>11</v>
      </c>
      <c r="G79" s="59" t="s">
        <v>22</v>
      </c>
      <c r="H79" s="59" t="s">
        <v>13</v>
      </c>
      <c r="I79" s="59" t="s">
        <v>352</v>
      </c>
      <c r="J79" s="59">
        <v>9</v>
      </c>
    </row>
    <row r="80" spans="1:10" ht="20.100000000000001" customHeight="1" x14ac:dyDescent="0.15">
      <c r="A80" s="59">
        <v>73</v>
      </c>
      <c r="B80" s="58" t="s">
        <v>446</v>
      </c>
      <c r="C80" s="59" t="s">
        <v>447</v>
      </c>
      <c r="D80" s="59" t="s">
        <v>17</v>
      </c>
      <c r="E80" s="61">
        <v>44397</v>
      </c>
      <c r="F80" s="59" t="s">
        <v>11</v>
      </c>
      <c r="G80" s="59" t="s">
        <v>22</v>
      </c>
      <c r="H80" s="59" t="s">
        <v>13</v>
      </c>
      <c r="I80" s="59" t="s">
        <v>448</v>
      </c>
      <c r="J80" s="59">
        <v>10</v>
      </c>
    </row>
    <row r="81" spans="1:10" ht="20.100000000000001" customHeight="1" x14ac:dyDescent="0.15">
      <c r="A81" s="59">
        <v>74</v>
      </c>
      <c r="B81" s="58" t="s">
        <v>495</v>
      </c>
      <c r="C81" s="59" t="s">
        <v>496</v>
      </c>
      <c r="D81" s="59" t="s">
        <v>17</v>
      </c>
      <c r="E81" s="61">
        <v>42247</v>
      </c>
      <c r="F81" s="59" t="s">
        <v>11</v>
      </c>
      <c r="G81" s="59" t="s">
        <v>22</v>
      </c>
      <c r="H81" s="59" t="s">
        <v>13</v>
      </c>
      <c r="I81" s="59" t="s">
        <v>497</v>
      </c>
      <c r="J81" s="59">
        <v>11</v>
      </c>
    </row>
    <row r="82" spans="1:10" ht="20.100000000000001" customHeight="1" x14ac:dyDescent="0.15">
      <c r="A82" s="59">
        <v>75</v>
      </c>
      <c r="B82" s="58" t="s">
        <v>498</v>
      </c>
      <c r="C82" s="59" t="s">
        <v>499</v>
      </c>
      <c r="D82" s="59" t="s">
        <v>17</v>
      </c>
      <c r="E82" s="61">
        <v>41864</v>
      </c>
      <c r="F82" s="59" t="s">
        <v>11</v>
      </c>
      <c r="G82" s="59" t="s">
        <v>22</v>
      </c>
      <c r="H82" s="59" t="s">
        <v>13</v>
      </c>
      <c r="I82" s="59" t="s">
        <v>497</v>
      </c>
      <c r="J82" s="59">
        <v>12</v>
      </c>
    </row>
    <row r="83" spans="1:10" ht="20.100000000000001" customHeight="1" x14ac:dyDescent="0.15">
      <c r="A83" s="59">
        <v>76</v>
      </c>
      <c r="B83" s="58" t="s">
        <v>500</v>
      </c>
      <c r="C83" s="59" t="s">
        <v>501</v>
      </c>
      <c r="D83" s="59" t="s">
        <v>17</v>
      </c>
      <c r="E83" s="61">
        <v>45617</v>
      </c>
      <c r="F83" s="59" t="s">
        <v>11</v>
      </c>
      <c r="G83" s="59" t="s">
        <v>22</v>
      </c>
      <c r="H83" s="59" t="s">
        <v>13</v>
      </c>
      <c r="I83" s="59" t="s">
        <v>497</v>
      </c>
      <c r="J83" s="59">
        <v>13</v>
      </c>
    </row>
    <row r="84" spans="1:10" ht="20.100000000000001" customHeight="1" x14ac:dyDescent="0.15">
      <c r="A84" s="59">
        <v>77</v>
      </c>
      <c r="B84" s="58" t="s">
        <v>573</v>
      </c>
      <c r="C84" s="59" t="s">
        <v>574</v>
      </c>
      <c r="D84" s="59" t="s">
        <v>17</v>
      </c>
      <c r="E84" s="61">
        <v>45432</v>
      </c>
      <c r="F84" s="59" t="s">
        <v>11</v>
      </c>
      <c r="G84" s="59" t="s">
        <v>683</v>
      </c>
      <c r="H84" s="59" t="s">
        <v>79</v>
      </c>
      <c r="I84" s="59" t="s">
        <v>575</v>
      </c>
      <c r="J84" s="59">
        <v>14</v>
      </c>
    </row>
    <row r="85" spans="1:10" ht="20.100000000000001" customHeight="1" x14ac:dyDescent="0.15">
      <c r="A85" s="59">
        <v>78</v>
      </c>
      <c r="B85" s="58" t="s">
        <v>726</v>
      </c>
      <c r="C85" s="59" t="s">
        <v>727</v>
      </c>
      <c r="D85" s="59" t="s">
        <v>17</v>
      </c>
      <c r="E85" s="61">
        <v>45888</v>
      </c>
      <c r="F85" s="59" t="s">
        <v>11</v>
      </c>
      <c r="G85" s="59" t="s">
        <v>683</v>
      </c>
      <c r="H85" s="59" t="s">
        <v>79</v>
      </c>
      <c r="I85" s="59" t="s">
        <v>728</v>
      </c>
      <c r="J85" s="59">
        <v>15</v>
      </c>
    </row>
    <row r="86" spans="1:10" ht="20.100000000000001" customHeight="1" x14ac:dyDescent="0.15">
      <c r="A86" s="59"/>
      <c r="B86" s="58"/>
      <c r="C86" s="59"/>
      <c r="D86" s="59"/>
      <c r="E86" s="61"/>
      <c r="F86" s="59"/>
      <c r="G86" s="59"/>
      <c r="H86" s="59"/>
      <c r="I86" s="59"/>
      <c r="J86" s="59"/>
    </row>
    <row r="87" spans="1:10" ht="20.100000000000001" customHeight="1" x14ac:dyDescent="0.15">
      <c r="A87" s="59">
        <v>79</v>
      </c>
      <c r="B87" s="58" t="s">
        <v>15</v>
      </c>
      <c r="C87" s="59" t="s">
        <v>16</v>
      </c>
      <c r="D87" s="59" t="s">
        <v>17</v>
      </c>
      <c r="E87" s="61">
        <v>44726</v>
      </c>
      <c r="F87" s="59" t="s">
        <v>11</v>
      </c>
      <c r="G87" s="59" t="s">
        <v>12</v>
      </c>
      <c r="H87" s="59" t="s">
        <v>13</v>
      </c>
      <c r="I87" s="59" t="s">
        <v>14</v>
      </c>
      <c r="J87" s="59">
        <v>1</v>
      </c>
    </row>
    <row r="88" spans="1:10" ht="20.100000000000001" customHeight="1" x14ac:dyDescent="0.15">
      <c r="A88" s="59">
        <v>80</v>
      </c>
      <c r="B88" s="58" t="s">
        <v>18</v>
      </c>
      <c r="C88" s="59" t="s">
        <v>19</v>
      </c>
      <c r="D88" s="59" t="s">
        <v>17</v>
      </c>
      <c r="E88" s="61">
        <v>45454</v>
      </c>
      <c r="F88" s="59" t="s">
        <v>11</v>
      </c>
      <c r="G88" s="59" t="s">
        <v>12</v>
      </c>
      <c r="H88" s="59" t="s">
        <v>13</v>
      </c>
      <c r="I88" s="59" t="s">
        <v>14</v>
      </c>
      <c r="J88" s="59">
        <v>2</v>
      </c>
    </row>
    <row r="89" spans="1:10" ht="20.100000000000001" customHeight="1" x14ac:dyDescent="0.15">
      <c r="A89" s="59">
        <v>81</v>
      </c>
      <c r="B89" s="58" t="s">
        <v>100</v>
      </c>
      <c r="C89" s="59" t="s">
        <v>101</v>
      </c>
      <c r="D89" s="59" t="s">
        <v>17</v>
      </c>
      <c r="E89" s="61">
        <v>41704</v>
      </c>
      <c r="F89" s="59" t="s">
        <v>11</v>
      </c>
      <c r="G89" s="59" t="s">
        <v>12</v>
      </c>
      <c r="H89" s="59" t="s">
        <v>13</v>
      </c>
      <c r="I89" s="59" t="s">
        <v>102</v>
      </c>
      <c r="J89" s="59">
        <v>3</v>
      </c>
    </row>
    <row r="90" spans="1:10" ht="20.100000000000001" customHeight="1" x14ac:dyDescent="0.15">
      <c r="A90" s="59">
        <v>82</v>
      </c>
      <c r="B90" s="58" t="s">
        <v>117</v>
      </c>
      <c r="C90" s="59" t="s">
        <v>118</v>
      </c>
      <c r="D90" s="59" t="s">
        <v>10</v>
      </c>
      <c r="E90" s="61">
        <v>42166</v>
      </c>
      <c r="F90" s="59" t="s">
        <v>11</v>
      </c>
      <c r="G90" s="59" t="s">
        <v>12</v>
      </c>
      <c r="H90" s="59" t="s">
        <v>13</v>
      </c>
      <c r="I90" s="59" t="s">
        <v>119</v>
      </c>
      <c r="J90" s="59">
        <v>4</v>
      </c>
    </row>
    <row r="91" spans="1:10" ht="20.100000000000001" customHeight="1" x14ac:dyDescent="0.15">
      <c r="A91" s="59">
        <v>83</v>
      </c>
      <c r="B91" s="58" t="s">
        <v>168</v>
      </c>
      <c r="C91" s="59" t="s">
        <v>169</v>
      </c>
      <c r="D91" s="59" t="s">
        <v>17</v>
      </c>
      <c r="E91" s="61">
        <v>45454</v>
      </c>
      <c r="F91" s="59" t="s">
        <v>11</v>
      </c>
      <c r="G91" s="59" t="s">
        <v>12</v>
      </c>
      <c r="H91" s="59" t="s">
        <v>13</v>
      </c>
      <c r="I91" s="59" t="s">
        <v>170</v>
      </c>
      <c r="J91" s="59">
        <v>5</v>
      </c>
    </row>
    <row r="92" spans="1:10" ht="20.100000000000001" customHeight="1" x14ac:dyDescent="0.15">
      <c r="A92" s="59">
        <v>84</v>
      </c>
      <c r="B92" s="58" t="s">
        <v>171</v>
      </c>
      <c r="C92" s="59" t="s">
        <v>172</v>
      </c>
      <c r="D92" s="59" t="s">
        <v>10</v>
      </c>
      <c r="E92" s="61">
        <v>43004</v>
      </c>
      <c r="F92" s="59" t="s">
        <v>11</v>
      </c>
      <c r="G92" s="59" t="s">
        <v>12</v>
      </c>
      <c r="H92" s="59" t="s">
        <v>13</v>
      </c>
      <c r="I92" s="59" t="s">
        <v>170</v>
      </c>
      <c r="J92" s="59">
        <v>6</v>
      </c>
    </row>
    <row r="93" spans="1:10" ht="20.100000000000001" customHeight="1" x14ac:dyDescent="0.15">
      <c r="A93" s="59">
        <v>85</v>
      </c>
      <c r="B93" s="58" t="s">
        <v>187</v>
      </c>
      <c r="C93" s="59" t="s">
        <v>188</v>
      </c>
      <c r="D93" s="59" t="s">
        <v>17</v>
      </c>
      <c r="E93" s="61">
        <v>45294</v>
      </c>
      <c r="F93" s="59" t="s">
        <v>11</v>
      </c>
      <c r="G93" s="59" t="s">
        <v>12</v>
      </c>
      <c r="H93" s="59" t="s">
        <v>13</v>
      </c>
      <c r="I93" s="59" t="s">
        <v>189</v>
      </c>
      <c r="J93" s="59">
        <v>7</v>
      </c>
    </row>
    <row r="94" spans="1:10" ht="20.100000000000001" customHeight="1" x14ac:dyDescent="0.15">
      <c r="A94" s="59">
        <v>86</v>
      </c>
      <c r="B94" s="58" t="s">
        <v>199</v>
      </c>
      <c r="C94" s="59" t="s">
        <v>200</v>
      </c>
      <c r="D94" s="59" t="s">
        <v>10</v>
      </c>
      <c r="E94" s="61">
        <v>42255</v>
      </c>
      <c r="F94" s="59" t="s">
        <v>11</v>
      </c>
      <c r="G94" s="59" t="s">
        <v>12</v>
      </c>
      <c r="H94" s="59" t="s">
        <v>13</v>
      </c>
      <c r="I94" s="59" t="s">
        <v>198</v>
      </c>
      <c r="J94" s="59">
        <v>8</v>
      </c>
    </row>
    <row r="95" spans="1:10" ht="20.100000000000001" customHeight="1" x14ac:dyDescent="0.15">
      <c r="A95" s="59">
        <v>87</v>
      </c>
      <c r="B95" s="58" t="s">
        <v>203</v>
      </c>
      <c r="C95" s="59" t="s">
        <v>204</v>
      </c>
      <c r="D95" s="59" t="s">
        <v>17</v>
      </c>
      <c r="E95" s="61">
        <v>43410</v>
      </c>
      <c r="F95" s="59" t="s">
        <v>11</v>
      </c>
      <c r="G95" s="59" t="s">
        <v>12</v>
      </c>
      <c r="H95" s="59" t="s">
        <v>13</v>
      </c>
      <c r="I95" s="59" t="s">
        <v>170</v>
      </c>
      <c r="J95" s="59">
        <v>9</v>
      </c>
    </row>
    <row r="96" spans="1:10" ht="20.100000000000001" customHeight="1" x14ac:dyDescent="0.15">
      <c r="A96" s="59">
        <v>88</v>
      </c>
      <c r="B96" s="58" t="s">
        <v>260</v>
      </c>
      <c r="C96" s="59" t="s">
        <v>261</v>
      </c>
      <c r="D96" s="59" t="s">
        <v>10</v>
      </c>
      <c r="E96" s="61">
        <v>42583</v>
      </c>
      <c r="F96" s="59" t="s">
        <v>11</v>
      </c>
      <c r="G96" s="59" t="s">
        <v>12</v>
      </c>
      <c r="H96" s="59" t="s">
        <v>13</v>
      </c>
      <c r="I96" s="59" t="s">
        <v>262</v>
      </c>
      <c r="J96" s="59">
        <v>10</v>
      </c>
    </row>
    <row r="97" spans="1:10" ht="20.100000000000001" customHeight="1" x14ac:dyDescent="0.15">
      <c r="A97" s="59">
        <v>89</v>
      </c>
      <c r="B97" s="58" t="s">
        <v>310</v>
      </c>
      <c r="C97" s="59" t="s">
        <v>311</v>
      </c>
      <c r="D97" s="59" t="s">
        <v>17</v>
      </c>
      <c r="E97" s="61">
        <v>43760</v>
      </c>
      <c r="F97" s="59" t="s">
        <v>11</v>
      </c>
      <c r="G97" s="59" t="s">
        <v>12</v>
      </c>
      <c r="H97" s="59" t="s">
        <v>13</v>
      </c>
      <c r="I97" s="59" t="s">
        <v>312</v>
      </c>
      <c r="J97" s="59">
        <v>11</v>
      </c>
    </row>
    <row r="98" spans="1:10" ht="20.100000000000001" customHeight="1" x14ac:dyDescent="0.15">
      <c r="A98" s="59">
        <v>90</v>
      </c>
      <c r="B98" s="58" t="s">
        <v>564</v>
      </c>
      <c r="C98" s="59" t="s">
        <v>565</v>
      </c>
      <c r="D98" s="59" t="s">
        <v>10</v>
      </c>
      <c r="E98" s="61">
        <v>45394</v>
      </c>
      <c r="F98" s="59" t="s">
        <v>11</v>
      </c>
      <c r="G98" s="59" t="s">
        <v>12</v>
      </c>
      <c r="H98" s="59" t="s">
        <v>13</v>
      </c>
      <c r="I98" s="59" t="s">
        <v>566</v>
      </c>
      <c r="J98" s="59">
        <v>12</v>
      </c>
    </row>
    <row r="99" spans="1:10" ht="20.100000000000001" customHeight="1" x14ac:dyDescent="0.15">
      <c r="A99" s="59">
        <v>91</v>
      </c>
      <c r="B99" s="58" t="s">
        <v>588</v>
      </c>
      <c r="C99" s="59" t="s">
        <v>589</v>
      </c>
      <c r="D99" s="59" t="s">
        <v>10</v>
      </c>
      <c r="E99" s="61">
        <v>45615</v>
      </c>
      <c r="F99" s="59" t="s">
        <v>11</v>
      </c>
      <c r="G99" s="59" t="s">
        <v>12</v>
      </c>
      <c r="H99" s="59" t="s">
        <v>13</v>
      </c>
      <c r="I99" s="59" t="s">
        <v>590</v>
      </c>
      <c r="J99" s="59">
        <v>13</v>
      </c>
    </row>
    <row r="100" spans="1:10" ht="20.100000000000001" customHeight="1" x14ac:dyDescent="0.15">
      <c r="A100" s="59">
        <v>92</v>
      </c>
      <c r="B100" s="56" t="s">
        <v>694</v>
      </c>
      <c r="C100" s="57" t="s">
        <v>695</v>
      </c>
      <c r="D100" s="59" t="s">
        <v>10</v>
      </c>
      <c r="E100" s="61">
        <v>45804</v>
      </c>
      <c r="F100" s="59" t="s">
        <v>11</v>
      </c>
      <c r="G100" s="59" t="s">
        <v>12</v>
      </c>
      <c r="H100" s="59" t="s">
        <v>13</v>
      </c>
      <c r="I100" s="59" t="s">
        <v>696</v>
      </c>
      <c r="J100" s="59">
        <v>14</v>
      </c>
    </row>
    <row r="101" spans="1:10" ht="18" customHeight="1" x14ac:dyDescent="0.15">
      <c r="A101" s="59"/>
      <c r="B101" s="58"/>
      <c r="C101" s="59"/>
      <c r="D101" s="59"/>
      <c r="E101" s="61"/>
      <c r="F101" s="59"/>
      <c r="G101" s="59"/>
      <c r="H101" s="59"/>
      <c r="I101" s="59"/>
      <c r="J101" s="59"/>
    </row>
    <row r="102" spans="1:10" ht="20.100000000000001" customHeight="1" x14ac:dyDescent="0.15">
      <c r="A102" s="59">
        <v>93</v>
      </c>
      <c r="B102" s="58" t="s">
        <v>190</v>
      </c>
      <c r="C102" s="59" t="s">
        <v>191</v>
      </c>
      <c r="D102" s="59" t="s">
        <v>17</v>
      </c>
      <c r="E102" s="61">
        <v>41641</v>
      </c>
      <c r="F102" s="59" t="s">
        <v>11</v>
      </c>
      <c r="G102" s="59" t="s">
        <v>192</v>
      </c>
      <c r="H102" s="59" t="s">
        <v>13</v>
      </c>
      <c r="I102" s="59" t="s">
        <v>193</v>
      </c>
      <c r="J102" s="59">
        <v>1</v>
      </c>
    </row>
    <row r="103" spans="1:10" ht="20.100000000000001" customHeight="1" x14ac:dyDescent="0.15">
      <c r="A103" s="59">
        <v>94</v>
      </c>
      <c r="B103" s="58" t="s">
        <v>316</v>
      </c>
      <c r="C103" s="59" t="s">
        <v>317</v>
      </c>
      <c r="D103" s="59" t="s">
        <v>17</v>
      </c>
      <c r="E103" s="61">
        <v>43780</v>
      </c>
      <c r="F103" s="59" t="s">
        <v>11</v>
      </c>
      <c r="G103" s="59" t="s">
        <v>192</v>
      </c>
      <c r="H103" s="59" t="s">
        <v>79</v>
      </c>
      <c r="I103" s="59" t="s">
        <v>318</v>
      </c>
      <c r="J103" s="59">
        <v>2</v>
      </c>
    </row>
    <row r="104" spans="1:10" ht="20.100000000000001" customHeight="1" x14ac:dyDescent="0.15">
      <c r="A104" s="59">
        <v>95</v>
      </c>
      <c r="B104" s="58" t="s">
        <v>471</v>
      </c>
      <c r="C104" s="59" t="s">
        <v>472</v>
      </c>
      <c r="D104" s="59" t="s">
        <v>17</v>
      </c>
      <c r="E104" s="61">
        <v>44728</v>
      </c>
      <c r="F104" s="59" t="s">
        <v>11</v>
      </c>
      <c r="G104" s="59" t="s">
        <v>192</v>
      </c>
      <c r="H104" s="59" t="s">
        <v>79</v>
      </c>
      <c r="I104" s="59" t="s">
        <v>473</v>
      </c>
      <c r="J104" s="59">
        <v>3</v>
      </c>
    </row>
    <row r="105" spans="1:10" ht="20.100000000000001" customHeight="1" x14ac:dyDescent="0.15">
      <c r="A105" s="59">
        <v>96</v>
      </c>
      <c r="B105" s="58" t="s">
        <v>480</v>
      </c>
      <c r="C105" s="59" t="s">
        <v>481</v>
      </c>
      <c r="D105" s="59" t="s">
        <v>17</v>
      </c>
      <c r="E105" s="61">
        <v>44760</v>
      </c>
      <c r="F105" s="59" t="s">
        <v>11</v>
      </c>
      <c r="G105" s="59" t="s">
        <v>192</v>
      </c>
      <c r="H105" s="59" t="s">
        <v>79</v>
      </c>
      <c r="I105" s="59" t="s">
        <v>482</v>
      </c>
      <c r="J105" s="59">
        <v>4</v>
      </c>
    </row>
    <row r="106" spans="1:10" ht="20.100000000000001" customHeight="1" x14ac:dyDescent="0.15">
      <c r="A106" s="59">
        <v>97</v>
      </c>
      <c r="B106" s="58" t="s">
        <v>486</v>
      </c>
      <c r="C106" s="59" t="s">
        <v>487</v>
      </c>
      <c r="D106" s="59" t="s">
        <v>17</v>
      </c>
      <c r="E106" s="61">
        <v>45608</v>
      </c>
      <c r="F106" s="59" t="s">
        <v>11</v>
      </c>
      <c r="G106" s="59" t="s">
        <v>192</v>
      </c>
      <c r="H106" s="59" t="s">
        <v>13</v>
      </c>
      <c r="I106" s="59" t="s">
        <v>488</v>
      </c>
      <c r="J106" s="59">
        <v>5</v>
      </c>
    </row>
    <row r="107" spans="1:10" ht="20.100000000000001" customHeight="1" x14ac:dyDescent="0.15">
      <c r="A107" s="59">
        <v>98</v>
      </c>
      <c r="B107" s="58" t="s">
        <v>489</v>
      </c>
      <c r="C107" s="59" t="s">
        <v>490</v>
      </c>
      <c r="D107" s="59" t="s">
        <v>17</v>
      </c>
      <c r="E107" s="61">
        <v>42175</v>
      </c>
      <c r="F107" s="59" t="s">
        <v>11</v>
      </c>
      <c r="G107" s="59" t="s">
        <v>192</v>
      </c>
      <c r="H107" s="59" t="s">
        <v>13</v>
      </c>
      <c r="I107" s="59" t="s">
        <v>488</v>
      </c>
      <c r="J107" s="59">
        <v>6</v>
      </c>
    </row>
    <row r="108" spans="1:10" ht="20.100000000000001" customHeight="1" x14ac:dyDescent="0.15">
      <c r="A108" s="59">
        <v>99</v>
      </c>
      <c r="B108" s="58" t="s">
        <v>491</v>
      </c>
      <c r="C108" s="59" t="s">
        <v>492</v>
      </c>
      <c r="D108" s="59" t="s">
        <v>17</v>
      </c>
      <c r="E108" s="61">
        <v>41683</v>
      </c>
      <c r="F108" s="59" t="s">
        <v>11</v>
      </c>
      <c r="G108" s="59" t="s">
        <v>192</v>
      </c>
      <c r="H108" s="59" t="s">
        <v>13</v>
      </c>
      <c r="I108" s="59" t="s">
        <v>488</v>
      </c>
      <c r="J108" s="59">
        <v>7</v>
      </c>
    </row>
    <row r="109" spans="1:10" ht="20.100000000000001" customHeight="1" x14ac:dyDescent="0.15">
      <c r="A109" s="59">
        <v>100</v>
      </c>
      <c r="B109" s="58" t="s">
        <v>493</v>
      </c>
      <c r="C109" s="59" t="s">
        <v>494</v>
      </c>
      <c r="D109" s="59" t="s">
        <v>17</v>
      </c>
      <c r="E109" s="61">
        <v>42544</v>
      </c>
      <c r="F109" s="59" t="s">
        <v>11</v>
      </c>
      <c r="G109" s="59" t="s">
        <v>192</v>
      </c>
      <c r="H109" s="59" t="s">
        <v>13</v>
      </c>
      <c r="I109" s="59" t="s">
        <v>488</v>
      </c>
      <c r="J109" s="59">
        <v>8</v>
      </c>
    </row>
    <row r="110" spans="1:10" ht="20.100000000000001" customHeight="1" x14ac:dyDescent="0.15">
      <c r="A110" s="59">
        <v>101</v>
      </c>
      <c r="B110" s="58" t="s">
        <v>505</v>
      </c>
      <c r="C110" s="59" t="s">
        <v>506</v>
      </c>
      <c r="D110" s="59" t="s">
        <v>17</v>
      </c>
      <c r="E110" s="61">
        <v>41974</v>
      </c>
      <c r="F110" s="59" t="s">
        <v>11</v>
      </c>
      <c r="G110" s="59" t="s">
        <v>192</v>
      </c>
      <c r="H110" s="59" t="s">
        <v>13</v>
      </c>
      <c r="I110" s="59" t="s">
        <v>507</v>
      </c>
      <c r="J110" s="59">
        <v>9</v>
      </c>
    </row>
    <row r="111" spans="1:10" ht="20.100000000000001" customHeight="1" x14ac:dyDescent="0.15">
      <c r="A111" s="59">
        <v>102</v>
      </c>
      <c r="B111" s="58" t="s">
        <v>508</v>
      </c>
      <c r="C111" s="59" t="s">
        <v>509</v>
      </c>
      <c r="D111" s="59" t="s">
        <v>17</v>
      </c>
      <c r="E111" s="61">
        <v>42485</v>
      </c>
      <c r="F111" s="59" t="s">
        <v>11</v>
      </c>
      <c r="G111" s="59" t="s">
        <v>192</v>
      </c>
      <c r="H111" s="59" t="s">
        <v>13</v>
      </c>
      <c r="I111" s="59" t="s">
        <v>507</v>
      </c>
      <c r="J111" s="59">
        <v>10</v>
      </c>
    </row>
    <row r="112" spans="1:10" ht="20.100000000000001" customHeight="1" x14ac:dyDescent="0.15">
      <c r="A112" s="59">
        <v>103</v>
      </c>
      <c r="B112" s="58" t="s">
        <v>510</v>
      </c>
      <c r="C112" s="59" t="s">
        <v>511</v>
      </c>
      <c r="D112" s="59" t="s">
        <v>17</v>
      </c>
      <c r="E112" s="61">
        <v>44173</v>
      </c>
      <c r="F112" s="59" t="s">
        <v>11</v>
      </c>
      <c r="G112" s="59" t="s">
        <v>192</v>
      </c>
      <c r="H112" s="59" t="s">
        <v>13</v>
      </c>
      <c r="I112" s="59" t="s">
        <v>507</v>
      </c>
      <c r="J112" s="59">
        <v>11</v>
      </c>
    </row>
    <row r="113" spans="1:10" ht="20.100000000000001" customHeight="1" x14ac:dyDescent="0.15">
      <c r="A113" s="59">
        <v>104</v>
      </c>
      <c r="B113" s="58" t="s">
        <v>512</v>
      </c>
      <c r="C113" s="59" t="s">
        <v>513</v>
      </c>
      <c r="D113" s="59" t="s">
        <v>17</v>
      </c>
      <c r="E113" s="61">
        <v>43501</v>
      </c>
      <c r="F113" s="59" t="s">
        <v>11</v>
      </c>
      <c r="G113" s="59" t="s">
        <v>192</v>
      </c>
      <c r="H113" s="59" t="s">
        <v>13</v>
      </c>
      <c r="I113" s="59" t="s">
        <v>514</v>
      </c>
      <c r="J113" s="59">
        <v>12</v>
      </c>
    </row>
    <row r="114" spans="1:10" ht="20.100000000000001" customHeight="1" x14ac:dyDescent="0.15">
      <c r="A114" s="59">
        <v>105</v>
      </c>
      <c r="B114" s="58" t="s">
        <v>515</v>
      </c>
      <c r="C114" s="59" t="s">
        <v>516</v>
      </c>
      <c r="D114" s="59" t="s">
        <v>17</v>
      </c>
      <c r="E114" s="61">
        <v>44404</v>
      </c>
      <c r="F114" s="59" t="s">
        <v>11</v>
      </c>
      <c r="G114" s="59" t="s">
        <v>192</v>
      </c>
      <c r="H114" s="59" t="s">
        <v>13</v>
      </c>
      <c r="I114" s="59" t="s">
        <v>517</v>
      </c>
      <c r="J114" s="59">
        <v>13</v>
      </c>
    </row>
    <row r="115" spans="1:10" ht="20.100000000000001" customHeight="1" x14ac:dyDescent="0.15">
      <c r="A115" s="59">
        <v>106</v>
      </c>
      <c r="B115" s="58" t="s">
        <v>518</v>
      </c>
      <c r="C115" s="59" t="s">
        <v>519</v>
      </c>
      <c r="D115" s="59" t="s">
        <v>17</v>
      </c>
      <c r="E115" s="61">
        <v>44845</v>
      </c>
      <c r="F115" s="59" t="s">
        <v>11</v>
      </c>
      <c r="G115" s="59" t="s">
        <v>192</v>
      </c>
      <c r="H115" s="59" t="s">
        <v>13</v>
      </c>
      <c r="I115" s="59" t="s">
        <v>520</v>
      </c>
      <c r="J115" s="59">
        <v>14</v>
      </c>
    </row>
    <row r="116" spans="1:10" ht="20.100000000000001" customHeight="1" x14ac:dyDescent="0.15">
      <c r="A116" s="59">
        <v>107</v>
      </c>
      <c r="B116" s="58" t="s">
        <v>579</v>
      </c>
      <c r="C116" s="59" t="s">
        <v>580</v>
      </c>
      <c r="D116" s="59" t="s">
        <v>17</v>
      </c>
      <c r="E116" s="61">
        <v>45538</v>
      </c>
      <c r="F116" s="59" t="s">
        <v>11</v>
      </c>
      <c r="G116" s="59" t="s">
        <v>192</v>
      </c>
      <c r="H116" s="59" t="s">
        <v>13</v>
      </c>
      <c r="I116" s="59" t="s">
        <v>581</v>
      </c>
      <c r="J116" s="59">
        <v>15</v>
      </c>
    </row>
    <row r="117" spans="1:10" ht="20.100000000000001" customHeight="1" x14ac:dyDescent="0.15">
      <c r="A117" s="59">
        <v>108</v>
      </c>
      <c r="B117" s="58" t="s">
        <v>729</v>
      </c>
      <c r="C117" s="66" t="s">
        <v>730</v>
      </c>
      <c r="D117" s="59" t="s">
        <v>17</v>
      </c>
      <c r="E117" s="61">
        <v>45862</v>
      </c>
      <c r="F117" s="59" t="s">
        <v>11</v>
      </c>
      <c r="G117" s="59" t="s">
        <v>192</v>
      </c>
      <c r="H117" s="59" t="s">
        <v>79</v>
      </c>
      <c r="I117" s="59" t="s">
        <v>731</v>
      </c>
      <c r="J117" s="59">
        <v>16</v>
      </c>
    </row>
    <row r="118" spans="1:10" ht="20.100000000000001" customHeight="1" x14ac:dyDescent="0.15">
      <c r="A118" s="59">
        <v>109</v>
      </c>
      <c r="B118" s="77" t="s">
        <v>778</v>
      </c>
      <c r="C118" s="78" t="s">
        <v>779</v>
      </c>
      <c r="D118" s="59" t="s">
        <v>17</v>
      </c>
      <c r="E118" s="61">
        <v>46036</v>
      </c>
      <c r="F118" s="59" t="s">
        <v>11</v>
      </c>
      <c r="G118" s="59" t="s">
        <v>192</v>
      </c>
      <c r="H118" s="59" t="s">
        <v>13</v>
      </c>
      <c r="I118" s="59" t="s">
        <v>581</v>
      </c>
      <c r="J118" s="59">
        <v>17</v>
      </c>
    </row>
    <row r="119" spans="1:10" ht="20.100000000000001" customHeight="1" x14ac:dyDescent="0.15">
      <c r="A119" s="59">
        <v>110</v>
      </c>
      <c r="B119" s="77" t="s">
        <v>780</v>
      </c>
      <c r="C119" s="78" t="s">
        <v>781</v>
      </c>
      <c r="D119" s="59" t="s">
        <v>17</v>
      </c>
      <c r="E119" s="61">
        <v>46036</v>
      </c>
      <c r="F119" s="59" t="s">
        <v>11</v>
      </c>
      <c r="G119" s="59" t="s">
        <v>192</v>
      </c>
      <c r="H119" s="59" t="s">
        <v>13</v>
      </c>
      <c r="I119" s="59" t="s">
        <v>606</v>
      </c>
      <c r="J119" s="59">
        <v>18</v>
      </c>
    </row>
    <row r="120" spans="1:10" ht="20.100000000000001" customHeight="1" x14ac:dyDescent="0.15">
      <c r="A120" s="59"/>
      <c r="B120" s="58"/>
      <c r="C120" s="59"/>
      <c r="D120" s="59"/>
      <c r="E120" s="61"/>
      <c r="F120" s="59"/>
      <c r="G120" s="59"/>
      <c r="H120" s="59"/>
      <c r="I120" s="59"/>
      <c r="J120" s="59"/>
    </row>
    <row r="121" spans="1:10" ht="20.100000000000001" customHeight="1" x14ac:dyDescent="0.15">
      <c r="A121" s="59">
        <v>111</v>
      </c>
      <c r="B121" s="58" t="s">
        <v>366</v>
      </c>
      <c r="C121" s="59" t="s">
        <v>367</v>
      </c>
      <c r="D121" s="59" t="s">
        <v>17</v>
      </c>
      <c r="E121" s="61">
        <v>43393</v>
      </c>
      <c r="F121" s="59" t="s">
        <v>11</v>
      </c>
      <c r="G121" s="59" t="s">
        <v>368</v>
      </c>
      <c r="H121" s="59" t="s">
        <v>13</v>
      </c>
      <c r="I121" s="59" t="s">
        <v>369</v>
      </c>
      <c r="J121" s="59">
        <v>1</v>
      </c>
    </row>
    <row r="122" spans="1:10" ht="20.100000000000001" customHeight="1" x14ac:dyDescent="0.15">
      <c r="A122" s="59">
        <v>112</v>
      </c>
      <c r="B122" s="58" t="s">
        <v>370</v>
      </c>
      <c r="C122" s="59" t="s">
        <v>371</v>
      </c>
      <c r="D122" s="59" t="s">
        <v>17</v>
      </c>
      <c r="E122" s="61">
        <v>42620</v>
      </c>
      <c r="F122" s="59" t="s">
        <v>11</v>
      </c>
      <c r="G122" s="59" t="s">
        <v>368</v>
      </c>
      <c r="H122" s="59" t="s">
        <v>13</v>
      </c>
      <c r="I122" s="59" t="s">
        <v>369</v>
      </c>
      <c r="J122" s="59">
        <v>2</v>
      </c>
    </row>
    <row r="123" spans="1:10" ht="20.100000000000001" customHeight="1" x14ac:dyDescent="0.15">
      <c r="A123" s="59">
        <v>113</v>
      </c>
      <c r="B123" s="58" t="s">
        <v>372</v>
      </c>
      <c r="C123" s="59" t="s">
        <v>373</v>
      </c>
      <c r="D123" s="59" t="s">
        <v>17</v>
      </c>
      <c r="E123" s="61">
        <v>42644</v>
      </c>
      <c r="F123" s="59" t="s">
        <v>11</v>
      </c>
      <c r="G123" s="59" t="s">
        <v>368</v>
      </c>
      <c r="H123" s="59" t="s">
        <v>13</v>
      </c>
      <c r="I123" s="59" t="s">
        <v>369</v>
      </c>
      <c r="J123" s="59">
        <v>3</v>
      </c>
    </row>
    <row r="124" spans="1:10" ht="20.100000000000001" customHeight="1" x14ac:dyDescent="0.15">
      <c r="A124" s="59">
        <v>114</v>
      </c>
      <c r="B124" s="58" t="s">
        <v>374</v>
      </c>
      <c r="C124" s="59" t="s">
        <v>375</v>
      </c>
      <c r="D124" s="59" t="s">
        <v>17</v>
      </c>
      <c r="E124" s="61">
        <v>42644</v>
      </c>
      <c r="F124" s="59" t="s">
        <v>11</v>
      </c>
      <c r="G124" s="59" t="s">
        <v>368</v>
      </c>
      <c r="H124" s="59" t="s">
        <v>13</v>
      </c>
      <c r="I124" s="59" t="s">
        <v>369</v>
      </c>
      <c r="J124" s="59">
        <v>4</v>
      </c>
    </row>
    <row r="125" spans="1:10" ht="20.100000000000001" customHeight="1" x14ac:dyDescent="0.15">
      <c r="A125" s="59">
        <v>115</v>
      </c>
      <c r="B125" s="58" t="s">
        <v>376</v>
      </c>
      <c r="C125" s="59" t="s">
        <v>377</v>
      </c>
      <c r="D125" s="59" t="s">
        <v>17</v>
      </c>
      <c r="E125" s="61">
        <v>42644</v>
      </c>
      <c r="F125" s="59" t="s">
        <v>11</v>
      </c>
      <c r="G125" s="59" t="s">
        <v>368</v>
      </c>
      <c r="H125" s="59" t="s">
        <v>13</v>
      </c>
      <c r="I125" s="59" t="s">
        <v>369</v>
      </c>
      <c r="J125" s="59">
        <v>5</v>
      </c>
    </row>
    <row r="126" spans="1:10" ht="20.100000000000001" customHeight="1" x14ac:dyDescent="0.15">
      <c r="A126" s="59">
        <v>116</v>
      </c>
      <c r="B126" s="58" t="s">
        <v>378</v>
      </c>
      <c r="C126" s="59" t="s">
        <v>379</v>
      </c>
      <c r="D126" s="59" t="s">
        <v>17</v>
      </c>
      <c r="E126" s="61">
        <v>42644</v>
      </c>
      <c r="F126" s="59" t="s">
        <v>11</v>
      </c>
      <c r="G126" s="59" t="s">
        <v>368</v>
      </c>
      <c r="H126" s="59" t="s">
        <v>13</v>
      </c>
      <c r="I126" s="59" t="s">
        <v>369</v>
      </c>
      <c r="J126" s="59">
        <v>6</v>
      </c>
    </row>
    <row r="127" spans="1:10" ht="20.100000000000001" customHeight="1" x14ac:dyDescent="0.15">
      <c r="A127" s="59">
        <v>117</v>
      </c>
      <c r="B127" s="58" t="s">
        <v>380</v>
      </c>
      <c r="C127" s="59" t="s">
        <v>381</v>
      </c>
      <c r="D127" s="59" t="s">
        <v>17</v>
      </c>
      <c r="E127" s="61">
        <v>45206</v>
      </c>
      <c r="F127" s="59" t="s">
        <v>11</v>
      </c>
      <c r="G127" s="59" t="s">
        <v>368</v>
      </c>
      <c r="H127" s="59" t="s">
        <v>13</v>
      </c>
      <c r="I127" s="59" t="s">
        <v>369</v>
      </c>
      <c r="J127" s="59">
        <v>7</v>
      </c>
    </row>
    <row r="128" spans="1:10" ht="20.100000000000001" customHeight="1" x14ac:dyDescent="0.15">
      <c r="A128" s="59">
        <v>118</v>
      </c>
      <c r="B128" s="58" t="s">
        <v>382</v>
      </c>
      <c r="C128" s="59" t="s">
        <v>383</v>
      </c>
      <c r="D128" s="59" t="s">
        <v>17</v>
      </c>
      <c r="E128" s="61">
        <v>45034</v>
      </c>
      <c r="F128" s="59" t="s">
        <v>11</v>
      </c>
      <c r="G128" s="59" t="s">
        <v>368</v>
      </c>
      <c r="H128" s="59" t="s">
        <v>13</v>
      </c>
      <c r="I128" s="59" t="s">
        <v>369</v>
      </c>
      <c r="J128" s="59">
        <v>8</v>
      </c>
    </row>
    <row r="129" spans="1:10" ht="20.100000000000001" customHeight="1" x14ac:dyDescent="0.15">
      <c r="A129" s="59">
        <v>119</v>
      </c>
      <c r="B129" s="58" t="s">
        <v>384</v>
      </c>
      <c r="C129" s="59" t="s">
        <v>385</v>
      </c>
      <c r="D129" s="59" t="s">
        <v>17</v>
      </c>
      <c r="E129" s="61">
        <v>44439</v>
      </c>
      <c r="F129" s="59" t="s">
        <v>11</v>
      </c>
      <c r="G129" s="59" t="s">
        <v>368</v>
      </c>
      <c r="H129" s="59" t="s">
        <v>13</v>
      </c>
      <c r="I129" s="59" t="s">
        <v>369</v>
      </c>
      <c r="J129" s="59">
        <v>9</v>
      </c>
    </row>
    <row r="130" spans="1:10" ht="20.100000000000001" customHeight="1" x14ac:dyDescent="0.15">
      <c r="A130" s="59">
        <v>120</v>
      </c>
      <c r="B130" s="58" t="s">
        <v>386</v>
      </c>
      <c r="C130" s="59" t="s">
        <v>387</v>
      </c>
      <c r="D130" s="59" t="s">
        <v>17</v>
      </c>
      <c r="E130" s="61">
        <v>44502</v>
      </c>
      <c r="F130" s="59" t="s">
        <v>11</v>
      </c>
      <c r="G130" s="59" t="s">
        <v>368</v>
      </c>
      <c r="H130" s="59" t="s">
        <v>13</v>
      </c>
      <c r="I130" s="59" t="s">
        <v>369</v>
      </c>
      <c r="J130" s="59">
        <v>10</v>
      </c>
    </row>
    <row r="131" spans="1:10" ht="20.100000000000001" customHeight="1" x14ac:dyDescent="0.15">
      <c r="A131" s="59">
        <v>121</v>
      </c>
      <c r="B131" s="58" t="s">
        <v>388</v>
      </c>
      <c r="C131" s="59" t="s">
        <v>389</v>
      </c>
      <c r="D131" s="59" t="s">
        <v>17</v>
      </c>
      <c r="E131" s="61">
        <v>44306</v>
      </c>
      <c r="F131" s="59" t="s">
        <v>11</v>
      </c>
      <c r="G131" s="59" t="s">
        <v>368</v>
      </c>
      <c r="H131" s="59" t="s">
        <v>13</v>
      </c>
      <c r="I131" s="59" t="s">
        <v>369</v>
      </c>
      <c r="J131" s="59">
        <v>11</v>
      </c>
    </row>
    <row r="132" spans="1:10" ht="20.100000000000001" customHeight="1" x14ac:dyDescent="0.15">
      <c r="A132" s="59">
        <v>122</v>
      </c>
      <c r="B132" s="58" t="s">
        <v>390</v>
      </c>
      <c r="C132" s="59" t="s">
        <v>391</v>
      </c>
      <c r="D132" s="59" t="s">
        <v>17</v>
      </c>
      <c r="E132" s="61">
        <v>44306</v>
      </c>
      <c r="F132" s="59" t="s">
        <v>11</v>
      </c>
      <c r="G132" s="59" t="s">
        <v>368</v>
      </c>
      <c r="H132" s="59" t="s">
        <v>13</v>
      </c>
      <c r="I132" s="59" t="s">
        <v>369</v>
      </c>
      <c r="J132" s="59">
        <v>12</v>
      </c>
    </row>
    <row r="133" spans="1:10" ht="20.100000000000001" customHeight="1" x14ac:dyDescent="0.15">
      <c r="A133" s="59">
        <v>123</v>
      </c>
      <c r="B133" s="58" t="s">
        <v>392</v>
      </c>
      <c r="C133" s="59" t="s">
        <v>393</v>
      </c>
      <c r="D133" s="59" t="s">
        <v>17</v>
      </c>
      <c r="E133" s="61">
        <v>45083</v>
      </c>
      <c r="F133" s="59" t="s">
        <v>11</v>
      </c>
      <c r="G133" s="59" t="s">
        <v>368</v>
      </c>
      <c r="H133" s="59" t="s">
        <v>13</v>
      </c>
      <c r="I133" s="59" t="s">
        <v>369</v>
      </c>
      <c r="J133" s="59">
        <v>13</v>
      </c>
    </row>
    <row r="134" spans="1:10" ht="20.100000000000001" customHeight="1" x14ac:dyDescent="0.15">
      <c r="A134" s="59">
        <v>124</v>
      </c>
      <c r="B134" s="58" t="s">
        <v>394</v>
      </c>
      <c r="C134" s="59" t="s">
        <v>395</v>
      </c>
      <c r="D134" s="59" t="s">
        <v>17</v>
      </c>
      <c r="E134" s="61">
        <v>45370</v>
      </c>
      <c r="F134" s="59" t="s">
        <v>11</v>
      </c>
      <c r="G134" s="59" t="s">
        <v>368</v>
      </c>
      <c r="H134" s="59" t="s">
        <v>13</v>
      </c>
      <c r="I134" s="59" t="s">
        <v>369</v>
      </c>
      <c r="J134" s="59">
        <v>14</v>
      </c>
    </row>
    <row r="135" spans="1:10" ht="20.100000000000001" customHeight="1" x14ac:dyDescent="0.15">
      <c r="A135" s="59">
        <v>125</v>
      </c>
      <c r="B135" s="58" t="s">
        <v>396</v>
      </c>
      <c r="C135" s="59" t="s">
        <v>397</v>
      </c>
      <c r="D135" s="59" t="s">
        <v>17</v>
      </c>
      <c r="E135" s="61">
        <v>45503</v>
      </c>
      <c r="F135" s="59" t="s">
        <v>11</v>
      </c>
      <c r="G135" s="59" t="s">
        <v>368</v>
      </c>
      <c r="H135" s="59" t="s">
        <v>13</v>
      </c>
      <c r="I135" s="59" t="s">
        <v>369</v>
      </c>
      <c r="J135" s="59">
        <v>15</v>
      </c>
    </row>
    <row r="136" spans="1:10" ht="20.100000000000001" customHeight="1" x14ac:dyDescent="0.15">
      <c r="A136" s="59">
        <v>126</v>
      </c>
      <c r="B136" s="58" t="s">
        <v>398</v>
      </c>
      <c r="C136" s="59" t="s">
        <v>399</v>
      </c>
      <c r="D136" s="59" t="s">
        <v>17</v>
      </c>
      <c r="E136" s="61">
        <v>45454</v>
      </c>
      <c r="F136" s="59" t="s">
        <v>11</v>
      </c>
      <c r="G136" s="59" t="s">
        <v>368</v>
      </c>
      <c r="H136" s="59" t="s">
        <v>13</v>
      </c>
      <c r="I136" s="59" t="s">
        <v>369</v>
      </c>
      <c r="J136" s="59">
        <v>16</v>
      </c>
    </row>
    <row r="137" spans="1:10" ht="20.100000000000001" customHeight="1" x14ac:dyDescent="0.15">
      <c r="A137" s="59">
        <v>127</v>
      </c>
      <c r="B137" s="58" t="s">
        <v>400</v>
      </c>
      <c r="C137" s="59" t="s">
        <v>401</v>
      </c>
      <c r="D137" s="59" t="s">
        <v>17</v>
      </c>
      <c r="E137" s="61">
        <v>45419</v>
      </c>
      <c r="F137" s="59" t="s">
        <v>11</v>
      </c>
      <c r="G137" s="59" t="s">
        <v>368</v>
      </c>
      <c r="H137" s="59" t="s">
        <v>13</v>
      </c>
      <c r="I137" s="59" t="s">
        <v>369</v>
      </c>
      <c r="J137" s="59">
        <v>17</v>
      </c>
    </row>
    <row r="138" spans="1:10" ht="20.100000000000001" customHeight="1" x14ac:dyDescent="0.15">
      <c r="A138" s="59">
        <v>128</v>
      </c>
      <c r="B138" s="58" t="s">
        <v>402</v>
      </c>
      <c r="C138" s="59" t="s">
        <v>403</v>
      </c>
      <c r="D138" s="59" t="s">
        <v>17</v>
      </c>
      <c r="E138" s="61">
        <v>45475</v>
      </c>
      <c r="F138" s="59" t="s">
        <v>11</v>
      </c>
      <c r="G138" s="59" t="s">
        <v>368</v>
      </c>
      <c r="H138" s="59" t="s">
        <v>13</v>
      </c>
      <c r="I138" s="59" t="s">
        <v>369</v>
      </c>
      <c r="J138" s="59">
        <v>18</v>
      </c>
    </row>
    <row r="139" spans="1:10" ht="20.100000000000001" customHeight="1" x14ac:dyDescent="0.15">
      <c r="A139" s="59">
        <v>129</v>
      </c>
      <c r="B139" s="58" t="s">
        <v>404</v>
      </c>
      <c r="C139" s="59" t="s">
        <v>405</v>
      </c>
      <c r="D139" s="59" t="s">
        <v>17</v>
      </c>
      <c r="E139" s="61">
        <v>45475</v>
      </c>
      <c r="F139" s="59" t="s">
        <v>11</v>
      </c>
      <c r="G139" s="59" t="s">
        <v>368</v>
      </c>
      <c r="H139" s="59" t="s">
        <v>13</v>
      </c>
      <c r="I139" s="59" t="s">
        <v>369</v>
      </c>
      <c r="J139" s="59">
        <v>19</v>
      </c>
    </row>
    <row r="140" spans="1:10" ht="20.100000000000001" customHeight="1" x14ac:dyDescent="0.15">
      <c r="A140" s="59">
        <v>130</v>
      </c>
      <c r="B140" s="58" t="s">
        <v>406</v>
      </c>
      <c r="C140" s="59" t="s">
        <v>407</v>
      </c>
      <c r="D140" s="59" t="s">
        <v>17</v>
      </c>
      <c r="E140" s="61">
        <v>45475</v>
      </c>
      <c r="F140" s="59" t="s">
        <v>11</v>
      </c>
      <c r="G140" s="59" t="s">
        <v>368</v>
      </c>
      <c r="H140" s="59" t="s">
        <v>13</v>
      </c>
      <c r="I140" s="59" t="s">
        <v>369</v>
      </c>
      <c r="J140" s="59">
        <v>20</v>
      </c>
    </row>
    <row r="141" spans="1:10" ht="20.100000000000001" customHeight="1" x14ac:dyDescent="0.15">
      <c r="A141" s="59">
        <v>131</v>
      </c>
      <c r="B141" s="58" t="s">
        <v>585</v>
      </c>
      <c r="C141" s="59" t="s">
        <v>586</v>
      </c>
      <c r="D141" s="59" t="s">
        <v>17</v>
      </c>
      <c r="E141" s="61">
        <v>45556</v>
      </c>
      <c r="F141" s="59" t="s">
        <v>11</v>
      </c>
      <c r="G141" s="59" t="s">
        <v>368</v>
      </c>
      <c r="H141" s="59" t="s">
        <v>79</v>
      </c>
      <c r="I141" s="59" t="s">
        <v>587</v>
      </c>
      <c r="J141" s="59">
        <v>21</v>
      </c>
    </row>
    <row r="142" spans="1:10" ht="20.100000000000001" customHeight="1" x14ac:dyDescent="0.15">
      <c r="A142" s="59">
        <v>132</v>
      </c>
      <c r="B142" s="58" t="s">
        <v>624</v>
      </c>
      <c r="C142" s="59" t="s">
        <v>625</v>
      </c>
      <c r="D142" s="59" t="s">
        <v>17</v>
      </c>
      <c r="E142" s="61">
        <v>45734</v>
      </c>
      <c r="F142" s="59" t="s">
        <v>11</v>
      </c>
      <c r="G142" s="59" t="s">
        <v>368</v>
      </c>
      <c r="H142" s="59" t="s">
        <v>13</v>
      </c>
      <c r="I142" s="59" t="s">
        <v>369</v>
      </c>
      <c r="J142" s="59">
        <v>22</v>
      </c>
    </row>
    <row r="143" spans="1:10" ht="20.100000000000001" customHeight="1" x14ac:dyDescent="0.15">
      <c r="A143" s="59">
        <v>133</v>
      </c>
      <c r="B143" s="58" t="s">
        <v>672</v>
      </c>
      <c r="C143" s="59" t="s">
        <v>673</v>
      </c>
      <c r="D143" s="59" t="s">
        <v>17</v>
      </c>
      <c r="E143" s="61">
        <v>45776</v>
      </c>
      <c r="F143" s="59" t="s">
        <v>11</v>
      </c>
      <c r="G143" s="59" t="s">
        <v>368</v>
      </c>
      <c r="H143" s="59" t="s">
        <v>13</v>
      </c>
      <c r="I143" s="59" t="s">
        <v>369</v>
      </c>
      <c r="J143" s="59">
        <v>23</v>
      </c>
    </row>
    <row r="144" spans="1:10" ht="20.100000000000001" customHeight="1" x14ac:dyDescent="0.15">
      <c r="A144" s="59">
        <v>134</v>
      </c>
      <c r="B144" s="58" t="s">
        <v>674</v>
      </c>
      <c r="C144" s="59" t="s">
        <v>675</v>
      </c>
      <c r="D144" s="59" t="s">
        <v>17</v>
      </c>
      <c r="E144" s="61">
        <v>45776</v>
      </c>
      <c r="F144" s="59" t="s">
        <v>11</v>
      </c>
      <c r="G144" s="59" t="s">
        <v>368</v>
      </c>
      <c r="H144" s="59" t="s">
        <v>13</v>
      </c>
      <c r="I144" s="59" t="s">
        <v>369</v>
      </c>
      <c r="J144" s="59">
        <v>24</v>
      </c>
    </row>
    <row r="145" spans="1:10" ht="18.75" customHeight="1" x14ac:dyDescent="0.15">
      <c r="A145" s="59">
        <v>135</v>
      </c>
      <c r="B145" s="58" t="s">
        <v>700</v>
      </c>
      <c r="C145" s="59" t="s">
        <v>701</v>
      </c>
      <c r="D145" s="59" t="s">
        <v>17</v>
      </c>
      <c r="E145" s="61">
        <v>45832</v>
      </c>
      <c r="F145" s="59" t="s">
        <v>11</v>
      </c>
      <c r="G145" s="59" t="s">
        <v>368</v>
      </c>
      <c r="H145" s="59" t="s">
        <v>13</v>
      </c>
      <c r="I145" s="59" t="s">
        <v>369</v>
      </c>
      <c r="J145" s="59">
        <v>25</v>
      </c>
    </row>
    <row r="146" spans="1:10" ht="18.75" customHeight="1" x14ac:dyDescent="0.15">
      <c r="A146" s="59">
        <v>136</v>
      </c>
      <c r="B146" s="58" t="s">
        <v>732</v>
      </c>
      <c r="C146" s="59" t="s">
        <v>733</v>
      </c>
      <c r="D146" s="59" t="s">
        <v>17</v>
      </c>
      <c r="E146" s="61">
        <v>45902</v>
      </c>
      <c r="F146" s="59" t="s">
        <v>11</v>
      </c>
      <c r="G146" s="59" t="s">
        <v>368</v>
      </c>
      <c r="H146" s="59" t="s">
        <v>13</v>
      </c>
      <c r="I146" s="59" t="s">
        <v>369</v>
      </c>
      <c r="J146" s="59">
        <v>26</v>
      </c>
    </row>
    <row r="147" spans="1:10" ht="18.75" customHeight="1" x14ac:dyDescent="0.15">
      <c r="A147" s="59">
        <v>137</v>
      </c>
      <c r="B147" s="58" t="s">
        <v>750</v>
      </c>
      <c r="C147" s="59" t="s">
        <v>751</v>
      </c>
      <c r="D147" s="59" t="s">
        <v>17</v>
      </c>
      <c r="E147" s="61">
        <v>45931</v>
      </c>
      <c r="F147" s="59" t="s">
        <v>11</v>
      </c>
      <c r="G147" s="59" t="s">
        <v>368</v>
      </c>
      <c r="H147" s="59" t="s">
        <v>13</v>
      </c>
      <c r="I147" s="59" t="s">
        <v>369</v>
      </c>
      <c r="J147" s="59">
        <v>27</v>
      </c>
    </row>
    <row r="148" spans="1:10" ht="18.75" customHeight="1" x14ac:dyDescent="0.15">
      <c r="A148" s="59">
        <v>138</v>
      </c>
      <c r="B148" s="79" t="s">
        <v>782</v>
      </c>
      <c r="C148" s="79" t="s">
        <v>783</v>
      </c>
      <c r="D148" s="59" t="s">
        <v>17</v>
      </c>
      <c r="E148" s="61">
        <v>46014</v>
      </c>
      <c r="F148" s="59" t="s">
        <v>11</v>
      </c>
      <c r="G148" s="59" t="s">
        <v>368</v>
      </c>
      <c r="H148" s="59" t="s">
        <v>13</v>
      </c>
      <c r="I148" s="59" t="s">
        <v>369</v>
      </c>
      <c r="J148" s="59">
        <v>28</v>
      </c>
    </row>
    <row r="149" spans="1:10" ht="18.75" customHeight="1" x14ac:dyDescent="0.15">
      <c r="A149" s="59">
        <v>139</v>
      </c>
      <c r="B149" s="79" t="s">
        <v>784</v>
      </c>
      <c r="C149" s="79" t="s">
        <v>785</v>
      </c>
      <c r="D149" s="59" t="s">
        <v>17</v>
      </c>
      <c r="E149" s="61">
        <v>46036</v>
      </c>
      <c r="F149" s="59" t="s">
        <v>11</v>
      </c>
      <c r="G149" s="59" t="s">
        <v>368</v>
      </c>
      <c r="H149" s="59" t="s">
        <v>13</v>
      </c>
      <c r="I149" s="59" t="s">
        <v>369</v>
      </c>
      <c r="J149" s="59">
        <v>29</v>
      </c>
    </row>
    <row r="150" spans="1:10" ht="18.75" customHeight="1" x14ac:dyDescent="0.15">
      <c r="A150" s="59"/>
      <c r="B150" s="58"/>
      <c r="C150" s="59"/>
      <c r="D150" s="59"/>
      <c r="E150" s="61"/>
      <c r="F150" s="59"/>
      <c r="G150" s="59"/>
      <c r="H150" s="59"/>
      <c r="I150" s="59"/>
      <c r="J150" s="59"/>
    </row>
    <row r="151" spans="1:10" ht="20.100000000000001" customHeight="1" x14ac:dyDescent="0.15">
      <c r="A151" s="59">
        <v>140</v>
      </c>
      <c r="B151" s="58" t="s">
        <v>24</v>
      </c>
      <c r="C151" s="59" t="s">
        <v>25</v>
      </c>
      <c r="D151" s="59" t="s">
        <v>17</v>
      </c>
      <c r="E151" s="61">
        <v>42398</v>
      </c>
      <c r="F151" s="59" t="s">
        <v>11</v>
      </c>
      <c r="G151" s="59" t="s">
        <v>26</v>
      </c>
      <c r="H151" s="59" t="s">
        <v>13</v>
      </c>
      <c r="I151" s="59" t="s">
        <v>23</v>
      </c>
      <c r="J151" s="59">
        <v>1</v>
      </c>
    </row>
    <row r="152" spans="1:10" ht="20.100000000000001" customHeight="1" x14ac:dyDescent="0.15">
      <c r="A152" s="59">
        <v>141</v>
      </c>
      <c r="B152" s="58" t="s">
        <v>27</v>
      </c>
      <c r="C152" s="59" t="s">
        <v>28</v>
      </c>
      <c r="D152" s="59" t="s">
        <v>17</v>
      </c>
      <c r="E152" s="61">
        <v>41689</v>
      </c>
      <c r="F152" s="59" t="s">
        <v>11</v>
      </c>
      <c r="G152" s="59" t="s">
        <v>26</v>
      </c>
      <c r="H152" s="59" t="s">
        <v>13</v>
      </c>
      <c r="I152" s="59" t="s">
        <v>23</v>
      </c>
      <c r="J152" s="59">
        <v>2</v>
      </c>
    </row>
    <row r="153" spans="1:10" ht="20.100000000000001" customHeight="1" x14ac:dyDescent="0.15">
      <c r="A153" s="59">
        <v>142</v>
      </c>
      <c r="B153" s="58" t="s">
        <v>29</v>
      </c>
      <c r="C153" s="59" t="s">
        <v>30</v>
      </c>
      <c r="D153" s="59" t="s">
        <v>17</v>
      </c>
      <c r="E153" s="61">
        <v>41689</v>
      </c>
      <c r="F153" s="59" t="s">
        <v>11</v>
      </c>
      <c r="G153" s="59" t="s">
        <v>26</v>
      </c>
      <c r="H153" s="59" t="s">
        <v>13</v>
      </c>
      <c r="I153" s="59" t="s">
        <v>23</v>
      </c>
      <c r="J153" s="59">
        <v>3</v>
      </c>
    </row>
    <row r="154" spans="1:10" ht="20.100000000000001" customHeight="1" x14ac:dyDescent="0.15">
      <c r="A154" s="59">
        <v>143</v>
      </c>
      <c r="B154" s="58" t="s">
        <v>34</v>
      </c>
      <c r="C154" s="59" t="s">
        <v>35</v>
      </c>
      <c r="D154" s="59" t="s">
        <v>17</v>
      </c>
      <c r="E154" s="61">
        <v>41813</v>
      </c>
      <c r="F154" s="59" t="s">
        <v>11</v>
      </c>
      <c r="G154" s="59" t="s">
        <v>26</v>
      </c>
      <c r="H154" s="59" t="s">
        <v>13</v>
      </c>
      <c r="I154" s="59" t="s">
        <v>23</v>
      </c>
      <c r="J154" s="59">
        <v>4</v>
      </c>
    </row>
    <row r="155" spans="1:10" ht="20.100000000000001" customHeight="1" x14ac:dyDescent="0.15">
      <c r="A155" s="59">
        <v>144</v>
      </c>
      <c r="B155" s="58" t="s">
        <v>36</v>
      </c>
      <c r="C155" s="59" t="s">
        <v>37</v>
      </c>
      <c r="D155" s="59" t="s">
        <v>17</v>
      </c>
      <c r="E155" s="61">
        <v>41739</v>
      </c>
      <c r="F155" s="59" t="s">
        <v>11</v>
      </c>
      <c r="G155" s="59" t="s">
        <v>26</v>
      </c>
      <c r="H155" s="59" t="s">
        <v>13</v>
      </c>
      <c r="I155" s="59" t="s">
        <v>23</v>
      </c>
      <c r="J155" s="59">
        <v>5</v>
      </c>
    </row>
    <row r="156" spans="1:10" ht="20.100000000000001" customHeight="1" x14ac:dyDescent="0.15">
      <c r="A156" s="59">
        <v>145</v>
      </c>
      <c r="B156" s="58" t="s">
        <v>38</v>
      </c>
      <c r="C156" s="59" t="s">
        <v>39</v>
      </c>
      <c r="D156" s="59" t="s">
        <v>17</v>
      </c>
      <c r="E156" s="61">
        <v>42017</v>
      </c>
      <c r="F156" s="59" t="s">
        <v>11</v>
      </c>
      <c r="G156" s="59" t="s">
        <v>26</v>
      </c>
      <c r="H156" s="59" t="s">
        <v>13</v>
      </c>
      <c r="I156" s="59" t="s">
        <v>23</v>
      </c>
      <c r="J156" s="59">
        <v>6</v>
      </c>
    </row>
    <row r="157" spans="1:10" ht="20.100000000000001" customHeight="1" x14ac:dyDescent="0.15">
      <c r="A157" s="59">
        <v>146</v>
      </c>
      <c r="B157" s="58" t="s">
        <v>65</v>
      </c>
      <c r="C157" s="59" t="s">
        <v>66</v>
      </c>
      <c r="D157" s="59" t="s">
        <v>17</v>
      </c>
      <c r="E157" s="61">
        <v>41855</v>
      </c>
      <c r="F157" s="59" t="s">
        <v>11</v>
      </c>
      <c r="G157" s="59" t="s">
        <v>26</v>
      </c>
      <c r="H157" s="59" t="s">
        <v>13</v>
      </c>
      <c r="I157" s="59" t="s">
        <v>67</v>
      </c>
      <c r="J157" s="59">
        <v>7</v>
      </c>
    </row>
    <row r="158" spans="1:10" ht="20.100000000000001" customHeight="1" x14ac:dyDescent="0.15">
      <c r="A158" s="59">
        <v>147</v>
      </c>
      <c r="B158" s="58" t="s">
        <v>68</v>
      </c>
      <c r="C158" s="59" t="s">
        <v>69</v>
      </c>
      <c r="D158" s="59" t="s">
        <v>17</v>
      </c>
      <c r="E158" s="61">
        <v>41682</v>
      </c>
      <c r="F158" s="59" t="s">
        <v>11</v>
      </c>
      <c r="G158" s="59" t="s">
        <v>26</v>
      </c>
      <c r="H158" s="59" t="s">
        <v>13</v>
      </c>
      <c r="I158" s="59" t="s">
        <v>70</v>
      </c>
      <c r="J158" s="59">
        <v>8</v>
      </c>
    </row>
    <row r="159" spans="1:10" ht="20.100000000000001" customHeight="1" x14ac:dyDescent="0.15">
      <c r="A159" s="59">
        <v>148</v>
      </c>
      <c r="B159" s="58" t="s">
        <v>80</v>
      </c>
      <c r="C159" s="59" t="s">
        <v>81</v>
      </c>
      <c r="D159" s="59" t="s">
        <v>17</v>
      </c>
      <c r="E159" s="61">
        <v>45594</v>
      </c>
      <c r="F159" s="59" t="s">
        <v>11</v>
      </c>
      <c r="G159" s="59" t="s">
        <v>26</v>
      </c>
      <c r="H159" s="59" t="s">
        <v>13</v>
      </c>
      <c r="I159" s="59" t="s">
        <v>82</v>
      </c>
      <c r="J159" s="59">
        <v>9</v>
      </c>
    </row>
    <row r="160" spans="1:10" ht="20.100000000000001" customHeight="1" x14ac:dyDescent="0.15">
      <c r="A160" s="59">
        <v>149</v>
      </c>
      <c r="B160" s="58" t="s">
        <v>83</v>
      </c>
      <c r="C160" s="59" t="s">
        <v>84</v>
      </c>
      <c r="D160" s="59" t="s">
        <v>17</v>
      </c>
      <c r="E160" s="61">
        <v>42942</v>
      </c>
      <c r="F160" s="59" t="s">
        <v>11</v>
      </c>
      <c r="G160" s="59" t="s">
        <v>26</v>
      </c>
      <c r="H160" s="59" t="s">
        <v>13</v>
      </c>
      <c r="I160" s="59" t="s">
        <v>82</v>
      </c>
      <c r="J160" s="59">
        <v>10</v>
      </c>
    </row>
    <row r="161" spans="1:10" ht="20.100000000000001" customHeight="1" x14ac:dyDescent="0.15">
      <c r="A161" s="59">
        <v>150</v>
      </c>
      <c r="B161" s="58" t="s">
        <v>85</v>
      </c>
      <c r="C161" s="59" t="s">
        <v>86</v>
      </c>
      <c r="D161" s="59" t="s">
        <v>17</v>
      </c>
      <c r="E161" s="61">
        <v>42997</v>
      </c>
      <c r="F161" s="59" t="s">
        <v>11</v>
      </c>
      <c r="G161" s="59" t="s">
        <v>26</v>
      </c>
      <c r="H161" s="59" t="s">
        <v>13</v>
      </c>
      <c r="I161" s="59" t="s">
        <v>82</v>
      </c>
      <c r="J161" s="59">
        <v>11</v>
      </c>
    </row>
    <row r="162" spans="1:10" ht="20.100000000000001" customHeight="1" x14ac:dyDescent="0.15">
      <c r="A162" s="59">
        <v>151</v>
      </c>
      <c r="B162" s="58" t="s">
        <v>161</v>
      </c>
      <c r="C162" s="59" t="s">
        <v>162</v>
      </c>
      <c r="D162" s="59" t="s">
        <v>17</v>
      </c>
      <c r="E162" s="61">
        <v>41745</v>
      </c>
      <c r="F162" s="59" t="s">
        <v>11</v>
      </c>
      <c r="G162" s="59" t="s">
        <v>26</v>
      </c>
      <c r="H162" s="59" t="s">
        <v>13</v>
      </c>
      <c r="I162" s="59" t="s">
        <v>163</v>
      </c>
      <c r="J162" s="59">
        <v>12</v>
      </c>
    </row>
    <row r="163" spans="1:10" ht="20.100000000000001" customHeight="1" x14ac:dyDescent="0.15">
      <c r="A163" s="59">
        <v>152</v>
      </c>
      <c r="B163" s="58" t="s">
        <v>164</v>
      </c>
      <c r="C163" s="59" t="s">
        <v>165</v>
      </c>
      <c r="D163" s="59" t="s">
        <v>17</v>
      </c>
      <c r="E163" s="61">
        <v>42439</v>
      </c>
      <c r="F163" s="59" t="s">
        <v>11</v>
      </c>
      <c r="G163" s="59" t="s">
        <v>26</v>
      </c>
      <c r="H163" s="59" t="s">
        <v>13</v>
      </c>
      <c r="I163" s="59" t="s">
        <v>163</v>
      </c>
      <c r="J163" s="59">
        <v>13</v>
      </c>
    </row>
    <row r="164" spans="1:10" ht="20.100000000000001" customHeight="1" x14ac:dyDescent="0.15">
      <c r="A164" s="59">
        <v>153</v>
      </c>
      <c r="B164" s="58" t="s">
        <v>166</v>
      </c>
      <c r="C164" s="59" t="s">
        <v>167</v>
      </c>
      <c r="D164" s="59" t="s">
        <v>17</v>
      </c>
      <c r="E164" s="61">
        <v>45230</v>
      </c>
      <c r="F164" s="59" t="s">
        <v>11</v>
      </c>
      <c r="G164" s="59" t="s">
        <v>26</v>
      </c>
      <c r="H164" s="59" t="s">
        <v>13</v>
      </c>
      <c r="I164" s="59" t="s">
        <v>163</v>
      </c>
      <c r="J164" s="59">
        <v>14</v>
      </c>
    </row>
    <row r="165" spans="1:10" ht="20.100000000000001" customHeight="1" x14ac:dyDescent="0.15">
      <c r="A165" s="59">
        <v>154</v>
      </c>
      <c r="B165" s="58" t="s">
        <v>194</v>
      </c>
      <c r="C165" s="59" t="s">
        <v>195</v>
      </c>
      <c r="D165" s="59" t="s">
        <v>17</v>
      </c>
      <c r="E165" s="61">
        <v>41730</v>
      </c>
      <c r="F165" s="59" t="s">
        <v>11</v>
      </c>
      <c r="G165" s="59" t="s">
        <v>26</v>
      </c>
      <c r="H165" s="59" t="s">
        <v>13</v>
      </c>
      <c r="I165" s="59" t="s">
        <v>193</v>
      </c>
      <c r="J165" s="59">
        <v>15</v>
      </c>
    </row>
    <row r="166" spans="1:10" ht="20.100000000000001" customHeight="1" x14ac:dyDescent="0.15">
      <c r="A166" s="59">
        <v>155</v>
      </c>
      <c r="B166" s="58" t="s">
        <v>228</v>
      </c>
      <c r="C166" s="59" t="s">
        <v>229</v>
      </c>
      <c r="D166" s="59" t="s">
        <v>17</v>
      </c>
      <c r="E166" s="61">
        <v>41836</v>
      </c>
      <c r="F166" s="59" t="s">
        <v>11</v>
      </c>
      <c r="G166" s="59" t="s">
        <v>26</v>
      </c>
      <c r="H166" s="59" t="s">
        <v>13</v>
      </c>
      <c r="I166" s="59" t="s">
        <v>230</v>
      </c>
      <c r="J166" s="59">
        <v>16</v>
      </c>
    </row>
    <row r="167" spans="1:10" ht="20.100000000000001" customHeight="1" x14ac:dyDescent="0.15">
      <c r="A167" s="59">
        <v>156</v>
      </c>
      <c r="B167" s="58" t="s">
        <v>231</v>
      </c>
      <c r="C167" s="59" t="s">
        <v>232</v>
      </c>
      <c r="D167" s="59" t="s">
        <v>17</v>
      </c>
      <c r="E167" s="61">
        <v>42606</v>
      </c>
      <c r="F167" s="59" t="s">
        <v>11</v>
      </c>
      <c r="G167" s="59" t="s">
        <v>26</v>
      </c>
      <c r="H167" s="59" t="s">
        <v>13</v>
      </c>
      <c r="I167" s="59" t="s">
        <v>233</v>
      </c>
      <c r="J167" s="59">
        <v>17</v>
      </c>
    </row>
    <row r="168" spans="1:10" ht="20.100000000000001" customHeight="1" x14ac:dyDescent="0.15">
      <c r="A168" s="59">
        <v>157</v>
      </c>
      <c r="B168" s="58" t="s">
        <v>291</v>
      </c>
      <c r="C168" s="59" t="s">
        <v>292</v>
      </c>
      <c r="D168" s="59" t="s">
        <v>17</v>
      </c>
      <c r="E168" s="61">
        <v>41701</v>
      </c>
      <c r="F168" s="59" t="s">
        <v>11</v>
      </c>
      <c r="G168" s="59" t="s">
        <v>26</v>
      </c>
      <c r="H168" s="59" t="s">
        <v>13</v>
      </c>
      <c r="I168" s="59" t="s">
        <v>293</v>
      </c>
      <c r="J168" s="59">
        <v>18</v>
      </c>
    </row>
    <row r="169" spans="1:10" ht="20.100000000000001" customHeight="1" x14ac:dyDescent="0.15">
      <c r="A169" s="59">
        <v>158</v>
      </c>
      <c r="B169" s="58" t="s">
        <v>342</v>
      </c>
      <c r="C169" s="59" t="s">
        <v>343</v>
      </c>
      <c r="D169" s="59" t="s">
        <v>17</v>
      </c>
      <c r="E169" s="61">
        <v>45706</v>
      </c>
      <c r="F169" s="59" t="s">
        <v>11</v>
      </c>
      <c r="G169" s="59" t="s">
        <v>26</v>
      </c>
      <c r="H169" s="59" t="s">
        <v>13</v>
      </c>
      <c r="I169" s="59" t="s">
        <v>344</v>
      </c>
      <c r="J169" s="59">
        <v>19</v>
      </c>
    </row>
    <row r="170" spans="1:10" ht="20.100000000000001" customHeight="1" x14ac:dyDescent="0.15">
      <c r="A170" s="59">
        <v>159</v>
      </c>
      <c r="B170" s="58" t="s">
        <v>408</v>
      </c>
      <c r="C170" s="59" t="s">
        <v>409</v>
      </c>
      <c r="D170" s="59" t="s">
        <v>17</v>
      </c>
      <c r="E170" s="61">
        <v>42496</v>
      </c>
      <c r="F170" s="59" t="s">
        <v>11</v>
      </c>
      <c r="G170" s="59" t="s">
        <v>26</v>
      </c>
      <c r="H170" s="59" t="s">
        <v>79</v>
      </c>
      <c r="I170" s="59" t="s">
        <v>410</v>
      </c>
      <c r="J170" s="59">
        <v>20</v>
      </c>
    </row>
    <row r="171" spans="1:10" ht="20.100000000000001" customHeight="1" x14ac:dyDescent="0.15">
      <c r="A171" s="59">
        <v>160</v>
      </c>
      <c r="B171" s="58" t="s">
        <v>455</v>
      </c>
      <c r="C171" s="59" t="s">
        <v>456</v>
      </c>
      <c r="D171" s="59" t="s">
        <v>17</v>
      </c>
      <c r="E171" s="61">
        <v>41122</v>
      </c>
      <c r="F171" s="59" t="s">
        <v>11</v>
      </c>
      <c r="G171" s="59" t="s">
        <v>26</v>
      </c>
      <c r="H171" s="59" t="s">
        <v>79</v>
      </c>
      <c r="I171" s="59" t="s">
        <v>457</v>
      </c>
      <c r="J171" s="59">
        <v>21</v>
      </c>
    </row>
    <row r="172" spans="1:10" ht="20.100000000000001" customHeight="1" x14ac:dyDescent="0.15">
      <c r="A172" s="59">
        <v>161</v>
      </c>
      <c r="B172" s="58" t="s">
        <v>468</v>
      </c>
      <c r="C172" s="59" t="s">
        <v>469</v>
      </c>
      <c r="D172" s="59" t="s">
        <v>17</v>
      </c>
      <c r="E172" s="61">
        <v>44690</v>
      </c>
      <c r="F172" s="59" t="s">
        <v>11</v>
      </c>
      <c r="G172" s="59" t="s">
        <v>26</v>
      </c>
      <c r="H172" s="59" t="s">
        <v>13</v>
      </c>
      <c r="I172" s="59" t="s">
        <v>470</v>
      </c>
      <c r="J172" s="59">
        <v>22</v>
      </c>
    </row>
    <row r="173" spans="1:10" ht="20.100000000000001" customHeight="1" x14ac:dyDescent="0.15">
      <c r="A173" s="59">
        <v>162</v>
      </c>
      <c r="B173" s="58" t="s">
        <v>483</v>
      </c>
      <c r="C173" s="59" t="s">
        <v>484</v>
      </c>
      <c r="D173" s="59" t="s">
        <v>17</v>
      </c>
      <c r="E173" s="61">
        <v>44879</v>
      </c>
      <c r="F173" s="59" t="s">
        <v>11</v>
      </c>
      <c r="G173" s="59" t="s">
        <v>26</v>
      </c>
      <c r="H173" s="59" t="s">
        <v>13</v>
      </c>
      <c r="I173" s="59" t="s">
        <v>485</v>
      </c>
      <c r="J173" s="59">
        <v>23</v>
      </c>
    </row>
    <row r="174" spans="1:10" ht="20.100000000000001" customHeight="1" x14ac:dyDescent="0.15">
      <c r="A174" s="59">
        <v>163</v>
      </c>
      <c r="B174" s="58" t="s">
        <v>558</v>
      </c>
      <c r="C174" s="59" t="s">
        <v>559</v>
      </c>
      <c r="D174" s="59" t="s">
        <v>17</v>
      </c>
      <c r="E174" s="61">
        <v>45370</v>
      </c>
      <c r="F174" s="59" t="s">
        <v>11</v>
      </c>
      <c r="G174" s="59" t="s">
        <v>26</v>
      </c>
      <c r="H174" s="59" t="s">
        <v>13</v>
      </c>
      <c r="I174" s="59" t="s">
        <v>560</v>
      </c>
      <c r="J174" s="59">
        <v>24</v>
      </c>
    </row>
    <row r="175" spans="1:10" ht="20.100000000000001" customHeight="1" x14ac:dyDescent="0.15">
      <c r="A175" s="59">
        <v>164</v>
      </c>
      <c r="B175" s="58" t="s">
        <v>561</v>
      </c>
      <c r="C175" s="59" t="s">
        <v>562</v>
      </c>
      <c r="D175" s="59" t="s">
        <v>17</v>
      </c>
      <c r="E175" s="61">
        <v>45594</v>
      </c>
      <c r="F175" s="59" t="s">
        <v>11</v>
      </c>
      <c r="G175" s="59" t="s">
        <v>26</v>
      </c>
      <c r="H175" s="59" t="s">
        <v>13</v>
      </c>
      <c r="I175" s="59" t="s">
        <v>560</v>
      </c>
      <c r="J175" s="59">
        <v>25</v>
      </c>
    </row>
    <row r="176" spans="1:10" ht="20.100000000000001" customHeight="1" x14ac:dyDescent="0.15">
      <c r="A176" s="59">
        <v>165</v>
      </c>
      <c r="B176" s="58" t="s">
        <v>607</v>
      </c>
      <c r="C176" s="59" t="s">
        <v>608</v>
      </c>
      <c r="D176" s="59" t="s">
        <v>17</v>
      </c>
      <c r="E176" s="61">
        <v>42016</v>
      </c>
      <c r="F176" s="59" t="s">
        <v>11</v>
      </c>
      <c r="G176" s="59" t="s">
        <v>26</v>
      </c>
      <c r="H176" s="59" t="s">
        <v>13</v>
      </c>
      <c r="I176" s="59" t="s">
        <v>609</v>
      </c>
      <c r="J176" s="59">
        <v>26</v>
      </c>
    </row>
    <row r="177" spans="1:10" ht="20.100000000000001" customHeight="1" x14ac:dyDescent="0.15">
      <c r="A177" s="59">
        <v>166</v>
      </c>
      <c r="B177" s="58" t="s">
        <v>610</v>
      </c>
      <c r="C177" s="59" t="s">
        <v>611</v>
      </c>
      <c r="D177" s="59" t="s">
        <v>17</v>
      </c>
      <c r="E177" s="61">
        <v>42016</v>
      </c>
      <c r="F177" s="59" t="s">
        <v>11</v>
      </c>
      <c r="G177" s="59" t="s">
        <v>26</v>
      </c>
      <c r="H177" s="59" t="s">
        <v>13</v>
      </c>
      <c r="I177" s="59" t="s">
        <v>609</v>
      </c>
      <c r="J177" s="59">
        <v>27</v>
      </c>
    </row>
    <row r="178" spans="1:10" ht="20.100000000000001" customHeight="1" x14ac:dyDescent="0.15">
      <c r="A178" s="59">
        <v>167</v>
      </c>
      <c r="B178" s="58" t="s">
        <v>612</v>
      </c>
      <c r="C178" s="59" t="s">
        <v>613</v>
      </c>
      <c r="D178" s="59" t="s">
        <v>17</v>
      </c>
      <c r="E178" s="61">
        <v>41857</v>
      </c>
      <c r="F178" s="59" t="s">
        <v>11</v>
      </c>
      <c r="G178" s="59" t="s">
        <v>26</v>
      </c>
      <c r="H178" s="59" t="s">
        <v>13</v>
      </c>
      <c r="I178" s="59" t="s">
        <v>609</v>
      </c>
      <c r="J178" s="59">
        <v>28</v>
      </c>
    </row>
    <row r="179" spans="1:10" ht="20.100000000000001" customHeight="1" x14ac:dyDescent="0.15">
      <c r="A179" s="59">
        <v>168</v>
      </c>
      <c r="B179" s="58" t="s">
        <v>449</v>
      </c>
      <c r="C179" s="59" t="s">
        <v>450</v>
      </c>
      <c r="D179" s="59" t="s">
        <v>17</v>
      </c>
      <c r="E179" s="61">
        <v>44432</v>
      </c>
      <c r="F179" s="59" t="s">
        <v>11</v>
      </c>
      <c r="G179" s="59" t="s">
        <v>682</v>
      </c>
      <c r="H179" s="59" t="s">
        <v>13</v>
      </c>
      <c r="I179" s="59" t="s">
        <v>451</v>
      </c>
      <c r="J179" s="59">
        <v>29</v>
      </c>
    </row>
    <row r="180" spans="1:10" ht="20.100000000000001" customHeight="1" x14ac:dyDescent="0.15">
      <c r="A180" s="59">
        <v>169</v>
      </c>
      <c r="B180" s="56" t="s">
        <v>709</v>
      </c>
      <c r="C180" s="57" t="s">
        <v>710</v>
      </c>
      <c r="D180" s="59" t="s">
        <v>17</v>
      </c>
      <c r="E180" s="61">
        <v>45883</v>
      </c>
      <c r="F180" s="59" t="s">
        <v>11</v>
      </c>
      <c r="G180" s="59" t="s">
        <v>682</v>
      </c>
      <c r="H180" s="59" t="s">
        <v>13</v>
      </c>
      <c r="I180" s="59" t="s">
        <v>711</v>
      </c>
      <c r="J180" s="59">
        <v>30</v>
      </c>
    </row>
    <row r="181" spans="1:10" ht="20.100000000000001" customHeight="1" x14ac:dyDescent="0.15">
      <c r="A181" s="59">
        <v>170</v>
      </c>
      <c r="B181" s="58" t="s">
        <v>734</v>
      </c>
      <c r="C181" s="59" t="s">
        <v>735</v>
      </c>
      <c r="D181" s="59" t="s">
        <v>17</v>
      </c>
      <c r="E181" s="61">
        <v>45869</v>
      </c>
      <c r="F181" s="59" t="s">
        <v>11</v>
      </c>
      <c r="G181" s="59" t="s">
        <v>682</v>
      </c>
      <c r="H181" s="59" t="s">
        <v>79</v>
      </c>
      <c r="I181" s="59" t="s">
        <v>736</v>
      </c>
      <c r="J181" s="59">
        <v>31</v>
      </c>
    </row>
    <row r="182" spans="1:10" ht="20.100000000000001" customHeight="1" x14ac:dyDescent="0.15">
      <c r="A182" s="59">
        <v>171</v>
      </c>
      <c r="B182" s="56" t="s">
        <v>752</v>
      </c>
      <c r="C182" s="57" t="s">
        <v>753</v>
      </c>
      <c r="D182" s="59" t="s">
        <v>17</v>
      </c>
      <c r="E182" s="61">
        <v>45930</v>
      </c>
      <c r="F182" s="59" t="s">
        <v>11</v>
      </c>
      <c r="G182" s="59" t="s">
        <v>682</v>
      </c>
      <c r="H182" s="59" t="s">
        <v>13</v>
      </c>
      <c r="I182" s="59" t="s">
        <v>758</v>
      </c>
      <c r="J182" s="59">
        <v>32</v>
      </c>
    </row>
    <row r="183" spans="1:10" ht="20.100000000000001" customHeight="1" x14ac:dyDescent="0.15">
      <c r="A183" s="59">
        <v>172</v>
      </c>
      <c r="B183" s="56" t="s">
        <v>754</v>
      </c>
      <c r="C183" s="57" t="s">
        <v>755</v>
      </c>
      <c r="D183" s="59" t="s">
        <v>17</v>
      </c>
      <c r="E183" s="61">
        <v>45930</v>
      </c>
      <c r="F183" s="59" t="s">
        <v>11</v>
      </c>
      <c r="G183" s="59" t="s">
        <v>682</v>
      </c>
      <c r="H183" s="59" t="s">
        <v>13</v>
      </c>
      <c r="I183" s="59" t="s">
        <v>82</v>
      </c>
      <c r="J183" s="59">
        <v>33</v>
      </c>
    </row>
    <row r="184" spans="1:10" ht="20.100000000000001" customHeight="1" x14ac:dyDescent="0.15">
      <c r="A184" s="59">
        <v>173</v>
      </c>
      <c r="B184" s="56" t="s">
        <v>756</v>
      </c>
      <c r="C184" s="57" t="s">
        <v>757</v>
      </c>
      <c r="D184" s="59" t="s">
        <v>17</v>
      </c>
      <c r="E184" s="61">
        <v>45937</v>
      </c>
      <c r="F184" s="59" t="s">
        <v>11</v>
      </c>
      <c r="G184" s="59" t="s">
        <v>682</v>
      </c>
      <c r="H184" s="59" t="s">
        <v>13</v>
      </c>
      <c r="I184" s="59" t="s">
        <v>82</v>
      </c>
      <c r="J184" s="59">
        <v>34</v>
      </c>
    </row>
    <row r="185" spans="1:10" ht="20.100000000000001" customHeight="1" x14ac:dyDescent="0.15">
      <c r="A185" s="59">
        <v>174</v>
      </c>
      <c r="B185" s="56" t="s">
        <v>762</v>
      </c>
      <c r="C185" s="57" t="s">
        <v>763</v>
      </c>
      <c r="D185" s="59" t="s">
        <v>17</v>
      </c>
      <c r="E185" s="61">
        <v>45971</v>
      </c>
      <c r="F185" s="59" t="s">
        <v>11</v>
      </c>
      <c r="G185" s="59" t="s">
        <v>682</v>
      </c>
      <c r="H185" s="59" t="s">
        <v>13</v>
      </c>
      <c r="I185" s="59" t="s">
        <v>560</v>
      </c>
      <c r="J185" s="59">
        <v>35</v>
      </c>
    </row>
    <row r="186" spans="1:10" ht="20.100000000000001" customHeight="1" x14ac:dyDescent="0.15">
      <c r="A186" s="59">
        <v>175</v>
      </c>
      <c r="B186" s="56" t="s">
        <v>764</v>
      </c>
      <c r="C186" s="57" t="s">
        <v>765</v>
      </c>
      <c r="D186" s="59" t="s">
        <v>17</v>
      </c>
      <c r="E186" s="61">
        <v>45971</v>
      </c>
      <c r="F186" s="59" t="s">
        <v>11</v>
      </c>
      <c r="G186" s="59" t="s">
        <v>682</v>
      </c>
      <c r="H186" s="59" t="s">
        <v>13</v>
      </c>
      <c r="I186" s="59" t="s">
        <v>560</v>
      </c>
      <c r="J186" s="59">
        <v>36</v>
      </c>
    </row>
    <row r="187" spans="1:10" ht="20.100000000000001" customHeight="1" x14ac:dyDescent="0.15">
      <c r="A187" s="59"/>
      <c r="B187" s="58"/>
      <c r="C187" s="59"/>
      <c r="D187" s="59"/>
      <c r="E187" s="61"/>
      <c r="F187" s="59"/>
      <c r="G187" s="59"/>
      <c r="H187" s="59"/>
      <c r="I187" s="59"/>
      <c r="J187" s="59"/>
    </row>
    <row r="188" spans="1:10" ht="20.100000000000001" customHeight="1" x14ac:dyDescent="0.15">
      <c r="A188" s="59">
        <v>176</v>
      </c>
      <c r="B188" s="58" t="s">
        <v>139</v>
      </c>
      <c r="C188" s="59" t="s">
        <v>140</v>
      </c>
      <c r="D188" s="59" t="s">
        <v>17</v>
      </c>
      <c r="E188" s="61">
        <v>42011</v>
      </c>
      <c r="F188" s="59" t="s">
        <v>11</v>
      </c>
      <c r="G188" s="59" t="s">
        <v>141</v>
      </c>
      <c r="H188" s="59" t="s">
        <v>13</v>
      </c>
      <c r="I188" s="59" t="s">
        <v>142</v>
      </c>
      <c r="J188" s="59">
        <v>1</v>
      </c>
    </row>
    <row r="189" spans="1:10" ht="20.100000000000001" customHeight="1" x14ac:dyDescent="0.15">
      <c r="A189" s="59">
        <v>177</v>
      </c>
      <c r="B189" s="58" t="s">
        <v>143</v>
      </c>
      <c r="C189" s="59" t="s">
        <v>144</v>
      </c>
      <c r="D189" s="59" t="s">
        <v>17</v>
      </c>
      <c r="E189" s="61">
        <v>41698</v>
      </c>
      <c r="F189" s="59" t="s">
        <v>11</v>
      </c>
      <c r="G189" s="59" t="s">
        <v>141</v>
      </c>
      <c r="H189" s="59" t="s">
        <v>13</v>
      </c>
      <c r="I189" s="59" t="s">
        <v>142</v>
      </c>
      <c r="J189" s="59">
        <v>2</v>
      </c>
    </row>
    <row r="190" spans="1:10" ht="20.100000000000001" customHeight="1" x14ac:dyDescent="0.15">
      <c r="A190" s="59">
        <v>178</v>
      </c>
      <c r="B190" s="58" t="s">
        <v>145</v>
      </c>
      <c r="C190" s="59" t="s">
        <v>146</v>
      </c>
      <c r="D190" s="59" t="s">
        <v>17</v>
      </c>
      <c r="E190" s="61">
        <v>41774</v>
      </c>
      <c r="F190" s="59" t="s">
        <v>11</v>
      </c>
      <c r="G190" s="59" t="s">
        <v>141</v>
      </c>
      <c r="H190" s="59" t="s">
        <v>13</v>
      </c>
      <c r="I190" s="59" t="s">
        <v>142</v>
      </c>
      <c r="J190" s="59">
        <v>3</v>
      </c>
    </row>
    <row r="191" spans="1:10" ht="20.100000000000001" customHeight="1" x14ac:dyDescent="0.15">
      <c r="A191" s="59">
        <v>179</v>
      </c>
      <c r="B191" s="58" t="s">
        <v>147</v>
      </c>
      <c r="C191" s="59" t="s">
        <v>148</v>
      </c>
      <c r="D191" s="59" t="s">
        <v>17</v>
      </c>
      <c r="E191" s="61">
        <v>41701</v>
      </c>
      <c r="F191" s="59" t="s">
        <v>11</v>
      </c>
      <c r="G191" s="59" t="s">
        <v>141</v>
      </c>
      <c r="H191" s="59" t="s">
        <v>13</v>
      </c>
      <c r="I191" s="59" t="s">
        <v>142</v>
      </c>
      <c r="J191" s="59">
        <v>4</v>
      </c>
    </row>
    <row r="192" spans="1:10" ht="20.100000000000001" customHeight="1" x14ac:dyDescent="0.15">
      <c r="A192" s="59">
        <v>180</v>
      </c>
      <c r="B192" s="58" t="s">
        <v>149</v>
      </c>
      <c r="C192" s="59" t="s">
        <v>150</v>
      </c>
      <c r="D192" s="59" t="s">
        <v>17</v>
      </c>
      <c r="E192" s="61">
        <v>44152</v>
      </c>
      <c r="F192" s="59" t="s">
        <v>11</v>
      </c>
      <c r="G192" s="59" t="s">
        <v>141</v>
      </c>
      <c r="H192" s="59" t="s">
        <v>13</v>
      </c>
      <c r="I192" s="59" t="s">
        <v>142</v>
      </c>
      <c r="J192" s="59">
        <v>5</v>
      </c>
    </row>
    <row r="193" spans="1:10" ht="20.100000000000001" customHeight="1" x14ac:dyDescent="0.15">
      <c r="A193" s="59">
        <v>181</v>
      </c>
      <c r="B193" s="58" t="s">
        <v>151</v>
      </c>
      <c r="C193" s="59" t="s">
        <v>152</v>
      </c>
      <c r="D193" s="59" t="s">
        <v>17</v>
      </c>
      <c r="E193" s="61">
        <v>45314</v>
      </c>
      <c r="F193" s="59" t="s">
        <v>11</v>
      </c>
      <c r="G193" s="59" t="s">
        <v>141</v>
      </c>
      <c r="H193" s="59" t="s">
        <v>13</v>
      </c>
      <c r="I193" s="59" t="s">
        <v>142</v>
      </c>
      <c r="J193" s="59">
        <v>6</v>
      </c>
    </row>
    <row r="194" spans="1:10" ht="20.100000000000001" customHeight="1" x14ac:dyDescent="0.15">
      <c r="A194" s="59">
        <v>182</v>
      </c>
      <c r="B194" s="58" t="s">
        <v>205</v>
      </c>
      <c r="C194" s="59" t="s">
        <v>206</v>
      </c>
      <c r="D194" s="59" t="s">
        <v>10</v>
      </c>
      <c r="E194" s="61">
        <v>42215</v>
      </c>
      <c r="F194" s="59" t="s">
        <v>11</v>
      </c>
      <c r="G194" s="59" t="s">
        <v>141</v>
      </c>
      <c r="H194" s="59" t="s">
        <v>13</v>
      </c>
      <c r="I194" s="59" t="s">
        <v>207</v>
      </c>
      <c r="J194" s="59">
        <v>7</v>
      </c>
    </row>
    <row r="195" spans="1:10" ht="20.100000000000001" customHeight="1" x14ac:dyDescent="0.15">
      <c r="A195" s="59">
        <v>183</v>
      </c>
      <c r="B195" s="58" t="s">
        <v>211</v>
      </c>
      <c r="C195" s="59" t="s">
        <v>212</v>
      </c>
      <c r="D195" s="59" t="s">
        <v>17</v>
      </c>
      <c r="E195" s="61">
        <v>41712</v>
      </c>
      <c r="F195" s="59" t="s">
        <v>11</v>
      </c>
      <c r="G195" s="59" t="s">
        <v>141</v>
      </c>
      <c r="H195" s="59" t="s">
        <v>79</v>
      </c>
      <c r="I195" s="59" t="s">
        <v>213</v>
      </c>
      <c r="J195" s="59">
        <v>8</v>
      </c>
    </row>
    <row r="196" spans="1:10" ht="20.100000000000001" customHeight="1" x14ac:dyDescent="0.15">
      <c r="A196" s="59">
        <v>184</v>
      </c>
      <c r="B196" s="58" t="s">
        <v>225</v>
      </c>
      <c r="C196" s="59" t="s">
        <v>226</v>
      </c>
      <c r="D196" s="59" t="s">
        <v>17</v>
      </c>
      <c r="E196" s="61">
        <v>42207</v>
      </c>
      <c r="F196" s="59" t="s">
        <v>11</v>
      </c>
      <c r="G196" s="59" t="s">
        <v>141</v>
      </c>
      <c r="H196" s="59" t="s">
        <v>13</v>
      </c>
      <c r="I196" s="59" t="s">
        <v>227</v>
      </c>
      <c r="J196" s="59">
        <v>9</v>
      </c>
    </row>
    <row r="197" spans="1:10" ht="20.100000000000001" customHeight="1" x14ac:dyDescent="0.15">
      <c r="A197" s="59">
        <v>185</v>
      </c>
      <c r="B197" s="58" t="s">
        <v>263</v>
      </c>
      <c r="C197" s="59" t="s">
        <v>264</v>
      </c>
      <c r="D197" s="59" t="s">
        <v>17</v>
      </c>
      <c r="E197" s="61">
        <v>43091</v>
      </c>
      <c r="F197" s="59" t="s">
        <v>11</v>
      </c>
      <c r="G197" s="59" t="s">
        <v>141</v>
      </c>
      <c r="H197" s="59" t="s">
        <v>79</v>
      </c>
      <c r="I197" s="59" t="s">
        <v>265</v>
      </c>
      <c r="J197" s="59">
        <v>10</v>
      </c>
    </row>
    <row r="198" spans="1:10" ht="20.100000000000001" customHeight="1" x14ac:dyDescent="0.15">
      <c r="A198" s="59">
        <v>186</v>
      </c>
      <c r="B198" s="58" t="s">
        <v>277</v>
      </c>
      <c r="C198" s="59" t="s">
        <v>278</v>
      </c>
      <c r="D198" s="59" t="s">
        <v>17</v>
      </c>
      <c r="E198" s="61">
        <v>45272</v>
      </c>
      <c r="F198" s="59" t="s">
        <v>11</v>
      </c>
      <c r="G198" s="59" t="s">
        <v>141</v>
      </c>
      <c r="H198" s="59" t="s">
        <v>79</v>
      </c>
      <c r="I198" s="59" t="s">
        <v>279</v>
      </c>
      <c r="J198" s="59">
        <v>11</v>
      </c>
    </row>
    <row r="199" spans="1:10" ht="20.100000000000001" customHeight="1" x14ac:dyDescent="0.15">
      <c r="A199" s="59">
        <v>187</v>
      </c>
      <c r="B199" s="58" t="s">
        <v>417</v>
      </c>
      <c r="C199" s="59" t="s">
        <v>418</v>
      </c>
      <c r="D199" s="59" t="s">
        <v>17</v>
      </c>
      <c r="E199" s="61">
        <v>41774</v>
      </c>
      <c r="F199" s="59" t="s">
        <v>11</v>
      </c>
      <c r="G199" s="59" t="s">
        <v>141</v>
      </c>
      <c r="H199" s="59" t="s">
        <v>13</v>
      </c>
      <c r="I199" s="59" t="s">
        <v>419</v>
      </c>
      <c r="J199" s="59">
        <v>12</v>
      </c>
    </row>
    <row r="200" spans="1:10" ht="20.100000000000001" customHeight="1" x14ac:dyDescent="0.15">
      <c r="A200" s="59">
        <v>188</v>
      </c>
      <c r="B200" s="58" t="s">
        <v>420</v>
      </c>
      <c r="C200" s="59" t="s">
        <v>421</v>
      </c>
      <c r="D200" s="59" t="s">
        <v>17</v>
      </c>
      <c r="E200" s="61">
        <v>41701</v>
      </c>
      <c r="F200" s="59" t="s">
        <v>11</v>
      </c>
      <c r="G200" s="59" t="s">
        <v>141</v>
      </c>
      <c r="H200" s="59" t="s">
        <v>13</v>
      </c>
      <c r="I200" s="59" t="s">
        <v>419</v>
      </c>
      <c r="J200" s="59">
        <v>13</v>
      </c>
    </row>
    <row r="201" spans="1:10" ht="20.100000000000001" customHeight="1" x14ac:dyDescent="0.15">
      <c r="A201" s="59">
        <v>189</v>
      </c>
      <c r="B201" s="58" t="s">
        <v>458</v>
      </c>
      <c r="C201" s="59" t="s">
        <v>459</v>
      </c>
      <c r="D201" s="59" t="s">
        <v>17</v>
      </c>
      <c r="E201" s="61">
        <v>44145</v>
      </c>
      <c r="F201" s="59" t="s">
        <v>11</v>
      </c>
      <c r="G201" s="59" t="s">
        <v>141</v>
      </c>
      <c r="H201" s="59" t="s">
        <v>13</v>
      </c>
      <c r="I201" s="59" t="s">
        <v>681</v>
      </c>
      <c r="J201" s="59">
        <v>14</v>
      </c>
    </row>
    <row r="202" spans="1:10" ht="20.100000000000001" customHeight="1" x14ac:dyDescent="0.15">
      <c r="A202" s="59">
        <v>190</v>
      </c>
      <c r="B202" s="58" t="s">
        <v>521</v>
      </c>
      <c r="C202" s="59" t="s">
        <v>522</v>
      </c>
      <c r="D202" s="59" t="s">
        <v>17</v>
      </c>
      <c r="E202" s="61">
        <v>41744</v>
      </c>
      <c r="F202" s="59" t="s">
        <v>11</v>
      </c>
      <c r="G202" s="59" t="s">
        <v>141</v>
      </c>
      <c r="H202" s="59" t="s">
        <v>13</v>
      </c>
      <c r="I202" s="59" t="s">
        <v>523</v>
      </c>
      <c r="J202" s="59">
        <v>15</v>
      </c>
    </row>
    <row r="203" spans="1:10" ht="20.100000000000001" customHeight="1" x14ac:dyDescent="0.15">
      <c r="A203" s="59">
        <v>191</v>
      </c>
      <c r="B203" s="58" t="s">
        <v>524</v>
      </c>
      <c r="C203" s="59" t="s">
        <v>525</v>
      </c>
      <c r="D203" s="59" t="s">
        <v>17</v>
      </c>
      <c r="E203" s="61">
        <v>41744</v>
      </c>
      <c r="F203" s="59" t="s">
        <v>11</v>
      </c>
      <c r="G203" s="59" t="s">
        <v>141</v>
      </c>
      <c r="H203" s="59" t="s">
        <v>13</v>
      </c>
      <c r="I203" s="59" t="s">
        <v>523</v>
      </c>
      <c r="J203" s="59">
        <v>16</v>
      </c>
    </row>
    <row r="204" spans="1:10" ht="20.100000000000001" customHeight="1" x14ac:dyDescent="0.15">
      <c r="A204" s="59">
        <v>192</v>
      </c>
      <c r="B204" s="58" t="s">
        <v>526</v>
      </c>
      <c r="C204" s="59" t="s">
        <v>527</v>
      </c>
      <c r="D204" s="59" t="s">
        <v>17</v>
      </c>
      <c r="E204" s="61">
        <v>42566</v>
      </c>
      <c r="F204" s="59" t="s">
        <v>11</v>
      </c>
      <c r="G204" s="59" t="s">
        <v>141</v>
      </c>
      <c r="H204" s="59" t="s">
        <v>13</v>
      </c>
      <c r="I204" s="59" t="s">
        <v>528</v>
      </c>
      <c r="J204" s="59">
        <v>17</v>
      </c>
    </row>
    <row r="205" spans="1:10" ht="20.100000000000001" customHeight="1" x14ac:dyDescent="0.15">
      <c r="A205" s="59">
        <v>193</v>
      </c>
      <c r="B205" s="58" t="s">
        <v>539</v>
      </c>
      <c r="C205" s="59" t="s">
        <v>540</v>
      </c>
      <c r="D205" s="59" t="s">
        <v>17</v>
      </c>
      <c r="E205" s="61">
        <v>45055</v>
      </c>
      <c r="F205" s="59" t="s">
        <v>11</v>
      </c>
      <c r="G205" s="59" t="s">
        <v>141</v>
      </c>
      <c r="H205" s="59" t="s">
        <v>79</v>
      </c>
      <c r="I205" s="59" t="s">
        <v>541</v>
      </c>
      <c r="J205" s="59">
        <v>18</v>
      </c>
    </row>
    <row r="206" spans="1:10" ht="20.100000000000001" customHeight="1" x14ac:dyDescent="0.15">
      <c r="A206" s="59">
        <v>194</v>
      </c>
      <c r="B206" s="58" t="s">
        <v>548</v>
      </c>
      <c r="C206" s="59" t="s">
        <v>549</v>
      </c>
      <c r="D206" s="59" t="s">
        <v>17</v>
      </c>
      <c r="E206" s="61">
        <v>45083</v>
      </c>
      <c r="F206" s="59" t="s">
        <v>11</v>
      </c>
      <c r="G206" s="59" t="s">
        <v>141</v>
      </c>
      <c r="H206" s="59" t="s">
        <v>13</v>
      </c>
      <c r="I206" s="59" t="s">
        <v>550</v>
      </c>
      <c r="J206" s="59">
        <v>19</v>
      </c>
    </row>
    <row r="207" spans="1:10" ht="20.100000000000001" customHeight="1" x14ac:dyDescent="0.15">
      <c r="A207" s="59">
        <v>195</v>
      </c>
      <c r="B207" s="58" t="s">
        <v>594</v>
      </c>
      <c r="C207" s="59" t="s">
        <v>595</v>
      </c>
      <c r="D207" s="59" t="s">
        <v>17</v>
      </c>
      <c r="E207" s="61">
        <v>45618</v>
      </c>
      <c r="F207" s="59" t="s">
        <v>11</v>
      </c>
      <c r="G207" s="59" t="s">
        <v>141</v>
      </c>
      <c r="H207" s="59" t="s">
        <v>79</v>
      </c>
      <c r="I207" s="59" t="s">
        <v>596</v>
      </c>
      <c r="J207" s="59">
        <v>20</v>
      </c>
    </row>
    <row r="208" spans="1:10" ht="20.100000000000001" customHeight="1" x14ac:dyDescent="0.15">
      <c r="A208" s="59">
        <v>196</v>
      </c>
      <c r="B208" s="58" t="s">
        <v>626</v>
      </c>
      <c r="C208" s="59" t="s">
        <v>627</v>
      </c>
      <c r="D208" s="59" t="s">
        <v>17</v>
      </c>
      <c r="E208" s="61">
        <v>45642</v>
      </c>
      <c r="F208" s="59" t="s">
        <v>11</v>
      </c>
      <c r="G208" s="59" t="s">
        <v>141</v>
      </c>
      <c r="H208" s="59" t="s">
        <v>79</v>
      </c>
      <c r="I208" s="59" t="s">
        <v>628</v>
      </c>
      <c r="J208" s="59">
        <v>21</v>
      </c>
    </row>
    <row r="209" spans="1:10" ht="20.100000000000001" customHeight="1" x14ac:dyDescent="0.15">
      <c r="A209" s="59">
        <v>197</v>
      </c>
      <c r="B209" s="67" t="s">
        <v>668</v>
      </c>
      <c r="C209" s="68" t="s">
        <v>669</v>
      </c>
      <c r="D209" s="59" t="s">
        <v>17</v>
      </c>
      <c r="E209" s="61">
        <v>45762</v>
      </c>
      <c r="F209" s="59" t="s">
        <v>11</v>
      </c>
      <c r="G209" s="59" t="s">
        <v>141</v>
      </c>
      <c r="H209" s="59" t="s">
        <v>13</v>
      </c>
      <c r="I209" s="59" t="s">
        <v>554</v>
      </c>
      <c r="J209" s="59">
        <v>22</v>
      </c>
    </row>
    <row r="210" spans="1:10" ht="20.100000000000001" customHeight="1" x14ac:dyDescent="0.15">
      <c r="A210" s="59">
        <v>198</v>
      </c>
      <c r="B210" s="58" t="s">
        <v>712</v>
      </c>
      <c r="C210" s="59" t="s">
        <v>713</v>
      </c>
      <c r="D210" s="59" t="s">
        <v>17</v>
      </c>
      <c r="E210" s="61">
        <v>45847</v>
      </c>
      <c r="F210" s="59" t="s">
        <v>11</v>
      </c>
      <c r="G210" s="59" t="s">
        <v>141</v>
      </c>
      <c r="H210" s="59" t="s">
        <v>79</v>
      </c>
      <c r="I210" s="59" t="s">
        <v>714</v>
      </c>
      <c r="J210" s="59">
        <v>23</v>
      </c>
    </row>
    <row r="211" spans="1:10" ht="20.100000000000001" customHeight="1" x14ac:dyDescent="0.15">
      <c r="A211" s="59">
        <v>199</v>
      </c>
      <c r="B211" s="80" t="s">
        <v>786</v>
      </c>
      <c r="C211" s="79" t="s">
        <v>787</v>
      </c>
      <c r="D211" s="59" t="s">
        <v>17</v>
      </c>
      <c r="E211" s="61">
        <v>45928</v>
      </c>
      <c r="F211" s="59" t="s">
        <v>11</v>
      </c>
      <c r="G211" s="59" t="s">
        <v>141</v>
      </c>
      <c r="H211" s="59" t="s">
        <v>79</v>
      </c>
      <c r="I211" s="59" t="s">
        <v>142</v>
      </c>
      <c r="J211" s="59">
        <v>24</v>
      </c>
    </row>
    <row r="212" spans="1:10" ht="20.100000000000001" customHeight="1" x14ac:dyDescent="0.15">
      <c r="A212" s="59"/>
      <c r="B212" s="80"/>
      <c r="C212" s="79"/>
      <c r="D212" s="59"/>
      <c r="E212" s="61"/>
      <c r="F212" s="59"/>
      <c r="G212" s="59"/>
      <c r="H212" s="59"/>
      <c r="I212" s="59"/>
      <c r="J212" s="59"/>
    </row>
    <row r="213" spans="1:10" ht="20.100000000000001" customHeight="1" x14ac:dyDescent="0.15">
      <c r="A213" s="59">
        <v>200</v>
      </c>
      <c r="B213" s="80" t="s">
        <v>790</v>
      </c>
      <c r="C213" s="79" t="s">
        <v>791</v>
      </c>
      <c r="D213" s="59" t="s">
        <v>17</v>
      </c>
      <c r="E213" s="61">
        <v>46006</v>
      </c>
      <c r="F213" s="59" t="s">
        <v>11</v>
      </c>
      <c r="G213" s="59" t="s">
        <v>788</v>
      </c>
      <c r="H213" s="59" t="s">
        <v>79</v>
      </c>
      <c r="I213" s="59" t="s">
        <v>789</v>
      </c>
      <c r="J213" s="59">
        <v>1</v>
      </c>
    </row>
    <row r="214" spans="1:10" ht="20.100000000000001" customHeight="1" x14ac:dyDescent="0.15">
      <c r="A214" s="59"/>
      <c r="B214" s="80"/>
      <c r="C214" s="79"/>
      <c r="D214" s="59"/>
      <c r="E214" s="61"/>
      <c r="F214" s="59"/>
      <c r="G214" s="59"/>
      <c r="H214" s="59"/>
      <c r="I214" s="59"/>
      <c r="J214" s="59"/>
    </row>
    <row r="215" spans="1:10" ht="20.100000000000001" customHeight="1" x14ac:dyDescent="0.15">
      <c r="A215" s="59">
        <v>201</v>
      </c>
      <c r="B215" s="58" t="s">
        <v>288</v>
      </c>
      <c r="C215" s="59" t="s">
        <v>289</v>
      </c>
      <c r="D215" s="59" t="s">
        <v>17</v>
      </c>
      <c r="E215" s="61">
        <v>40848</v>
      </c>
      <c r="F215" s="59" t="s">
        <v>11</v>
      </c>
      <c r="G215" s="59" t="s">
        <v>803</v>
      </c>
      <c r="H215" s="59" t="s">
        <v>13</v>
      </c>
      <c r="I215" s="59" t="s">
        <v>290</v>
      </c>
      <c r="J215" s="59">
        <v>1</v>
      </c>
    </row>
    <row r="216" spans="1:10" ht="20.100000000000001" customHeight="1" x14ac:dyDescent="0.15">
      <c r="A216" s="59"/>
      <c r="B216" s="58"/>
      <c r="C216" s="59"/>
      <c r="D216" s="59"/>
      <c r="E216" s="61"/>
      <c r="F216" s="59"/>
      <c r="G216" s="59"/>
      <c r="H216" s="59"/>
      <c r="I216" s="59"/>
      <c r="J216" s="59"/>
    </row>
    <row r="217" spans="1:10" ht="20.100000000000001" customHeight="1" x14ac:dyDescent="0.15">
      <c r="A217" s="59">
        <v>202</v>
      </c>
      <c r="B217" s="58" t="s">
        <v>45</v>
      </c>
      <c r="C217" s="59" t="s">
        <v>46</v>
      </c>
      <c r="D217" s="59" t="s">
        <v>17</v>
      </c>
      <c r="E217" s="61">
        <v>45259</v>
      </c>
      <c r="F217" s="59" t="s">
        <v>11</v>
      </c>
      <c r="G217" s="59" t="s">
        <v>47</v>
      </c>
      <c r="H217" s="59" t="s">
        <v>13</v>
      </c>
      <c r="I217" s="59" t="s">
        <v>48</v>
      </c>
      <c r="J217" s="59">
        <v>1</v>
      </c>
    </row>
    <row r="218" spans="1:10" ht="20.100000000000001" customHeight="1" x14ac:dyDescent="0.15">
      <c r="A218" s="59">
        <v>203</v>
      </c>
      <c r="B218" s="58" t="s">
        <v>49</v>
      </c>
      <c r="C218" s="59" t="s">
        <v>50</v>
      </c>
      <c r="D218" s="59" t="s">
        <v>17</v>
      </c>
      <c r="E218" s="61">
        <v>45279</v>
      </c>
      <c r="F218" s="59" t="s">
        <v>11</v>
      </c>
      <c r="G218" s="59" t="s">
        <v>47</v>
      </c>
      <c r="H218" s="59" t="s">
        <v>13</v>
      </c>
      <c r="I218" s="59" t="s">
        <v>48</v>
      </c>
      <c r="J218" s="59">
        <v>2</v>
      </c>
    </row>
    <row r="219" spans="1:10" ht="20.100000000000001" customHeight="1" x14ac:dyDescent="0.15">
      <c r="A219" s="59">
        <v>204</v>
      </c>
      <c r="B219" s="58" t="s">
        <v>51</v>
      </c>
      <c r="C219" s="59" t="s">
        <v>52</v>
      </c>
      <c r="D219" s="59" t="s">
        <v>17</v>
      </c>
      <c r="E219" s="61">
        <v>45279</v>
      </c>
      <c r="F219" s="59" t="s">
        <v>11</v>
      </c>
      <c r="G219" s="59" t="s">
        <v>47</v>
      </c>
      <c r="H219" s="59" t="s">
        <v>13</v>
      </c>
      <c r="I219" s="59" t="s">
        <v>48</v>
      </c>
      <c r="J219" s="59">
        <v>3</v>
      </c>
    </row>
    <row r="220" spans="1:10" ht="20.100000000000001" customHeight="1" x14ac:dyDescent="0.15">
      <c r="A220" s="59">
        <v>205</v>
      </c>
      <c r="B220" s="58" t="s">
        <v>53</v>
      </c>
      <c r="C220" s="59" t="s">
        <v>54</v>
      </c>
      <c r="D220" s="59" t="s">
        <v>17</v>
      </c>
      <c r="E220" s="61">
        <v>45377</v>
      </c>
      <c r="F220" s="59" t="s">
        <v>11</v>
      </c>
      <c r="G220" s="59" t="s">
        <v>47</v>
      </c>
      <c r="H220" s="59" t="s">
        <v>13</v>
      </c>
      <c r="I220" s="59" t="s">
        <v>48</v>
      </c>
      <c r="J220" s="59">
        <v>4</v>
      </c>
    </row>
    <row r="221" spans="1:10" ht="20.100000000000001" customHeight="1" x14ac:dyDescent="0.15">
      <c r="A221" s="59">
        <v>206</v>
      </c>
      <c r="B221" s="58" t="s">
        <v>57</v>
      </c>
      <c r="C221" s="59" t="s">
        <v>58</v>
      </c>
      <c r="D221" s="59" t="s">
        <v>17</v>
      </c>
      <c r="E221" s="61">
        <v>43382</v>
      </c>
      <c r="F221" s="59" t="s">
        <v>11</v>
      </c>
      <c r="G221" s="59" t="s">
        <v>47</v>
      </c>
      <c r="H221" s="59" t="s">
        <v>13</v>
      </c>
      <c r="I221" s="59" t="s">
        <v>48</v>
      </c>
      <c r="J221" s="59">
        <v>5</v>
      </c>
    </row>
    <row r="222" spans="1:10" ht="20.100000000000001" customHeight="1" x14ac:dyDescent="0.15">
      <c r="A222" s="59">
        <v>207</v>
      </c>
      <c r="B222" s="58" t="s">
        <v>59</v>
      </c>
      <c r="C222" s="59" t="s">
        <v>60</v>
      </c>
      <c r="D222" s="59" t="s">
        <v>10</v>
      </c>
      <c r="E222" s="61">
        <v>41819</v>
      </c>
      <c r="F222" s="59" t="s">
        <v>11</v>
      </c>
      <c r="G222" s="59" t="s">
        <v>47</v>
      </c>
      <c r="H222" s="59" t="s">
        <v>13</v>
      </c>
      <c r="I222" s="59" t="s">
        <v>48</v>
      </c>
      <c r="J222" s="59">
        <v>6</v>
      </c>
    </row>
    <row r="223" spans="1:10" ht="20.100000000000001" customHeight="1" x14ac:dyDescent="0.15">
      <c r="A223" s="59">
        <v>208</v>
      </c>
      <c r="B223" s="58" t="s">
        <v>61</v>
      </c>
      <c r="C223" s="59" t="s">
        <v>62</v>
      </c>
      <c r="D223" s="59" t="s">
        <v>17</v>
      </c>
      <c r="E223" s="61">
        <v>42247</v>
      </c>
      <c r="F223" s="59" t="s">
        <v>11</v>
      </c>
      <c r="G223" s="59" t="s">
        <v>47</v>
      </c>
      <c r="H223" s="59" t="s">
        <v>13</v>
      </c>
      <c r="I223" s="59" t="s">
        <v>48</v>
      </c>
      <c r="J223" s="59">
        <v>7</v>
      </c>
    </row>
    <row r="224" spans="1:10" ht="20.100000000000001" customHeight="1" x14ac:dyDescent="0.15">
      <c r="A224" s="59">
        <v>209</v>
      </c>
      <c r="B224" s="58" t="s">
        <v>63</v>
      </c>
      <c r="C224" s="59" t="s">
        <v>64</v>
      </c>
      <c r="D224" s="59" t="s">
        <v>17</v>
      </c>
      <c r="E224" s="61">
        <v>41764</v>
      </c>
      <c r="F224" s="59" t="s">
        <v>11</v>
      </c>
      <c r="G224" s="59" t="s">
        <v>47</v>
      </c>
      <c r="H224" s="59" t="s">
        <v>13</v>
      </c>
      <c r="I224" s="59" t="s">
        <v>48</v>
      </c>
      <c r="J224" s="59">
        <v>8</v>
      </c>
    </row>
    <row r="225" spans="1:10" ht="20.100000000000001" customHeight="1" x14ac:dyDescent="0.15">
      <c r="A225" s="59">
        <v>210</v>
      </c>
      <c r="B225" s="58" t="s">
        <v>237</v>
      </c>
      <c r="C225" s="59" t="s">
        <v>238</v>
      </c>
      <c r="D225" s="59" t="s">
        <v>17</v>
      </c>
      <c r="E225" s="61">
        <v>45657</v>
      </c>
      <c r="F225" s="59" t="s">
        <v>11</v>
      </c>
      <c r="G225" s="59" t="s">
        <v>47</v>
      </c>
      <c r="H225" s="59" t="s">
        <v>13</v>
      </c>
      <c r="I225" s="59" t="s">
        <v>236</v>
      </c>
      <c r="J225" s="59">
        <v>9</v>
      </c>
    </row>
    <row r="226" spans="1:10" ht="20.100000000000001" customHeight="1" x14ac:dyDescent="0.15">
      <c r="A226" s="59">
        <v>211</v>
      </c>
      <c r="B226" s="58" t="s">
        <v>331</v>
      </c>
      <c r="C226" s="59" t="s">
        <v>332</v>
      </c>
      <c r="D226" s="59" t="s">
        <v>17</v>
      </c>
      <c r="E226" s="61">
        <v>41674</v>
      </c>
      <c r="F226" s="59" t="s">
        <v>11</v>
      </c>
      <c r="G226" s="59" t="s">
        <v>47</v>
      </c>
      <c r="H226" s="59" t="s">
        <v>79</v>
      </c>
      <c r="I226" s="59" t="s">
        <v>333</v>
      </c>
      <c r="J226" s="59">
        <v>10</v>
      </c>
    </row>
    <row r="227" spans="1:10" ht="20.100000000000001" customHeight="1" x14ac:dyDescent="0.15">
      <c r="A227" s="59">
        <v>212</v>
      </c>
      <c r="B227" s="58" t="s">
        <v>477</v>
      </c>
      <c r="C227" s="59" t="s">
        <v>478</v>
      </c>
      <c r="D227" s="59" t="s">
        <v>17</v>
      </c>
      <c r="E227" s="61">
        <v>45377</v>
      </c>
      <c r="F227" s="59" t="s">
        <v>11</v>
      </c>
      <c r="G227" s="59" t="s">
        <v>47</v>
      </c>
      <c r="H227" s="59" t="s">
        <v>13</v>
      </c>
      <c r="I227" s="59" t="s">
        <v>479</v>
      </c>
      <c r="J227" s="59">
        <v>11</v>
      </c>
    </row>
    <row r="228" spans="1:10" ht="20.100000000000001" customHeight="1" x14ac:dyDescent="0.15">
      <c r="A228" s="59">
        <v>213</v>
      </c>
      <c r="B228" s="56" t="s">
        <v>738</v>
      </c>
      <c r="C228" s="57" t="s">
        <v>739</v>
      </c>
      <c r="D228" s="59" t="s">
        <v>10</v>
      </c>
      <c r="E228" s="61">
        <v>45895</v>
      </c>
      <c r="F228" s="59" t="s">
        <v>11</v>
      </c>
      <c r="G228" s="59" t="s">
        <v>47</v>
      </c>
      <c r="H228" s="59" t="s">
        <v>13</v>
      </c>
      <c r="I228" s="59" t="s">
        <v>737</v>
      </c>
      <c r="J228" s="59">
        <v>12</v>
      </c>
    </row>
    <row r="229" spans="1:10" ht="20.100000000000001" customHeight="1" x14ac:dyDescent="0.15">
      <c r="A229" s="59"/>
      <c r="B229" s="58"/>
      <c r="C229" s="59"/>
      <c r="D229" s="59"/>
      <c r="E229" s="61"/>
      <c r="F229" s="59"/>
      <c r="G229" s="59"/>
      <c r="H229" s="59"/>
      <c r="I229" s="59"/>
      <c r="J229" s="59"/>
    </row>
    <row r="230" spans="1:10" ht="20.100000000000001" customHeight="1" x14ac:dyDescent="0.15">
      <c r="A230" s="59">
        <v>214</v>
      </c>
      <c r="B230" s="58" t="s">
        <v>42</v>
      </c>
      <c r="C230" s="59" t="s">
        <v>43</v>
      </c>
      <c r="D230" s="59" t="s">
        <v>17</v>
      </c>
      <c r="E230" s="61">
        <v>43929</v>
      </c>
      <c r="F230" s="59" t="s">
        <v>11</v>
      </c>
      <c r="G230" s="59" t="s">
        <v>44</v>
      </c>
      <c r="H230" s="59" t="s">
        <v>13</v>
      </c>
      <c r="I230" s="59" t="s">
        <v>41</v>
      </c>
      <c r="J230" s="59">
        <v>1</v>
      </c>
    </row>
    <row r="231" spans="1:10" ht="20.100000000000001" customHeight="1" x14ac:dyDescent="0.15">
      <c r="A231" s="59">
        <v>215</v>
      </c>
      <c r="B231" s="58" t="s">
        <v>173</v>
      </c>
      <c r="C231" s="59" t="s">
        <v>174</v>
      </c>
      <c r="D231" s="59" t="s">
        <v>17</v>
      </c>
      <c r="E231" s="61">
        <v>41680</v>
      </c>
      <c r="F231" s="59" t="s">
        <v>11</v>
      </c>
      <c r="G231" s="59" t="s">
        <v>44</v>
      </c>
      <c r="H231" s="59" t="s">
        <v>13</v>
      </c>
      <c r="I231" s="59" t="s">
        <v>175</v>
      </c>
      <c r="J231" s="59">
        <v>2</v>
      </c>
    </row>
    <row r="232" spans="1:10" ht="20.100000000000001" customHeight="1" x14ac:dyDescent="0.15">
      <c r="A232" s="59">
        <v>216</v>
      </c>
      <c r="B232" s="58" t="s">
        <v>176</v>
      </c>
      <c r="C232" s="59" t="s">
        <v>177</v>
      </c>
      <c r="D232" s="59" t="s">
        <v>17</v>
      </c>
      <c r="E232" s="61">
        <v>41711</v>
      </c>
      <c r="F232" s="59" t="s">
        <v>11</v>
      </c>
      <c r="G232" s="59" t="s">
        <v>44</v>
      </c>
      <c r="H232" s="59" t="s">
        <v>13</v>
      </c>
      <c r="I232" s="59" t="s">
        <v>175</v>
      </c>
      <c r="J232" s="59">
        <v>3</v>
      </c>
    </row>
    <row r="233" spans="1:10" ht="20.100000000000001" customHeight="1" x14ac:dyDescent="0.15">
      <c r="A233" s="59">
        <v>217</v>
      </c>
      <c r="B233" s="58" t="s">
        <v>196</v>
      </c>
      <c r="C233" s="59" t="s">
        <v>197</v>
      </c>
      <c r="D233" s="59" t="s">
        <v>17</v>
      </c>
      <c r="E233" s="61">
        <v>42165</v>
      </c>
      <c r="F233" s="59" t="s">
        <v>11</v>
      </c>
      <c r="G233" s="59" t="s">
        <v>44</v>
      </c>
      <c r="H233" s="59" t="s">
        <v>13</v>
      </c>
      <c r="I233" s="59" t="s">
        <v>198</v>
      </c>
      <c r="J233" s="59">
        <v>4</v>
      </c>
    </row>
    <row r="234" spans="1:10" ht="20.100000000000001" customHeight="1" x14ac:dyDescent="0.15">
      <c r="A234" s="59">
        <v>218</v>
      </c>
      <c r="B234" s="58" t="s">
        <v>217</v>
      </c>
      <c r="C234" s="59" t="s">
        <v>218</v>
      </c>
      <c r="D234" s="59" t="s">
        <v>17</v>
      </c>
      <c r="E234" s="61">
        <v>44166</v>
      </c>
      <c r="F234" s="59" t="s">
        <v>11</v>
      </c>
      <c r="G234" s="59" t="s">
        <v>44</v>
      </c>
      <c r="H234" s="59" t="s">
        <v>13</v>
      </c>
      <c r="I234" s="59" t="s">
        <v>219</v>
      </c>
      <c r="J234" s="59">
        <v>5</v>
      </c>
    </row>
    <row r="235" spans="1:10" ht="20.100000000000001" customHeight="1" x14ac:dyDescent="0.15">
      <c r="A235" s="59">
        <v>219</v>
      </c>
      <c r="B235" s="58" t="s">
        <v>220</v>
      </c>
      <c r="C235" s="59" t="s">
        <v>221</v>
      </c>
      <c r="D235" s="59" t="s">
        <v>17</v>
      </c>
      <c r="E235" s="61">
        <v>45490</v>
      </c>
      <c r="F235" s="59" t="s">
        <v>11</v>
      </c>
      <c r="G235" s="59" t="s">
        <v>44</v>
      </c>
      <c r="H235" s="59" t="s">
        <v>13</v>
      </c>
      <c r="I235" s="59" t="s">
        <v>219</v>
      </c>
      <c r="J235" s="59">
        <v>6</v>
      </c>
    </row>
    <row r="236" spans="1:10" ht="20.100000000000001" customHeight="1" x14ac:dyDescent="0.15">
      <c r="A236" s="59">
        <v>220</v>
      </c>
      <c r="B236" s="58" t="s">
        <v>239</v>
      </c>
      <c r="C236" s="59" t="s">
        <v>240</v>
      </c>
      <c r="D236" s="59" t="s">
        <v>17</v>
      </c>
      <c r="E236" s="61">
        <v>42563</v>
      </c>
      <c r="F236" s="59" t="s">
        <v>11</v>
      </c>
      <c r="G236" s="59" t="s">
        <v>44</v>
      </c>
      <c r="H236" s="59" t="s">
        <v>13</v>
      </c>
      <c r="I236" s="59" t="s">
        <v>241</v>
      </c>
      <c r="J236" s="59">
        <v>7</v>
      </c>
    </row>
    <row r="237" spans="1:10" ht="20.100000000000001" customHeight="1" x14ac:dyDescent="0.15">
      <c r="A237" s="59">
        <v>221</v>
      </c>
      <c r="B237" s="58" t="s">
        <v>280</v>
      </c>
      <c r="C237" s="59" t="s">
        <v>281</v>
      </c>
      <c r="D237" s="59" t="s">
        <v>17</v>
      </c>
      <c r="E237" s="61">
        <v>43131</v>
      </c>
      <c r="F237" s="59" t="s">
        <v>11</v>
      </c>
      <c r="G237" s="59" t="s">
        <v>44</v>
      </c>
      <c r="H237" s="59" t="s">
        <v>13</v>
      </c>
      <c r="I237" s="59" t="s">
        <v>282</v>
      </c>
      <c r="J237" s="59">
        <v>8</v>
      </c>
    </row>
    <row r="238" spans="1:10" ht="20.100000000000001" customHeight="1" x14ac:dyDescent="0.15">
      <c r="A238" s="59">
        <v>222</v>
      </c>
      <c r="B238" s="58" t="s">
        <v>319</v>
      </c>
      <c r="C238" s="59" t="s">
        <v>320</v>
      </c>
      <c r="D238" s="59" t="s">
        <v>17</v>
      </c>
      <c r="E238" s="61">
        <v>44236</v>
      </c>
      <c r="F238" s="59" t="s">
        <v>11</v>
      </c>
      <c r="G238" s="59" t="s">
        <v>44</v>
      </c>
      <c r="H238" s="59" t="s">
        <v>13</v>
      </c>
      <c r="I238" s="59" t="s">
        <v>321</v>
      </c>
      <c r="J238" s="59">
        <v>9</v>
      </c>
    </row>
    <row r="239" spans="1:10" ht="20.100000000000001" customHeight="1" x14ac:dyDescent="0.15">
      <c r="A239" s="59">
        <v>223</v>
      </c>
      <c r="B239" s="58" t="s">
        <v>328</v>
      </c>
      <c r="C239" s="59" t="s">
        <v>329</v>
      </c>
      <c r="D239" s="59" t="s">
        <v>17</v>
      </c>
      <c r="E239" s="61">
        <v>43886</v>
      </c>
      <c r="F239" s="59" t="s">
        <v>11</v>
      </c>
      <c r="G239" s="59" t="s">
        <v>44</v>
      </c>
      <c r="H239" s="59" t="s">
        <v>13</v>
      </c>
      <c r="I239" s="59" t="s">
        <v>330</v>
      </c>
      <c r="J239" s="59">
        <v>10</v>
      </c>
    </row>
    <row r="240" spans="1:10" ht="20.100000000000001" customHeight="1" x14ac:dyDescent="0.15">
      <c r="A240" s="59">
        <v>224</v>
      </c>
      <c r="B240" s="58" t="s">
        <v>443</v>
      </c>
      <c r="C240" s="59" t="s">
        <v>444</v>
      </c>
      <c r="D240" s="59" t="s">
        <v>17</v>
      </c>
      <c r="E240" s="61">
        <v>45527</v>
      </c>
      <c r="F240" s="59" t="s">
        <v>11</v>
      </c>
      <c r="G240" s="59" t="s">
        <v>44</v>
      </c>
      <c r="H240" s="59" t="s">
        <v>79</v>
      </c>
      <c r="I240" s="59" t="s">
        <v>445</v>
      </c>
      <c r="J240" s="59">
        <v>11</v>
      </c>
    </row>
    <row r="241" spans="1:10" ht="20.100000000000001" customHeight="1" x14ac:dyDescent="0.15">
      <c r="A241" s="59">
        <v>225</v>
      </c>
      <c r="B241" s="58" t="s">
        <v>452</v>
      </c>
      <c r="C241" s="59" t="s">
        <v>453</v>
      </c>
      <c r="D241" s="59" t="s">
        <v>17</v>
      </c>
      <c r="E241" s="61">
        <v>43445</v>
      </c>
      <c r="F241" s="59" t="s">
        <v>11</v>
      </c>
      <c r="G241" s="59" t="s">
        <v>44</v>
      </c>
      <c r="H241" s="59" t="s">
        <v>13</v>
      </c>
      <c r="I241" s="59" t="s">
        <v>454</v>
      </c>
      <c r="J241" s="59">
        <v>12</v>
      </c>
    </row>
    <row r="242" spans="1:10" ht="20.100000000000001" customHeight="1" x14ac:dyDescent="0.15">
      <c r="A242" s="59">
        <v>226</v>
      </c>
      <c r="B242" s="58" t="s">
        <v>502</v>
      </c>
      <c r="C242" s="59" t="s">
        <v>503</v>
      </c>
      <c r="D242" s="59" t="s">
        <v>17</v>
      </c>
      <c r="E242" s="61">
        <v>42104</v>
      </c>
      <c r="F242" s="59" t="s">
        <v>11</v>
      </c>
      <c r="G242" s="59" t="s">
        <v>44</v>
      </c>
      <c r="H242" s="59" t="s">
        <v>13</v>
      </c>
      <c r="I242" s="59" t="s">
        <v>504</v>
      </c>
      <c r="J242" s="59">
        <v>13</v>
      </c>
    </row>
    <row r="243" spans="1:10" ht="20.100000000000001" customHeight="1" x14ac:dyDescent="0.15">
      <c r="A243" s="59">
        <v>227</v>
      </c>
      <c r="B243" s="58" t="s">
        <v>532</v>
      </c>
      <c r="C243" s="59" t="s">
        <v>533</v>
      </c>
      <c r="D243" s="59" t="s">
        <v>17</v>
      </c>
      <c r="E243" s="61">
        <v>45055</v>
      </c>
      <c r="F243" s="59" t="s">
        <v>11</v>
      </c>
      <c r="G243" s="59" t="s">
        <v>44</v>
      </c>
      <c r="H243" s="59" t="s">
        <v>13</v>
      </c>
      <c r="I243" s="59" t="s">
        <v>534</v>
      </c>
      <c r="J243" s="59">
        <v>14</v>
      </c>
    </row>
    <row r="244" spans="1:10" ht="20.100000000000001" customHeight="1" x14ac:dyDescent="0.15">
      <c r="A244" s="59">
        <v>228</v>
      </c>
      <c r="B244" s="58" t="s">
        <v>535</v>
      </c>
      <c r="C244" s="59" t="s">
        <v>536</v>
      </c>
      <c r="D244" s="59" t="s">
        <v>17</v>
      </c>
      <c r="E244" s="61">
        <v>45356</v>
      </c>
      <c r="F244" s="59" t="s">
        <v>11</v>
      </c>
      <c r="G244" s="59" t="s">
        <v>44</v>
      </c>
      <c r="H244" s="59" t="s">
        <v>13</v>
      </c>
      <c r="I244" s="59" t="s">
        <v>534</v>
      </c>
      <c r="J244" s="59">
        <v>15</v>
      </c>
    </row>
    <row r="245" spans="1:10" ht="20.100000000000001" customHeight="1" x14ac:dyDescent="0.15">
      <c r="A245" s="59">
        <v>229</v>
      </c>
      <c r="B245" s="58" t="s">
        <v>537</v>
      </c>
      <c r="C245" s="59" t="s">
        <v>538</v>
      </c>
      <c r="D245" s="59" t="s">
        <v>17</v>
      </c>
      <c r="E245" s="61">
        <v>45503</v>
      </c>
      <c r="F245" s="59" t="s">
        <v>11</v>
      </c>
      <c r="G245" s="59" t="s">
        <v>44</v>
      </c>
      <c r="H245" s="59" t="s">
        <v>13</v>
      </c>
      <c r="I245" s="59" t="s">
        <v>534</v>
      </c>
      <c r="J245" s="59">
        <v>16</v>
      </c>
    </row>
    <row r="246" spans="1:10" ht="20.100000000000001" customHeight="1" x14ac:dyDescent="0.15">
      <c r="A246" s="59">
        <v>230</v>
      </c>
      <c r="B246" s="58" t="s">
        <v>567</v>
      </c>
      <c r="C246" s="59" t="s">
        <v>568</v>
      </c>
      <c r="D246" s="59" t="s">
        <v>17</v>
      </c>
      <c r="E246" s="61">
        <v>45398</v>
      </c>
      <c r="F246" s="59" t="s">
        <v>11</v>
      </c>
      <c r="G246" s="59" t="s">
        <v>44</v>
      </c>
      <c r="H246" s="59" t="s">
        <v>13</v>
      </c>
      <c r="I246" s="59" t="s">
        <v>569</v>
      </c>
      <c r="J246" s="59">
        <v>17</v>
      </c>
    </row>
    <row r="247" spans="1:10" ht="20.100000000000001" customHeight="1" x14ac:dyDescent="0.15">
      <c r="A247" s="59">
        <v>231</v>
      </c>
      <c r="B247" s="58" t="s">
        <v>576</v>
      </c>
      <c r="C247" s="59" t="s">
        <v>577</v>
      </c>
      <c r="D247" s="59" t="s">
        <v>17</v>
      </c>
      <c r="E247" s="61">
        <v>45505</v>
      </c>
      <c r="F247" s="59" t="s">
        <v>11</v>
      </c>
      <c r="G247" s="59" t="s">
        <v>44</v>
      </c>
      <c r="H247" s="59" t="s">
        <v>13</v>
      </c>
      <c r="I247" s="59" t="s">
        <v>578</v>
      </c>
      <c r="J247" s="59">
        <v>18</v>
      </c>
    </row>
    <row r="248" spans="1:10" ht="20.100000000000001" customHeight="1" x14ac:dyDescent="0.15">
      <c r="A248" s="59">
        <v>232</v>
      </c>
      <c r="B248" s="58" t="s">
        <v>582</v>
      </c>
      <c r="C248" s="59" t="s">
        <v>583</v>
      </c>
      <c r="D248" s="59" t="s">
        <v>17</v>
      </c>
      <c r="E248" s="61">
        <v>45566</v>
      </c>
      <c r="F248" s="59" t="s">
        <v>11</v>
      </c>
      <c r="G248" s="59" t="s">
        <v>44</v>
      </c>
      <c r="H248" s="59" t="s">
        <v>13</v>
      </c>
      <c r="I248" s="59" t="s">
        <v>584</v>
      </c>
      <c r="J248" s="59">
        <v>19</v>
      </c>
    </row>
    <row r="249" spans="1:10" ht="20.100000000000001" customHeight="1" x14ac:dyDescent="0.15">
      <c r="A249" s="59">
        <v>233</v>
      </c>
      <c r="B249" s="58" t="s">
        <v>603</v>
      </c>
      <c r="C249" s="59" t="s">
        <v>604</v>
      </c>
      <c r="D249" s="59" t="s">
        <v>17</v>
      </c>
      <c r="E249" s="61">
        <v>45670</v>
      </c>
      <c r="F249" s="59" t="s">
        <v>11</v>
      </c>
      <c r="G249" s="59" t="s">
        <v>44</v>
      </c>
      <c r="H249" s="59" t="s">
        <v>79</v>
      </c>
      <c r="I249" s="59" t="s">
        <v>605</v>
      </c>
      <c r="J249" s="59">
        <v>20</v>
      </c>
    </row>
    <row r="250" spans="1:10" ht="20.100000000000001" customHeight="1" x14ac:dyDescent="0.15">
      <c r="A250" s="59">
        <v>234</v>
      </c>
      <c r="B250" s="56" t="s">
        <v>697</v>
      </c>
      <c r="C250" s="57" t="s">
        <v>698</v>
      </c>
      <c r="D250" s="59" t="s">
        <v>17</v>
      </c>
      <c r="E250" s="61">
        <v>45825</v>
      </c>
      <c r="F250" s="59" t="s">
        <v>11</v>
      </c>
      <c r="G250" s="59" t="s">
        <v>44</v>
      </c>
      <c r="H250" s="59" t="s">
        <v>13</v>
      </c>
      <c r="I250" s="59" t="s">
        <v>699</v>
      </c>
      <c r="J250" s="59">
        <v>21</v>
      </c>
    </row>
    <row r="251" spans="1:10" ht="20.100000000000001" customHeight="1" x14ac:dyDescent="0.15">
      <c r="A251" s="59">
        <v>235</v>
      </c>
      <c r="B251" s="56" t="s">
        <v>702</v>
      </c>
      <c r="C251" s="56" t="s">
        <v>703</v>
      </c>
      <c r="D251" s="59" t="s">
        <v>17</v>
      </c>
      <c r="E251" s="61">
        <v>45853</v>
      </c>
      <c r="F251" s="59" t="s">
        <v>11</v>
      </c>
      <c r="G251" s="59" t="s">
        <v>44</v>
      </c>
      <c r="H251" s="59" t="s">
        <v>13</v>
      </c>
      <c r="I251" s="59" t="s">
        <v>704</v>
      </c>
      <c r="J251" s="59">
        <v>22</v>
      </c>
    </row>
    <row r="252" spans="1:10" ht="20.100000000000001" customHeight="1" x14ac:dyDescent="0.15">
      <c r="A252" s="59">
        <v>236</v>
      </c>
      <c r="B252" s="56" t="s">
        <v>760</v>
      </c>
      <c r="C252" s="57" t="s">
        <v>761</v>
      </c>
      <c r="D252" s="59" t="s">
        <v>17</v>
      </c>
      <c r="E252" s="61">
        <v>45945</v>
      </c>
      <c r="F252" s="59" t="s">
        <v>11</v>
      </c>
      <c r="G252" s="59" t="s">
        <v>44</v>
      </c>
      <c r="H252" s="59" t="s">
        <v>13</v>
      </c>
      <c r="I252" s="59" t="s">
        <v>330</v>
      </c>
      <c r="J252" s="59">
        <v>23</v>
      </c>
    </row>
    <row r="253" spans="1:10" ht="20.100000000000001" customHeight="1" x14ac:dyDescent="0.15">
      <c r="A253" s="59"/>
      <c r="B253" s="58"/>
      <c r="C253" s="59"/>
      <c r="D253" s="59"/>
      <c r="E253" s="61"/>
      <c r="F253" s="59"/>
      <c r="G253" s="59"/>
      <c r="H253" s="59"/>
      <c r="I253" s="69"/>
      <c r="J253" s="59"/>
    </row>
    <row r="254" spans="1:10" ht="20.100000000000001" customHeight="1" x14ac:dyDescent="0.15">
      <c r="A254" s="59">
        <v>237</v>
      </c>
      <c r="B254" s="58" t="s">
        <v>157</v>
      </c>
      <c r="C254" s="59" t="s">
        <v>158</v>
      </c>
      <c r="D254" s="59" t="s">
        <v>17</v>
      </c>
      <c r="E254" s="61">
        <v>41610</v>
      </c>
      <c r="F254" s="59" t="s">
        <v>11</v>
      </c>
      <c r="G254" s="59" t="s">
        <v>159</v>
      </c>
      <c r="H254" s="59" t="s">
        <v>13</v>
      </c>
      <c r="I254" s="59" t="s">
        <v>160</v>
      </c>
      <c r="J254" s="59">
        <v>1</v>
      </c>
    </row>
    <row r="255" spans="1:10" ht="20.100000000000001" customHeight="1" x14ac:dyDescent="0.15">
      <c r="A255" s="59">
        <v>238</v>
      </c>
      <c r="B255" s="58" t="s">
        <v>208</v>
      </c>
      <c r="C255" s="59" t="s">
        <v>209</v>
      </c>
      <c r="D255" s="59" t="s">
        <v>17</v>
      </c>
      <c r="E255" s="61">
        <v>42130</v>
      </c>
      <c r="F255" s="59" t="s">
        <v>11</v>
      </c>
      <c r="G255" s="59" t="s">
        <v>159</v>
      </c>
      <c r="H255" s="59" t="s">
        <v>13</v>
      </c>
      <c r="I255" s="59" t="s">
        <v>210</v>
      </c>
      <c r="J255" s="59">
        <v>2</v>
      </c>
    </row>
    <row r="256" spans="1:10" ht="20.100000000000001" customHeight="1" x14ac:dyDescent="0.15">
      <c r="A256" s="59">
        <v>239</v>
      </c>
      <c r="B256" s="58" t="s">
        <v>242</v>
      </c>
      <c r="C256" s="59" t="s">
        <v>243</v>
      </c>
      <c r="D256" s="59" t="s">
        <v>17</v>
      </c>
      <c r="E256" s="61">
        <v>41710</v>
      </c>
      <c r="F256" s="59" t="s">
        <v>11</v>
      </c>
      <c r="G256" s="59" t="s">
        <v>159</v>
      </c>
      <c r="H256" s="59" t="s">
        <v>13</v>
      </c>
      <c r="I256" s="59" t="s">
        <v>244</v>
      </c>
      <c r="J256" s="59">
        <v>3</v>
      </c>
    </row>
    <row r="257" spans="1:10" ht="20.100000000000001" customHeight="1" x14ac:dyDescent="0.15">
      <c r="A257" s="59">
        <v>240</v>
      </c>
      <c r="B257" s="58" t="s">
        <v>248</v>
      </c>
      <c r="C257" s="59" t="s">
        <v>249</v>
      </c>
      <c r="D257" s="59" t="s">
        <v>17</v>
      </c>
      <c r="E257" s="61">
        <v>42888</v>
      </c>
      <c r="F257" s="59" t="s">
        <v>11</v>
      </c>
      <c r="G257" s="59" t="s">
        <v>159</v>
      </c>
      <c r="H257" s="59" t="s">
        <v>79</v>
      </c>
      <c r="I257" s="59" t="s">
        <v>250</v>
      </c>
      <c r="J257" s="59">
        <v>4</v>
      </c>
    </row>
    <row r="258" spans="1:10" ht="20.100000000000001" customHeight="1" x14ac:dyDescent="0.15">
      <c r="A258" s="59">
        <v>241</v>
      </c>
      <c r="B258" s="58" t="s">
        <v>529</v>
      </c>
      <c r="C258" s="59" t="s">
        <v>530</v>
      </c>
      <c r="D258" s="59" t="s">
        <v>10</v>
      </c>
      <c r="E258" s="61">
        <v>42661</v>
      </c>
      <c r="F258" s="59" t="s">
        <v>11</v>
      </c>
      <c r="G258" s="59" t="s">
        <v>159</v>
      </c>
      <c r="H258" s="59" t="s">
        <v>13</v>
      </c>
      <c r="I258" s="59" t="s">
        <v>531</v>
      </c>
      <c r="J258" s="59">
        <v>5</v>
      </c>
    </row>
    <row r="259" spans="1:10" ht="20.100000000000001" customHeight="1" x14ac:dyDescent="0.15">
      <c r="A259" s="59">
        <v>242</v>
      </c>
      <c r="B259" s="58" t="s">
        <v>551</v>
      </c>
      <c r="C259" s="59" t="s">
        <v>552</v>
      </c>
      <c r="D259" s="59" t="s">
        <v>17</v>
      </c>
      <c r="E259" s="61">
        <v>45202</v>
      </c>
      <c r="F259" s="59" t="s">
        <v>11</v>
      </c>
      <c r="G259" s="59" t="s">
        <v>159</v>
      </c>
      <c r="H259" s="59" t="s">
        <v>79</v>
      </c>
      <c r="I259" s="69" t="s">
        <v>553</v>
      </c>
      <c r="J259" s="59">
        <v>6</v>
      </c>
    </row>
    <row r="260" spans="1:10" ht="20.100000000000001" customHeight="1" x14ac:dyDescent="0.15">
      <c r="A260" s="59">
        <v>243</v>
      </c>
      <c r="B260" s="56" t="s">
        <v>617</v>
      </c>
      <c r="C260" s="57" t="s">
        <v>619</v>
      </c>
      <c r="D260" s="59" t="s">
        <v>10</v>
      </c>
      <c r="E260" s="61">
        <v>45719</v>
      </c>
      <c r="F260" s="59" t="s">
        <v>11</v>
      </c>
      <c r="G260" s="59" t="s">
        <v>159</v>
      </c>
      <c r="H260" s="59" t="s">
        <v>13</v>
      </c>
      <c r="I260" s="57" t="s">
        <v>621</v>
      </c>
      <c r="J260" s="59">
        <v>7</v>
      </c>
    </row>
    <row r="261" spans="1:10" ht="20.100000000000001" customHeight="1" x14ac:dyDescent="0.15">
      <c r="A261" s="59">
        <v>244</v>
      </c>
      <c r="B261" s="56" t="s">
        <v>618</v>
      </c>
      <c r="C261" s="57" t="s">
        <v>620</v>
      </c>
      <c r="D261" s="59" t="s">
        <v>10</v>
      </c>
      <c r="E261" s="61">
        <v>45719</v>
      </c>
      <c r="F261" s="59" t="s">
        <v>11</v>
      </c>
      <c r="G261" s="59" t="s">
        <v>159</v>
      </c>
      <c r="H261" s="59" t="s">
        <v>13</v>
      </c>
      <c r="I261" s="57" t="s">
        <v>621</v>
      </c>
      <c r="J261" s="59">
        <v>8</v>
      </c>
    </row>
    <row r="262" spans="1:10" ht="20.100000000000001" customHeight="1" x14ac:dyDescent="0.15">
      <c r="E262" s="71"/>
      <c r="I262" s="72"/>
      <c r="J262" s="72"/>
    </row>
    <row r="263" spans="1:10" ht="20.100000000000001" customHeight="1" x14ac:dyDescent="0.15">
      <c r="I263" s="73" t="s">
        <v>616</v>
      </c>
      <c r="J263" s="73">
        <v>244</v>
      </c>
    </row>
  </sheetData>
  <autoFilter ref="A1:J261" xr:uid="{70E6A869-2A7B-4244-82B9-24388B70A4C6}"/>
  <sortState ref="A2:J259">
    <sortCondition ref="G2:G259"/>
  </sortState>
  <conditionalFormatting sqref="B66">
    <cfRule type="duplicateValues" dxfId="21" priority="22"/>
  </conditionalFormatting>
  <conditionalFormatting sqref="B260:B261">
    <cfRule type="duplicateValues" dxfId="20" priority="23"/>
  </conditionalFormatting>
  <conditionalFormatting sqref="B32">
    <cfRule type="duplicateValues" dxfId="19" priority="21"/>
  </conditionalFormatting>
  <conditionalFormatting sqref="B4:B5">
    <cfRule type="duplicateValues" dxfId="18" priority="20"/>
  </conditionalFormatting>
  <conditionalFormatting sqref="B33">
    <cfRule type="duplicateValues" dxfId="17" priority="19"/>
  </conditionalFormatting>
  <conditionalFormatting sqref="B67">
    <cfRule type="duplicateValues" dxfId="16" priority="18"/>
  </conditionalFormatting>
  <conditionalFormatting sqref="B100">
    <cfRule type="duplicateValues" dxfId="15" priority="17"/>
  </conditionalFormatting>
  <conditionalFormatting sqref="B250:B251">
    <cfRule type="duplicateValues" dxfId="14" priority="16"/>
  </conditionalFormatting>
  <conditionalFormatting sqref="B180">
    <cfRule type="duplicateValues" dxfId="13" priority="14"/>
  </conditionalFormatting>
  <conditionalFormatting sqref="B35:B36">
    <cfRule type="duplicateValues" dxfId="12" priority="13"/>
  </conditionalFormatting>
  <conditionalFormatting sqref="B37">
    <cfRule type="duplicateValues" dxfId="11" priority="12"/>
  </conditionalFormatting>
  <conditionalFormatting sqref="B68">
    <cfRule type="duplicateValues" dxfId="10" priority="11"/>
  </conditionalFormatting>
  <conditionalFormatting sqref="B228">
    <cfRule type="duplicateValues" dxfId="9" priority="9"/>
  </conditionalFormatting>
  <conditionalFormatting sqref="B38:B39 B41">
    <cfRule type="duplicateValues" dxfId="8" priority="8"/>
  </conditionalFormatting>
  <conditionalFormatting sqref="B182:B183">
    <cfRule type="duplicateValues" dxfId="7" priority="7"/>
  </conditionalFormatting>
  <conditionalFormatting sqref="B184">
    <cfRule type="duplicateValues" dxfId="6" priority="6"/>
  </conditionalFormatting>
  <conditionalFormatting sqref="B252">
    <cfRule type="duplicateValues" dxfId="5" priority="5"/>
  </conditionalFormatting>
  <conditionalFormatting sqref="B185:B186">
    <cfRule type="duplicateValues" dxfId="4" priority="4"/>
  </conditionalFormatting>
  <conditionalFormatting sqref="B34">
    <cfRule type="duplicateValues" dxfId="3" priority="24"/>
  </conditionalFormatting>
  <conditionalFormatting sqref="B40">
    <cfRule type="duplicateValues" dxfId="2" priority="3"/>
  </conditionalFormatting>
  <conditionalFormatting sqref="B118:B119">
    <cfRule type="duplicateValues" dxfId="1" priority="2"/>
  </conditionalFormatting>
  <conditionalFormatting sqref="B69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zoomScale="106" zoomScaleNormal="106" workbookViewId="0">
      <selection activeCell="F39" sqref="F39"/>
    </sheetView>
  </sheetViews>
  <sheetFormatPr defaultRowHeight="20.100000000000001" customHeight="1" x14ac:dyDescent="0.15"/>
  <cols>
    <col min="1" max="1" width="5" style="41" customWidth="1"/>
    <col min="2" max="2" width="14.7109375" style="41" customWidth="1"/>
    <col min="3" max="3" width="35.42578125" style="41" customWidth="1"/>
    <col min="4" max="4" width="7" style="41" customWidth="1"/>
    <col min="5" max="5" width="13.85546875" style="41" customWidth="1"/>
    <col min="6" max="6" width="15.42578125" style="41" customWidth="1"/>
    <col min="7" max="7" width="26.5703125" style="41" customWidth="1"/>
    <col min="8" max="8" width="9.140625" style="41"/>
    <col min="9" max="9" width="55.28515625" style="41" customWidth="1"/>
    <col min="10" max="16384" width="9.140625" style="41"/>
  </cols>
  <sheetData>
    <row r="1" spans="1:10" ht="20.100000000000001" customHeight="1" x14ac:dyDescent="0.15">
      <c r="A1" s="50" t="s">
        <v>614</v>
      </c>
      <c r="B1" s="51" t="s">
        <v>0</v>
      </c>
      <c r="C1" s="50" t="s">
        <v>1</v>
      </c>
      <c r="D1" s="50" t="s">
        <v>2</v>
      </c>
      <c r="E1" s="50" t="s">
        <v>3</v>
      </c>
      <c r="F1" s="50" t="s">
        <v>4</v>
      </c>
      <c r="G1" s="50" t="s">
        <v>5</v>
      </c>
      <c r="H1" s="50" t="s">
        <v>6</v>
      </c>
      <c r="I1" s="50" t="s">
        <v>7</v>
      </c>
      <c r="J1" s="52" t="s">
        <v>615</v>
      </c>
    </row>
    <row r="2" spans="1:10" ht="20.100000000000001" customHeight="1" x14ac:dyDescent="0.15">
      <c r="A2" s="43">
        <v>1</v>
      </c>
      <c r="B2" s="53" t="s">
        <v>153</v>
      </c>
      <c r="C2" s="43" t="s">
        <v>154</v>
      </c>
      <c r="D2" s="43" t="s">
        <v>17</v>
      </c>
      <c r="E2" s="42">
        <v>42983</v>
      </c>
      <c r="F2" s="43" t="s">
        <v>77</v>
      </c>
      <c r="G2" s="43" t="s">
        <v>155</v>
      </c>
      <c r="H2" s="43" t="s">
        <v>13</v>
      </c>
      <c r="I2" s="43" t="s">
        <v>156</v>
      </c>
      <c r="J2" s="43">
        <v>1</v>
      </c>
    </row>
    <row r="3" spans="1:10" ht="20.100000000000001" customHeight="1" x14ac:dyDescent="0.15">
      <c r="A3" s="43">
        <v>2</v>
      </c>
      <c r="B3" s="53" t="s">
        <v>266</v>
      </c>
      <c r="C3" s="43" t="s">
        <v>267</v>
      </c>
      <c r="D3" s="43" t="s">
        <v>17</v>
      </c>
      <c r="E3" s="42">
        <v>43306</v>
      </c>
      <c r="F3" s="43" t="s">
        <v>77</v>
      </c>
      <c r="G3" s="43" t="s">
        <v>155</v>
      </c>
      <c r="H3" s="43" t="s">
        <v>13</v>
      </c>
      <c r="I3" s="43" t="s">
        <v>268</v>
      </c>
      <c r="J3" s="43">
        <v>2</v>
      </c>
    </row>
    <row r="4" spans="1:10" ht="20.100000000000001" customHeight="1" x14ac:dyDescent="0.15">
      <c r="A4" s="43">
        <v>3</v>
      </c>
      <c r="B4" s="53" t="s">
        <v>307</v>
      </c>
      <c r="C4" s="43" t="s">
        <v>308</v>
      </c>
      <c r="D4" s="43" t="s">
        <v>17</v>
      </c>
      <c r="E4" s="42">
        <v>41640</v>
      </c>
      <c r="F4" s="43" t="s">
        <v>77</v>
      </c>
      <c r="G4" s="43" t="s">
        <v>155</v>
      </c>
      <c r="H4" s="43" t="s">
        <v>79</v>
      </c>
      <c r="I4" s="43" t="s">
        <v>309</v>
      </c>
      <c r="J4" s="43">
        <v>3</v>
      </c>
    </row>
    <row r="5" spans="1:10" ht="20.100000000000001" customHeight="1" x14ac:dyDescent="0.15">
      <c r="A5" s="43">
        <v>4</v>
      </c>
      <c r="B5" s="53" t="s">
        <v>431</v>
      </c>
      <c r="C5" s="43" t="s">
        <v>432</v>
      </c>
      <c r="D5" s="43" t="s">
        <v>10</v>
      </c>
      <c r="E5" s="42">
        <v>43327</v>
      </c>
      <c r="F5" s="43" t="s">
        <v>77</v>
      </c>
      <c r="G5" s="43" t="s">
        <v>155</v>
      </c>
      <c r="H5" s="43" t="s">
        <v>13</v>
      </c>
      <c r="I5" s="43" t="s">
        <v>433</v>
      </c>
      <c r="J5" s="43">
        <v>4</v>
      </c>
    </row>
    <row r="6" spans="1:10" ht="20.100000000000001" customHeight="1" x14ac:dyDescent="0.15">
      <c r="A6" s="43"/>
      <c r="B6" s="53"/>
      <c r="C6" s="43"/>
      <c r="D6" s="43"/>
      <c r="E6" s="42"/>
      <c r="F6" s="43"/>
      <c r="G6" s="43"/>
      <c r="H6" s="43"/>
      <c r="I6" s="43"/>
      <c r="J6" s="43"/>
    </row>
    <row r="7" spans="1:10" ht="20.100000000000001" customHeight="1" x14ac:dyDescent="0.15">
      <c r="A7" s="43">
        <v>5</v>
      </c>
      <c r="B7" s="53" t="s">
        <v>136</v>
      </c>
      <c r="C7" s="43" t="s">
        <v>137</v>
      </c>
      <c r="D7" s="43" t="s">
        <v>10</v>
      </c>
      <c r="E7" s="42">
        <v>40311</v>
      </c>
      <c r="F7" s="43" t="s">
        <v>77</v>
      </c>
      <c r="G7" s="43" t="s">
        <v>103</v>
      </c>
      <c r="H7" s="43" t="s">
        <v>13</v>
      </c>
      <c r="I7" s="43" t="s">
        <v>138</v>
      </c>
      <c r="J7" s="43">
        <v>1</v>
      </c>
    </row>
    <row r="8" spans="1:10" ht="20.100000000000001" customHeight="1" x14ac:dyDescent="0.15">
      <c r="A8" s="43">
        <v>6</v>
      </c>
      <c r="B8" s="53" t="s">
        <v>323</v>
      </c>
      <c r="C8" s="43" t="s">
        <v>324</v>
      </c>
      <c r="D8" s="43" t="s">
        <v>10</v>
      </c>
      <c r="E8" s="42">
        <v>41960</v>
      </c>
      <c r="F8" s="43" t="s">
        <v>77</v>
      </c>
      <c r="G8" s="43" t="s">
        <v>103</v>
      </c>
      <c r="H8" s="43" t="s">
        <v>13</v>
      </c>
      <c r="I8" s="43" t="s">
        <v>322</v>
      </c>
      <c r="J8" s="43">
        <v>3</v>
      </c>
    </row>
    <row r="9" spans="1:10" ht="20.100000000000001" customHeight="1" x14ac:dyDescent="0.15">
      <c r="A9" s="43">
        <v>7</v>
      </c>
      <c r="B9" s="53" t="s">
        <v>428</v>
      </c>
      <c r="C9" s="43" t="s">
        <v>429</v>
      </c>
      <c r="D9" s="43" t="s">
        <v>10</v>
      </c>
      <c r="E9" s="42">
        <v>41533</v>
      </c>
      <c r="F9" s="43" t="s">
        <v>77</v>
      </c>
      <c r="G9" s="43" t="s">
        <v>103</v>
      </c>
      <c r="H9" s="43" t="s">
        <v>13</v>
      </c>
      <c r="I9" s="43" t="s">
        <v>430</v>
      </c>
      <c r="J9" s="43">
        <v>4</v>
      </c>
    </row>
    <row r="10" spans="1:10" ht="20.100000000000001" customHeight="1" x14ac:dyDescent="0.15">
      <c r="A10" s="43"/>
      <c r="B10" s="53"/>
      <c r="C10" s="43"/>
      <c r="D10" s="43"/>
      <c r="E10" s="42"/>
      <c r="F10" s="43"/>
      <c r="G10" s="43"/>
      <c r="H10" s="43"/>
      <c r="I10" s="43"/>
      <c r="J10" s="43"/>
    </row>
    <row r="11" spans="1:10" ht="20.100000000000001" customHeight="1" x14ac:dyDescent="0.15">
      <c r="A11" s="43">
        <v>8</v>
      </c>
      <c r="B11" s="53" t="s">
        <v>303</v>
      </c>
      <c r="C11" s="43" t="s">
        <v>304</v>
      </c>
      <c r="D11" s="43" t="s">
        <v>17</v>
      </c>
      <c r="E11" s="42">
        <v>42084</v>
      </c>
      <c r="F11" s="43" t="s">
        <v>77</v>
      </c>
      <c r="G11" s="43" t="s">
        <v>305</v>
      </c>
      <c r="H11" s="43" t="s">
        <v>79</v>
      </c>
      <c r="I11" s="43" t="s">
        <v>306</v>
      </c>
      <c r="J11" s="43">
        <v>1</v>
      </c>
    </row>
    <row r="12" spans="1:10" ht="20.100000000000001" customHeight="1" x14ac:dyDescent="0.15">
      <c r="A12" s="43">
        <v>9</v>
      </c>
      <c r="B12" s="53" t="s">
        <v>325</v>
      </c>
      <c r="C12" s="43" t="s">
        <v>326</v>
      </c>
      <c r="D12" s="43" t="s">
        <v>17</v>
      </c>
      <c r="E12" s="42">
        <v>42084</v>
      </c>
      <c r="F12" s="43" t="s">
        <v>77</v>
      </c>
      <c r="G12" s="43" t="s">
        <v>305</v>
      </c>
      <c r="H12" s="43" t="s">
        <v>79</v>
      </c>
      <c r="I12" s="43" t="s">
        <v>327</v>
      </c>
      <c r="J12" s="43">
        <v>2</v>
      </c>
    </row>
    <row r="13" spans="1:10" ht="20.100000000000001" customHeight="1" x14ac:dyDescent="0.15">
      <c r="A13" s="43">
        <v>10</v>
      </c>
      <c r="B13" s="53" t="s">
        <v>768</v>
      </c>
      <c r="C13" s="43" t="s">
        <v>769</v>
      </c>
      <c r="D13" s="43" t="s">
        <v>17</v>
      </c>
      <c r="E13" s="42">
        <v>45806</v>
      </c>
      <c r="F13" s="43" t="s">
        <v>77</v>
      </c>
      <c r="G13" s="43" t="s">
        <v>305</v>
      </c>
      <c r="H13" s="43" t="s">
        <v>79</v>
      </c>
      <c r="I13" s="43" t="s">
        <v>770</v>
      </c>
      <c r="J13" s="43">
        <v>3</v>
      </c>
    </row>
    <row r="14" spans="1:10" ht="20.100000000000001" customHeight="1" x14ac:dyDescent="0.15">
      <c r="A14" s="43"/>
      <c r="B14" s="53"/>
      <c r="C14" s="43"/>
      <c r="D14" s="43"/>
      <c r="E14" s="42"/>
      <c r="F14" s="43"/>
      <c r="G14" s="43"/>
      <c r="H14" s="43"/>
      <c r="I14" s="43"/>
      <c r="J14" s="43"/>
    </row>
    <row r="15" spans="1:10" ht="20.100000000000001" customHeight="1" x14ac:dyDescent="0.15">
      <c r="A15" s="43">
        <v>11</v>
      </c>
      <c r="B15" s="53" t="s">
        <v>75</v>
      </c>
      <c r="C15" s="43" t="s">
        <v>76</v>
      </c>
      <c r="D15" s="43" t="s">
        <v>17</v>
      </c>
      <c r="E15" s="42">
        <v>45171</v>
      </c>
      <c r="F15" s="43" t="s">
        <v>77</v>
      </c>
      <c r="G15" s="43" t="s">
        <v>78</v>
      </c>
      <c r="H15" s="43" t="s">
        <v>79</v>
      </c>
      <c r="I15" s="43" t="s">
        <v>74</v>
      </c>
      <c r="J15" s="43">
        <v>1</v>
      </c>
    </row>
    <row r="16" spans="1:10" ht="20.100000000000001" customHeight="1" x14ac:dyDescent="0.15">
      <c r="A16" s="43">
        <v>12</v>
      </c>
      <c r="B16" s="53" t="s">
        <v>254</v>
      </c>
      <c r="C16" s="43" t="s">
        <v>255</v>
      </c>
      <c r="D16" s="43" t="s">
        <v>17</v>
      </c>
      <c r="E16" s="42">
        <v>42933</v>
      </c>
      <c r="F16" s="43" t="s">
        <v>77</v>
      </c>
      <c r="G16" s="43" t="s">
        <v>78</v>
      </c>
      <c r="H16" s="43" t="s">
        <v>13</v>
      </c>
      <c r="I16" s="43" t="s">
        <v>256</v>
      </c>
      <c r="J16" s="43">
        <v>2</v>
      </c>
    </row>
    <row r="17" spans="1:10" ht="20.100000000000001" customHeight="1" x14ac:dyDescent="0.15">
      <c r="A17" s="43">
        <v>13</v>
      </c>
      <c r="B17" s="53" t="s">
        <v>437</v>
      </c>
      <c r="C17" s="43" t="s">
        <v>438</v>
      </c>
      <c r="D17" s="43" t="s">
        <v>17</v>
      </c>
      <c r="E17" s="42">
        <v>43533</v>
      </c>
      <c r="F17" s="43" t="s">
        <v>77</v>
      </c>
      <c r="G17" s="43" t="s">
        <v>78</v>
      </c>
      <c r="H17" s="43" t="s">
        <v>13</v>
      </c>
      <c r="I17" s="43" t="s">
        <v>439</v>
      </c>
      <c r="J17" s="43">
        <v>4</v>
      </c>
    </row>
    <row r="18" spans="1:10" ht="20.100000000000001" customHeight="1" x14ac:dyDescent="0.15">
      <c r="A18" s="43">
        <v>14</v>
      </c>
      <c r="B18" s="53" t="s">
        <v>460</v>
      </c>
      <c r="C18" s="43" t="s">
        <v>461</v>
      </c>
      <c r="D18" s="43" t="s">
        <v>17</v>
      </c>
      <c r="E18" s="42">
        <v>41975</v>
      </c>
      <c r="F18" s="43" t="s">
        <v>77</v>
      </c>
      <c r="G18" s="43" t="s">
        <v>78</v>
      </c>
      <c r="H18" s="43" t="s">
        <v>13</v>
      </c>
      <c r="I18" s="43" t="s">
        <v>462</v>
      </c>
      <c r="J18" s="43">
        <v>5</v>
      </c>
    </row>
    <row r="19" spans="1:10" ht="20.100000000000001" customHeight="1" x14ac:dyDescent="0.15">
      <c r="A19" s="43"/>
      <c r="B19" s="53"/>
      <c r="C19" s="43"/>
      <c r="D19" s="43"/>
      <c r="E19" s="42"/>
      <c r="F19" s="43"/>
      <c r="G19" s="43"/>
      <c r="H19" s="43"/>
      <c r="I19" s="43"/>
      <c r="J19" s="43"/>
    </row>
    <row r="20" spans="1:10" ht="20.100000000000001" customHeight="1" x14ac:dyDescent="0.15">
      <c r="A20" s="43">
        <v>15</v>
      </c>
      <c r="B20" s="53" t="s">
        <v>130</v>
      </c>
      <c r="C20" s="43" t="s">
        <v>131</v>
      </c>
      <c r="D20" s="43" t="s">
        <v>17</v>
      </c>
      <c r="E20" s="42">
        <v>44466</v>
      </c>
      <c r="F20" s="43" t="s">
        <v>77</v>
      </c>
      <c r="G20" s="43" t="s">
        <v>132</v>
      </c>
      <c r="H20" s="43" t="s">
        <v>13</v>
      </c>
      <c r="I20" s="43" t="s">
        <v>133</v>
      </c>
      <c r="J20" s="43">
        <v>1</v>
      </c>
    </row>
    <row r="21" spans="1:10" ht="20.100000000000001" customHeight="1" x14ac:dyDescent="0.15">
      <c r="A21" s="43">
        <v>16</v>
      </c>
      <c r="B21" s="53" t="s">
        <v>134</v>
      </c>
      <c r="C21" s="43" t="s">
        <v>135</v>
      </c>
      <c r="D21" s="43" t="s">
        <v>17</v>
      </c>
      <c r="E21" s="42">
        <v>43507</v>
      </c>
      <c r="F21" s="43" t="s">
        <v>77</v>
      </c>
      <c r="G21" s="43" t="s">
        <v>132</v>
      </c>
      <c r="H21" s="43" t="s">
        <v>13</v>
      </c>
      <c r="I21" s="43" t="s">
        <v>133</v>
      </c>
      <c r="J21" s="43">
        <v>2</v>
      </c>
    </row>
    <row r="22" spans="1:10" ht="20.100000000000001" customHeight="1" x14ac:dyDescent="0.15">
      <c r="A22" s="43">
        <v>17</v>
      </c>
      <c r="B22" s="53" t="s">
        <v>201</v>
      </c>
      <c r="C22" s="43" t="s">
        <v>202</v>
      </c>
      <c r="D22" s="43" t="s">
        <v>17</v>
      </c>
      <c r="E22" s="42">
        <v>44501</v>
      </c>
      <c r="F22" s="43" t="s">
        <v>77</v>
      </c>
      <c r="G22" s="43" t="s">
        <v>132</v>
      </c>
      <c r="H22" s="43" t="s">
        <v>13</v>
      </c>
      <c r="I22" s="43" t="s">
        <v>198</v>
      </c>
      <c r="J22" s="43">
        <v>3</v>
      </c>
    </row>
    <row r="23" spans="1:10" ht="20.100000000000001" customHeight="1" x14ac:dyDescent="0.15">
      <c r="A23" s="43">
        <v>18</v>
      </c>
      <c r="B23" s="53" t="s">
        <v>269</v>
      </c>
      <c r="C23" s="43" t="s">
        <v>270</v>
      </c>
      <c r="D23" s="43" t="s">
        <v>17</v>
      </c>
      <c r="E23" s="42">
        <v>43371</v>
      </c>
      <c r="F23" s="43" t="s">
        <v>77</v>
      </c>
      <c r="G23" s="43" t="s">
        <v>132</v>
      </c>
      <c r="H23" s="43" t="s">
        <v>79</v>
      </c>
      <c r="I23" s="43" t="s">
        <v>271</v>
      </c>
      <c r="J23" s="43">
        <v>4</v>
      </c>
    </row>
    <row r="24" spans="1:10" ht="20.100000000000001" customHeight="1" x14ac:dyDescent="0.15">
      <c r="A24" s="43">
        <v>19</v>
      </c>
      <c r="B24" s="53" t="s">
        <v>294</v>
      </c>
      <c r="C24" s="43" t="s">
        <v>295</v>
      </c>
      <c r="D24" s="43" t="s">
        <v>17</v>
      </c>
      <c r="E24" s="42">
        <v>45173</v>
      </c>
      <c r="F24" s="43" t="s">
        <v>77</v>
      </c>
      <c r="G24" s="43" t="s">
        <v>132</v>
      </c>
      <c r="H24" s="43" t="s">
        <v>13</v>
      </c>
      <c r="I24" s="43" t="s">
        <v>296</v>
      </c>
      <c r="J24" s="43">
        <v>5</v>
      </c>
    </row>
    <row r="25" spans="1:10" ht="20.100000000000001" customHeight="1" x14ac:dyDescent="0.15">
      <c r="A25" s="43">
        <v>20</v>
      </c>
      <c r="B25" s="53" t="s">
        <v>297</v>
      </c>
      <c r="C25" s="43" t="s">
        <v>298</v>
      </c>
      <c r="D25" s="43" t="s">
        <v>17</v>
      </c>
      <c r="E25" s="42">
        <v>45178</v>
      </c>
      <c r="F25" s="43" t="s">
        <v>77</v>
      </c>
      <c r="G25" s="43" t="s">
        <v>132</v>
      </c>
      <c r="H25" s="43" t="s">
        <v>13</v>
      </c>
      <c r="I25" s="43" t="s">
        <v>296</v>
      </c>
      <c r="J25" s="43">
        <v>6</v>
      </c>
    </row>
    <row r="26" spans="1:10" ht="20.100000000000001" customHeight="1" x14ac:dyDescent="0.15">
      <c r="A26" s="43">
        <v>21</v>
      </c>
      <c r="B26" s="53" t="s">
        <v>299</v>
      </c>
      <c r="C26" s="43" t="s">
        <v>300</v>
      </c>
      <c r="D26" s="43" t="s">
        <v>17</v>
      </c>
      <c r="E26" s="42">
        <v>45191</v>
      </c>
      <c r="F26" s="43" t="s">
        <v>77</v>
      </c>
      <c r="G26" s="43" t="s">
        <v>132</v>
      </c>
      <c r="H26" s="43" t="s">
        <v>13</v>
      </c>
      <c r="I26" s="43" t="s">
        <v>296</v>
      </c>
      <c r="J26" s="43">
        <v>7</v>
      </c>
    </row>
    <row r="27" spans="1:10" ht="20.100000000000001" customHeight="1" x14ac:dyDescent="0.15">
      <c r="A27" s="43">
        <v>22</v>
      </c>
      <c r="B27" s="53" t="s">
        <v>301</v>
      </c>
      <c r="C27" s="43" t="s">
        <v>302</v>
      </c>
      <c r="D27" s="43" t="s">
        <v>17</v>
      </c>
      <c r="E27" s="42">
        <v>44613</v>
      </c>
      <c r="F27" s="43" t="s">
        <v>77</v>
      </c>
      <c r="G27" s="43" t="s">
        <v>132</v>
      </c>
      <c r="H27" s="43" t="s">
        <v>13</v>
      </c>
      <c r="I27" s="43" t="s">
        <v>296</v>
      </c>
      <c r="J27" s="43">
        <v>8</v>
      </c>
    </row>
    <row r="28" spans="1:10" ht="20.100000000000001" customHeight="1" x14ac:dyDescent="0.15">
      <c r="A28" s="43">
        <v>23</v>
      </c>
      <c r="B28" s="53" t="s">
        <v>363</v>
      </c>
      <c r="C28" s="43" t="s">
        <v>364</v>
      </c>
      <c r="D28" s="43" t="s">
        <v>17</v>
      </c>
      <c r="E28" s="42">
        <v>43045</v>
      </c>
      <c r="F28" s="43" t="s">
        <v>77</v>
      </c>
      <c r="G28" s="43" t="s">
        <v>132</v>
      </c>
      <c r="H28" s="43" t="s">
        <v>13</v>
      </c>
      <c r="I28" s="43" t="s">
        <v>365</v>
      </c>
      <c r="J28" s="43">
        <v>9</v>
      </c>
    </row>
    <row r="29" spans="1:10" ht="20.100000000000001" customHeight="1" x14ac:dyDescent="0.15">
      <c r="A29" s="43">
        <v>24</v>
      </c>
      <c r="B29" s="53" t="s">
        <v>422</v>
      </c>
      <c r="C29" s="43" t="s">
        <v>423</v>
      </c>
      <c r="D29" s="43" t="s">
        <v>17</v>
      </c>
      <c r="E29" s="42">
        <v>42250</v>
      </c>
      <c r="F29" s="43" t="s">
        <v>77</v>
      </c>
      <c r="G29" s="43" t="s">
        <v>132</v>
      </c>
      <c r="H29" s="43" t="s">
        <v>13</v>
      </c>
      <c r="I29" s="43" t="s">
        <v>424</v>
      </c>
      <c r="J29" s="43">
        <v>10</v>
      </c>
    </row>
    <row r="30" spans="1:10" ht="20.100000000000001" customHeight="1" x14ac:dyDescent="0.15">
      <c r="A30" s="43">
        <v>25</v>
      </c>
      <c r="B30" s="53" t="s">
        <v>434</v>
      </c>
      <c r="C30" s="43" t="s">
        <v>435</v>
      </c>
      <c r="D30" s="43" t="s">
        <v>10</v>
      </c>
      <c r="E30" s="42">
        <v>45261</v>
      </c>
      <c r="F30" s="43" t="s">
        <v>77</v>
      </c>
      <c r="G30" s="43" t="s">
        <v>132</v>
      </c>
      <c r="H30" s="43" t="s">
        <v>13</v>
      </c>
      <c r="I30" s="43" t="s">
        <v>436</v>
      </c>
      <c r="J30" s="43">
        <v>11</v>
      </c>
    </row>
    <row r="31" spans="1:10" ht="20.100000000000001" customHeight="1" x14ac:dyDescent="0.15">
      <c r="A31" s="43">
        <v>26</v>
      </c>
      <c r="B31" s="53" t="s">
        <v>440</v>
      </c>
      <c r="C31" s="43" t="s">
        <v>441</v>
      </c>
      <c r="D31" s="43" t="s">
        <v>17</v>
      </c>
      <c r="E31" s="42">
        <v>42499</v>
      </c>
      <c r="F31" s="43" t="s">
        <v>77</v>
      </c>
      <c r="G31" s="43" t="s">
        <v>132</v>
      </c>
      <c r="H31" s="43" t="s">
        <v>13</v>
      </c>
      <c r="I31" s="43" t="s">
        <v>442</v>
      </c>
      <c r="J31" s="43">
        <v>12</v>
      </c>
    </row>
    <row r="32" spans="1:10" ht="20.100000000000001" customHeight="1" x14ac:dyDescent="0.15">
      <c r="A32" s="43">
        <v>27</v>
      </c>
      <c r="B32" s="53" t="s">
        <v>545</v>
      </c>
      <c r="C32" s="43" t="s">
        <v>546</v>
      </c>
      <c r="D32" s="43" t="s">
        <v>17</v>
      </c>
      <c r="E32" s="42">
        <v>45068</v>
      </c>
      <c r="F32" s="43" t="s">
        <v>77</v>
      </c>
      <c r="G32" s="43" t="s">
        <v>132</v>
      </c>
      <c r="H32" s="43" t="s">
        <v>79</v>
      </c>
      <c r="I32" s="43" t="s">
        <v>547</v>
      </c>
      <c r="J32" s="43">
        <v>13</v>
      </c>
    </row>
    <row r="33" spans="1:10" ht="20.100000000000001" customHeight="1" x14ac:dyDescent="0.15">
      <c r="A33" s="43">
        <v>28</v>
      </c>
      <c r="B33" s="53" t="s">
        <v>555</v>
      </c>
      <c r="C33" s="43" t="s">
        <v>556</v>
      </c>
      <c r="D33" s="43" t="s">
        <v>17</v>
      </c>
      <c r="E33" s="42">
        <v>44704</v>
      </c>
      <c r="F33" s="43" t="s">
        <v>77</v>
      </c>
      <c r="G33" s="43" t="s">
        <v>132</v>
      </c>
      <c r="H33" s="43" t="s">
        <v>13</v>
      </c>
      <c r="I33" s="43" t="s">
        <v>557</v>
      </c>
      <c r="J33" s="43">
        <v>14</v>
      </c>
    </row>
    <row r="34" spans="1:10" ht="20.100000000000001" customHeight="1" x14ac:dyDescent="0.15">
      <c r="A34" s="43">
        <v>29</v>
      </c>
      <c r="B34" s="53" t="s">
        <v>591</v>
      </c>
      <c r="C34" s="43" t="s">
        <v>592</v>
      </c>
      <c r="D34" s="43" t="s">
        <v>17</v>
      </c>
      <c r="E34" s="42">
        <v>45586</v>
      </c>
      <c r="F34" s="43" t="s">
        <v>77</v>
      </c>
      <c r="G34" s="43" t="s">
        <v>132</v>
      </c>
      <c r="H34" s="43" t="s">
        <v>79</v>
      </c>
      <c r="I34" s="43" t="s">
        <v>593</v>
      </c>
      <c r="J34" s="43">
        <v>16</v>
      </c>
    </row>
    <row r="35" spans="1:10" ht="20.100000000000001" customHeight="1" x14ac:dyDescent="0.15">
      <c r="A35" s="43">
        <v>30</v>
      </c>
      <c r="B35" s="53" t="s">
        <v>597</v>
      </c>
      <c r="C35" s="43" t="s">
        <v>598</v>
      </c>
      <c r="D35" s="43" t="s">
        <v>10</v>
      </c>
      <c r="E35" s="42">
        <v>45605</v>
      </c>
      <c r="F35" s="43" t="s">
        <v>77</v>
      </c>
      <c r="G35" s="43" t="s">
        <v>132</v>
      </c>
      <c r="H35" s="43" t="s">
        <v>13</v>
      </c>
      <c r="I35" s="43" t="s">
        <v>599</v>
      </c>
      <c r="J35" s="43">
        <v>17</v>
      </c>
    </row>
    <row r="36" spans="1:10" ht="20.100000000000001" customHeight="1" x14ac:dyDescent="0.15">
      <c r="A36" s="43">
        <v>31</v>
      </c>
      <c r="B36" s="40" t="s">
        <v>629</v>
      </c>
      <c r="C36" s="40" t="s">
        <v>630</v>
      </c>
      <c r="D36" s="43" t="s">
        <v>17</v>
      </c>
      <c r="E36" s="42">
        <v>45712</v>
      </c>
      <c r="F36" s="43" t="s">
        <v>77</v>
      </c>
      <c r="G36" s="43" t="s">
        <v>132</v>
      </c>
      <c r="H36" s="43" t="s">
        <v>13</v>
      </c>
      <c r="I36" s="43" t="s">
        <v>133</v>
      </c>
      <c r="J36" s="43">
        <v>18</v>
      </c>
    </row>
    <row r="37" spans="1:10" ht="20.100000000000001" customHeight="1" x14ac:dyDescent="0.15">
      <c r="A37" s="43">
        <v>32</v>
      </c>
      <c r="B37" s="40" t="s">
        <v>676</v>
      </c>
      <c r="C37" s="40" t="s">
        <v>677</v>
      </c>
      <c r="D37" s="43" t="s">
        <v>17</v>
      </c>
      <c r="E37" s="42">
        <v>45775</v>
      </c>
      <c r="F37" s="43" t="s">
        <v>77</v>
      </c>
      <c r="G37" s="43" t="s">
        <v>132</v>
      </c>
      <c r="H37" s="43" t="s">
        <v>13</v>
      </c>
      <c r="I37" s="43" t="s">
        <v>678</v>
      </c>
      <c r="J37" s="43">
        <v>19</v>
      </c>
    </row>
    <row r="38" spans="1:10" ht="20.100000000000001" customHeight="1" x14ac:dyDescent="0.15">
      <c r="A38" s="43">
        <v>33</v>
      </c>
      <c r="B38" s="55" t="s">
        <v>740</v>
      </c>
      <c r="C38" s="54" t="s">
        <v>741</v>
      </c>
      <c r="D38" s="43" t="s">
        <v>17</v>
      </c>
      <c r="E38" s="42">
        <v>45895</v>
      </c>
      <c r="F38" s="43" t="s">
        <v>77</v>
      </c>
      <c r="G38" s="43" t="s">
        <v>132</v>
      </c>
      <c r="H38" s="43" t="s">
        <v>13</v>
      </c>
      <c r="I38" s="43" t="s">
        <v>742</v>
      </c>
      <c r="J38" s="43">
        <v>20</v>
      </c>
    </row>
    <row r="39" spans="1:10" ht="20.100000000000001" customHeight="1" x14ac:dyDescent="0.15">
      <c r="I39" s="43"/>
      <c r="J39" s="43"/>
    </row>
    <row r="40" spans="1:10" ht="20.100000000000001" customHeight="1" x14ac:dyDescent="0.15">
      <c r="I40" s="83" t="s">
        <v>773</v>
      </c>
      <c r="J40" s="83"/>
    </row>
    <row r="41" spans="1:10" ht="20.100000000000001" customHeight="1" x14ac:dyDescent="0.15">
      <c r="I41" s="83"/>
      <c r="J41" s="83"/>
    </row>
  </sheetData>
  <sortState ref="A2:J35">
    <sortCondition ref="G2:G35"/>
  </sortState>
  <mergeCells count="1">
    <mergeCell ref="I40:J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B144-7E6C-4742-899D-012F5A7CA569}">
  <dimension ref="A1:P24"/>
  <sheetViews>
    <sheetView tabSelected="1" topLeftCell="G1" workbookViewId="0">
      <selection activeCell="O12" sqref="O12"/>
    </sheetView>
  </sheetViews>
  <sheetFormatPr defaultColWidth="9" defaultRowHeight="15" x14ac:dyDescent="0.15"/>
  <cols>
    <col min="1" max="1" width="6" style="1" customWidth="1"/>
    <col min="2" max="2" width="32.85546875" style="2" customWidth="1"/>
    <col min="3" max="3" width="14.85546875" style="2" customWidth="1"/>
    <col min="4" max="5" width="14.7109375" style="2" customWidth="1"/>
    <col min="6" max="6" width="37.7109375" style="2" customWidth="1"/>
    <col min="7" max="7" width="3.42578125" style="2" customWidth="1"/>
    <col min="8" max="8" width="17" style="1" customWidth="1"/>
    <col min="9" max="9" width="17.5703125" style="2" customWidth="1"/>
    <col min="10" max="10" width="43" style="2" customWidth="1"/>
    <col min="11" max="11" width="3.7109375" style="2" customWidth="1"/>
    <col min="12" max="13" width="12.5703125" style="2" customWidth="1"/>
    <col min="14" max="14" width="41.42578125" style="3" bestFit="1" customWidth="1"/>
    <col min="15" max="23" width="15" style="2" customWidth="1"/>
    <col min="24" max="16384" width="9" style="2"/>
  </cols>
  <sheetData>
    <row r="1" spans="1:14" x14ac:dyDescent="0.15">
      <c r="B1" s="1"/>
      <c r="C1" s="1"/>
      <c r="D1" s="1"/>
      <c r="E1" s="1"/>
      <c r="F1" s="1"/>
      <c r="G1" s="1"/>
      <c r="I1" s="1"/>
      <c r="K1" s="1"/>
      <c r="L1" s="1"/>
      <c r="M1" s="1"/>
    </row>
    <row r="2" spans="1:14" ht="45" hidden="1" x14ac:dyDescent="0.15">
      <c r="D2" s="4" t="s">
        <v>631</v>
      </c>
      <c r="E2" s="4"/>
      <c r="F2" s="4" t="s">
        <v>631</v>
      </c>
      <c r="I2" s="4" t="s">
        <v>631</v>
      </c>
      <c r="J2" s="4" t="s">
        <v>631</v>
      </c>
    </row>
    <row r="3" spans="1:14" s="1" customFormat="1" ht="30" x14ac:dyDescent="0.15">
      <c r="A3" s="5" t="s">
        <v>632</v>
      </c>
      <c r="B3" s="6" t="s">
        <v>633</v>
      </c>
      <c r="C3" s="5" t="s">
        <v>634</v>
      </c>
      <c r="D3" s="5" t="s">
        <v>635</v>
      </c>
      <c r="E3" s="5" t="s">
        <v>775</v>
      </c>
      <c r="F3" s="5" t="s">
        <v>636</v>
      </c>
      <c r="G3" s="7"/>
      <c r="H3" s="5" t="s">
        <v>637</v>
      </c>
      <c r="I3" s="5" t="s">
        <v>638</v>
      </c>
      <c r="J3" s="5" t="s">
        <v>639</v>
      </c>
      <c r="K3" s="5"/>
      <c r="L3" s="5" t="s">
        <v>640</v>
      </c>
      <c r="M3" s="5" t="s">
        <v>641</v>
      </c>
      <c r="N3" s="5" t="s">
        <v>642</v>
      </c>
    </row>
    <row r="4" spans="1:14" ht="75" x14ac:dyDescent="0.15">
      <c r="A4" s="8">
        <v>1</v>
      </c>
      <c r="B4" s="9" t="s">
        <v>643</v>
      </c>
      <c r="C4" s="8">
        <v>5</v>
      </c>
      <c r="D4" s="8">
        <v>5</v>
      </c>
      <c r="E4" s="8">
        <v>0</v>
      </c>
      <c r="F4" s="10" t="s">
        <v>745</v>
      </c>
      <c r="G4" s="10"/>
      <c r="H4" s="11">
        <v>0</v>
      </c>
      <c r="I4" s="8">
        <v>1</v>
      </c>
      <c r="J4" s="9" t="s">
        <v>767</v>
      </c>
      <c r="K4" s="8"/>
      <c r="L4" s="8">
        <f>C4+H4</f>
        <v>5</v>
      </c>
      <c r="M4" s="8">
        <f>D4+I4</f>
        <v>6</v>
      </c>
      <c r="N4" s="10"/>
    </row>
    <row r="5" spans="1:14" ht="155.25" customHeight="1" x14ac:dyDescent="0.15">
      <c r="A5" s="12">
        <v>2</v>
      </c>
      <c r="B5" s="13" t="s">
        <v>644</v>
      </c>
      <c r="C5" s="14">
        <v>15</v>
      </c>
      <c r="D5" s="14">
        <v>16</v>
      </c>
      <c r="E5" s="14">
        <v>0</v>
      </c>
      <c r="F5" s="15" t="s">
        <v>805</v>
      </c>
      <c r="G5" s="15"/>
      <c r="H5" s="16">
        <v>45</v>
      </c>
      <c r="I5" s="14">
        <v>57</v>
      </c>
      <c r="J5" s="17" t="s">
        <v>799</v>
      </c>
      <c r="K5" s="14"/>
      <c r="L5" s="14">
        <v>50</v>
      </c>
      <c r="M5" s="14">
        <v>34</v>
      </c>
      <c r="N5" s="15"/>
    </row>
    <row r="6" spans="1:14" s="22" customFormat="1" ht="30.75" thickBot="1" x14ac:dyDescent="0.2">
      <c r="A6" s="45"/>
      <c r="B6" s="46"/>
      <c r="C6" s="47"/>
      <c r="D6" s="47"/>
      <c r="E6" s="47"/>
      <c r="F6" s="48" t="s">
        <v>645</v>
      </c>
      <c r="G6" s="48"/>
      <c r="H6" s="49">
        <v>67</v>
      </c>
      <c r="I6" s="47">
        <v>67</v>
      </c>
      <c r="J6" s="46" t="s">
        <v>800</v>
      </c>
      <c r="K6" s="47"/>
      <c r="L6" s="47">
        <f>C6+H6</f>
        <v>67</v>
      </c>
      <c r="M6" s="47">
        <f>I6+D6</f>
        <v>67</v>
      </c>
      <c r="N6" s="48"/>
    </row>
    <row r="7" spans="1:14" ht="30" x14ac:dyDescent="0.15">
      <c r="A7" s="19">
        <v>3</v>
      </c>
      <c r="B7" s="18" t="s">
        <v>646</v>
      </c>
      <c r="C7" s="19">
        <v>3</v>
      </c>
      <c r="D7" s="19">
        <v>1</v>
      </c>
      <c r="E7" s="19"/>
      <c r="F7" s="20" t="s">
        <v>744</v>
      </c>
      <c r="G7" s="20"/>
      <c r="H7" s="21">
        <v>12</v>
      </c>
      <c r="I7" s="19">
        <v>13</v>
      </c>
      <c r="J7" s="44" t="s">
        <v>680</v>
      </c>
      <c r="K7" s="19"/>
      <c r="L7" s="19">
        <f t="shared" ref="L7" si="0">C7+H7</f>
        <v>15</v>
      </c>
      <c r="M7" s="19">
        <f>I7+D7</f>
        <v>14</v>
      </c>
      <c r="N7" s="20"/>
    </row>
    <row r="8" spans="1:14" ht="195" x14ac:dyDescent="0.15">
      <c r="A8" s="8">
        <v>4</v>
      </c>
      <c r="B8" s="9" t="s">
        <v>647</v>
      </c>
      <c r="C8" s="8">
        <v>31</v>
      </c>
      <c r="D8" s="8">
        <v>33</v>
      </c>
      <c r="E8" s="8">
        <f>D8-C8</f>
        <v>2</v>
      </c>
      <c r="F8" s="10" t="s">
        <v>792</v>
      </c>
      <c r="G8" s="10"/>
      <c r="H8" s="11">
        <v>9</v>
      </c>
      <c r="I8" s="8">
        <v>14</v>
      </c>
      <c r="J8" s="23" t="s">
        <v>797</v>
      </c>
      <c r="K8" s="8"/>
      <c r="L8" s="8">
        <f>C8+H8</f>
        <v>40</v>
      </c>
      <c r="M8" s="8">
        <f t="shared" ref="M8:M18" si="1">D8+I8</f>
        <v>47</v>
      </c>
      <c r="N8" s="10"/>
    </row>
    <row r="9" spans="1:14" ht="75" x14ac:dyDescent="0.15">
      <c r="A9" s="8">
        <v>5</v>
      </c>
      <c r="B9" s="9" t="s">
        <v>648</v>
      </c>
      <c r="C9" s="8">
        <v>25</v>
      </c>
      <c r="D9" s="8">
        <v>22</v>
      </c>
      <c r="E9" s="8">
        <v>0</v>
      </c>
      <c r="F9" s="10" t="s">
        <v>793</v>
      </c>
      <c r="G9" s="10"/>
      <c r="H9" s="11">
        <v>25</v>
      </c>
      <c r="I9" s="8">
        <v>35</v>
      </c>
      <c r="J9" s="23" t="s">
        <v>774</v>
      </c>
      <c r="K9" s="8"/>
      <c r="L9" s="8">
        <f>C9+H9</f>
        <v>50</v>
      </c>
      <c r="M9" s="8">
        <f>D9+I9</f>
        <v>57</v>
      </c>
      <c r="N9" s="10"/>
    </row>
    <row r="10" spans="1:14" ht="165" x14ac:dyDescent="0.15">
      <c r="A10" s="14">
        <v>6</v>
      </c>
      <c r="B10" s="24" t="s">
        <v>649</v>
      </c>
      <c r="C10" s="14">
        <v>32</v>
      </c>
      <c r="D10" s="14">
        <v>33</v>
      </c>
      <c r="E10" s="14">
        <v>1</v>
      </c>
      <c r="F10" s="10" t="s">
        <v>766</v>
      </c>
      <c r="G10" s="10"/>
      <c r="H10" s="16">
        <v>15</v>
      </c>
      <c r="I10" s="14">
        <v>16</v>
      </c>
      <c r="J10" s="15" t="s">
        <v>650</v>
      </c>
      <c r="K10" s="8"/>
      <c r="L10" s="14">
        <f>C10+H10</f>
        <v>47</v>
      </c>
      <c r="M10" s="14">
        <f t="shared" si="1"/>
        <v>49</v>
      </c>
      <c r="N10" s="15"/>
    </row>
    <row r="11" spans="1:14" ht="150" x14ac:dyDescent="0.25">
      <c r="A11" s="14">
        <v>7</v>
      </c>
      <c r="B11" s="9" t="s">
        <v>651</v>
      </c>
      <c r="C11" s="8">
        <v>40</v>
      </c>
      <c r="D11" s="8">
        <v>29</v>
      </c>
      <c r="E11" s="8">
        <v>0</v>
      </c>
      <c r="F11" s="10" t="s">
        <v>804</v>
      </c>
      <c r="G11" s="10"/>
      <c r="H11" s="11">
        <v>24</v>
      </c>
      <c r="I11" s="8">
        <v>24</v>
      </c>
      <c r="J11" s="25" t="s">
        <v>652</v>
      </c>
      <c r="K11" s="8"/>
      <c r="L11" s="14">
        <f>C11+H11</f>
        <v>64</v>
      </c>
      <c r="M11" s="8">
        <f>D11+I11</f>
        <v>53</v>
      </c>
      <c r="N11" s="15"/>
    </row>
    <row r="12" spans="1:14" ht="150" x14ac:dyDescent="0.15">
      <c r="A12" s="8">
        <v>8</v>
      </c>
      <c r="B12" s="9" t="s">
        <v>653</v>
      </c>
      <c r="C12" s="8">
        <v>34</v>
      </c>
      <c r="D12" s="8">
        <v>36</v>
      </c>
      <c r="E12" s="8">
        <v>2</v>
      </c>
      <c r="F12" s="10" t="s">
        <v>759</v>
      </c>
      <c r="G12" s="10"/>
      <c r="H12" s="11">
        <v>32</v>
      </c>
      <c r="I12" s="8">
        <v>32</v>
      </c>
      <c r="J12" s="23" t="s">
        <v>654</v>
      </c>
      <c r="K12" s="8"/>
      <c r="L12" s="8">
        <f t="shared" ref="L12:L17" si="2">C12+H12</f>
        <v>66</v>
      </c>
      <c r="M12" s="8">
        <f t="shared" si="1"/>
        <v>68</v>
      </c>
      <c r="N12" s="10"/>
    </row>
    <row r="13" spans="1:14" ht="240" x14ac:dyDescent="0.15">
      <c r="A13" s="8">
        <v>9</v>
      </c>
      <c r="B13" s="9" t="s">
        <v>655</v>
      </c>
      <c r="C13" s="8">
        <v>18</v>
      </c>
      <c r="D13" s="8">
        <v>23</v>
      </c>
      <c r="E13" s="8">
        <v>5</v>
      </c>
      <c r="F13" s="10" t="s">
        <v>798</v>
      </c>
      <c r="G13" s="10"/>
      <c r="H13" s="11">
        <v>25</v>
      </c>
      <c r="I13" s="8">
        <v>32</v>
      </c>
      <c r="J13" s="23" t="s">
        <v>656</v>
      </c>
      <c r="K13" s="8"/>
      <c r="L13" s="8">
        <f t="shared" si="2"/>
        <v>43</v>
      </c>
      <c r="M13" s="8">
        <v>43</v>
      </c>
      <c r="N13" s="10" t="s">
        <v>657</v>
      </c>
    </row>
    <row r="14" spans="1:14" ht="165" x14ac:dyDescent="0.15">
      <c r="A14" s="8">
        <v>10</v>
      </c>
      <c r="B14" s="9" t="s">
        <v>658</v>
      </c>
      <c r="C14" s="8">
        <v>20</v>
      </c>
      <c r="D14" s="8">
        <v>24</v>
      </c>
      <c r="E14" s="8"/>
      <c r="F14" s="10" t="s">
        <v>746</v>
      </c>
      <c r="G14" s="10"/>
      <c r="H14" s="11">
        <v>62</v>
      </c>
      <c r="I14" s="8">
        <v>67</v>
      </c>
      <c r="J14" s="23" t="s">
        <v>659</v>
      </c>
      <c r="K14" s="8"/>
      <c r="L14" s="8">
        <f>C14+H14</f>
        <v>82</v>
      </c>
      <c r="M14" s="8">
        <f t="shared" si="1"/>
        <v>91</v>
      </c>
      <c r="N14" s="10"/>
    </row>
    <row r="15" spans="1:14" ht="30" x14ac:dyDescent="0.15">
      <c r="A15" s="8">
        <v>11</v>
      </c>
      <c r="B15" s="9" t="s">
        <v>794</v>
      </c>
      <c r="C15" s="8">
        <v>1</v>
      </c>
      <c r="D15" s="8">
        <v>1</v>
      </c>
      <c r="E15" s="8">
        <v>0</v>
      </c>
      <c r="F15" s="10" t="s">
        <v>795</v>
      </c>
      <c r="G15" s="10"/>
      <c r="H15" s="11"/>
      <c r="I15" s="8"/>
      <c r="J15" s="23"/>
      <c r="K15" s="8"/>
      <c r="L15" s="8"/>
      <c r="M15" s="8"/>
      <c r="N15" s="10"/>
    </row>
    <row r="16" spans="1:14" ht="60" x14ac:dyDescent="0.15">
      <c r="A16" s="8">
        <v>12</v>
      </c>
      <c r="B16" s="9" t="s">
        <v>660</v>
      </c>
      <c r="C16" s="8">
        <v>12</v>
      </c>
      <c r="D16" s="8">
        <v>12</v>
      </c>
      <c r="E16" s="8">
        <v>0</v>
      </c>
      <c r="F16" s="10" t="s">
        <v>743</v>
      </c>
      <c r="G16" s="10"/>
      <c r="H16" s="11">
        <v>16</v>
      </c>
      <c r="I16" s="8">
        <v>16</v>
      </c>
      <c r="J16" s="23" t="s">
        <v>661</v>
      </c>
      <c r="K16" s="8"/>
      <c r="L16" s="8">
        <f t="shared" si="2"/>
        <v>28</v>
      </c>
      <c r="M16" s="8">
        <f t="shared" si="1"/>
        <v>28</v>
      </c>
      <c r="N16" s="10"/>
    </row>
    <row r="17" spans="1:16" ht="60" x14ac:dyDescent="0.15">
      <c r="A17" s="8">
        <v>13</v>
      </c>
      <c r="B17" s="9" t="s">
        <v>662</v>
      </c>
      <c r="C17" s="8">
        <v>6</v>
      </c>
      <c r="D17" s="8">
        <v>8</v>
      </c>
      <c r="E17" s="8">
        <v>2</v>
      </c>
      <c r="F17" s="10" t="s">
        <v>747</v>
      </c>
      <c r="G17" s="10"/>
      <c r="H17" s="11">
        <v>5</v>
      </c>
      <c r="I17" s="8">
        <v>6</v>
      </c>
      <c r="J17" s="23" t="s">
        <v>705</v>
      </c>
      <c r="K17" s="8"/>
      <c r="L17" s="8">
        <f t="shared" si="2"/>
        <v>11</v>
      </c>
      <c r="M17" s="8">
        <f t="shared" si="1"/>
        <v>14</v>
      </c>
      <c r="N17" s="10"/>
    </row>
    <row r="18" spans="1:16" s="29" customFormat="1" x14ac:dyDescent="0.15">
      <c r="A18" s="26"/>
      <c r="B18" s="27" t="s">
        <v>663</v>
      </c>
      <c r="C18" s="26">
        <f>SUM(C4:C17)</f>
        <v>242</v>
      </c>
      <c r="D18" s="26">
        <f>SUM(D4:D17)</f>
        <v>243</v>
      </c>
      <c r="E18" s="26">
        <f>SUM(E4:E17)</f>
        <v>12</v>
      </c>
      <c r="F18" s="27"/>
      <c r="G18" s="27"/>
      <c r="H18" s="26">
        <f>SUM(H4:H17)</f>
        <v>337</v>
      </c>
      <c r="I18" s="26">
        <f>SUM(I4:I17)</f>
        <v>380</v>
      </c>
      <c r="J18" s="27"/>
      <c r="K18" s="27"/>
      <c r="L18" s="26">
        <f>SUM(L4:L17)</f>
        <v>568</v>
      </c>
      <c r="M18" s="26">
        <f t="shared" si="1"/>
        <v>623</v>
      </c>
      <c r="N18" s="28"/>
      <c r="P18" s="29" t="s">
        <v>664</v>
      </c>
    </row>
    <row r="19" spans="1:16" s="31" customFormat="1" hidden="1" x14ac:dyDescent="0.15">
      <c r="A19" s="8"/>
      <c r="B19" s="30"/>
      <c r="C19" s="8"/>
      <c r="D19" s="8"/>
      <c r="E19" s="8"/>
      <c r="F19" s="30"/>
      <c r="G19" s="30"/>
      <c r="H19" s="30"/>
      <c r="I19" s="8"/>
      <c r="J19" s="30"/>
      <c r="K19" s="30"/>
      <c r="L19" s="8"/>
      <c r="M19" s="8"/>
      <c r="N19" s="10"/>
    </row>
    <row r="20" spans="1:16" s="31" customFormat="1" x14ac:dyDescent="0.15">
      <c r="A20" s="8">
        <v>14</v>
      </c>
      <c r="B20" s="30" t="s">
        <v>665</v>
      </c>
      <c r="C20" s="8">
        <v>7</v>
      </c>
      <c r="D20" s="8">
        <v>1</v>
      </c>
      <c r="E20" s="8">
        <v>0</v>
      </c>
      <c r="F20" s="30"/>
      <c r="G20" s="30"/>
      <c r="H20" s="30"/>
      <c r="I20" s="8"/>
      <c r="J20" s="30"/>
      <c r="K20" s="30"/>
      <c r="L20" s="8"/>
      <c r="M20" s="8"/>
      <c r="N20" s="10"/>
    </row>
    <row r="21" spans="1:16" s="31" customFormat="1" hidden="1" x14ac:dyDescent="0.15">
      <c r="A21" s="32"/>
      <c r="B21" s="33"/>
      <c r="C21" s="8"/>
      <c r="D21" s="8"/>
      <c r="E21" s="8"/>
      <c r="F21" s="30"/>
      <c r="G21" s="30"/>
      <c r="H21" s="30"/>
      <c r="I21" s="8"/>
      <c r="J21" s="30"/>
      <c r="K21" s="30"/>
      <c r="L21" s="8"/>
      <c r="M21" s="8"/>
      <c r="N21" s="10"/>
    </row>
    <row r="22" spans="1:16" s="39" customFormat="1" ht="15.75" x14ac:dyDescent="0.15">
      <c r="A22" s="34" t="s">
        <v>664</v>
      </c>
      <c r="B22" s="35" t="s">
        <v>666</v>
      </c>
      <c r="C22" s="36">
        <f t="shared" ref="C22:D22" si="3">SUM(C18:C20)</f>
        <v>249</v>
      </c>
      <c r="D22" s="36">
        <f t="shared" si="3"/>
        <v>244</v>
      </c>
      <c r="E22" s="36">
        <v>9</v>
      </c>
      <c r="F22" s="37"/>
      <c r="G22" s="37"/>
      <c r="H22" s="37"/>
      <c r="I22" s="37"/>
      <c r="J22" s="37"/>
      <c r="K22" s="37"/>
      <c r="L22" s="37"/>
      <c r="M22" s="37"/>
      <c r="N22" s="38"/>
    </row>
    <row r="23" spans="1:16" x14ac:dyDescent="0.15">
      <c r="C23" s="1"/>
      <c r="D23" s="1"/>
      <c r="E23" s="1"/>
    </row>
    <row r="24" spans="1:16" x14ac:dyDescent="0.15">
      <c r="C24" s="1"/>
      <c r="D24" s="1"/>
      <c r="E2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KIMBIJI</vt:lpstr>
      <vt:lpstr>HO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USER</cp:lastModifiedBy>
  <cp:lastPrinted>2025-05-30T12:28:00Z</cp:lastPrinted>
  <dcterms:created xsi:type="dcterms:W3CDTF">2025-03-03T05:51:35Z</dcterms:created>
  <dcterms:modified xsi:type="dcterms:W3CDTF">2026-03-02T05:58:34Z</dcterms:modified>
</cp:coreProperties>
</file>